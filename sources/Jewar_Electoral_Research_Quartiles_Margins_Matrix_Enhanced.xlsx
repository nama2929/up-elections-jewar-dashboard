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be26a4fb7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1f88f0dd960449c"/>
    <x:sheet xmlns:r="http://schemas.openxmlformats.org/officeDocument/2006/relationships" name="2017 Form20" sheetId="2" r:id="R3dfbb477830d4af9"/>
    <x:sheet xmlns:r="http://schemas.openxmlformats.org/officeDocument/2006/relationships" name="2019 Form20" sheetId="3" r:id="R3062206186734be8"/>
    <x:sheet xmlns:r="http://schemas.openxmlformats.org/officeDocument/2006/relationships" name="2022 Form20" sheetId="4" r:id="R80108a34a45e44e3"/>
    <x:sheet xmlns:r="http://schemas.openxmlformats.org/officeDocument/2006/relationships" name="2024 Form20" sheetId="5" r:id="R3d68f3f5edb5476d"/>
    <x:sheet xmlns:r="http://schemas.openxmlformats.org/officeDocument/2006/relationships" name="2017 Booth" sheetId="6" r:id="Ra1afe3a619cf483c"/>
    <x:sheet xmlns:r="http://schemas.openxmlformats.org/officeDocument/2006/relationships" name="2019 Booth" sheetId="7" r:id="R94488b87ae7b4f19"/>
    <x:sheet xmlns:r="http://schemas.openxmlformats.org/officeDocument/2006/relationships" name="2022 Booth" sheetId="8" r:id="R27661dbde7f94db7"/>
    <x:sheet xmlns:r="http://schemas.openxmlformats.org/officeDocument/2006/relationships" name="2024 Booth" sheetId="9" r:id="Rb2fec60e2b9d4474"/>
    <x:sheet xmlns:r="http://schemas.openxmlformats.org/officeDocument/2006/relationships" name="2017 Insights" sheetId="10" r:id="R0846203e1832401a"/>
    <x:sheet xmlns:r="http://schemas.openxmlformats.org/officeDocument/2006/relationships" name="2019 Insights" sheetId="11" r:id="Re489325f921245a9"/>
    <x:sheet xmlns:r="http://schemas.openxmlformats.org/officeDocument/2006/relationships" name="2022 Insights" sheetId="12" r:id="R937e8344d928472e"/>
    <x:sheet xmlns:r="http://schemas.openxmlformats.org/officeDocument/2006/relationships" name="2024 Insights" sheetId="13" r:id="R4a927093ad4749b3"/>
    <x:sheet xmlns:r="http://schemas.openxmlformats.org/officeDocument/2006/relationships" name="Across Years" sheetId="14" r:id="R4e123946792b46e3"/>
    <x:sheet xmlns:r="http://schemas.openxmlformats.org/officeDocument/2006/relationships" name="Issues 2017-2027" sheetId="15" r:id="R24ac7b7ffaf34d16"/>
    <x:sheet xmlns:r="http://schemas.openxmlformats.org/officeDocument/2006/relationships" name="Research Sources" sheetId="16" r:id="Rc0ef045b4c9d46e5"/>
    <x:sheet xmlns:r="http://schemas.openxmlformats.org/officeDocument/2006/relationships" name="Data QA &amp; Glossary" sheetId="17" r:id="Rd32b7f0741d1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+0.0%;-0.0%;0.0%"/>
    <x:numFmt numFmtId="202" formatCode="#,##0"/>
    <x:numFmt numFmtId="203" formatCode="0.00%"/>
    <x:numFmt numFmtId="204" formatCode="0"/>
    <x:numFmt numFmtId="205" formatCode="0%"/>
  </x:numFmts>
  <x:fonts count="23">
    <x:font>
      <x:sz val="11"/>
      <x:name val="Carlito"/>
    </x:font>
    <x:font>
      <x:b/>
      <x:sz val="18"/>
      <x:color rgb="FFFFFFFF"/>
      <x:name val="Carlito"/>
    </x:font>
    <x:font>
      <x:sz val="10"/>
      <x:color rgb="FF233547"/>
      <x:name val="Carlito"/>
    </x:font>
    <x:font>
      <x:b/>
      <x:sz val="11"/>
      <x:color rgb="FFFFFFFF"/>
      <x:name val="Carlito"/>
    </x:font>
    <x:font>
      <x:b/>
      <x:sz val="10"/>
      <x:color rgb="FF14273E"/>
      <x:name val="Carlito"/>
    </x:font>
    <x:font>
      <x:sz val="10"/>
      <x:color rgb="FF704A1E"/>
      <x:name val="Carlito"/>
    </x:font>
    <x:font>
      <x:b/>
      <x:sz val="11"/>
      <x:color rgb="FF14273E"/>
      <x:name val="Carlito"/>
    </x:font>
    <x:font>
      <x:b/>
      <x:sz val="18"/>
      <x:color rgb="FF14273E"/>
      <x:name val="Carlito"/>
    </x:font>
    <x:font>
      <x:sz val="11"/>
      <x:color rgb="FF69461B"/>
      <x:name val="Carlito"/>
    </x:font>
    <x:font>
      <x:sz val="12"/>
      <x:color rgb="FF14273E"/>
      <x:name val="Carlito"/>
    </x:font>
    <x:font>
      <x:b/>
      <x:sz val="16"/>
      <x:color rgb="FFFFFFFF"/>
      <x:name val="Carlito"/>
    </x:font>
    <x:font>
      <x:sz val="10"/>
      <x:color rgb="FF23516C"/>
      <x:name val="Carlito"/>
    </x:font>
    <x:font>
      <x:b/>
      <x:sz val="10"/>
      <x:color rgb="FF734A13"/>
      <x:name val="Carlito"/>
    </x:font>
    <x:font>
      <x:sz val="11"/>
      <x:color rgb="FF15364A"/>
      <x:name val="Carlito"/>
    </x:font>
    <x:font>
      <x:b/>
      <x:sz val="13"/>
      <x:color rgb="FF075347"/>
      <x:name val="Carlito"/>
    </x:font>
    <x:font>
      <x:sz val="10"/>
      <x:color rgb="FF536477"/>
      <x:name val="Carlito"/>
    </x:font>
    <x:font>
      <x:b/>
      <x:sz val="12"/>
      <x:color rgb="FFFFFFFF"/>
      <x:name val="Carlito"/>
    </x:font>
    <x:font>
      <x:sz val="10"/>
      <x:color rgb="FF15364A"/>
      <x:name val="Carlito"/>
    </x:font>
    <x:font>
      <x:b/>
      <x:sz val="10"/>
      <x:color rgb="FF15364A"/>
      <x:name val="Carlito"/>
    </x:font>
    <x:font>
      <x:b/>
      <x:sz val="9"/>
      <x:color rgb="FFFFFFFF"/>
      <x:name val="Carlito"/>
    </x:font>
    <x:font>
      <x:b/>
      <x:sz val="11"/>
      <x:color rgb="FF15364A"/>
      <x:name val="Carlito"/>
    </x:font>
    <x:font>
      <x:sz val="9"/>
      <x:color rgb="FF536477"/>
      <x:name val="Carlito"/>
    </x:font>
    <x:font>
      <x:b/>
      <x:sz val="15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4273E"/>
      </x:patternFill>
    </x:fill>
    <x:fill>
      <x:patternFill patternType="solid">
        <x:fgColor rgb="FFEEF4FA"/>
      </x:patternFill>
    </x:fill>
    <x:fill>
      <x:patternFill patternType="solid">
        <x:fgColor rgb="FF137F80"/>
      </x:patternFill>
    </x:fill>
    <x:fill>
      <x:patternFill patternType="solid">
        <x:fgColor rgb="FFFFF1DB"/>
      </x:patternFill>
    </x:fill>
    <x:fill>
      <x:patternFill patternType="solid">
        <x:fgColor rgb="FFEAF5F2"/>
      </x:patternFill>
    </x:fill>
    <x:fill>
      <x:patternFill patternType="solid">
        <x:fgColor rgb="FF1E3954"/>
      </x:patternFill>
    </x:fill>
    <x:fill>
      <x:patternFill patternType="solid">
        <x:fgColor rgb="FF102A43"/>
      </x:patternFill>
    </x:fill>
    <x:fill>
      <x:patternFill patternType="solid">
        <x:fgColor rgb="FFE9F3F5"/>
      </x:patternFill>
    </x:fill>
    <x:fill>
      <x:patternFill patternType="solid">
        <x:fgColor rgb="FF155E75"/>
      </x:patternFill>
    </x:fill>
    <x:fill>
      <x:patternFill patternType="solid">
        <x:fgColor rgb="FFFFF3DB"/>
      </x:patternFill>
    </x:fill>
    <x:fill>
      <x:patternFill patternType="solid">
        <x:fgColor rgb="FFE0F3EF"/>
      </x:patternFill>
    </x:fill>
    <x:fill>
      <x:patternFill patternType="solid">
        <x:fgColor rgb="FFF4F8FB"/>
      </x:patternFill>
    </x:fill>
    <x:fill>
      <x:patternFill patternType="solid">
        <x:fgColor rgb="FFF4F7FC"/>
      </x:patternFill>
    </x:fill>
  </x:fills>
  <x:borders count="2"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0" fillId="6" borderId="0" xfId="0" applyNumberFormat="1" applyFont="1" applyFill="1" applyBorder="1"/>
    <x:xf numFmtId="202" fontId="0" fillId="0" borderId="0" xfId="0" applyNumberFormat="1" applyFont="1" applyFill="1" applyBorder="1"/>
    <x:xf numFmtId="202" fontId="0" fillId="6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wrapText="1"/>
    </x:xf>
    <x:xf numFmtId="203" fontId="13" fillId="5" borderId="0" xfId="0" applyNumberFormat="1" applyFont="1" applyFill="1" applyBorder="1" applyAlignment="1">
      <x:alignment wrapText="1"/>
    </x:xf>
    <x:xf numFmtId="203" fontId="13" fillId="12" borderId="0" xfId="0" applyNumberFormat="1" applyFont="1" applyFill="1" applyBorder="1" applyAlignment="1">
      <x:alignment wrapText="1"/>
    </x:xf>
    <x:xf numFmtId="203" fontId="14" fillId="12" borderId="0" xfId="0" applyNumberFormat="1" applyFont="1" applyFill="1" applyBorder="1" applyAlignment="1">
      <x:alignment wrapText="1"/>
    </x:xf>
    <x:xf numFmtId="203" fontId="14" fillId="12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200" fontId="13" fillId="13" borderId="0" xfId="0" applyNumberFormat="1" applyFont="1" applyFill="1" applyBorder="1"/>
    <x:xf numFmtId="204" fontId="13" fillId="13" borderId="0" xfId="0" applyNumberFormat="1" applyFont="1" applyFill="1" applyBorder="1"/>
    <x:xf numFmtId="0" fontId="13" fillId="12" borderId="0" xfId="0" applyNumberFormat="1" applyFont="1" applyFill="1" applyBorder="1"/>
    <x:xf numFmtId="204" fontId="13" fillId="12" borderId="0" xfId="0" applyNumberFormat="1" applyFont="1" applyFill="1" applyBorder="1"/>
    <x:xf numFmtId="200" fontId="13" fillId="12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vertical="center"/>
    </x:xf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/>
    <x:xf numFmtId="0" fontId="0" fillId="12" borderId="0" xfId="0" applyNumberFormat="1" applyFont="1" applyFill="1" applyBorder="1"/>
    <x:xf numFmtId="201" fontId="0" fillId="12" borderId="0" xfId="0" applyNumberFormat="1" applyFont="1" applyFill="1" applyBorder="1"/>
    <x:xf numFmtId="0" fontId="18" fillId="12" borderId="0" xfId="0" applyNumberFormat="1" applyFont="1" applyFill="1" applyBorder="1"/>
    <x:xf numFmtId="201" fontId="18" fillId="12" borderId="0" xfId="0" applyNumberFormat="1" applyFont="1" applyFill="1" applyBorder="1"/>
    <x:xf numFmtId="0" fontId="19" fillId="8" borderId="0" xfId="0" applyNumberFormat="1" applyFont="1" applyFill="1" applyBorder="1"/>
    <x:xf numFmtId="0" fontId="19" fillId="8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/>
    </x:xf>
    <x:xf numFmtId="0" fontId="13" fillId="14" borderId="0" xfId="0" applyNumberFormat="1" applyFont="1" applyFill="1" applyBorder="1" applyAlignment="1">
      <x:alignment horizontal="center"/>
    </x:xf>
    <x:xf numFmtId="0" fontId="20" fillId="12" borderId="0" xfId="0" applyNumberFormat="1" applyFont="1" applyFill="1" applyBorder="1"/>
    <x:xf numFmtId="0" fontId="0" fillId="9" borderId="0" xfId="0" applyNumberFormat="1" applyFont="1" applyFill="1" applyBorder="1"/>
    <x:xf numFmtId="0" fontId="21" fillId="9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9" fillId="10" borderId="0" xfId="0" applyNumberFormat="1" applyFont="1" applyFill="1" applyBorder="1"/>
    <x:xf numFmtId="0" fontId="19" fillId="10" borderId="0" xfId="0" applyNumberFormat="1" applyFont="1" applyFill="1" applyBorder="1" applyAlignment="1">
      <x:alignment vertical="center"/>
    </x:xf>
    <x:xf numFmtId="205" fontId="17" fillId="13" borderId="0" xfId="0" applyNumberFormat="1" applyFont="1" applyFill="1" applyBorder="1"/>
    <x:xf numFmtId="0" fontId="22" fillId="8" borderId="0" xfId="0" applyNumberFormat="1" applyFont="1" applyFill="1" applyBorder="1" applyAlignment="1">
      <x:alignment vertical="center"/>
    </x:xf>
    <x:xf numFmtId="0" fontId="17" fillId="9" borderId="0" xfId="0" applyNumberFormat="1" applyFont="1" applyFill="1" applyBorder="1" applyAlignment="1">
      <x:alignment wrapText="1"/>
    </x:xf>
    <x:xf numFmtId="0" fontId="20" fillId="9" borderId="0" xfId="0" applyNumberFormat="1" applyFont="1" applyFill="1" applyBorder="1"/>
    <x:xf numFmtId="0" fontId="2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horizontal="left" wrapText="1"/>
    </x:xf>
    <x:xf numFmtId="0" fontId="15" fillId="13" borderId="0" xfId="0" applyNumberFormat="1" applyFont="1" applyFill="1" applyBorder="1" applyAlignment="1">
      <x:alignment horizontal="left" wrapText="1"/>
    </x:xf>
    <x:xf numFmtId="0" fontId="17" fillId="9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13">
    <x:dxf>
      <x:fill>
        <x:patternFill>
          <x:bgColor rgb="FFFDE0B2"/>
        </x:patternFill>
      </x:fill>
    </x:dxf>
    <x:dxf>
      <x:fill>
        <x:patternFill>
          <x:bgColor rgb="FFFDE0B2"/>
        </x:patternFill>
      </x:fill>
    </x:dxf>
    <x:dxf>
      <x:fill>
        <x:patternFill>
          <x:bgColor rgb="FFFDE0B2"/>
        </x:patternFill>
      </x:fill>
    </x:dxf>
    <x:dxf>
      <x:fill>
        <x:patternFill>
          <x:bgColor rgb="FFFDE0B2"/>
        </x:patternFill>
      </x:fill>
    </x:dxf>
    <x:dxf>
      <x:font>
        <x:b/>
        <x:color rgb="FF922B21"/>
      </x:font>
      <x:fill>
        <x:patternFill>
          <x:bgColor rgb="FFF9C6AC"/>
        </x:patternFill>
      </x:fill>
    </x:dxf>
    <x:dxf>
      <x:fill>
        <x:patternFill patternType="solid">
          <x:bgColor rgb="FFE0F3EF"/>
        </x:patternFill>
      </x:fill>
    </x:dxf>
    <x:dxf>
      <x:fill>
        <x:patternFill patternType="solid">
          <x:bgColor rgb="FFFFF1E1"/>
        </x:patternFill>
      </x:fill>
    </x:dxf>
    <x:dxf>
      <x:fill>
        <x:patternFill patternType="solid">
          <x:bgColor rgb="FFE0F3EF"/>
        </x:patternFill>
      </x:fill>
    </x:dxf>
    <x:dxf>
      <x:fill>
        <x:patternFill patternType="solid">
          <x:bgColor rgb="FFFFF1E1"/>
        </x:patternFill>
      </x:fill>
    </x:dxf>
    <x:dxf>
      <x:fill>
        <x:patternFill patternType="solid">
          <x:bgColor rgb="FFE0F3EF"/>
        </x:patternFill>
      </x:fill>
    </x:dxf>
    <x:dxf>
      <x:fill>
        <x:patternFill patternType="solid">
          <x:bgColor rgb="FFFFF1E1"/>
        </x:patternFill>
      </x:fill>
    </x:dxf>
    <x:dxf>
      <x:fill>
        <x:patternFill patternType="solid">
          <x:bgColor rgb="FFE0F3EF"/>
        </x:patternFill>
      </x:fill>
    </x:dxf>
    <x:dxf>
      <x:fill>
        <x:patternFill patternType="solid">
          <x:bgColor rgb="FFFFF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8e90ab87341e8" /><Relationship Type="http://schemas.openxmlformats.org/officeDocument/2006/relationships/theme" Target="/xl/theme/theme1.xml" Id="Rcaafe17c2e224465" /><Relationship Type="http://schemas.openxmlformats.org/officeDocument/2006/relationships/sharedStrings" Target="/xl/sharedStrings.xml" Id="R81329205bd894dc0" /><Relationship Type="http://schemas.openxmlformats.org/officeDocument/2006/relationships/worksheet" Target="/xl/worksheets/sheet1.xml" Id="Ra1f88f0dd960449c" /><Relationship Type="http://schemas.openxmlformats.org/officeDocument/2006/relationships/worksheet" Target="/xl/worksheets/sheet2.xml" Id="R3dfbb477830d4af9" /><Relationship Type="http://schemas.openxmlformats.org/officeDocument/2006/relationships/worksheet" Target="/xl/worksheets/sheet3.xml" Id="R3062206186734be8" /><Relationship Type="http://schemas.openxmlformats.org/officeDocument/2006/relationships/worksheet" Target="/xl/worksheets/sheet4.xml" Id="R80108a34a45e44e3" /><Relationship Type="http://schemas.openxmlformats.org/officeDocument/2006/relationships/worksheet" Target="/xl/worksheets/sheet5.xml" Id="R3d68f3f5edb5476d" /><Relationship Type="http://schemas.openxmlformats.org/officeDocument/2006/relationships/worksheet" Target="/xl/worksheets/sheet6.xml" Id="Ra1afe3a619cf483c" /><Relationship Type="http://schemas.openxmlformats.org/officeDocument/2006/relationships/worksheet" Target="/xl/worksheets/sheet7.xml" Id="R94488b87ae7b4f19" /><Relationship Type="http://schemas.openxmlformats.org/officeDocument/2006/relationships/worksheet" Target="/xl/worksheets/sheet8.xml" Id="R27661dbde7f94db7" /><Relationship Type="http://schemas.openxmlformats.org/officeDocument/2006/relationships/worksheet" Target="/xl/worksheets/sheet9.xml" Id="Rb2fec60e2b9d4474" /><Relationship Type="http://schemas.openxmlformats.org/officeDocument/2006/relationships/worksheet" Target="/xl/worksheets/sheet10.xml" Id="R0846203e1832401a" /><Relationship Type="http://schemas.openxmlformats.org/officeDocument/2006/relationships/worksheet" Target="/xl/worksheets/sheet11.xml" Id="Re489325f921245a9" /><Relationship Type="http://schemas.openxmlformats.org/officeDocument/2006/relationships/worksheet" Target="/xl/worksheets/sheet12.xml" Id="R937e8344d928472e" /><Relationship Type="http://schemas.openxmlformats.org/officeDocument/2006/relationships/worksheet" Target="/xl/worksheets/sheet13.xml" Id="R4a927093ad4749b3" /><Relationship Type="http://schemas.openxmlformats.org/officeDocument/2006/relationships/worksheet" Target="/xl/worksheets/sheet14.xml" Id="R4e123946792b46e3" /><Relationship Type="http://schemas.openxmlformats.org/officeDocument/2006/relationships/worksheet" Target="/xl/worksheets/sheet15.xml" Id="R24ac7b7ffaf34d16" /><Relationship Type="http://schemas.openxmlformats.org/officeDocument/2006/relationships/worksheet" Target="/xl/worksheets/sheet16.xml" Id="Rc0ef045b4c9d46e5" /><Relationship Type="http://schemas.openxmlformats.org/officeDocument/2006/relationships/worksheet" Target="/xl/worksheets/sheet17.xml" Id="Rd32b7f0741d14a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8f387798f246e0" /><Relationship Type="http://schemas.openxmlformats.org/officeDocument/2006/relationships/chart" Target="/xl/drawings/charts/chart2.xml" Id="Ra5fa2bc8b8a84ccc" /><Relationship Type="http://schemas.openxmlformats.org/officeDocument/2006/relationships/chart" Target="/xl/drawings/charts/chart3.xml" Id="Rdf175e90d3bb4d38" /><Relationship Type="http://schemas.openxmlformats.org/officeDocument/2006/relationships/chart" Target="/xl/drawings/charts/chart4.xml" Id="R4ad9f41ed9754b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703d4422aeb49f7" /><Relationship Type="http://schemas.openxmlformats.org/officeDocument/2006/relationships/chart" Target="/xl/drawings/charts/chart6.xml" Id="R6bfbcd99a5b547ca" /><Relationship Type="http://schemas.openxmlformats.org/officeDocument/2006/relationships/chart" Target="/xl/drawings/charts/chart7.xml" Id="R4304a276e38840e0" /><Relationship Type="http://schemas.openxmlformats.org/officeDocument/2006/relationships/chart" Target="/xl/drawings/charts/chart8.xml" Id="R1cfd083f1f104f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9953e7061b54a19" /><Relationship Type="http://schemas.openxmlformats.org/officeDocument/2006/relationships/chart" Target="/xl/drawings/charts/chart10.xml" Id="Rf07410d9066d4613" /><Relationship Type="http://schemas.openxmlformats.org/officeDocument/2006/relationships/chart" Target="/xl/drawings/charts/chart11.xml" Id="Rfc2947fc035249dc" /><Relationship Type="http://schemas.openxmlformats.org/officeDocument/2006/relationships/chart" Target="/xl/drawings/charts/chart12.xml" Id="Rc58ce56b0ea54e6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7613b5529c5b43ef" /><Relationship Type="http://schemas.openxmlformats.org/officeDocument/2006/relationships/chart" Target="/xl/drawings/charts/chart14.xml" Id="R5c8c24028f8242c9" /><Relationship Type="http://schemas.openxmlformats.org/officeDocument/2006/relationships/chart" Target="/xl/drawings/charts/chart15.xml" Id="Rb637489545b347dd" /><Relationship Type="http://schemas.openxmlformats.org/officeDocument/2006/relationships/chart" Target="/xl/drawings/charts/chart16.xml" Id="R3356d5ace3204ad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6a3bacb4761143b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'2017 Booth'!$A28:$A33</c:f>
              <c:strCache>
                <c:ptCount val="0"/>
              </c:strCache>
            </c:strRef>
          </c:cat>
          <c:val>
            <c:numRef>
              <c:f>'2017 Booth'!$B28:$B33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'2017 Booth'!$A39:$A45</c:f>
              <c:strCache>
                <c:ptCount val="0"/>
              </c:strCache>
            </c:strRef>
          </c:cat>
          <c:val>
            <c:numRef>
              <c:f>'2017 Booth'!$B39:$B45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'2017 Booth'!$R44:$R63</c:f>
              <c:strCache>
                <c:ptCount val="0"/>
              </c:strCache>
            </c:strRef>
          </c:cat>
          <c:val>
            <c:numRef>
              <c:f>'2017 Booth'!$T44:$T63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Stations</c:v>
          </c:tx>
          <c:xVal>
            <c:numLit>
              <c:formatCode>General</c:formatCode>
              <c:ptCount val="0"/>
            </c:numLit>
          </c:xVal>
          <c:yVal>
            <c:numRef>
              <c:f>'2017 Booth'!$H60:$H402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'2019 Booth'!$A28:$A33</c:f>
              <c:strCache>
                <c:ptCount val="0"/>
              </c:strCache>
            </c:strRef>
          </c:cat>
          <c:val>
            <c:numRef>
              <c:f>'2019 Booth'!$B28:$B33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'2019 Booth'!$A39:$A45</c:f>
              <c:strCache>
                <c:ptCount val="0"/>
              </c:strCache>
            </c:strRef>
          </c:cat>
          <c:val>
            <c:numRef>
              <c:f>'2019 Booth'!$B39:$B45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'2019 Booth'!$R44:$R63</c:f>
              <c:strCache>
                <c:ptCount val="0"/>
              </c:strCache>
            </c:strRef>
          </c:cat>
          <c:val>
            <c:numRef>
              <c:f>'2019 Booth'!$T44:$T63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Stations</c:v>
          </c:tx>
          <c:xVal>
            <c:numLit>
              <c:formatCode>General</c:formatCode>
              <c:ptCount val="0"/>
            </c:numLit>
          </c:xVal>
          <c:yVal>
            <c:numRef>
              <c:f>'2019 Booth'!$H60:$H447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'2022 Booth'!$A28:$A33</c:f>
              <c:strCache>
                <c:ptCount val="0"/>
              </c:strCache>
            </c:strRef>
          </c:cat>
          <c:val>
            <c:numRef>
              <c:f>'2022 Booth'!$B28:$B33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'2022 Booth'!$A39:$A45</c:f>
              <c:strCache>
                <c:ptCount val="0"/>
              </c:strCache>
            </c:strRef>
          </c:cat>
          <c:val>
            <c:numRef>
              <c:f>'2022 Booth'!$B39:$B45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'2022 Booth'!$R44:$R63</c:f>
              <c:strCache>
                <c:ptCount val="0"/>
              </c:strCache>
            </c:strRef>
          </c:cat>
          <c:val>
            <c:numRef>
              <c:f>'2022 Booth'!$T44:$T63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Stations</c:v>
          </c:tx>
          <c:xVal>
            <c:numLit>
              <c:formatCode>General</c:formatCode>
              <c:ptCount val="0"/>
            </c:numLit>
          </c:xVal>
          <c:yVal>
            <c:numRef>
              <c:f>'2022 Booth'!$H60:$H478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'2024 Booth'!$A28:$A33</c:f>
              <c:strCache>
                <c:ptCount val="0"/>
              </c:strCache>
            </c:strRef>
          </c:cat>
          <c:val>
            <c:numRef>
              <c:f>'2024 Booth'!$B28:$B33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'2024 Booth'!$A39:$A45</c:f>
              <c:strCache>
                <c:ptCount val="0"/>
              </c:strCache>
            </c:strRef>
          </c:cat>
          <c:val>
            <c:numRef>
              <c:f>'2024 Booth'!$B39:$B45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Stations</c:v>
          </c:tx>
          <c:cat>
            <c:strRef>
              <c:f>'2024 Booth'!$R44:$R63</c:f>
              <c:strCache>
                <c:ptCount val="0"/>
              </c:strCache>
            </c:strRef>
          </c:cat>
          <c:val>
            <c:numRef>
              <c:f>'2024 Booth'!$T44:$T63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Stations</c:v>
          </c:tx>
          <c:xVal>
            <c:numLit>
              <c:formatCode>General</c:formatCode>
              <c:ptCount val="0"/>
            </c:numLit>
          </c:xVal>
          <c:yVal>
            <c:numRef>
              <c:f>'2024 Booth'!$H60:$H457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EVM votes cast — different election types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Station EVM votes</c:v>
          </c:tx>
          <c:marker>
            <c:symbol val="none"/>
          </c:marker>
          <c:cat>
            <c:strRef>
              <c:f>'Across Years'!$G$19:$G$22</c:f>
              <c:strCache>
                <c:ptCount val="0"/>
              </c:strCache>
            </c:strRef>
          </c:cat>
          <c:val>
            <c:numRef>
              <c:f>'Across Years'!$H$19:$H$22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23</xdr:col>
      <xdr:colOff>0</xdr:colOff>
      <xdr:row>44</xdr:row>
      <xdr:rowOff>0</xdr:rowOff>
    </xdr:from>
    <xdr:to>
      <xdr:col>36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8f387798f246e0"/>
        </a:graphicData>
      </a:graphic>
    </xdr:graphicFrame>
    <xdr:clientData/>
  </xdr:twoCellAnchor>
  <xdr:twoCellAnchor>
    <xdr:from>
      <xdr:col>23</xdr:col>
      <xdr:colOff>0</xdr:colOff>
      <xdr:row>62</xdr:row>
      <xdr:rowOff>0</xdr:rowOff>
    </xdr:from>
    <xdr:to>
      <xdr:col>36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fa2bc8b8a84ccc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175e90d3bb4d38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36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d9f41ed9754b5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23</xdr:col>
      <xdr:colOff>0</xdr:colOff>
      <xdr:row>44</xdr:row>
      <xdr:rowOff>0</xdr:rowOff>
    </xdr:from>
    <xdr:to>
      <xdr:col>36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03d4422aeb49f7"/>
        </a:graphicData>
      </a:graphic>
    </xdr:graphicFrame>
    <xdr:clientData/>
  </xdr:twoCellAnchor>
  <xdr:twoCellAnchor>
    <xdr:from>
      <xdr:col>23</xdr:col>
      <xdr:colOff>0</xdr:colOff>
      <xdr:row>62</xdr:row>
      <xdr:rowOff>0</xdr:rowOff>
    </xdr:from>
    <xdr:to>
      <xdr:col>36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fbcd99a5b547ca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04a276e38840e0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36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fd083f1f104f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23</xdr:col>
      <xdr:colOff>0</xdr:colOff>
      <xdr:row>44</xdr:row>
      <xdr:rowOff>0</xdr:rowOff>
    </xdr:from>
    <xdr:to>
      <xdr:col>36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53e7061b54a19"/>
        </a:graphicData>
      </a:graphic>
    </xdr:graphicFrame>
    <xdr:clientData/>
  </xdr:twoCellAnchor>
  <xdr:twoCellAnchor>
    <xdr:from>
      <xdr:col>23</xdr:col>
      <xdr:colOff>0</xdr:colOff>
      <xdr:row>62</xdr:row>
      <xdr:rowOff>0</xdr:rowOff>
    </xdr:from>
    <xdr:to>
      <xdr:col>36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7410d9066d4613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2947fc035249dc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36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8ce56b0ea54e6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23</xdr:col>
      <xdr:colOff>0</xdr:colOff>
      <xdr:row>44</xdr:row>
      <xdr:rowOff>0</xdr:rowOff>
    </xdr:from>
    <xdr:to>
      <xdr:col>36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13b5529c5b43ef"/>
        </a:graphicData>
      </a:graphic>
    </xdr:graphicFrame>
    <xdr:clientData/>
  </xdr:twoCellAnchor>
  <xdr:twoCellAnchor>
    <xdr:from>
      <xdr:col>23</xdr:col>
      <xdr:colOff>0</xdr:colOff>
      <xdr:row>62</xdr:row>
      <xdr:rowOff>0</xdr:rowOff>
    </xdr:from>
    <xdr:to>
      <xdr:col>36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c24028f8242c9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37489545b347dd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36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56d5ace3204ad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23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bacb4761143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4ea59a36be542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0b3a02ad72d0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c42c535da0364f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8de83541006e407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5.xml" Id="Rdc28a00fbe614b1e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39" hidden="0" customWidth="1"/>
    <x:col min="4" max="4" width="37" hidden="0" customWidth="1"/>
    <x:col min="5" max="5" width="42" hidden="0" customWidth="1"/>
    <x:col min="6" max="6" width="28" hidden="0" customWidth="1"/>
  </x:cols>
  <x:sheetData>
    <x:row r="1" ht="25" customHeight="1">
      <x:c r="A1" s="4" t="str">
        <x:v>JEWAR 63 | ELECTORAL HISTORY &amp; PUBLIC ISSUE ATLAS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8" customHeight="1">
      <x:c r="A3" s="10" t="str">
        <x:v>Saarthi Analytics · Evidence-first research brief · Prepared 12 October 2026 · AC 63 Jewar, Gautam Buddha Nagar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27" customHeight="1">
      <x:c r="A5" s="16" t="str">
        <x:v>READ THIS BEFORE PRESENTING</x:v>
      </x:c>
      <x:c r="B5" s="16"/>
      <x:c r="C5" s="16"/>
      <x:c r="D5" s="16"/>
      <x:c r="E5" s="16"/>
      <x:c r="F5" s="16"/>
    </x:row>
    <x:row r="7" ht="51" customHeight="1">
      <x:c r="A7" s="27" t="str">
        <x:v>Meeting subject</x:v>
      </x:c>
      <x:c r="B7" s="22" t="str">
        <x:v>Narender Nagar — SP candidate in Jewar Assembly 2017</x:v>
      </x:c>
      <x:c r="C7" s="22" t="str">
        <x:v>Candidate personally contested 2017; later years are DIFFERENT candidates and election contexts.</x:v>
      </x:c>
    </x:row>
    <x:row r="8" ht="51" customHeight="1">
      <x:c r="A8" s="27" t="str">
        <x:v>Scope</x:v>
      </x:c>
      <x:c r="B8" s="22" t="str">
        <x:v>2017 &amp; 2022 Assembly; 2019 &amp; 2024 Lok Sabha Jewar segment</x:v>
      </x:c>
      <x:c r="C8" s="22" t="str">
        <x:v>Lok Sabha segment results are not Assembly election forecasts.</x:v>
      </x:c>
    </x:row>
    <x:row r="9" ht="51" customHeight="1">
      <x:c r="A9" s="27" t="str">
        <x:v>Primary sources</x:v>
      </x:c>
      <x:c r="B9" s="22" t="str">
        <x:v>Your four Form 20 attachments</x:v>
      </x:c>
      <x:c r="C9" s="22" t="str">
        <x:v>2017 / 2019 / 2022 .xls plus 2024 .pdf; uploaded Tulsipur workbook used as design reference.</x:v>
      </x:c>
    </x:row>
    <x:row r="10" ht="51" customHeight="1">
      <x:c r="A10" s="27" t="str">
        <x:v>Technical scope</x:v>
      </x:c>
      <x:c r="B10" s="22" t="str">
        <x:v>EVM booth data, candidate comparison, lead/lag, participation</x:v>
      </x:c>
      <x:c r="C10" s="22" t="str">
        <x:v>Postal totals are separate; see Data QA before using declared-result totals.</x:v>
      </x:c>
    </x:row>
    <x:row r="11" ht="51" customHeight="1">
      <x:c r="A11" s="27" t="str">
        <x:v>2027 interpretation</x:v>
      </x:c>
      <x:c r="B11" s="22" t="str">
        <x:v>Research priorities and unanswered questions ONLY</x:v>
      </x:c>
      <x:c r="C11" s="22" t="str">
        <x:v>No forecasts, predicted winners, inferred current voter intent or individual-level voter targeting.</x:v>
      </x:c>
    </x:row>
    <x:row r="12" ht="51" customHeight="1">
      <x:c r="A12" s="27" t="str">
        <x:v>Current caveat</x:v>
      </x:c>
      <x:c r="B12" s="22" t="str">
        <x:v>2022 and 2019 source spreadsheets contain aggregate-vs-row discrepancies</x:v>
      </x:c>
      <x:c r="C12" s="22" t="str">
        <x:v>Charts use individual verified source station rows, NOT discrepant aggregate row.</x:v>
      </x:c>
    </x:row>
    <x:row r="15" ht="27" customHeight="1">
      <x:c r="A15" s="16" t="str">
        <x:v>HOW THE WORKBOOK IS ORGANISED</x:v>
      </x:c>
      <x:c r="B15" s="16"/>
      <x:c r="C15" s="16"/>
      <x:c r="D15" s="16"/>
      <x:c r="E15" s="16"/>
      <x:c r="F15" s="16"/>
    </x:row>
    <x:row r="17" ht="39" customHeight="1">
      <x:c r="A17" s="26" t="str">
        <x:v>2017 Form20</x:v>
      </x:c>
      <x:c r="B17" s="22" t="str">
        <x:v>All 343 station rows, Narender Nagar first</x:v>
      </x:c>
      <x:c r="C17" s="26" t="str">
        <x:v>2017 Booth</x:v>
      </x:c>
      <x:c r="D17" s="22" t="str">
        <x:v>Vote share histograms, margins, station matrix</x:v>
      </x:c>
    </x:row>
    <x:row r="18" ht="39" customHeight="1">
      <x:c r="A18" s="26" t="str">
        <x:v>2017 Insights</x:v>
      </x:c>
      <x:c r="B18" s="22" t="str">
        <x:v>2017 candidate / party history and dated articles</x:v>
      </x:c>
      <x:c r="C18" s="26" t="str">
        <x:v>2019 Form20</x:v>
      </x:c>
      <x:c r="D18" s="22" t="str">
        <x:v>2019 supplementary parliamentary context</x:v>
      </x:c>
    </x:row>
    <x:row r="19" ht="39" customHeight="1">
      <x:c r="A19" s="26" t="str">
        <x:v>2019 Booth</x:v>
      </x:c>
      <x:c r="B19" s="22" t="str">
        <x:v>BSP alliance candidate Satveer, not SP party votes</x:v>
      </x:c>
      <x:c r="C19" s="26" t="str">
        <x:v>2019 Insights</x:v>
      </x:c>
      <x:c r="D19" s="22" t="str">
        <x:v>Important alliance context and limitations</x:v>
      </x:c>
    </x:row>
    <x:row r="20" ht="39" customHeight="1">
      <x:c r="A20" s="26" t="str">
        <x:v>2022 Form20</x:v>
      </x:c>
      <x:c r="B20" s="22" t="str">
        <x:v>SP-RLD alliance candidate Avtar Singh Bhadana</x:v>
      </x:c>
      <x:c r="C20" s="26" t="str">
        <x:v>2022 Booth</x:v>
      </x:c>
      <x:c r="D20" s="22" t="str">
        <x:v>Candidate, booth and margin analysis</x:v>
      </x:c>
    </x:row>
    <x:row r="21" ht="39" customHeight="1">
      <x:c r="A21" s="26" t="str">
        <x:v>2022 Insights</x:v>
      </x:c>
      <x:c r="B21" s="22" t="str">
        <x:v>Historical development / compensation concerns</x:v>
      </x:c>
      <x:c r="C21" s="26" t="str">
        <x:v>2024 Form20</x:v>
      </x:c>
      <x:c r="D21" s="22" t="str">
        <x:v>398-station official parliamentary segment sheet</x:v>
      </x:c>
    </x:row>
    <x:row r="22" ht="39" customHeight="1">
      <x:c r="A22" s="26" t="str">
        <x:v>2024 Booth</x:v>
      </x:c>
      <x:c r="B22" s="22" t="str">
        <x:v>SP candidate Dr Mahendra Singh Nagar</x:v>
      </x:c>
      <x:c r="C22" s="26" t="str">
        <x:v>2024 Insights</x:v>
      </x:c>
      <x:c r="D22" s="22" t="str">
        <x:v>Airport rehabilitation and 2024 public issues</x:v>
      </x:c>
    </x:row>
    <x:row r="23" ht="39" customHeight="1">
      <x:c r="A23" s="26" t="str">
        <x:v>Across Years</x:v>
      </x:c>
      <x:c r="B23" s="22" t="str">
        <x:v>Cross-year interpretation and source scope</x:v>
      </x:c>
      <x:c r="C23" s="26" t="str">
        <x:v>Issues 2017-2027</x:v>
      </x:c>
      <x:c r="D23" s="22" t="str">
        <x:v>Dated reporting + fact-check questions</x:v>
      </x:c>
    </x:row>
    <x:row r="24" ht="39" customHeight="1">
      <x:c r="A24" s="26" t="str">
        <x:v>Research Sources</x:v>
      </x:c>
      <x:c r="B24" s="22" t="str">
        <x:v>Article citations and archival links</x:v>
      </x:c>
      <x:c r="C24" s="26" t="str">
        <x:v>Data QA &amp; Glossary</x:v>
      </x:c>
      <x:c r="D24" s="22" t="str">
        <x:v>Discrepancy register, formulas and definitions</x:v>
      </x:c>
    </x:row>
    <x:row r="27" ht="34" customHeight="1">
      <x:c r="A27" s="32" t="str">
        <x:v>Colour guide: navy=structure; teal=analysis sections; amber=limitation/verification note. Party/candidate identity must be read from every year's heading.</x:v>
      </x:c>
      <x:c r="B27" s="32"/>
      <x:c r="C27" s="32"/>
      <x:c r="D27" s="32"/>
      <x:c r="E27" s="32"/>
      <x:c r="F27" s="32"/>
    </x:row>
    <x:row r="28" ht="40" customHeight="1">
      <x:c r="A28" s="140" t="str">
        <x:v>NEW: On each YYYY Booth tab, scroll RIGHT to columns M–AJ for live Q1 / Median / Q3, vote-margin matrix, continuous histogram, scatterplot and historical insights.</x:v>
      </x:c>
      <x:c r="B28" s="140"/>
      <x:c r="C28" s="140"/>
      <x:c r="D28" s="140"/>
    </x:row>
  </x:sheetData>
  <x:mergeCells>
    <x:mergeCell ref="A1:N2"/>
    <x:mergeCell ref="A3:N3"/>
    <x:mergeCell ref="A5:F5"/>
    <x:mergeCell ref="A15:F15"/>
    <x:mergeCell ref="A27:F27"/>
    <x:mergeCell ref="A28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25" customHeight="1">
      <x:c r="A1" s="4" t="str">
        <x:v>2017 ASSEMBLY FORM 20 | NARENDER NAGAR (SP)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8" customHeight="1">
      <x:c r="A3" s="10" t="str">
        <x:v>JEWAR AC 63 • SOURCE: 63- jewar 2017 form 20.xls • EVM STATION ROWS ONLY • Focal candidate shown first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5" ht="24" customHeight="1">
      <x:c r="A5" s="38" t="str">
        <x:v>SP + INC statewide alliance (298 SP / 105 INC seats); Jewar contested by Narender Nagar (SP). RLD and BSP fielded separate candidates.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 ht="24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8" ht="38" customHeight="1">
      <x:c r="A8" s="45" t="str">
        <x:v>PS #</x:v>
      </x:c>
      <x:c r="B8" s="45" t="str">
        <x:v>Polling station / location</x:v>
      </x:c>
      <x:c r="C8" s="45" t="str">
        <x:v>Electors</x:v>
      </x:c>
      <x:c r="D8" s="45" t="str">
        <x:v>EVM votes incl NOTA</x:v>
      </x:c>
      <x:c r="E8" s="45" t="str">
        <x:v>Candidate votes</x:v>
      </x:c>
      <x:c r="F8" s="45" t="str">
        <x:v>NOTA</x:v>
      </x:c>
      <x:c r="G8" s="45" t="str">
        <x:v>Turnout %</x:v>
      </x:c>
      <x:c r="H8" s="54" t="str">
        <x:v>Narender Nagar (SP)</x:v>
      </x:c>
      <x:c r="I8" s="45" t="str">
        <x:v>Dhirendra Singh (BJP)</x:v>
      </x:c>
      <x:c r="J8" s="45" t="str">
        <x:v>Vedram Bhati (BSP)</x:v>
      </x:c>
      <x:c r="K8" s="45" t="str">
        <x:v>Kamal Sharma (RLD)</x:v>
      </x:c>
      <x:c r="L8" s="45" t="str">
        <x:v>Vinod (RS)</x:v>
      </x:c>
      <x:c r="M8" s="45" t="str">
        <x:v>Vinod Kumar Sharma (RKMP)</x:v>
      </x:c>
      <x:c r="N8" s="45" t="str">
        <x:v>Yogesh Kumar (IN)</x:v>
      </x:c>
      <x:c r="O8" s="45" t="str">
        <x:v>Sumita Vaid Dixit (IN)</x:v>
      </x:c>
      <x:c r="P8" s="45" t="str">
        <x:v>FOCUS share %</x:v>
      </x:c>
      <x:c r="Q8" s="45" t="str">
        <x:v>Highest rival votes</x:v>
      </x:c>
      <x:c r="R8" s="45" t="str">
        <x:v>FOCUS lead vs rival</x:v>
      </x:c>
      <x:c r="S8" s="45" t="str">
        <x:v>Lead in pp</x:v>
      </x:c>
      <x:c r="T8" s="45" t="str">
        <x:v>EVM station leader</x:v>
      </x:c>
      <x:c r="U8" s="45" t="str">
        <x:v>QA difference</x:v>
      </x:c>
    </x:row>
    <x:row r="9">
      <x:c r="A9" t="n">
        <x:v>1</x:v>
      </x:c>
      <x:c r="B9" t="str">
        <x:v>AMICHAND I.C.KASNA K.N.1</x:v>
      </x:c>
      <x:c r="C9" t="n">
        <x:v>1345</x:v>
      </x:c>
      <x:c r="D9" t="n">
        <x:v>744</x:v>
      </x:c>
      <x:c r="E9" t="n">
        <x:f>SUM(H9:O9)</x:f>
        <x:v>740</x:v>
      </x:c>
      <x:c r="F9" t="n">
        <x:v>4</x:v>
      </x:c>
      <x:c r="G9" s="50" t="n">
        <x:f>IF(C9="","",IFERROR(D9/C9,0))</x:f>
        <x:v>0.5531598513011152</x:v>
      </x:c>
      <x:c r="H9" s="36" t="n">
        <x:v>39</x:v>
      </x:c>
      <x:c r="I9" t="n">
        <x:v>430</x:v>
      </x:c>
      <x:c r="J9" t="n">
        <x:v>244</x:v>
      </x:c>
      <x:c r="K9" t="n">
        <x:v>8</x:v>
      </x:c>
      <x:c r="L9" t="n">
        <x:v>9</x:v>
      </x:c>
      <x:c r="M9" t="n">
        <x:v>2</x:v>
      </x:c>
      <x:c r="N9" t="n">
        <x:v>4</x:v>
      </x:c>
      <x:c r="O9" t="n">
        <x:v>4</x:v>
      </x:c>
      <x:c r="P9" s="50" t="n">
        <x:f>IF(D9=0,"",H9/D9)</x:f>
        <x:v>0.05241935483870968</x:v>
      </x:c>
      <x:c r="Q9" t="n">
        <x:f>MAX(I9:O9)</x:f>
        <x:v>430</x:v>
      </x:c>
      <x:c r="R9" t="n">
        <x:f>H9-Q9</x:f>
        <x:v>-391</x:v>
      </x:c>
      <x:c r="S9" s="52" t="n">
        <x:f>IF(D9=0,"",(R9)/D9)</x:f>
        <x:v>-0.5255376344086021</x:v>
      </x:c>
      <x:c r="T9" t="str">
        <x:v>Dhirendra Singh</x:v>
      </x:c>
      <x:c r="U9" t="n">
        <x:f>D9-E9-F9</x:f>
        <x:v>0</x:v>
      </x:c>
    </x:row>
    <x:row r="10">
      <x:c r="A10" t="n">
        <x:v>2</x:v>
      </x:c>
      <x:c r="B10" t="str">
        <x:v>AMICHAND I.C.KASNA K.N.2</x:v>
      </x:c>
      <x:c r="C10" t="n">
        <x:v>1262</x:v>
      </x:c>
      <x:c r="D10" t="n">
        <x:v>761</x:v>
      </x:c>
      <x:c r="E10" t="n">
        <x:f>SUM(H10:O10)</x:f>
        <x:v>756</x:v>
      </x:c>
      <x:c r="F10" t="n">
        <x:v>5</x:v>
      </x:c>
      <x:c r="G10" s="50" t="n">
        <x:f>IF(C10="","",IFERROR(D10/C10,0))</x:f>
        <x:v>0.6030110935023771</x:v>
      </x:c>
      <x:c r="H10" s="36" t="n">
        <x:v>6</x:v>
      </x:c>
      <x:c r="I10" t="n">
        <x:v>167</x:v>
      </x:c>
      <x:c r="J10" t="n">
        <x:v>567</x:v>
      </x:c>
      <x:c r="K10" t="n">
        <x:v>0</x:v>
      </x:c>
      <x:c r="L10" t="n">
        <x:v>8</x:v>
      </x:c>
      <x:c r="M10" t="n">
        <x:v>1</x:v>
      </x:c>
      <x:c r="N10" t="n">
        <x:v>6</x:v>
      </x:c>
      <x:c r="O10" t="n">
        <x:v>1</x:v>
      </x:c>
      <x:c r="P10" s="50" t="n">
        <x:f>IF(D10=0,"",H10/D10)</x:f>
        <x:v>0.00788436268068331</x:v>
      </x:c>
      <x:c r="Q10" t="n">
        <x:f>MAX(I10:O10)</x:f>
        <x:v>567</x:v>
      </x:c>
      <x:c r="R10" t="n">
        <x:f>H10-Q10</x:f>
        <x:v>-561</x:v>
      </x:c>
      <x:c r="S10" s="52" t="n">
        <x:f>IF(D10=0,"",(R10)/D10)</x:f>
        <x:v>-0.7371879106438897</x:v>
      </x:c>
      <x:c r="T10" t="str">
        <x:v>Vedram Bhati</x:v>
      </x:c>
      <x:c r="U10" t="n">
        <x:f>D10-E10-F10</x:f>
        <x:v>0</x:v>
      </x:c>
    </x:row>
    <x:row r="11">
      <x:c r="A11" t="n">
        <x:v>3</x:v>
      </x:c>
      <x:c r="B11" t="str">
        <x:v>AMICHAND I.C.KASNA K.N. 3</x:v>
      </x:c>
      <x:c r="C11" t="n">
        <x:v>1104</x:v>
      </x:c>
      <x:c r="D11" t="n">
        <x:v>656</x:v>
      </x:c>
      <x:c r="E11" t="n">
        <x:f>SUM(H11:O11)</x:f>
        <x:v>654</x:v>
      </x:c>
      <x:c r="F11" t="n">
        <x:v>2</x:v>
      </x:c>
      <x:c r="G11" s="50" t="n">
        <x:f>IF(C11="","",IFERROR(D11/C11,0))</x:f>
        <x:v>0.5942028985507246</x:v>
      </x:c>
      <x:c r="H11" s="36" t="n">
        <x:v>22</x:v>
      </x:c>
      <x:c r="I11" t="n">
        <x:v>203</x:v>
      </x:c>
      <x:c r="J11" t="n">
        <x:v>406</x:v>
      </x:c>
      <x:c r="K11" t="n">
        <x:v>6</x:v>
      </x:c>
      <x:c r="L11" t="n">
        <x:v>6</x:v>
      </x:c>
      <x:c r="M11" t="n">
        <x:v>3</x:v>
      </x:c>
      <x:c r="N11" t="n">
        <x:v>8</x:v>
      </x:c>
      <x:c r="O11" t="n">
        <x:v>0</x:v>
      </x:c>
      <x:c r="P11" s="50" t="n">
        <x:f>IF(D11=0,"",H11/D11)</x:f>
        <x:v>0.03353658536585366</x:v>
      </x:c>
      <x:c r="Q11" t="n">
        <x:f>MAX(I11:O11)</x:f>
        <x:v>406</x:v>
      </x:c>
      <x:c r="R11" t="n">
        <x:f>H11-Q11</x:f>
        <x:v>-384</x:v>
      </x:c>
      <x:c r="S11" s="52" t="n">
        <x:f>IF(D11=0,"",(R11)/D11)</x:f>
        <x:v>-0.5853658536585366</x:v>
      </x:c>
      <x:c r="T11" t="str">
        <x:v>Vedram Bhati</x:v>
      </x:c>
      <x:c r="U11" t="n">
        <x:f>D11-E11-F11</x:f>
        <x:v>0</x:v>
      </x:c>
    </x:row>
    <x:row r="12">
      <x:c r="A12" t="n">
        <x:v>4</x:v>
      </x:c>
      <x:c r="B12" t="str">
        <x:v>AMICHAND I.C.KASNA K.N. 4</x:v>
      </x:c>
      <x:c r="C12" t="n">
        <x:v>1177</x:v>
      </x:c>
      <x:c r="D12" t="n">
        <x:v>489</x:v>
      </x:c>
      <x:c r="E12" t="n">
        <x:f>SUM(H12:O12)</x:f>
        <x:v>485</x:v>
      </x:c>
      <x:c r="F12" t="n">
        <x:v>4</x:v>
      </x:c>
      <x:c r="G12" s="50" t="n">
        <x:f>IF(C12="","",IFERROR(D12/C12,0))</x:f>
        <x:v>0.4154630416312659</x:v>
      </x:c>
      <x:c r="H12" s="36" t="n">
        <x:v>19</x:v>
      </x:c>
      <x:c r="I12" t="n">
        <x:v>297</x:v>
      </x:c>
      <x:c r="J12" t="n">
        <x:v>162</x:v>
      </x:c>
      <x:c r="K12" t="n">
        <x:v>2</x:v>
      </x:c>
      <x:c r="L12" t="n">
        <x:v>1</x:v>
      </x:c>
      <x:c r="M12" t="n">
        <x:v>1</x:v>
      </x:c>
      <x:c r="N12" t="n">
        <x:v>2</x:v>
      </x:c>
      <x:c r="O12" t="n">
        <x:v>1</x:v>
      </x:c>
      <x:c r="P12" s="50" t="n">
        <x:f>IF(D12=0,"",H12/D12)</x:f>
        <x:v>0.03885480572597137</x:v>
      </x:c>
      <x:c r="Q12" t="n">
        <x:f>MAX(I12:O12)</x:f>
        <x:v>297</x:v>
      </x:c>
      <x:c r="R12" t="n">
        <x:f>H12-Q12</x:f>
        <x:v>-278</x:v>
      </x:c>
      <x:c r="S12" s="52" t="n">
        <x:f>IF(D12=0,"",(R12)/D12)</x:f>
        <x:v>-0.5685071574642127</x:v>
      </x:c>
      <x:c r="T12" t="str">
        <x:v>Dhirendra Singh</x:v>
      </x:c>
      <x:c r="U12" t="n">
        <x:f>D12-E12-F12</x:f>
        <x:v>0</x:v>
      </x:c>
    </x:row>
    <x:row r="13">
      <x:c r="A13" t="n">
        <x:v>5</x:v>
      </x:c>
      <x:c r="B13" t="str">
        <x:v>KENDRYA VIDHYALAY SECTOR P-3 K.N. 1</x:v>
      </x:c>
      <x:c r="C13" t="n">
        <x:v>373</x:v>
      </x:c>
      <x:c r="D13" t="n">
        <x:v>151</x:v>
      </x:c>
      <x:c r="E13" t="n">
        <x:f>SUM(H13:O13)</x:f>
        <x:v>150</x:v>
      </x:c>
      <x:c r="F13" t="n">
        <x:v>1</x:v>
      </x:c>
      <x:c r="G13" s="50" t="n">
        <x:f>IF(C13="","",IFERROR(D13/C13,0))</x:f>
        <x:v>0.40482573726541554</x:v>
      </x:c>
      <x:c r="H13" s="36" t="n">
        <x:v>9</x:v>
      </x:c>
      <x:c r="I13" t="n">
        <x:v>111</x:v>
      </x:c>
      <x:c r="J13" t="n">
        <x:v>26</x:v>
      </x:c>
      <x:c r="K13" t="n">
        <x:v>1</x:v>
      </x:c>
      <x:c r="L13" t="n">
        <x:v>0</x:v>
      </x:c>
      <x:c r="M13" t="n">
        <x:v>0</x:v>
      </x:c>
      <x:c r="N13" t="n">
        <x:v>0</x:v>
      </x:c>
      <x:c r="O13" t="n">
        <x:v>3</x:v>
      </x:c>
      <x:c r="P13" s="50" t="n">
        <x:f>IF(D13=0,"",H13/D13)</x:f>
        <x:v>0.059602649006622516</x:v>
      </x:c>
      <x:c r="Q13" t="n">
        <x:f>MAX(I13:O13)</x:f>
        <x:v>111</x:v>
      </x:c>
      <x:c r="R13" t="n">
        <x:f>H13-Q13</x:f>
        <x:v>-102</x:v>
      </x:c>
      <x:c r="S13" s="52" t="n">
        <x:f>IF(D13=0,"",(R13)/D13)</x:f>
        <x:v>-0.6754966887417219</x:v>
      </x:c>
      <x:c r="T13" t="str">
        <x:v>Dhirendra Singh</x:v>
      </x:c>
      <x:c r="U13" t="n">
        <x:f>D13-E13-F13</x:f>
        <x:v>0</x:v>
      </x:c>
    </x:row>
    <x:row r="14">
      <x:c r="A14" t="n">
        <x:v>6</x:v>
      </x:c>
      <x:c r="B14" t="str">
        <x:v>KENDRYA VIDHYALAY SECTOR P-3 K.N. 2</x:v>
      </x:c>
      <x:c r="C14" t="n">
        <x:v>1276</x:v>
      </x:c>
      <x:c r="D14" t="n">
        <x:v>540</x:v>
      </x:c>
      <x:c r="E14" t="n">
        <x:f>SUM(H14:O14)</x:f>
        <x:v>539</x:v>
      </x:c>
      <x:c r="F14" t="n">
        <x:v>1</x:v>
      </x:c>
      <x:c r="G14" s="50" t="n">
        <x:f>IF(C14="","",IFERROR(D14/C14,0))</x:f>
        <x:v>0.4231974921630094</x:v>
      </x:c>
      <x:c r="H14" s="36" t="n">
        <x:v>26</x:v>
      </x:c>
      <x:c r="I14" t="n">
        <x:v>407</x:v>
      </x:c>
      <x:c r="J14" t="n">
        <x:v>90</x:v>
      </x:c>
      <x:c r="K14" t="n">
        <x:v>13</x:v>
      </x:c>
      <x:c r="L14" t="n">
        <x:v>0</x:v>
      </x:c>
      <x:c r="M14" t="n">
        <x:v>0</x:v>
      </x:c>
      <x:c r="N14" t="n">
        <x:v>2</x:v>
      </x:c>
      <x:c r="O14" t="n">
        <x:v>1</x:v>
      </x:c>
      <x:c r="P14" s="50" t="n">
        <x:f>IF(D14=0,"",H14/D14)</x:f>
        <x:v>0.04814814814814815</x:v>
      </x:c>
      <x:c r="Q14" t="n">
        <x:f>MAX(I14:O14)</x:f>
        <x:v>407</x:v>
      </x:c>
      <x:c r="R14" t="n">
        <x:f>H14-Q14</x:f>
        <x:v>-381</x:v>
      </x:c>
      <x:c r="S14" s="52" t="n">
        <x:f>IF(D14=0,"",(R14)/D14)</x:f>
        <x:v>-0.7055555555555556</x:v>
      </x:c>
      <x:c r="T14" t="str">
        <x:v>Dhirendra Singh</x:v>
      </x:c>
      <x:c r="U14" t="n">
        <x:f>D14-E14-F14</x:f>
        <x:v>0</x:v>
      </x:c>
    </x:row>
    <x:row r="15">
      <x:c r="A15" t="n">
        <x:v>7</x:v>
      </x:c>
      <x:c r="B15" t="str">
        <x:v>KENDRYA VIDHYALAY SECTOR P-3 K.N. 3</x:v>
      </x:c>
      <x:c r="C15" t="n">
        <x:v>1040</x:v>
      </x:c>
      <x:c r="D15" t="n">
        <x:v>505</x:v>
      </x:c>
      <x:c r="E15" t="n">
        <x:f>SUM(H15:O15)</x:f>
        <x:v>500</x:v>
      </x:c>
      <x:c r="F15" t="n">
        <x:v>5</x:v>
      </x:c>
      <x:c r="G15" s="50" t="n">
        <x:f>IF(C15="","",IFERROR(D15/C15,0))</x:f>
        <x:v>0.4855769230769231</x:v>
      </x:c>
      <x:c r="H15" s="36" t="n">
        <x:v>36</x:v>
      </x:c>
      <x:c r="I15" t="n">
        <x:v>389</x:v>
      </x:c>
      <x:c r="J15" t="n">
        <x:v>67</x:v>
      </x:c>
      <x:c r="K15" t="n">
        <x:v>3</x:v>
      </x:c>
      <x:c r="L15" t="n">
        <x:v>0</x:v>
      </x:c>
      <x:c r="M15" t="n">
        <x:v>0</x:v>
      </x:c>
      <x:c r="N15" t="n">
        <x:v>3</x:v>
      </x:c>
      <x:c r="O15" t="n">
        <x:v>2</x:v>
      </x:c>
      <x:c r="P15" s="50" t="n">
        <x:f>IF(D15=0,"",H15/D15)</x:f>
        <x:v>0.07128712871287128</x:v>
      </x:c>
      <x:c r="Q15" t="n">
        <x:f>MAX(I15:O15)</x:f>
        <x:v>389</x:v>
      </x:c>
      <x:c r="R15" t="n">
        <x:f>H15-Q15</x:f>
        <x:v>-353</x:v>
      </x:c>
      <x:c r="S15" s="52" t="n">
        <x:f>IF(D15=0,"",(R15)/D15)</x:f>
        <x:v>-0.699009900990099</x:v>
      </x:c>
      <x:c r="T15" t="str">
        <x:v>Dhirendra Singh</x:v>
      </x:c>
      <x:c r="U15" t="n">
        <x:f>D15-E15-F15</x:f>
        <x:v>0</x:v>
      </x:c>
    </x:row>
    <x:row r="16">
      <x:c r="A16" t="n">
        <x:v>8</x:v>
      </x:c>
      <x:c r="B16" t="str">
        <x:v>ARSHLINE PUBLIC SCHOOL SEC.36 K.N. 1</x:v>
      </x:c>
      <x:c r="C16" t="n">
        <x:v>1129</x:v>
      </x:c>
      <x:c r="D16" t="n">
        <x:v>658</x:v>
      </x:c>
      <x:c r="E16" t="n">
        <x:f>SUM(H16:O16)</x:f>
        <x:v>656</x:v>
      </x:c>
      <x:c r="F16" t="n">
        <x:v>2</x:v>
      </x:c>
      <x:c r="G16" s="50" t="n">
        <x:f>IF(C16="","",IFERROR(D16/C16,0))</x:f>
        <x:v>0.5828166519043402</x:v>
      </x:c>
      <x:c r="H16" s="36" t="n">
        <x:v>80</x:v>
      </x:c>
      <x:c r="I16" t="n">
        <x:v>253</x:v>
      </x:c>
      <x:c r="J16" t="n">
        <x:v>310</x:v>
      </x:c>
      <x:c r="K16" t="n">
        <x:v>4</x:v>
      </x:c>
      <x:c r="L16" t="n">
        <x:v>1</x:v>
      </x:c>
      <x:c r="M16" t="n">
        <x:v>0</x:v>
      </x:c>
      <x:c r="N16" t="n">
        <x:v>6</x:v>
      </x:c>
      <x:c r="O16" t="n">
        <x:v>2</x:v>
      </x:c>
      <x:c r="P16" s="50" t="n">
        <x:f>IF(D16=0,"",H16/D16)</x:f>
        <x:v>0.12158054711246201</x:v>
      </x:c>
      <x:c r="Q16" t="n">
        <x:f>MAX(I16:O16)</x:f>
        <x:v>310</x:v>
      </x:c>
      <x:c r="R16" t="n">
        <x:f>H16-Q16</x:f>
        <x:v>-230</x:v>
      </x:c>
      <x:c r="S16" s="52" t="n">
        <x:f>IF(D16=0,"",(R16)/D16)</x:f>
        <x:v>-0.3495440729483283</x:v>
      </x:c>
      <x:c r="T16" t="str">
        <x:v>Vedram Bhati</x:v>
      </x:c>
      <x:c r="U16" t="n">
        <x:f>D16-E16-F16</x:f>
        <x:v>0</x:v>
      </x:c>
    </x:row>
    <x:row r="17">
      <x:c r="A17" t="n">
        <x:v>9</x:v>
      </x:c>
      <x:c r="B17" t="str">
        <x:v>ARSHLINE PUBLIC SCHOOL SEC.36 K.N. 2</x:v>
      </x:c>
      <x:c r="C17" t="n">
        <x:v>1152</x:v>
      </x:c>
      <x:c r="D17" t="n">
        <x:v>382</x:v>
      </x:c>
      <x:c r="E17" t="n">
        <x:f>SUM(H17:O17)</x:f>
        <x:v>380</x:v>
      </x:c>
      <x:c r="F17" t="n">
        <x:v>2</x:v>
      </x:c>
      <x:c r="G17" s="50" t="n">
        <x:f>IF(C17="","",IFERROR(D17/C17,0))</x:f>
        <x:v>0.3315972222222222</x:v>
      </x:c>
      <x:c r="H17" s="36" t="n">
        <x:v>40</x:v>
      </x:c>
      <x:c r="I17" t="n">
        <x:v>280</x:v>
      </x:c>
      <x:c r="J17" t="n">
        <x:v>51</x:v>
      </x:c>
      <x:c r="K17" t="n">
        <x:v>5</x:v>
      </x:c>
      <x:c r="L17" t="n">
        <x:v>0</x:v>
      </x:c>
      <x:c r="M17" t="n">
        <x:v>0</x:v>
      </x:c>
      <x:c r="N17" t="n">
        <x:v>0</x:v>
      </x:c>
      <x:c r="O17" t="n">
        <x:v>4</x:v>
      </x:c>
      <x:c r="P17" s="50" t="n">
        <x:f>IF(D17=0,"",H17/D17)</x:f>
        <x:v>0.10471204188481675</x:v>
      </x:c>
      <x:c r="Q17" t="n">
        <x:f>MAX(I17:O17)</x:f>
        <x:v>280</x:v>
      </x:c>
      <x:c r="R17" t="n">
        <x:f>H17-Q17</x:f>
        <x:v>-240</x:v>
      </x:c>
      <x:c r="S17" s="52" t="n">
        <x:f>IF(D17=0,"",(R17)/D17)</x:f>
        <x:v>-0.6282722513089005</x:v>
      </x:c>
      <x:c r="T17" t="str">
        <x:v>Dhirendra Singh</x:v>
      </x:c>
      <x:c r="U17" t="n">
        <x:f>D17-E17-F17</x:f>
        <x:v>0</x:v>
      </x:c>
    </x:row>
    <x:row r="18">
      <x:c r="A18" t="n">
        <x:v>10</x:v>
      </x:c>
      <x:c r="B18" t="str">
        <x:v>ARSHLINE PUBLIC SCHOOL SEC.36 K.N. 3</x:v>
      </x:c>
      <x:c r="C18" t="n">
        <x:v>1159</x:v>
      </x:c>
      <x:c r="D18" t="n">
        <x:v>504</x:v>
      </x:c>
      <x:c r="E18" t="n">
        <x:f>SUM(H18:O18)</x:f>
        <x:v>499</x:v>
      </x:c>
      <x:c r="F18" t="n">
        <x:v>5</x:v>
      </x:c>
      <x:c r="G18" s="50" t="n">
        <x:f>IF(C18="","",IFERROR(D18/C18,0))</x:f>
        <x:v>0.43485763589301124</x:v>
      </x:c>
      <x:c r="H18" s="36" t="n">
        <x:v>40</x:v>
      </x:c>
      <x:c r="I18" t="n">
        <x:v>404</x:v>
      </x:c>
      <x:c r="J18" t="n">
        <x:v>47</x:v>
      </x:c>
      <x:c r="K18" t="n">
        <x:v>4</x:v>
      </x:c>
      <x:c r="L18" t="n">
        <x:v>0</x:v>
      </x:c>
      <x:c r="M18" t="n">
        <x:v>0</x:v>
      </x:c>
      <x:c r="N18" t="n">
        <x:v>0</x:v>
      </x:c>
      <x:c r="O18" t="n">
        <x:v>4</x:v>
      </x:c>
      <x:c r="P18" s="50" t="n">
        <x:f>IF(D18=0,"",H18/D18)</x:f>
        <x:v>0.07936507936507936</x:v>
      </x:c>
      <x:c r="Q18" t="n">
        <x:f>MAX(I18:O18)</x:f>
        <x:v>404</x:v>
      </x:c>
      <x:c r="R18" t="n">
        <x:f>H18-Q18</x:f>
        <x:v>-364</x:v>
      </x:c>
      <x:c r="S18" s="52" t="n">
        <x:f>IF(D18=0,"",(R18)/D18)</x:f>
        <x:v>-0.7222222222222222</x:v>
      </x:c>
      <x:c r="T18" t="str">
        <x:v>Dhirendra Singh</x:v>
      </x:c>
      <x:c r="U18" t="n">
        <x:f>D18-E18-F18</x:f>
        <x:v>0</x:v>
      </x:c>
    </x:row>
    <x:row r="19">
      <x:c r="A19" t="n">
        <x:v>11</x:v>
      </x:c>
      <x:c r="B19" t="str">
        <x:v>ARSHLINE PUBLIC SCHOOL SEC.36 K.N. 4</x:v>
      </x:c>
      <x:c r="C19" t="n">
        <x:v>1470</x:v>
      </x:c>
      <x:c r="D19" t="n">
        <x:v>675</x:v>
      </x:c>
      <x:c r="E19" t="n">
        <x:f>SUM(H19:O19)</x:f>
        <x:v>674</x:v>
      </x:c>
      <x:c r="F19" t="n">
        <x:v>1</x:v>
      </x:c>
      <x:c r="G19" s="50" t="n">
        <x:f>IF(C19="","",IFERROR(D19/C19,0))</x:f>
        <x:v>0.45918367346938777</x:v>
      </x:c>
      <x:c r="H19" s="36" t="n">
        <x:v>72</x:v>
      </x:c>
      <x:c r="I19" t="n">
        <x:v>493</x:v>
      </x:c>
      <x:c r="J19" t="n">
        <x:v>106</x:v>
      </x:c>
      <x:c r="K19" t="n">
        <x:v>2</x:v>
      </x:c>
      <x:c r="L19" t="n">
        <x:v>0</x:v>
      </x:c>
      <x:c r="M19" t="n">
        <x:v>0</x:v>
      </x:c>
      <x:c r="N19" t="n">
        <x:v>0</x:v>
      </x:c>
      <x:c r="O19" t="n">
        <x:v>1</x:v>
      </x:c>
      <x:c r="P19" s="50" t="n">
        <x:f>IF(D19=0,"",H19/D19)</x:f>
        <x:v>0.10666666666666667</x:v>
      </x:c>
      <x:c r="Q19" t="n">
        <x:f>MAX(I19:O19)</x:f>
        <x:v>493</x:v>
      </x:c>
      <x:c r="R19" t="n">
        <x:f>H19-Q19</x:f>
        <x:v>-421</x:v>
      </x:c>
      <x:c r="S19" s="52" t="n">
        <x:f>IF(D19=0,"",(R19)/D19)</x:f>
        <x:v>-0.6237037037037036</x:v>
      </x:c>
      <x:c r="T19" t="str">
        <x:v>Dhirendra Singh</x:v>
      </x:c>
      <x:c r="U19" t="n">
        <x:f>D19-E19-F19</x:f>
        <x:v>0</x:v>
      </x:c>
    </x:row>
    <x:row r="20">
      <x:c r="A20" t="n">
        <x:v>12</x:v>
      </x:c>
      <x:c r="B20" t="str">
        <x:v>PRY. SCHOOL BIRAUNDA R.NO. 1</x:v>
      </x:c>
      <x:c r="C20" t="n">
        <x:v>1365</x:v>
      </x:c>
      <x:c r="D20" t="n">
        <x:v>719</x:v>
      </x:c>
      <x:c r="E20" t="n">
        <x:f>SUM(H20:O20)</x:f>
        <x:v>716</x:v>
      </x:c>
      <x:c r="F20" t="n">
        <x:v>3</x:v>
      </x:c>
      <x:c r="G20" s="50" t="n">
        <x:f>IF(C20="","",IFERROR(D20/C20,0))</x:f>
        <x:v>0.5267399267399268</x:v>
      </x:c>
      <x:c r="H20" s="36" t="n">
        <x:v>29</x:v>
      </x:c>
      <x:c r="I20" t="n">
        <x:v>424</x:v>
      </x:c>
      <x:c r="J20" t="n">
        <x:v>241</x:v>
      </x:c>
      <x:c r="K20" t="n">
        <x:v>9</x:v>
      </x:c>
      <x:c r="L20" t="n">
        <x:v>3</x:v>
      </x:c>
      <x:c r="M20" t="n">
        <x:v>2</x:v>
      </x:c>
      <x:c r="N20" t="n">
        <x:v>4</x:v>
      </x:c>
      <x:c r="O20" t="n">
        <x:v>4</x:v>
      </x:c>
      <x:c r="P20" s="50" t="n">
        <x:f>IF(D20=0,"",H20/D20)</x:f>
        <x:v>0.04033379694019471</x:v>
      </x:c>
      <x:c r="Q20" t="n">
        <x:f>MAX(I20:O20)</x:f>
        <x:v>424</x:v>
      </x:c>
      <x:c r="R20" t="n">
        <x:f>H20-Q20</x:f>
        <x:v>-395</x:v>
      </x:c>
      <x:c r="S20" s="52" t="n">
        <x:f>IF(D20=0,"",(R20)/D20)</x:f>
        <x:v>-0.5493741307371349</x:v>
      </x:c>
      <x:c r="T20" t="str">
        <x:v>Dhirendra Singh</x:v>
      </x:c>
      <x:c r="U20" t="n">
        <x:f>D20-E20-F20</x:f>
        <x:v>0</x:v>
      </x:c>
    </x:row>
    <x:row r="21">
      <x:c r="A21" t="n">
        <x:v>13</x:v>
      </x:c>
      <x:c r="B21" t="str">
        <x:v>PRY. SCHOOL BIRAUNDA NO. 2</x:v>
      </x:c>
      <x:c r="C21" t="n">
        <x:v>1259</x:v>
      </x:c>
      <x:c r="D21" t="n">
        <x:v>479</x:v>
      </x:c>
      <x:c r="E21" t="n">
        <x:f>SUM(H21:O21)</x:f>
        <x:v>468</x:v>
      </x:c>
      <x:c r="F21" t="n">
        <x:v>11</x:v>
      </x:c>
      <x:c r="G21" s="50" t="n">
        <x:f>IF(C21="","",IFERROR(D21/C21,0))</x:f>
        <x:v>0.38046068308181097</x:v>
      </x:c>
      <x:c r="H21" s="36" t="n">
        <x:v>46</x:v>
      </x:c>
      <x:c r="I21" t="n">
        <x:v>356</x:v>
      </x:c>
      <x:c r="J21" t="n">
        <x:v>50</x:v>
      </x:c>
      <x:c r="K21" t="n">
        <x:v>2</x:v>
      </x:c>
      <x:c r="L21" t="n">
        <x:v>1</x:v>
      </x:c>
      <x:c r="M21" t="n">
        <x:v>0</x:v>
      </x:c>
      <x:c r="N21" t="n">
        <x:v>0</x:v>
      </x:c>
      <x:c r="O21" t="n">
        <x:v>13</x:v>
      </x:c>
      <x:c r="P21" s="50" t="n">
        <x:f>IF(D21=0,"",H21/D21)</x:f>
        <x:v>0.09603340292275574</x:v>
      </x:c>
      <x:c r="Q21" t="n">
        <x:f>MAX(I21:O21)</x:f>
        <x:v>356</x:v>
      </x:c>
      <x:c r="R21" t="n">
        <x:f>H21-Q21</x:f>
        <x:v>-310</x:v>
      </x:c>
      <x:c r="S21" s="52" t="n">
        <x:f>IF(D21=0,"",(R21)/D21)</x:f>
        <x:v>-0.6471816283924844</x:v>
      </x:c>
      <x:c r="T21" t="str">
        <x:v>Dhirendra Singh</x:v>
      </x:c>
      <x:c r="U21" t="n">
        <x:f>D21-E21-F21</x:f>
        <x:v>0</x:v>
      </x:c>
    </x:row>
    <x:row r="22">
      <x:c r="A22" t="n">
        <x:v>14</x:v>
      </x:c>
      <x:c r="B22" t="str">
        <x:v>PRY. SCHOOL BIRAUNDA NO. 3</x:v>
      </x:c>
      <x:c r="C22" t="n">
        <x:v>913</x:v>
      </x:c>
      <x:c r="D22" t="n">
        <x:v>401</x:v>
      </x:c>
      <x:c r="E22" t="n">
        <x:f>SUM(H22:O22)</x:f>
        <x:v>397</x:v>
      </x:c>
      <x:c r="F22" t="n">
        <x:v>4</x:v>
      </x:c>
      <x:c r="G22" s="50" t="n">
        <x:f>IF(C22="","",IFERROR(D22/C22,0))</x:f>
        <x:v>0.43921139101861995</x:v>
      </x:c>
      <x:c r="H22" s="36" t="n">
        <x:v>39</x:v>
      </x:c>
      <x:c r="I22" t="n">
        <x:v>312</x:v>
      </x:c>
      <x:c r="J22" t="n">
        <x:v>37</x:v>
      </x:c>
      <x:c r="K22" t="n">
        <x:v>1</x:v>
      </x:c>
      <x:c r="L22" t="n">
        <x:v>0</x:v>
      </x:c>
      <x:c r="M22" t="n">
        <x:v>1</x:v>
      </x:c>
      <x:c r="N22" t="n">
        <x:v>0</x:v>
      </x:c>
      <x:c r="O22" t="n">
        <x:v>7</x:v>
      </x:c>
      <x:c r="P22" s="50" t="n">
        <x:f>IF(D22=0,"",H22/D22)</x:f>
        <x:v>0.09725685785536159</x:v>
      </x:c>
      <x:c r="Q22" t="n">
        <x:f>MAX(I22:O22)</x:f>
        <x:v>312</x:v>
      </x:c>
      <x:c r="R22" t="n">
        <x:f>H22-Q22</x:f>
        <x:v>-273</x:v>
      </x:c>
      <x:c r="S22" s="52" t="n">
        <x:f>IF(D22=0,"",(R22)/D22)</x:f>
        <x:v>-0.6807980049875312</x:v>
      </x:c>
      <x:c r="T22" t="str">
        <x:v>Dhirendra Singh</x:v>
      </x:c>
      <x:c r="U22" t="n">
        <x:f>D22-E22-F22</x:f>
        <x:v>0</x:v>
      </x:c>
    </x:row>
    <x:row r="23">
      <x:c r="A23" t="n">
        <x:v>15</x:v>
      </x:c>
      <x:c r="B23" t="str">
        <x:v>PRY. SCHOOL DADHA K.N. 1</x:v>
      </x:c>
      <x:c r="C23" t="n">
        <x:v>1147</x:v>
      </x:c>
      <x:c r="D23" t="n">
        <x:v>866</x:v>
      </x:c>
      <x:c r="E23" t="n">
        <x:f>SUM(H23:O23)</x:f>
        <x:v>862</x:v>
      </x:c>
      <x:c r="F23" t="n">
        <x:v>4</x:v>
      </x:c>
      <x:c r="G23" s="50" t="n">
        <x:f>IF(C23="","",IFERROR(D23/C23,0))</x:f>
        <x:v>0.7550130775937227</x:v>
      </x:c>
      <x:c r="H23" s="36" t="n">
        <x:v>86</x:v>
      </x:c>
      <x:c r="I23" t="n">
        <x:v>328</x:v>
      </x:c>
      <x:c r="J23" t="n">
        <x:v>430</x:v>
      </x:c>
      <x:c r="K23" t="n">
        <x:v>8</x:v>
      </x:c>
      <x:c r="L23" t="n">
        <x:v>2</x:v>
      </x:c>
      <x:c r="M23" t="n">
        <x:v>4</x:v>
      </x:c>
      <x:c r="N23" t="n">
        <x:v>3</x:v>
      </x:c>
      <x:c r="O23" t="n">
        <x:v>1</x:v>
      </x:c>
      <x:c r="P23" s="50" t="n">
        <x:f>IF(D23=0,"",H23/D23)</x:f>
        <x:v>0.09930715935334873</x:v>
      </x:c>
      <x:c r="Q23" t="n">
        <x:f>MAX(I23:O23)</x:f>
        <x:v>430</x:v>
      </x:c>
      <x:c r="R23" t="n">
        <x:f>H23-Q23</x:f>
        <x:v>-344</x:v>
      </x:c>
      <x:c r="S23" s="52" t="n">
        <x:f>IF(D23=0,"",(R23)/D23)</x:f>
        <x:v>-0.3972286374133949</x:v>
      </x:c>
      <x:c r="T23" t="str">
        <x:v>Vedram Bhati</x:v>
      </x:c>
      <x:c r="U23" t="n">
        <x:f>D23-E23-F23</x:f>
        <x:v>0</x:v>
      </x:c>
    </x:row>
    <x:row r="24">
      <x:c r="A24" t="n">
        <x:v>16</x:v>
      </x:c>
      <x:c r="B24" t="str">
        <x:v>PRY. SCHOOL DADHA K.N. 2</x:v>
      </x:c>
      <x:c r="C24" t="n">
        <x:v>793</x:v>
      </x:c>
      <x:c r="D24" t="n">
        <x:v>578</x:v>
      </x:c>
      <x:c r="E24" t="n">
        <x:f>SUM(H24:O24)</x:f>
        <x:v>578</x:v>
      </x:c>
      <x:c r="F24" t="n">
        <x:v>0</x:v>
      </x:c>
      <x:c r="G24" s="50" t="n">
        <x:f>IF(C24="","",IFERROR(D24/C24,0))</x:f>
        <x:v>0.7288776796973518</x:v>
      </x:c>
      <x:c r="H24" s="36" t="n">
        <x:v>26</x:v>
      </x:c>
      <x:c r="I24" t="n">
        <x:v>308</x:v>
      </x:c>
      <x:c r="J24" t="n">
        <x:v>233</x:v>
      </x:c>
      <x:c r="K24" t="n">
        <x:v>7</x:v>
      </x:c>
      <x:c r="L24" t="n">
        <x:v>2</x:v>
      </x:c>
      <x:c r="M24" t="n">
        <x:v>0</x:v>
      </x:c>
      <x:c r="N24" t="n">
        <x:v>1</x:v>
      </x:c>
      <x:c r="O24" t="n">
        <x:v>1</x:v>
      </x:c>
      <x:c r="P24" s="50" t="n">
        <x:f>IF(D24=0,"",H24/D24)</x:f>
        <x:v>0.04498269896193772</x:v>
      </x:c>
      <x:c r="Q24" t="n">
        <x:f>MAX(I24:O24)</x:f>
        <x:v>308</x:v>
      </x:c>
      <x:c r="R24" t="n">
        <x:f>H24-Q24</x:f>
        <x:v>-282</x:v>
      </x:c>
      <x:c r="S24" s="52" t="n">
        <x:f>IF(D24=0,"",(R24)/D24)</x:f>
        <x:v>-0.48788927335640137</x:v>
      </x:c>
      <x:c r="T24" t="str">
        <x:v>Dhirendra Singh</x:v>
      </x:c>
      <x:c r="U24" t="n">
        <x:f>D24-E24-F24</x:f>
        <x:v>0</x:v>
      </x:c>
    </x:row>
    <x:row r="25">
      <x:c r="A25" t="n">
        <x:v>17</x:v>
      </x:c>
      <x:c r="B25" t="str">
        <x:v>PRY. SCHOOL SIRSA R.NO.1</x:v>
      </x:c>
      <x:c r="C25" t="n">
        <x:v>1459</x:v>
      </x:c>
      <x:c r="D25" t="n">
        <x:v>1025</x:v>
      </x:c>
      <x:c r="E25" t="n">
        <x:f>SUM(H25:O25)</x:f>
        <x:v>1017</x:v>
      </x:c>
      <x:c r="F25" t="n">
        <x:v>8</x:v>
      </x:c>
      <x:c r="G25" s="50" t="n">
        <x:f>IF(C25="","",IFERROR(D25/C25,0))</x:f>
        <x:v>0.7025359835503769</x:v>
      </x:c>
      <x:c r="H25" s="36" t="n">
        <x:v>40</x:v>
      </x:c>
      <x:c r="I25" t="n">
        <x:v>468</x:v>
      </x:c>
      <x:c r="J25" t="n">
        <x:v>448</x:v>
      </x:c>
      <x:c r="K25" t="n">
        <x:v>40</x:v>
      </x:c>
      <x:c r="L25" t="n">
        <x:v>7</x:v>
      </x:c>
      <x:c r="M25" t="n">
        <x:v>4</x:v>
      </x:c>
      <x:c r="N25" t="n">
        <x:v>6</x:v>
      </x:c>
      <x:c r="O25" t="n">
        <x:v>4</x:v>
      </x:c>
      <x:c r="P25" s="50" t="n">
        <x:f>IF(D25=0,"",H25/D25)</x:f>
        <x:v>0.03902439024390244</x:v>
      </x:c>
      <x:c r="Q25" t="n">
        <x:f>MAX(I25:O25)</x:f>
        <x:v>468</x:v>
      </x:c>
      <x:c r="R25" t="n">
        <x:f>H25-Q25</x:f>
        <x:v>-428</x:v>
      </x:c>
      <x:c r="S25" s="52" t="n">
        <x:f>IF(D25=0,"",(R25)/D25)</x:f>
        <x:v>-0.4175609756097561</x:v>
      </x:c>
      <x:c r="T25" t="str">
        <x:v>Dhirendra Singh</x:v>
      </x:c>
      <x:c r="U25" t="n">
        <x:f>D25-E25-F25</x:f>
        <x:v>0</x:v>
      </x:c>
    </x:row>
    <x:row r="26">
      <x:c r="A26" t="n">
        <x:v>18</x:v>
      </x:c>
      <x:c r="B26" t="str">
        <x:v>PRY. SCHOOL KHANPUR R.NO. 1</x:v>
      </x:c>
      <x:c r="C26" t="n">
        <x:v>788</x:v>
      </x:c>
      <x:c r="D26" t="n">
        <x:v>583</x:v>
      </x:c>
      <x:c r="E26" t="n">
        <x:f>SUM(H26:O26)</x:f>
        <x:v>581</x:v>
      </x:c>
      <x:c r="F26" t="n">
        <x:v>2</x:v>
      </x:c>
      <x:c r="G26" s="50" t="n">
        <x:f>IF(C26="","",IFERROR(D26/C26,0))</x:f>
        <x:v>0.7398477157360406</x:v>
      </x:c>
      <x:c r="H26" s="36" t="n">
        <x:v>31</x:v>
      </x:c>
      <x:c r="I26" t="n">
        <x:v>241</x:v>
      </x:c>
      <x:c r="J26" t="n">
        <x:v>290</x:v>
      </x:c>
      <x:c r="K26" t="n">
        <x:v>5</x:v>
      </x:c>
      <x:c r="L26" t="n">
        <x:v>3</x:v>
      </x:c>
      <x:c r="M26" t="n">
        <x:v>4</x:v>
      </x:c>
      <x:c r="N26" t="n">
        <x:v>2</x:v>
      </x:c>
      <x:c r="O26" t="n">
        <x:v>5</x:v>
      </x:c>
      <x:c r="P26" s="50" t="n">
        <x:f>IF(D26=0,"",H26/D26)</x:f>
        <x:v>0.05317324185248713</x:v>
      </x:c>
      <x:c r="Q26" t="n">
        <x:f>MAX(I26:O26)</x:f>
        <x:v>290</x:v>
      </x:c>
      <x:c r="R26" t="n">
        <x:f>H26-Q26</x:f>
        <x:v>-259</x:v>
      </x:c>
      <x:c r="S26" s="52" t="n">
        <x:f>IF(D26=0,"",(R26)/D26)</x:f>
        <x:v>-0.444253859348199</x:v>
      </x:c>
      <x:c r="T26" t="str">
        <x:v>Vedram Bhati</x:v>
      </x:c>
      <x:c r="U26" t="n">
        <x:f>D26-E26-F26</x:f>
        <x:v>0</x:v>
      </x:c>
    </x:row>
    <x:row r="27">
      <x:c r="A27" t="n">
        <x:v>19</x:v>
      </x:c>
      <x:c r="B27" t="str">
        <x:v>PRY. SCHOOL KHANPUR R.NO. 2</x:v>
      </x:c>
      <x:c r="C27" t="n">
        <x:v>935</x:v>
      </x:c>
      <x:c r="D27" t="n">
        <x:v>653</x:v>
      </x:c>
      <x:c r="E27" t="n">
        <x:f>SUM(H27:O27)</x:f>
        <x:v>649</x:v>
      </x:c>
      <x:c r="F27" t="n">
        <x:v>4</x:v>
      </x:c>
      <x:c r="G27" s="50" t="n">
        <x:f>IF(C27="","",IFERROR(D27/C27,0))</x:f>
        <x:v>0.6983957219251337</x:v>
      </x:c>
      <x:c r="H27" s="36" t="n">
        <x:v>39</x:v>
      </x:c>
      <x:c r="I27" t="n">
        <x:v>214</x:v>
      </x:c>
      <x:c r="J27" t="n">
        <x:v>375</x:v>
      </x:c>
      <x:c r="K27" t="n">
        <x:v>2</x:v>
      </x:c>
      <x:c r="L27" t="n">
        <x:v>9</x:v>
      </x:c>
      <x:c r="M27" t="n">
        <x:v>2</x:v>
      </x:c>
      <x:c r="N27" t="n">
        <x:v>3</x:v>
      </x:c>
      <x:c r="O27" t="n">
        <x:v>5</x:v>
      </x:c>
      <x:c r="P27" s="50" t="n">
        <x:f>IF(D27=0,"",H27/D27)</x:f>
        <x:v>0.05972434915773354</x:v>
      </x:c>
      <x:c r="Q27" t="n">
        <x:f>MAX(I27:O27)</x:f>
        <x:v>375</x:v>
      </x:c>
      <x:c r="R27" t="n">
        <x:f>H27-Q27</x:f>
        <x:v>-336</x:v>
      </x:c>
      <x:c r="S27" s="52" t="n">
        <x:f>IF(D27=0,"",(R27)/D27)</x:f>
        <x:v>-0.5145482388973966</x:v>
      </x:c>
      <x:c r="T27" t="str">
        <x:v>Vedram Bhati</x:v>
      </x:c>
      <x:c r="U27" t="n">
        <x:f>D27-E27-F27</x:f>
        <x:v>0</x:v>
      </x:c>
    </x:row>
    <x:row r="28">
      <x:c r="A28" t="n">
        <x:v>20</x:v>
      </x:c>
      <x:c r="B28" t="str">
        <x:v>PRY. SCHOOL LUKSAR R.NO. 1</x:v>
      </x:c>
      <x:c r="C28" t="n">
        <x:v>967</x:v>
      </x:c>
      <x:c r="D28" t="n">
        <x:v>743</x:v>
      </x:c>
      <x:c r="E28" t="n">
        <x:f>SUM(H28:O28)</x:f>
        <x:v>740</x:v>
      </x:c>
      <x:c r="F28" t="n">
        <x:v>3</x:v>
      </x:c>
      <x:c r="G28" s="50" t="n">
        <x:f>IF(C28="","",IFERROR(D28/C28,0))</x:f>
        <x:v>0.7683557394002068</x:v>
      </x:c>
      <x:c r="H28" s="36" t="n">
        <x:v>61</x:v>
      </x:c>
      <x:c r="I28" t="n">
        <x:v>269</x:v>
      </x:c>
      <x:c r="J28" t="n">
        <x:v>382</x:v>
      </x:c>
      <x:c r="K28" t="n">
        <x:v>1</x:v>
      </x:c>
      <x:c r="L28" t="n">
        <x:v>13</x:v>
      </x:c>
      <x:c r="M28" t="n">
        <x:v>4</x:v>
      </x:c>
      <x:c r="N28" t="n">
        <x:v>6</x:v>
      </x:c>
      <x:c r="O28" t="n">
        <x:v>4</x:v>
      </x:c>
      <x:c r="P28" s="50" t="n">
        <x:f>IF(D28=0,"",H28/D28)</x:f>
        <x:v>0.08209959623149395</x:v>
      </x:c>
      <x:c r="Q28" t="n">
        <x:f>MAX(I28:O28)</x:f>
        <x:v>382</x:v>
      </x:c>
      <x:c r="R28" t="n">
        <x:f>H28-Q28</x:f>
        <x:v>-321</x:v>
      </x:c>
      <x:c r="S28" s="52" t="n">
        <x:f>IF(D28=0,"",(R28)/D28)</x:f>
        <x:v>-0.43203230148048455</x:v>
      </x:c>
      <x:c r="T28" t="str">
        <x:v>Vedram Bhati</x:v>
      </x:c>
      <x:c r="U28" t="n">
        <x:f>D28-E28-F28</x:f>
        <x:v>0</x:v>
      </x:c>
    </x:row>
    <x:row r="29">
      <x:c r="A29" t="n">
        <x:v>21</x:v>
      </x:c>
      <x:c r="B29" t="str">
        <x:v>PRY. SCHOOL MURSHADPUR R.NO.1</x:v>
      </x:c>
      <x:c r="C29" t="n">
        <x:v>715</x:v>
      </x:c>
      <x:c r="D29" t="n">
        <x:v>514</x:v>
      </x:c>
      <x:c r="E29" t="n">
        <x:f>SUM(H29:O29)</x:f>
        <x:v>512</x:v>
      </x:c>
      <x:c r="F29" t="n">
        <x:v>2</x:v>
      </x:c>
      <x:c r="G29" s="50" t="n">
        <x:f>IF(C29="","",IFERROR(D29/C29,0))</x:f>
        <x:v>0.7188811188811188</x:v>
      </x:c>
      <x:c r="H29" s="36" t="n">
        <x:v>4</x:v>
      </x:c>
      <x:c r="I29" t="n">
        <x:v>282</x:v>
      </x:c>
      <x:c r="J29" t="n">
        <x:v>211</x:v>
      </x:c>
      <x:c r="K29" t="n">
        <x:v>2</x:v>
      </x:c>
      <x:c r="L29" t="n">
        <x:v>2</x:v>
      </x:c>
      <x:c r="M29" t="n">
        <x:v>6</x:v>
      </x:c>
      <x:c r="N29" t="n">
        <x:v>2</x:v>
      </x:c>
      <x:c r="O29" t="n">
        <x:v>3</x:v>
      </x:c>
      <x:c r="P29" s="50" t="n">
        <x:f>IF(D29=0,"",H29/D29)</x:f>
        <x:v>0.007782101167315175</x:v>
      </x:c>
      <x:c r="Q29" t="n">
        <x:f>MAX(I29:O29)</x:f>
        <x:v>282</x:v>
      </x:c>
      <x:c r="R29" t="n">
        <x:f>H29-Q29</x:f>
        <x:v>-278</x:v>
      </x:c>
      <x:c r="S29" s="52" t="n">
        <x:f>IF(D29=0,"",(R29)/D29)</x:f>
        <x:v>-0.5408560311284046</x:v>
      </x:c>
      <x:c r="T29" t="str">
        <x:v>Dhirendra Singh</x:v>
      </x:c>
      <x:c r="U29" t="n">
        <x:f>D29-E29-F29</x:f>
        <x:v>0</x:v>
      </x:c>
    </x:row>
    <x:row r="30">
      <x:c r="A30" t="n">
        <x:v>22</x:v>
      </x:c>
      <x:c r="B30" t="str">
        <x:v>PRY. SCHOOL GHARBARA R. NO.1</x:v>
      </x:c>
      <x:c r="C30" t="n">
        <x:v>1460</x:v>
      </x:c>
      <x:c r="D30" t="n">
        <x:v>1057</x:v>
      </x:c>
      <x:c r="E30" t="n">
        <x:f>SUM(H30:O30)</x:f>
        <x:v>1050</x:v>
      </x:c>
      <x:c r="F30" t="n">
        <x:v>7</x:v>
      </x:c>
      <x:c r="G30" s="50" t="n">
        <x:f>IF(C30="","",IFERROR(D30/C30,0))</x:f>
        <x:v>0.7239726027397261</x:v>
      </x:c>
      <x:c r="H30" s="36" t="n">
        <x:v>57</x:v>
      </x:c>
      <x:c r="I30" t="n">
        <x:v>352</x:v>
      </x:c>
      <x:c r="J30" t="n">
        <x:v>477</x:v>
      </x:c>
      <x:c r="K30" t="n">
        <x:v>140</x:v>
      </x:c>
      <x:c r="L30" t="n">
        <x:v>7</x:v>
      </x:c>
      <x:c r="M30" t="n">
        <x:v>7</x:v>
      </x:c>
      <x:c r="N30" t="n">
        <x:v>5</x:v>
      </x:c>
      <x:c r="O30" t="n">
        <x:v>5</x:v>
      </x:c>
      <x:c r="P30" s="50" t="n">
        <x:f>IF(D30=0,"",H30/D30)</x:f>
        <x:v>0.05392620624408704</x:v>
      </x:c>
      <x:c r="Q30" t="n">
        <x:f>MAX(I30:O30)</x:f>
        <x:v>477</x:v>
      </x:c>
      <x:c r="R30" t="n">
        <x:f>H30-Q30</x:f>
        <x:v>-420</x:v>
      </x:c>
      <x:c r="S30" s="52" t="n">
        <x:f>IF(D30=0,"",(R30)/D30)</x:f>
        <x:v>-0.3973509933774834</x:v>
      </x:c>
      <x:c r="T30" t="str">
        <x:v>Vedram Bhati</x:v>
      </x:c>
      <x:c r="U30" t="n">
        <x:f>D30-E30-F30</x:f>
        <x:v>0</x:v>
      </x:c>
    </x:row>
    <x:row r="31">
      <x:c r="A31" t="n">
        <x:v>23</x:v>
      </x:c>
      <x:c r="B31" t="str">
        <x:v>J. H. SCHOOL ATAI MURADPUR R.NO.1</x:v>
      </x:c>
      <x:c r="C31" t="n">
        <x:v>558</x:v>
      </x:c>
      <x:c r="D31" t="n">
        <x:v>381</x:v>
      </x:c>
      <x:c r="E31" t="n">
        <x:f>SUM(H31:O31)</x:f>
        <x:v>379</x:v>
      </x:c>
      <x:c r="F31" t="n">
        <x:v>2</x:v>
      </x:c>
      <x:c r="G31" s="50" t="n">
        <x:f>IF(C31="","",IFERROR(D31/C31,0))</x:f>
        <x:v>0.6827956989247311</x:v>
      </x:c>
      <x:c r="H31" s="36" t="n">
        <x:v>7</x:v>
      </x:c>
      <x:c r="I31" t="n">
        <x:v>214</x:v>
      </x:c>
      <x:c r="J31" t="n">
        <x:v>155</x:v>
      </x:c>
      <x:c r="K31" t="n">
        <x:v>1</x:v>
      </x:c>
      <x:c r="L31" t="n">
        <x:v>0</x:v>
      </x:c>
      <x:c r="M31" t="n">
        <x:v>1</x:v>
      </x:c>
      <x:c r="N31" t="n">
        <x:v>0</x:v>
      </x:c>
      <x:c r="O31" t="n">
        <x:v>1</x:v>
      </x:c>
      <x:c r="P31" s="50" t="n">
        <x:f>IF(D31=0,"",H31/D31)</x:f>
        <x:v>0.01837270341207349</x:v>
      </x:c>
      <x:c r="Q31" t="n">
        <x:f>MAX(I31:O31)</x:f>
        <x:v>214</x:v>
      </x:c>
      <x:c r="R31" t="n">
        <x:f>H31-Q31</x:f>
        <x:v>-207</x:v>
      </x:c>
      <x:c r="S31" s="52" t="n">
        <x:f>IF(D31=0,"",(R31)/D31)</x:f>
        <x:v>-0.5433070866141733</x:v>
      </x:c>
      <x:c r="T31" t="str">
        <x:v>Dhirendra Singh</x:v>
      </x:c>
      <x:c r="U31" t="n">
        <x:f>D31-E31-F31</x:f>
        <x:v>0</x:v>
      </x:c>
    </x:row>
    <x:row r="32">
      <x:c r="A32" t="n">
        <x:v>24</x:v>
      </x:c>
      <x:c r="B32" t="str">
        <x:v>PRY. SCHOOL IMALIYAKA R.NO.1</x:v>
      </x:c>
      <x:c r="C32" t="n">
        <x:v>1129</x:v>
      </x:c>
      <x:c r="D32" t="n">
        <x:v>731</x:v>
      </x:c>
      <x:c r="E32" t="n">
        <x:f>SUM(H32:O32)</x:f>
        <x:v>728</x:v>
      </x:c>
      <x:c r="F32" t="n">
        <x:v>3</x:v>
      </x:c>
      <x:c r="G32" s="50" t="n">
        <x:f>IF(C32="","",IFERROR(D32/C32,0))</x:f>
        <x:v>0.6474756421612046</x:v>
      </x:c>
      <x:c r="H32" s="36" t="n">
        <x:v>66</x:v>
      </x:c>
      <x:c r="I32" t="n">
        <x:v>276</x:v>
      </x:c>
      <x:c r="J32" t="n">
        <x:v>368</x:v>
      </x:c>
      <x:c r="K32" t="n">
        <x:v>4</x:v>
      </x:c>
      <x:c r="L32" t="n">
        <x:v>2</x:v>
      </x:c>
      <x:c r="M32" t="n">
        <x:v>1</x:v>
      </x:c>
      <x:c r="N32" t="n">
        <x:v>6</x:v>
      </x:c>
      <x:c r="O32" t="n">
        <x:v>5</x:v>
      </x:c>
      <x:c r="P32" s="50" t="n">
        <x:f>IF(D32=0,"",H32/D32)</x:f>
        <x:v>0.09028727770177838</x:v>
      </x:c>
      <x:c r="Q32" t="n">
        <x:f>MAX(I32:O32)</x:f>
        <x:v>368</x:v>
      </x:c>
      <x:c r="R32" t="n">
        <x:f>H32-Q32</x:f>
        <x:v>-302</x:v>
      </x:c>
      <x:c r="S32" s="52" t="n">
        <x:f>IF(D32=0,"",(R32)/D32)</x:f>
        <x:v>-0.4131326949384405</x:v>
      </x:c>
      <x:c r="T32" t="str">
        <x:v>Vedram Bhati</x:v>
      </x:c>
      <x:c r="U32" t="n">
        <x:f>D32-E32-F32</x:f>
        <x:v>0</x:v>
      </x:c>
    </x:row>
    <x:row r="33">
      <x:c r="A33" t="n">
        <x:v>25</x:v>
      </x:c>
      <x:c r="B33" t="str">
        <x:v>PRY. SCHOOL IMALIYAKA R.NO.2</x:v>
      </x:c>
      <x:c r="C33" t="n">
        <x:v>790</x:v>
      </x:c>
      <x:c r="D33" t="n">
        <x:v>473</x:v>
      </x:c>
      <x:c r="E33" t="n">
        <x:f>SUM(H33:O33)</x:f>
        <x:v>471</x:v>
      </x:c>
      <x:c r="F33" t="n">
        <x:v>2</x:v>
      </x:c>
      <x:c r="G33" s="50" t="n">
        <x:f>IF(C33="","",IFERROR(D33/C33,0))</x:f>
        <x:v>0.5987341772151898</x:v>
      </x:c>
      <x:c r="H33" s="36" t="n">
        <x:v>23</x:v>
      </x:c>
      <x:c r="I33" t="n">
        <x:v>229</x:v>
      </x:c>
      <x:c r="J33" t="n">
        <x:v>208</x:v>
      </x:c>
      <x:c r="K33" t="n">
        <x:v>4</x:v>
      </x:c>
      <x:c r="L33" t="n">
        <x:v>4</x:v>
      </x:c>
      <x:c r="M33" t="n">
        <x:v>2</x:v>
      </x:c>
      <x:c r="N33" t="n">
        <x:v>1</x:v>
      </x:c>
      <x:c r="O33" t="n">
        <x:v>0</x:v>
      </x:c>
      <x:c r="P33" s="50" t="n">
        <x:f>IF(D33=0,"",H33/D33)</x:f>
        <x:v>0.048625792811839326</x:v>
      </x:c>
      <x:c r="Q33" t="n">
        <x:f>MAX(I33:O33)</x:f>
        <x:v>229</x:v>
      </x:c>
      <x:c r="R33" t="n">
        <x:f>H33-Q33</x:f>
        <x:v>-206</x:v>
      </x:c>
      <x:c r="S33" s="52" t="n">
        <x:f>IF(D33=0,"",(R33)/D33)</x:f>
        <x:v>-0.4355179704016913</x:v>
      </x:c>
      <x:c r="T33" t="str">
        <x:v>Dhirendra Singh</x:v>
      </x:c>
      <x:c r="U33" t="n">
        <x:f>D33-E33-F33</x:f>
        <x:v>0</x:v>
      </x:c>
    </x:row>
    <x:row r="34">
      <x:c r="A34" t="n">
        <x:v>26</x:v>
      </x:c>
      <x:c r="B34" t="str">
        <x:v>PRY. SCHOOL LADPURA R.NO. 1</x:v>
      </x:c>
      <x:c r="C34" t="n">
        <x:v>1359</x:v>
      </x:c>
      <x:c r="D34" t="n">
        <x:v>870</x:v>
      </x:c>
      <x:c r="E34" t="n">
        <x:f>SUM(H34:O34)</x:f>
        <x:v>864</x:v>
      </x:c>
      <x:c r="F34" t="n">
        <x:v>6</x:v>
      </x:c>
      <x:c r="G34" s="50" t="n">
        <x:f>IF(C34="","",IFERROR(D34/C34,0))</x:f>
        <x:v>0.6401766004415012</x:v>
      </x:c>
      <x:c r="H34" s="36" t="n">
        <x:v>26</x:v>
      </x:c>
      <x:c r="I34" t="n">
        <x:v>363</x:v>
      </x:c>
      <x:c r="J34" t="n">
        <x:v>445</x:v>
      </x:c>
      <x:c r="K34" t="n">
        <x:v>19</x:v>
      </x:c>
      <x:c r="L34" t="n">
        <x:v>3</x:v>
      </x:c>
      <x:c r="M34" t="n">
        <x:v>6</x:v>
      </x:c>
      <x:c r="N34" t="n">
        <x:v>2</x:v>
      </x:c>
      <x:c r="O34" t="n">
        <x:v>0</x:v>
      </x:c>
      <x:c r="P34" s="50" t="n">
        <x:f>IF(D34=0,"",H34/D34)</x:f>
        <x:v>0.029885057471264367</x:v>
      </x:c>
      <x:c r="Q34" t="n">
        <x:f>MAX(I34:O34)</x:f>
        <x:v>445</x:v>
      </x:c>
      <x:c r="R34" t="n">
        <x:f>H34-Q34</x:f>
        <x:v>-419</x:v>
      </x:c>
      <x:c r="S34" s="52" t="n">
        <x:f>IF(D34=0,"",(R34)/D34)</x:f>
        <x:v>-0.48160919540229885</x:v>
      </x:c>
      <x:c r="T34" t="str">
        <x:v>Vedram Bhati</x:v>
      </x:c>
      <x:c r="U34" t="n">
        <x:f>D34-E34-F34</x:f>
        <x:v>0</x:v>
      </x:c>
    </x:row>
    <x:row r="35">
      <x:c r="A35" t="n">
        <x:v>27</x:v>
      </x:c>
      <x:c r="B35" t="str">
        <x:v>PRY. SCHOOL LADPURA R.NO. 2</x:v>
      </x:c>
      <x:c r="C35" t="n">
        <x:v>745</x:v>
      </x:c>
      <x:c r="D35" t="n">
        <x:v>450</x:v>
      </x:c>
      <x:c r="E35" t="n">
        <x:f>SUM(H35:O35)</x:f>
        <x:v>448</x:v>
      </x:c>
      <x:c r="F35" t="n">
        <x:v>2</x:v>
      </x:c>
      <x:c r="G35" s="50" t="n">
        <x:f>IF(C35="","",IFERROR(D35/C35,0))</x:f>
        <x:v>0.6040268456375839</x:v>
      </x:c>
      <x:c r="H35" s="36" t="n">
        <x:v>19</x:v>
      </x:c>
      <x:c r="I35" t="n">
        <x:v>143</x:v>
      </x:c>
      <x:c r="J35" t="n">
        <x:v>269</x:v>
      </x:c>
      <x:c r="K35" t="n">
        <x:v>6</x:v>
      </x:c>
      <x:c r="L35" t="n">
        <x:v>7</x:v>
      </x:c>
      <x:c r="M35" t="n">
        <x:v>1</x:v>
      </x:c>
      <x:c r="N35" t="n">
        <x:v>2</x:v>
      </x:c>
      <x:c r="O35" t="n">
        <x:v>1</x:v>
      </x:c>
      <x:c r="P35" s="50" t="n">
        <x:f>IF(D35=0,"",H35/D35)</x:f>
        <x:v>0.042222222222222223</x:v>
      </x:c>
      <x:c r="Q35" t="n">
        <x:f>MAX(I35:O35)</x:f>
        <x:v>269</x:v>
      </x:c>
      <x:c r="R35" t="n">
        <x:f>H35-Q35</x:f>
        <x:v>-250</x:v>
      </x:c>
      <x:c r="S35" s="52" t="n">
        <x:f>IF(D35=0,"",(R35)/D35)</x:f>
        <x:v>-0.5555555555555556</x:v>
      </x:c>
      <x:c r="T35" t="str">
        <x:v>Vedram Bhati</x:v>
      </x:c>
      <x:c r="U35" t="n">
        <x:f>D35-E35-F35</x:f>
        <x:v>0</x:v>
      </x:c>
    </x:row>
    <x:row r="36">
      <x:c r="A36" t="n">
        <x:v>28</x:v>
      </x:c>
      <x:c r="B36" t="str">
        <x:v>PRY. SCHOOL LADPURA R.NO. 3</x:v>
      </x:c>
      <x:c r="C36" t="n">
        <x:v>844</x:v>
      </x:c>
      <x:c r="D36" t="n">
        <x:v>528</x:v>
      </x:c>
      <x:c r="E36" t="n">
        <x:f>SUM(H36:O36)</x:f>
        <x:v>521</x:v>
      </x:c>
      <x:c r="F36" t="n">
        <x:v>7</x:v>
      </x:c>
      <x:c r="G36" s="50" t="n">
        <x:f>IF(C36="","",IFERROR(D36/C36,0))</x:f>
        <x:v>0.6255924170616114</x:v>
      </x:c>
      <x:c r="H36" s="36" t="n">
        <x:v>19</x:v>
      </x:c>
      <x:c r="I36" t="n">
        <x:v>109</x:v>
      </x:c>
      <x:c r="J36" t="n">
        <x:v>367</x:v>
      </x:c>
      <x:c r="K36" t="n">
        <x:v>21</x:v>
      </x:c>
      <x:c r="L36" t="n">
        <x:v>1</x:v>
      </x:c>
      <x:c r="M36" t="n">
        <x:v>2</x:v>
      </x:c>
      <x:c r="N36" t="n">
        <x:v>1</x:v>
      </x:c>
      <x:c r="O36" t="n">
        <x:v>1</x:v>
      </x:c>
      <x:c r="P36" s="50" t="n">
        <x:f>IF(D36=0,"",H36/D36)</x:f>
        <x:v>0.03598484848484849</x:v>
      </x:c>
      <x:c r="Q36" t="n">
        <x:f>MAX(I36:O36)</x:f>
        <x:v>367</x:v>
      </x:c>
      <x:c r="R36" t="n">
        <x:f>H36-Q36</x:f>
        <x:v>-348</x:v>
      </x:c>
      <x:c r="S36" s="52" t="n">
        <x:f>IF(D36=0,"",(R36)/D36)</x:f>
        <x:v>-0.6590909090909091</x:v>
      </x:c>
      <x:c r="T36" t="str">
        <x:v>Vedram Bhati</x:v>
      </x:c>
      <x:c r="U36" t="n">
        <x:f>D36-E36-F36</x:f>
        <x:v>0</x:v>
      </x:c>
    </x:row>
    <x:row r="37">
      <x:c r="A37" t="n">
        <x:v>29</x:v>
      </x:c>
      <x:c r="B37" t="str">
        <x:v>PRY. SCHOOL GHAGHAULA R.NO. 1</x:v>
      </x:c>
      <x:c r="C37" t="n">
        <x:v>844</x:v>
      </x:c>
      <x:c r="D37" t="n">
        <x:v>486</x:v>
      </x:c>
      <x:c r="E37" t="n">
        <x:f>SUM(H37:O37)</x:f>
        <x:v>483</x:v>
      </x:c>
      <x:c r="F37" t="n">
        <x:v>3</x:v>
      </x:c>
      <x:c r="G37" s="50" t="n">
        <x:f>IF(C37="","",IFERROR(D37/C37,0))</x:f>
        <x:v>0.5758293838862559</x:v>
      </x:c>
      <x:c r="H37" s="36" t="n">
        <x:v>18</x:v>
      </x:c>
      <x:c r="I37" t="n">
        <x:v>183</x:v>
      </x:c>
      <x:c r="J37" t="n">
        <x:v>262</x:v>
      </x:c>
      <x:c r="K37" t="n">
        <x:v>3</x:v>
      </x:c>
      <x:c r="L37" t="n">
        <x:v>13</x:v>
      </x:c>
      <x:c r="M37" t="n">
        <x:v>2</x:v>
      </x:c>
      <x:c r="N37" t="n">
        <x:v>2</x:v>
      </x:c>
      <x:c r="O37" t="n">
        <x:v>0</x:v>
      </x:c>
      <x:c r="P37" s="50" t="n">
        <x:f>IF(D37=0,"",H37/D37)</x:f>
        <x:v>0.037037037037037035</x:v>
      </x:c>
      <x:c r="Q37" t="n">
        <x:f>MAX(I37:O37)</x:f>
        <x:v>262</x:v>
      </x:c>
      <x:c r="R37" t="n">
        <x:f>H37-Q37</x:f>
        <x:v>-244</x:v>
      </x:c>
      <x:c r="S37" s="52" t="n">
        <x:f>IF(D37=0,"",(R37)/D37)</x:f>
        <x:v>-0.5020576131687243</x:v>
      </x:c>
      <x:c r="T37" t="str">
        <x:v>Vedram Bhati</x:v>
      </x:c>
      <x:c r="U37" t="n">
        <x:f>D37-E37-F37</x:f>
        <x:v>0</x:v>
      </x:c>
    </x:row>
    <x:row r="38">
      <x:c r="A38" t="n">
        <x:v>30</x:v>
      </x:c>
      <x:c r="B38" t="str">
        <x:v>PRY. SCHOOL GHAGHAULA R.NO. 2</x:v>
      </x:c>
      <x:c r="C38" t="n">
        <x:v>825</x:v>
      </x:c>
      <x:c r="D38" t="n">
        <x:v>500</x:v>
      </x:c>
      <x:c r="E38" t="n">
        <x:f>SUM(H38:O38)</x:f>
        <x:v>493</x:v>
      </x:c>
      <x:c r="F38" t="n">
        <x:v>7</x:v>
      </x:c>
      <x:c r="G38" s="50" t="n">
        <x:f>IF(C38="","",IFERROR(D38/C38,0))</x:f>
        <x:v>0.6060606060606061</x:v>
      </x:c>
      <x:c r="H38" s="36" t="n">
        <x:v>9</x:v>
      </x:c>
      <x:c r="I38" t="n">
        <x:v>156</x:v>
      </x:c>
      <x:c r="J38" t="n">
        <x:v>278</x:v>
      </x:c>
      <x:c r="K38" t="n">
        <x:v>2</x:v>
      </x:c>
      <x:c r="L38" t="n">
        <x:v>40</x:v>
      </x:c>
      <x:c r="M38" t="n">
        <x:v>3</x:v>
      </x:c>
      <x:c r="N38" t="n">
        <x:v>0</x:v>
      </x:c>
      <x:c r="O38" t="n">
        <x:v>5</x:v>
      </x:c>
      <x:c r="P38" s="50" t="n">
        <x:f>IF(D38=0,"",H38/D38)</x:f>
        <x:v>0.018</x:v>
      </x:c>
      <x:c r="Q38" t="n">
        <x:f>MAX(I38:O38)</x:f>
        <x:v>278</x:v>
      </x:c>
      <x:c r="R38" t="n">
        <x:f>H38-Q38</x:f>
        <x:v>-269</x:v>
      </x:c>
      <x:c r="S38" s="52" t="n">
        <x:f>IF(D38=0,"",(R38)/D38)</x:f>
        <x:v>-0.538</x:v>
      </x:c>
      <x:c r="T38" t="str">
        <x:v>Vedram Bhati</x:v>
      </x:c>
      <x:c r="U38" t="n">
        <x:f>D38-E38-F38</x:f>
        <x:v>0</x:v>
      </x:c>
    </x:row>
    <x:row r="39">
      <x:c r="A39" t="n">
        <x:v>31</x:v>
      </x:c>
      <x:c r="B39" t="str">
        <x:v>PRY. SCHOOL GHAGHAULA R.NO. 3</x:v>
      </x:c>
      <x:c r="C39" t="n">
        <x:v>740</x:v>
      </x:c>
      <x:c r="D39" t="n">
        <x:v>469</x:v>
      </x:c>
      <x:c r="E39" t="n">
        <x:f>SUM(H39:O39)</x:f>
        <x:v>469</x:v>
      </x:c>
      <x:c r="F39" t="n">
        <x:v>0</x:v>
      </x:c>
      <x:c r="G39" s="50" t="n">
        <x:f>IF(C39="","",IFERROR(D39/C39,0))</x:f>
        <x:v>0.6337837837837837</x:v>
      </x:c>
      <x:c r="H39" s="36" t="n">
        <x:v>4</x:v>
      </x:c>
      <x:c r="I39" t="n">
        <x:v>73</x:v>
      </x:c>
      <x:c r="J39" t="n">
        <x:v>251</x:v>
      </x:c>
      <x:c r="K39" t="n">
        <x:v>3</x:v>
      </x:c>
      <x:c r="L39" t="n">
        <x:v>120</x:v>
      </x:c>
      <x:c r="M39" t="n">
        <x:v>10</x:v>
      </x:c>
      <x:c r="N39" t="n">
        <x:v>3</x:v>
      </x:c>
      <x:c r="O39" t="n">
        <x:v>5</x:v>
      </x:c>
      <x:c r="P39" s="50" t="n">
        <x:f>IF(D39=0,"",H39/D39)</x:f>
        <x:v>0.008528784648187633</x:v>
      </x:c>
      <x:c r="Q39" t="n">
        <x:f>MAX(I39:O39)</x:f>
        <x:v>251</x:v>
      </x:c>
      <x:c r="R39" t="n">
        <x:f>H39-Q39</x:f>
        <x:v>-247</x:v>
      </x:c>
      <x:c r="S39" s="52" t="n">
        <x:f>IF(D39=0,"",(R39)/D39)</x:f>
        <x:v>-0.5266524520255863</x:v>
      </x:c>
      <x:c r="T39" t="str">
        <x:v>Vedram Bhati</x:v>
      </x:c>
      <x:c r="U39" t="n">
        <x:f>D39-E39-F39</x:f>
        <x:v>0</x:v>
      </x:c>
    </x:row>
    <x:row r="40">
      <x:c r="A40" t="n">
        <x:v>32</x:v>
      </x:c>
      <x:c r="B40" t="str">
        <x:v>PRY. SCHOOL CHEERSI R.NO.1</x:v>
      </x:c>
      <x:c r="C40" t="n">
        <x:v>1123</x:v>
      </x:c>
      <x:c r="D40" t="n">
        <x:v>731</x:v>
      </x:c>
      <x:c r="E40" t="n">
        <x:f>SUM(H40:O40)</x:f>
        <x:v>725</x:v>
      </x:c>
      <x:c r="F40" t="n">
        <x:v>6</x:v>
      </x:c>
      <x:c r="G40" s="50" t="n">
        <x:f>IF(C40="","",IFERROR(D40/C40,0))</x:f>
        <x:v>0.6509349955476402</x:v>
      </x:c>
      <x:c r="H40" s="36" t="n">
        <x:v>22</x:v>
      </x:c>
      <x:c r="I40" t="n">
        <x:v>313</x:v>
      </x:c>
      <x:c r="J40" t="n">
        <x:v>317</x:v>
      </x:c>
      <x:c r="K40" t="n">
        <x:v>67</x:v>
      </x:c>
      <x:c r="L40" t="n">
        <x:v>0</x:v>
      </x:c>
      <x:c r="M40" t="n">
        <x:v>5</x:v>
      </x:c>
      <x:c r="N40" t="n">
        <x:v>0</x:v>
      </x:c>
      <x:c r="O40" t="n">
        <x:v>1</x:v>
      </x:c>
      <x:c r="P40" s="50" t="n">
        <x:f>IF(D40=0,"",H40/D40)</x:f>
        <x:v>0.030095759233926128</x:v>
      </x:c>
      <x:c r="Q40" t="n">
        <x:f>MAX(I40:O40)</x:f>
        <x:v>317</x:v>
      </x:c>
      <x:c r="R40" t="n">
        <x:f>H40-Q40</x:f>
        <x:v>-295</x:v>
      </x:c>
      <x:c r="S40" s="52" t="n">
        <x:f>IF(D40=0,"",(R40)/D40)</x:f>
        <x:v>-0.40355677154582764</x:v>
      </x:c>
      <x:c r="T40" t="str">
        <x:v>Vedram Bhati</x:v>
      </x:c>
      <x:c r="U40" t="n">
        <x:f>D40-E40-F40</x:f>
        <x:v>0</x:v>
      </x:c>
    </x:row>
    <x:row r="41">
      <x:c r="A41" t="n">
        <x:v>33</x:v>
      </x:c>
      <x:c r="B41" t="str">
        <x:v>PRY. SCHOOL FAZAYALPUR R.NO.1</x:v>
      </x:c>
      <x:c r="C41" t="n">
        <x:v>794</x:v>
      </x:c>
      <x:c r="D41" t="n">
        <x:v>489</x:v>
      </x:c>
      <x:c r="E41" t="n">
        <x:f>SUM(H41:O41)</x:f>
        <x:v>486</x:v>
      </x:c>
      <x:c r="F41" t="n">
        <x:v>3</x:v>
      </x:c>
      <x:c r="G41" s="50" t="n">
        <x:f>IF(C41="","",IFERROR(D41/C41,0))</x:f>
        <x:v>0.6158690176322418</x:v>
      </x:c>
      <x:c r="H41" s="36" t="n">
        <x:v>33</x:v>
      </x:c>
      <x:c r="I41" t="n">
        <x:v>186</x:v>
      </x:c>
      <x:c r="J41" t="n">
        <x:v>252</x:v>
      </x:c>
      <x:c r="K41" t="n">
        <x:v>2</x:v>
      </x:c>
      <x:c r="L41" t="n">
        <x:v>2</x:v>
      </x:c>
      <x:c r="M41" t="n">
        <x:v>3</x:v>
      </x:c>
      <x:c r="N41" t="n">
        <x:v>2</x:v>
      </x:c>
      <x:c r="O41" t="n">
        <x:v>6</x:v>
      </x:c>
      <x:c r="P41" s="50" t="n">
        <x:f>IF(D41=0,"",H41/D41)</x:f>
        <x:v>0.06748466257668712</x:v>
      </x:c>
      <x:c r="Q41" t="n">
        <x:f>MAX(I41:O41)</x:f>
        <x:v>252</x:v>
      </x:c>
      <x:c r="R41" t="n">
        <x:f>H41-Q41</x:f>
        <x:v>-219</x:v>
      </x:c>
      <x:c r="S41" s="52" t="n">
        <x:f>IF(D41=0,"",(R41)/D41)</x:f>
        <x:v>-0.44785276073619634</x:v>
      </x:c>
      <x:c r="T41" t="str">
        <x:v>Vedram Bhati</x:v>
      </x:c>
      <x:c r="U41" t="n">
        <x:f>D41-E41-F41</x:f>
        <x:v>0</x:v>
      </x:c>
    </x:row>
    <x:row r="42">
      <x:c r="A42" t="n">
        <x:v>34</x:v>
      </x:c>
      <x:c r="B42" t="str">
        <x:v>PRY. SCHOOL FAZAYALPUR R.NO.2</x:v>
      </x:c>
      <x:c r="C42" t="n">
        <x:v>826</x:v>
      </x:c>
      <x:c r="D42" t="n">
        <x:v>521</x:v>
      </x:c>
      <x:c r="E42" t="n">
        <x:f>SUM(H42:O42)</x:f>
        <x:v>519</x:v>
      </x:c>
      <x:c r="F42" t="n">
        <x:v>2</x:v>
      </x:c>
      <x:c r="G42" s="50" t="n">
        <x:f>IF(C42="","",IFERROR(D42/C42,0))</x:f>
        <x:v>0.6307506053268765</x:v>
      </x:c>
      <x:c r="H42" s="36" t="n">
        <x:v>21</x:v>
      </x:c>
      <x:c r="I42" t="n">
        <x:v>231</x:v>
      </x:c>
      <x:c r="J42" t="n">
        <x:v>257</x:v>
      </x:c>
      <x:c r="K42" t="n">
        <x:v>4</x:v>
      </x:c>
      <x:c r="L42" t="n">
        <x:v>4</x:v>
      </x:c>
      <x:c r="M42" t="n">
        <x:v>0</x:v>
      </x:c>
      <x:c r="N42" t="n">
        <x:v>2</x:v>
      </x:c>
      <x:c r="O42" t="n">
        <x:v>0</x:v>
      </x:c>
      <x:c r="P42" s="50" t="n">
        <x:f>IF(D42=0,"",H42/D42)</x:f>
        <x:v>0.04030710172744722</x:v>
      </x:c>
      <x:c r="Q42" t="n">
        <x:f>MAX(I42:O42)</x:f>
        <x:v>257</x:v>
      </x:c>
      <x:c r="R42" t="n">
        <x:f>H42-Q42</x:f>
        <x:v>-236</x:v>
      </x:c>
      <x:c r="S42" s="52" t="n">
        <x:f>IF(D42=0,"",(R42)/D42)</x:f>
        <x:v>-0.45297504798464494</x:v>
      </x:c>
      <x:c r="T42" t="str">
        <x:v>Vedram Bhati</x:v>
      </x:c>
      <x:c r="U42" t="n">
        <x:f>D42-E42-F42</x:f>
        <x:v>0</x:v>
      </x:c>
    </x:row>
    <x:row r="43">
      <x:c r="A43" t="n">
        <x:v>35</x:v>
      </x:c>
      <x:c r="B43" t="str">
        <x:v>PRY. SCHOOL DOLARAZPURA R.NO.1</x:v>
      </x:c>
      <x:c r="C43" t="n">
        <x:v>1055</x:v>
      </x:c>
      <x:c r="D43" t="n">
        <x:v>758</x:v>
      </x:c>
      <x:c r="E43" t="n">
        <x:f>SUM(H43:O43)</x:f>
        <x:v>754</x:v>
      </x:c>
      <x:c r="F43" t="n">
        <x:v>4</x:v>
      </x:c>
      <x:c r="G43" s="50" t="n">
        <x:f>IF(C43="","",IFERROR(D43/C43,0))</x:f>
        <x:v>0.7184834123222749</x:v>
      </x:c>
      <x:c r="H43" s="36" t="n">
        <x:v>134</x:v>
      </x:c>
      <x:c r="I43" t="n">
        <x:v>223</x:v>
      </x:c>
      <x:c r="J43" t="n">
        <x:v>366</x:v>
      </x:c>
      <x:c r="K43" t="n">
        <x:v>8</x:v>
      </x:c>
      <x:c r="L43" t="n">
        <x:v>3</x:v>
      </x:c>
      <x:c r="M43" t="n">
        <x:v>9</x:v>
      </x:c>
      <x:c r="N43" t="n">
        <x:v>8</x:v>
      </x:c>
      <x:c r="O43" t="n">
        <x:v>3</x:v>
      </x:c>
      <x:c r="P43" s="50" t="n">
        <x:f>IF(D43=0,"",H43/D43)</x:f>
        <x:v>0.17678100263852242</x:v>
      </x:c>
      <x:c r="Q43" t="n">
        <x:f>MAX(I43:O43)</x:f>
        <x:v>366</x:v>
      </x:c>
      <x:c r="R43" t="n">
        <x:f>H43-Q43</x:f>
        <x:v>-232</x:v>
      </x:c>
      <x:c r="S43" s="52" t="n">
        <x:f>IF(D43=0,"",(R43)/D43)</x:f>
        <x:v>-0.30606860158311344</x:v>
      </x:c>
      <x:c r="T43" t="str">
        <x:v>Vedram Bhati</x:v>
      </x:c>
      <x:c r="U43" t="n">
        <x:f>D43-E43-F43</x:f>
        <x:v>0</x:v>
      </x:c>
    </x:row>
    <x:row r="44">
      <x:c r="A44" t="n">
        <x:v>36</x:v>
      </x:c>
      <x:c r="B44" t="str">
        <x:v>PRY. SCHOOL DOLARAZPURA R.NO.2</x:v>
      </x:c>
      <x:c r="C44" t="n">
        <x:v>889</x:v>
      </x:c>
      <x:c r="D44" t="n">
        <x:v>663</x:v>
      </x:c>
      <x:c r="E44" t="n">
        <x:f>SUM(H44:O44)</x:f>
        <x:v>656</x:v>
      </x:c>
      <x:c r="F44" t="n">
        <x:v>7</x:v>
      </x:c>
      <x:c r="G44" s="50" t="n">
        <x:f>IF(C44="","",IFERROR(D44/C44,0))</x:f>
        <x:v>0.7457817772778402</x:v>
      </x:c>
      <x:c r="H44" s="36" t="n">
        <x:v>126</x:v>
      </x:c>
      <x:c r="I44" t="n">
        <x:v>127</x:v>
      </x:c>
      <x:c r="J44" t="n">
        <x:v>380</x:v>
      </x:c>
      <x:c r="K44" t="n">
        <x:v>17</x:v>
      </x:c>
      <x:c r="L44" t="n">
        <x:v>3</x:v>
      </x:c>
      <x:c r="M44" t="n">
        <x:v>2</x:v>
      </x:c>
      <x:c r="N44" t="n">
        <x:v>1</x:v>
      </x:c>
      <x:c r="O44" t="n">
        <x:v>0</x:v>
      </x:c>
      <x:c r="P44" s="50" t="n">
        <x:f>IF(D44=0,"",H44/D44)</x:f>
        <x:v>0.19004524886877827</x:v>
      </x:c>
      <x:c r="Q44" t="n">
        <x:f>MAX(I44:O44)</x:f>
        <x:v>380</x:v>
      </x:c>
      <x:c r="R44" t="n">
        <x:f>H44-Q44</x:f>
        <x:v>-254</x:v>
      </x:c>
      <x:c r="S44" s="52" t="n">
        <x:f>IF(D44=0,"",(R44)/D44)</x:f>
        <x:v>-0.38310708898944196</x:v>
      </x:c>
      <x:c r="T44" t="str">
        <x:v>Vedram Bhati</x:v>
      </x:c>
      <x:c r="U44" t="n">
        <x:f>D44-E44-F44</x:f>
        <x:v>0</x:v>
      </x:c>
    </x:row>
    <x:row r="45">
      <x:c r="A45" t="n">
        <x:v>37</x:v>
      </x:c>
      <x:c r="B45" t="str">
        <x:v>PRY. SCHOOL SALEHPUR R.NO.1</x:v>
      </x:c>
      <x:c r="C45" t="n">
        <x:v>921</x:v>
      </x:c>
      <x:c r="D45" t="n">
        <x:v>677</x:v>
      </x:c>
      <x:c r="E45" t="n">
        <x:f>SUM(H45:O45)</x:f>
        <x:v>674</x:v>
      </x:c>
      <x:c r="F45" t="n">
        <x:v>3</x:v>
      </x:c>
      <x:c r="G45" s="50" t="n">
        <x:f>IF(C45="","",IFERROR(D45/C45,0))</x:f>
        <x:v>0.7350705754614549</x:v>
      </x:c>
      <x:c r="H45" s="36" t="n">
        <x:v>12</x:v>
      </x:c>
      <x:c r="I45" t="n">
        <x:v>503</x:v>
      </x:c>
      <x:c r="J45" t="n">
        <x:v>148</x:v>
      </x:c>
      <x:c r="K45" t="n">
        <x:v>2</x:v>
      </x:c>
      <x:c r="L45" t="n">
        <x:v>3</x:v>
      </x:c>
      <x:c r="M45" t="n">
        <x:v>1</x:v>
      </x:c>
      <x:c r="N45" t="n">
        <x:v>3</x:v>
      </x:c>
      <x:c r="O45" t="n">
        <x:v>2</x:v>
      </x:c>
      <x:c r="P45" s="50" t="n">
        <x:f>IF(D45=0,"",H45/D45)</x:f>
        <x:v>0.01772525849335303</x:v>
      </x:c>
      <x:c r="Q45" t="n">
        <x:f>MAX(I45:O45)</x:f>
        <x:v>503</x:v>
      </x:c>
      <x:c r="R45" t="n">
        <x:f>H45-Q45</x:f>
        <x:v>-491</x:v>
      </x:c>
      <x:c r="S45" s="52" t="n">
        <x:f>IF(D45=0,"",(R45)/D45)</x:f>
        <x:v>-0.725258493353028</x:v>
      </x:c>
      <x:c r="T45" t="str">
        <x:v>Dhirendra Singh</x:v>
      </x:c>
      <x:c r="U45" t="n">
        <x:f>D45-E45-F45</x:f>
        <x:v>0</x:v>
      </x:c>
    </x:row>
    <x:row r="46">
      <x:c r="A46" t="n">
        <x:v>38</x:v>
      </x:c>
      <x:c r="B46" t="str">
        <x:v>PRY. SCHOOL MANDPA R.NO.1</x:v>
      </x:c>
      <x:c r="C46" t="n">
        <x:v>916</x:v>
      </x:c>
      <x:c r="D46" t="n">
        <x:v>683</x:v>
      </x:c>
      <x:c r="E46" t="n">
        <x:f>SUM(H46:O46)</x:f>
        <x:v>680</x:v>
      </x:c>
      <x:c r="F46" t="n">
        <x:v>3</x:v>
      </x:c>
      <x:c r="G46" s="50" t="n">
        <x:f>IF(C46="","",IFERROR(D46/C46,0))</x:f>
        <x:v>0.7456331877729258</x:v>
      </x:c>
      <x:c r="H46" s="36" t="n">
        <x:v>409</x:v>
      </x:c>
      <x:c r="I46" t="n">
        <x:v>82</x:v>
      </x:c>
      <x:c r="J46" t="n">
        <x:v>176</x:v>
      </x:c>
      <x:c r="K46" t="n">
        <x:v>6</x:v>
      </x:c>
      <x:c r="L46" t="n">
        <x:v>3</x:v>
      </x:c>
      <x:c r="M46" t="n">
        <x:v>2</x:v>
      </x:c>
      <x:c r="N46" t="n">
        <x:v>1</x:v>
      </x:c>
      <x:c r="O46" t="n">
        <x:v>1</x:v>
      </x:c>
      <x:c r="P46" s="50" t="n">
        <x:f>IF(D46=0,"",H46/D46)</x:f>
        <x:v>0.5988286969253295</x:v>
      </x:c>
      <x:c r="Q46" t="n">
        <x:f>MAX(I46:O46)</x:f>
        <x:v>176</x:v>
      </x:c>
      <x:c r="R46" t="n">
        <x:f>H46-Q46</x:f>
        <x:v>233</x:v>
      </x:c>
      <x:c r="S46" s="52" t="n">
        <x:f>IF(D46=0,"",(R46)/D46)</x:f>
        <x:v>0.3411420204978038</x:v>
      </x:c>
      <x:c r="T46" t="str">
        <x:v>Narender Nagar</x:v>
      </x:c>
      <x:c r="U46" t="n">
        <x:f>D46-E46-F46</x:f>
        <x:v>0</x:v>
      </x:c>
    </x:row>
    <x:row r="47">
      <x:c r="A47" t="n">
        <x:v>39</x:v>
      </x:c>
      <x:c r="B47" t="str">
        <x:v>PRY. SCHOOL MANDPA R.NO.2</x:v>
      </x:c>
      <x:c r="C47" t="n">
        <x:v>983</x:v>
      </x:c>
      <x:c r="D47" t="n">
        <x:v>674</x:v>
      </x:c>
      <x:c r="E47" t="n">
        <x:f>SUM(H47:O47)</x:f>
        <x:v>665</x:v>
      </x:c>
      <x:c r="F47" t="n">
        <x:v>9</x:v>
      </x:c>
      <x:c r="G47" s="50" t="n">
        <x:f>IF(C47="","",IFERROR(D47/C47,0))</x:f>
        <x:v>0.6856561546286877</x:v>
      </x:c>
      <x:c r="H47" s="36" t="n">
        <x:v>258</x:v>
      </x:c>
      <x:c r="I47" t="n">
        <x:v>55</x:v>
      </x:c>
      <x:c r="J47" t="n">
        <x:v>322</x:v>
      </x:c>
      <x:c r="K47" t="n">
        <x:v>20</x:v>
      </x:c>
      <x:c r="L47" t="n">
        <x:v>2</x:v>
      </x:c>
      <x:c r="M47" t="n">
        <x:v>6</x:v>
      </x:c>
      <x:c r="N47" t="n">
        <x:v>0</x:v>
      </x:c>
      <x:c r="O47" t="n">
        <x:v>2</x:v>
      </x:c>
      <x:c r="P47" s="50" t="n">
        <x:f>IF(D47=0,"",H47/D47)</x:f>
        <x:v>0.3827893175074184</x:v>
      </x:c>
      <x:c r="Q47" t="n">
        <x:f>MAX(I47:O47)</x:f>
        <x:v>322</x:v>
      </x:c>
      <x:c r="R47" t="n">
        <x:f>H47-Q47</x:f>
        <x:v>-64</x:v>
      </x:c>
      <x:c r="S47" s="52" t="n">
        <x:f>IF(D47=0,"",(R47)/D47)</x:f>
        <x:v>-0.09495548961424333</x:v>
      </x:c>
      <x:c r="T47" t="str">
        <x:v>Vedram Bhati</x:v>
      </x:c>
      <x:c r="U47" t="n">
        <x:f>D47-E47-F47</x:f>
        <x:v>0</x:v>
      </x:c>
    </x:row>
    <x:row r="48">
      <x:c r="A48" t="n">
        <x:v>40</x:v>
      </x:c>
      <x:c r="B48" t="str">
        <x:v>PRY. SCHOOL NO. 2 ZAMALPUR NO 2 R.NO.-1</x:v>
      </x:c>
      <x:c r="C48" t="n">
        <x:v>1236</x:v>
      </x:c>
      <x:c r="D48" t="n">
        <x:v>877</x:v>
      </x:c>
      <x:c r="E48" t="n">
        <x:f>SUM(H48:O48)</x:f>
        <x:v>871</x:v>
      </x:c>
      <x:c r="F48" t="n">
        <x:v>6</x:v>
      </x:c>
      <x:c r="G48" s="50" t="n">
        <x:f>IF(C48="","",IFERROR(D48/C48,0))</x:f>
        <x:v>0.709546925566343</x:v>
      </x:c>
      <x:c r="H48" s="36" t="n">
        <x:v>38</x:v>
      </x:c>
      <x:c r="I48" t="n">
        <x:v>274</x:v>
      </x:c>
      <x:c r="J48" t="n">
        <x:v>536</x:v>
      </x:c>
      <x:c r="K48" t="n">
        <x:v>6</x:v>
      </x:c>
      <x:c r="L48" t="n">
        <x:v>5</x:v>
      </x:c>
      <x:c r="M48" t="n">
        <x:v>6</x:v>
      </x:c>
      <x:c r="N48" t="n">
        <x:v>5</x:v>
      </x:c>
      <x:c r="O48" t="n">
        <x:v>1</x:v>
      </x:c>
      <x:c r="P48" s="50" t="n">
        <x:f>IF(D48=0,"",H48/D48)</x:f>
        <x:v>0.043329532497149374</x:v>
      </x:c>
      <x:c r="Q48" t="n">
        <x:f>MAX(I48:O48)</x:f>
        <x:v>536</x:v>
      </x:c>
      <x:c r="R48" t="n">
        <x:f>H48-Q48</x:f>
        <x:v>-498</x:v>
      </x:c>
      <x:c r="S48" s="52" t="n">
        <x:f>IF(D48=0,"",(R48)/D48)</x:f>
        <x:v>-0.5678449258836944</x:v>
      </x:c>
      <x:c r="T48" t="str">
        <x:v>Vedram Bhati</x:v>
      </x:c>
      <x:c r="U48" t="n">
        <x:f>D48-E48-F48</x:f>
        <x:v>0</x:v>
      </x:c>
    </x:row>
    <x:row r="49">
      <x:c r="A49" t="n">
        <x:v>41</x:v>
      </x:c>
      <x:c r="B49" t="str">
        <x:v>J. H. SCHOOL RAJPUR KALAN R.NO. 1</x:v>
      </x:c>
      <x:c r="C49" t="n">
        <x:v>1130</x:v>
      </x:c>
      <x:c r="D49" t="n">
        <x:v>720</x:v>
      </x:c>
      <x:c r="E49" t="n">
        <x:f>SUM(H49:O49)</x:f>
        <x:v>716</x:v>
      </x:c>
      <x:c r="F49" t="n">
        <x:v>4</x:v>
      </x:c>
      <x:c r="G49" s="50" t="n">
        <x:f>IF(C49="","",IFERROR(D49/C49,0))</x:f>
        <x:v>0.6371681415929203</x:v>
      </x:c>
      <x:c r="H49" s="36" t="n">
        <x:v>67</x:v>
      </x:c>
      <x:c r="I49" t="n">
        <x:v>309</x:v>
      </x:c>
      <x:c r="J49" t="n">
        <x:v>315</x:v>
      </x:c>
      <x:c r="K49" t="n">
        <x:v>2</x:v>
      </x:c>
      <x:c r="L49" t="n">
        <x:v>9</x:v>
      </x:c>
      <x:c r="M49" t="n">
        <x:v>2</x:v>
      </x:c>
      <x:c r="N49" t="n">
        <x:v>7</x:v>
      </x:c>
      <x:c r="O49" t="n">
        <x:v>5</x:v>
      </x:c>
      <x:c r="P49" s="50" t="n">
        <x:f>IF(D49=0,"",H49/D49)</x:f>
        <x:v>0.09305555555555556</x:v>
      </x:c>
      <x:c r="Q49" t="n">
        <x:f>MAX(I49:O49)</x:f>
        <x:v>315</x:v>
      </x:c>
      <x:c r="R49" t="n">
        <x:f>H49-Q49</x:f>
        <x:v>-248</x:v>
      </x:c>
      <x:c r="S49" s="52" t="n">
        <x:f>IF(D49=0,"",(R49)/D49)</x:f>
        <x:v>-0.34444444444444444</x:v>
      </x:c>
      <x:c r="T49" t="str">
        <x:v>Vedram Bhati</x:v>
      </x:c>
      <x:c r="U49" t="n">
        <x:f>D49-E49-F49</x:f>
        <x:v>0</x:v>
      </x:c>
    </x:row>
    <x:row r="50">
      <x:c r="A50" t="n">
        <x:v>42</x:v>
      </x:c>
      <x:c r="B50" t="str">
        <x:v>PRY. SCHOOL CHEETI R.NO.-1</x:v>
      </x:c>
      <x:c r="C50" t="n">
        <x:v>1311</x:v>
      </x:c>
      <x:c r="D50" t="n">
        <x:v>809</x:v>
      </x:c>
      <x:c r="E50" t="n">
        <x:f>SUM(H50:O50)</x:f>
        <x:v>804</x:v>
      </x:c>
      <x:c r="F50" t="n">
        <x:v>5</x:v>
      </x:c>
      <x:c r="G50" s="50" t="n">
        <x:f>IF(C50="","",IFERROR(D50/C50,0))</x:f>
        <x:v>0.6170861937452327</x:v>
      </x:c>
      <x:c r="H50" s="36" t="n">
        <x:v>17</x:v>
      </x:c>
      <x:c r="I50" t="n">
        <x:v>258</x:v>
      </x:c>
      <x:c r="J50" t="n">
        <x:v>480</x:v>
      </x:c>
      <x:c r="K50" t="n">
        <x:v>24</x:v>
      </x:c>
      <x:c r="L50" t="n">
        <x:v>9</x:v>
      </x:c>
      <x:c r="M50" t="n">
        <x:v>5</x:v>
      </x:c>
      <x:c r="N50" t="n">
        <x:v>7</x:v>
      </x:c>
      <x:c r="O50" t="n">
        <x:v>4</x:v>
      </x:c>
      <x:c r="P50" s="50" t="n">
        <x:f>IF(D50=0,"",H50/D50)</x:f>
        <x:v>0.021013597033374538</x:v>
      </x:c>
      <x:c r="Q50" t="n">
        <x:f>MAX(I50:O50)</x:f>
        <x:v>480</x:v>
      </x:c>
      <x:c r="R50" t="n">
        <x:f>H50-Q50</x:f>
        <x:v>-463</x:v>
      </x:c>
      <x:c r="S50" s="52" t="n">
        <x:f>IF(D50=0,"",(R50)/D50)</x:f>
        <x:v>-0.5723114956736712</x:v>
      </x:c>
      <x:c r="T50" t="str">
        <x:v>Vedram Bhati</x:v>
      </x:c>
      <x:c r="U50" t="n">
        <x:f>D50-E50-F50</x:f>
        <x:v>0</x:v>
      </x:c>
    </x:row>
    <x:row r="51">
      <x:c r="A51" t="n">
        <x:v>43</x:v>
      </x:c>
      <x:c r="B51" t="str">
        <x:v>PRY. SCHOOL CHEETI R.NO-2</x:v>
      </x:c>
      <x:c r="C51" t="n">
        <x:v>1270</x:v>
      </x:c>
      <x:c r="D51" t="n">
        <x:v>691</x:v>
      </x:c>
      <x:c r="E51" t="n">
        <x:f>SUM(H51:O51)</x:f>
        <x:v>690</x:v>
      </x:c>
      <x:c r="F51" t="n">
        <x:v>1</x:v>
      </x:c>
      <x:c r="G51" s="50" t="n">
        <x:f>IF(C51="","",IFERROR(D51/C51,0))</x:f>
        <x:v>0.5440944881889764</x:v>
      </x:c>
      <x:c r="H51" s="36" t="n">
        <x:v>44</x:v>
      </x:c>
      <x:c r="I51" t="n">
        <x:v>290</x:v>
      </x:c>
      <x:c r="J51" t="n">
        <x:v>347</x:v>
      </x:c>
      <x:c r="K51" t="n">
        <x:v>2</x:v>
      </x:c>
      <x:c r="L51" t="n">
        <x:v>4</x:v>
      </x:c>
      <x:c r="M51" t="n">
        <x:v>0</x:v>
      </x:c>
      <x:c r="N51" t="n">
        <x:v>3</x:v>
      </x:c>
      <x:c r="O51" t="n">
        <x:v>0</x:v>
      </x:c>
      <x:c r="P51" s="50" t="n">
        <x:f>IF(D51=0,"",H51/D51)</x:f>
        <x:v>0.06367583212735166</x:v>
      </x:c>
      <x:c r="Q51" t="n">
        <x:f>MAX(I51:O51)</x:f>
        <x:v>347</x:v>
      </x:c>
      <x:c r="R51" t="n">
        <x:f>H51-Q51</x:f>
        <x:v>-303</x:v>
      </x:c>
      <x:c r="S51" s="52" t="n">
        <x:f>IF(D51=0,"",(R51)/D51)</x:f>
        <x:v>-0.4384949348769899</x:v>
      </x:c>
      <x:c r="T51" t="str">
        <x:v>Vedram Bhati</x:v>
      </x:c>
      <x:c r="U51" t="n">
        <x:f>D51-E51-F51</x:f>
        <x:v>0</x:v>
      </x:c>
    </x:row>
    <x:row r="52">
      <x:c r="A52" t="n">
        <x:v>44</x:v>
      </x:c>
      <x:c r="B52" t="str">
        <x:v>PRY. SCHOOL NAGLA CHEETI R.NO.-1</x:v>
      </x:c>
      <x:c r="C52" t="n">
        <x:v>454</x:v>
      </x:c>
      <x:c r="D52" t="n">
        <x:v>324</x:v>
      </x:c>
      <x:c r="E52" t="n">
        <x:f>SUM(H52:O52)</x:f>
        <x:v>322</x:v>
      </x:c>
      <x:c r="F52" t="n">
        <x:v>2</x:v>
      </x:c>
      <x:c r="G52" s="50" t="n">
        <x:f>IF(C52="","",IFERROR(D52/C52,0))</x:f>
        <x:v>0.7136563876651982</x:v>
      </x:c>
      <x:c r="H52" s="36" t="n">
        <x:v>8</x:v>
      </x:c>
      <x:c r="I52" t="n">
        <x:v>121</x:v>
      </x:c>
      <x:c r="J52" t="n">
        <x:v>178</x:v>
      </x:c>
      <x:c r="K52" t="n">
        <x:v>6</x:v>
      </x:c>
      <x:c r="L52" t="n">
        <x:v>2</x:v>
      </x:c>
      <x:c r="M52" t="n">
        <x:v>4</x:v>
      </x:c>
      <x:c r="N52" t="n">
        <x:v>3</x:v>
      </x:c>
      <x:c r="O52" t="n">
        <x:v>0</x:v>
      </x:c>
      <x:c r="P52" s="50" t="n">
        <x:f>IF(D52=0,"",H52/D52)</x:f>
        <x:v>0.024691358024691357</x:v>
      </x:c>
      <x:c r="Q52" t="n">
        <x:f>MAX(I52:O52)</x:f>
        <x:v>178</x:v>
      </x:c>
      <x:c r="R52" t="n">
        <x:f>H52-Q52</x:f>
        <x:v>-170</x:v>
      </x:c>
      <x:c r="S52" s="52" t="n">
        <x:f>IF(D52=0,"",(R52)/D52)</x:f>
        <x:v>-0.5246913580246914</x:v>
      </x:c>
      <x:c r="T52" t="str">
        <x:v>Vedram Bhati</x:v>
      </x:c>
      <x:c r="U52" t="n">
        <x:f>D52-E52-F52</x:f>
        <x:v>0</x:v>
      </x:c>
    </x:row>
    <x:row r="53">
      <x:c r="A53" t="n">
        <x:v>45</x:v>
      </x:c>
      <x:c r="B53" t="str">
        <x:v>PRY. SCHOOL DEVTA R.NO.-1</x:v>
      </x:c>
      <x:c r="C53" t="n">
        <x:v>1207</x:v>
      </x:c>
      <x:c r="D53" t="n">
        <x:v>678</x:v>
      </x:c>
      <x:c r="E53" t="n">
        <x:f>SUM(H53:O53)</x:f>
        <x:v>677</x:v>
      </x:c>
      <x:c r="F53" t="n">
        <x:v>1</x:v>
      </x:c>
      <x:c r="G53" s="50" t="n">
        <x:f>IF(C53="","",IFERROR(D53/C53,0))</x:f>
        <x:v>0.5617232808616405</x:v>
      </x:c>
      <x:c r="H53" s="36" t="n">
        <x:v>64</x:v>
      </x:c>
      <x:c r="I53" t="n">
        <x:v>251</x:v>
      </x:c>
      <x:c r="J53" t="n">
        <x:v>351</x:v>
      </x:c>
      <x:c r="K53" t="n">
        <x:v>2</x:v>
      </x:c>
      <x:c r="L53" t="n">
        <x:v>3</x:v>
      </x:c>
      <x:c r="M53" t="n">
        <x:v>2</x:v>
      </x:c>
      <x:c r="N53" t="n">
        <x:v>4</x:v>
      </x:c>
      <x:c r="O53" t="n">
        <x:v>0</x:v>
      </x:c>
      <x:c r="P53" s="50" t="n">
        <x:f>IF(D53=0,"",H53/D53)</x:f>
        <x:v>0.0943952802359882</x:v>
      </x:c>
      <x:c r="Q53" t="n">
        <x:f>MAX(I53:O53)</x:f>
        <x:v>351</x:v>
      </x:c>
      <x:c r="R53" t="n">
        <x:f>H53-Q53</x:f>
        <x:v>-287</x:v>
      </x:c>
      <x:c r="S53" s="52" t="n">
        <x:f>IF(D53=0,"",(R53)/D53)</x:f>
        <x:v>-0.42330383480825956</x:v>
      </x:c>
      <x:c r="T53" t="str">
        <x:v>Vedram Bhati</x:v>
      </x:c>
      <x:c r="U53" t="n">
        <x:f>D53-E53-F53</x:f>
        <x:v>0</x:v>
      </x:c>
    </x:row>
    <x:row r="54">
      <x:c r="A54" t="n">
        <x:v>46</x:v>
      </x:c>
      <x:c r="B54" t="str">
        <x:v>PRY. SCHOOL DEVTA R.NO.-2</x:v>
      </x:c>
      <x:c r="C54" t="n">
        <x:v>857</x:v>
      </x:c>
      <x:c r="D54" t="n">
        <x:v>535</x:v>
      </x:c>
      <x:c r="E54" t="n">
        <x:f>SUM(H54:O54)</x:f>
        <x:v>534</x:v>
      </x:c>
      <x:c r="F54" t="n">
        <x:v>1</x:v>
      </x:c>
      <x:c r="G54" s="50" t="n">
        <x:f>IF(C54="","",IFERROR(D54/C54,0))</x:f>
        <x:v>0.6242707117852976</x:v>
      </x:c>
      <x:c r="H54" s="36" t="n">
        <x:v>10</x:v>
      </x:c>
      <x:c r="I54" t="n">
        <x:v>266</x:v>
      </x:c>
      <x:c r="J54" t="n">
        <x:v>245</x:v>
      </x:c>
      <x:c r="K54" t="n">
        <x:v>4</x:v>
      </x:c>
      <x:c r="L54" t="n">
        <x:v>4</x:v>
      </x:c>
      <x:c r="M54" t="n">
        <x:v>1</x:v>
      </x:c>
      <x:c r="N54" t="n">
        <x:v>3</x:v>
      </x:c>
      <x:c r="O54" t="n">
        <x:v>1</x:v>
      </x:c>
      <x:c r="P54" s="50" t="n">
        <x:f>IF(D54=0,"",H54/D54)</x:f>
        <x:v>0.018691588785046728</x:v>
      </x:c>
      <x:c r="Q54" t="n">
        <x:f>MAX(I54:O54)</x:f>
        <x:v>266</x:v>
      </x:c>
      <x:c r="R54" t="n">
        <x:f>H54-Q54</x:f>
        <x:v>-256</x:v>
      </x:c>
      <x:c r="S54" s="52" t="n">
        <x:f>IF(D54=0,"",(R54)/D54)</x:f>
        <x:v>-0.4785046728971963</x:v>
      </x:c>
      <x:c r="T54" t="str">
        <x:v>Dhirendra Singh</x:v>
      </x:c>
      <x:c r="U54" t="n">
        <x:f>D54-E54-F54</x:f>
        <x:v>0</x:v>
      </x:c>
    </x:row>
    <x:row r="55">
      <x:c r="A55" t="n">
        <x:v>47</x:v>
      </x:c>
      <x:c r="B55" t="str">
        <x:v>PATEL I.C. ASTAULI R.NO.-1</x:v>
      </x:c>
      <x:c r="C55" t="n">
        <x:v>1148</x:v>
      </x:c>
      <x:c r="D55" t="n">
        <x:v>722</x:v>
      </x:c>
      <x:c r="E55" t="n">
        <x:f>SUM(H55:O55)</x:f>
        <x:v>720</x:v>
      </x:c>
      <x:c r="F55" t="n">
        <x:v>2</x:v>
      </x:c>
      <x:c r="G55" s="50" t="n">
        <x:f>IF(C55="","",IFERROR(D55/C55,0))</x:f>
        <x:v>0.6289198606271778</x:v>
      </x:c>
      <x:c r="H55" s="36" t="n">
        <x:v>168</x:v>
      </x:c>
      <x:c r="I55" t="n">
        <x:v>194</x:v>
      </x:c>
      <x:c r="J55" t="n">
        <x:v>344</x:v>
      </x:c>
      <x:c r="K55" t="n">
        <x:v>2</x:v>
      </x:c>
      <x:c r="L55" t="n">
        <x:v>5</x:v>
      </x:c>
      <x:c r="M55" t="n">
        <x:v>4</x:v>
      </x:c>
      <x:c r="N55" t="n">
        <x:v>3</x:v>
      </x:c>
      <x:c r="O55" t="n">
        <x:v>0</x:v>
      </x:c>
      <x:c r="P55" s="50" t="n">
        <x:f>IF(D55=0,"",H55/D55)</x:f>
        <x:v>0.23268698060941828</x:v>
      </x:c>
      <x:c r="Q55" t="n">
        <x:f>MAX(I55:O55)</x:f>
        <x:v>344</x:v>
      </x:c>
      <x:c r="R55" t="n">
        <x:f>H55-Q55</x:f>
        <x:v>-176</x:v>
      </x:c>
      <x:c r="S55" s="52" t="n">
        <x:f>IF(D55=0,"",(R55)/D55)</x:f>
        <x:v>-0.24376731301939059</x:v>
      </x:c>
      <x:c r="T55" t="str">
        <x:v>Vedram Bhati</x:v>
      </x:c>
      <x:c r="U55" t="n">
        <x:f>D55-E55-F55</x:f>
        <x:v>0</x:v>
      </x:c>
    </x:row>
    <x:row r="56">
      <x:c r="A56" t="n">
        <x:v>48</x:v>
      </x:c>
      <x:c r="B56" t="str">
        <x:v>PATEL I.C. ASTAULI R.NO.-2</x:v>
      </x:c>
      <x:c r="C56" t="n">
        <x:v>1294</x:v>
      </x:c>
      <x:c r="D56" t="n">
        <x:v>872</x:v>
      </x:c>
      <x:c r="E56" t="n">
        <x:f>SUM(H56:O56)</x:f>
        <x:v>870</x:v>
      </x:c>
      <x:c r="F56" t="n">
        <x:v>2</x:v>
      </x:c>
      <x:c r="G56" s="50" t="n">
        <x:f>IF(C56="","",IFERROR(D56/C56,0))</x:f>
        <x:v>0.6738794435857806</x:v>
      </x:c>
      <x:c r="H56" s="36" t="n">
        <x:v>260</x:v>
      </x:c>
      <x:c r="I56" t="n">
        <x:v>365</x:v>
      </x:c>
      <x:c r="J56" t="n">
        <x:v>229</x:v>
      </x:c>
      <x:c r="K56" t="n">
        <x:v>8</x:v>
      </x:c>
      <x:c r="L56" t="n">
        <x:v>2</x:v>
      </x:c>
      <x:c r="M56" t="n">
        <x:v>3</x:v>
      </x:c>
      <x:c r="N56" t="n">
        <x:v>3</x:v>
      </x:c>
      <x:c r="O56" t="n">
        <x:v>0</x:v>
      </x:c>
      <x:c r="P56" s="50" t="n">
        <x:f>IF(D56=0,"",H56/D56)</x:f>
        <x:v>0.2981651376146789</x:v>
      </x:c>
      <x:c r="Q56" t="n">
        <x:f>MAX(I56:O56)</x:f>
        <x:v>365</x:v>
      </x:c>
      <x:c r="R56" t="n">
        <x:f>H56-Q56</x:f>
        <x:v>-105</x:v>
      </x:c>
      <x:c r="S56" s="52" t="n">
        <x:f>IF(D56=0,"",(R56)/D56)</x:f>
        <x:v>-0.12041284403669725</x:v>
      </x:c>
      <x:c r="T56" t="str">
        <x:v>Dhirendra Singh</x:v>
      </x:c>
      <x:c r="U56" t="n">
        <x:f>D56-E56-F56</x:f>
        <x:v>0</x:v>
      </x:c>
    </x:row>
    <x:row r="57">
      <x:c r="A57" t="n">
        <x:v>49</x:v>
      </x:c>
      <x:c r="B57" t="str">
        <x:v>CH. LAXMINARAYAN I.C. MANDI SHYAM NAGAR URF KHERLI HAFIZPUR R. NO.-1</x:v>
      </x:c>
      <x:c r="C57" t="n">
        <x:v>1106</x:v>
      </x:c>
      <x:c r="D57" t="n">
        <x:v>704</x:v>
      </x:c>
      <x:c r="E57" t="n">
        <x:f>SUM(H57:O57)</x:f>
        <x:v>701</x:v>
      </x:c>
      <x:c r="F57" t="n">
        <x:v>3</x:v>
      </x:c>
      <x:c r="G57" s="50" t="n">
        <x:f>IF(C57="","",IFERROR(D57/C57,0))</x:f>
        <x:v>0.6365280289330922</x:v>
      </x:c>
      <x:c r="H57" s="36" t="n">
        <x:v>61</x:v>
      </x:c>
      <x:c r="I57" t="n">
        <x:v>271</x:v>
      </x:c>
      <x:c r="J57" t="n">
        <x:v>350</x:v>
      </x:c>
      <x:c r="K57" t="n">
        <x:v>7</x:v>
      </x:c>
      <x:c r="L57" t="n">
        <x:v>5</x:v>
      </x:c>
      <x:c r="M57" t="n">
        <x:v>2</x:v>
      </x:c>
      <x:c r="N57" t="n">
        <x:v>2</x:v>
      </x:c>
      <x:c r="O57" t="n">
        <x:v>3</x:v>
      </x:c>
      <x:c r="P57" s="50" t="n">
        <x:f>IF(D57=0,"",H57/D57)</x:f>
        <x:v>0.08664772727272728</x:v>
      </x:c>
      <x:c r="Q57" t="n">
        <x:f>MAX(I57:O57)</x:f>
        <x:v>350</x:v>
      </x:c>
      <x:c r="R57" t="n">
        <x:f>H57-Q57</x:f>
        <x:v>-289</x:v>
      </x:c>
      <x:c r="S57" s="52" t="n">
        <x:f>IF(D57=0,"",(R57)/D57)</x:f>
        <x:v>-0.41051136363636365</x:v>
      </x:c>
      <x:c r="T57" t="str">
        <x:v>Vedram Bhati</x:v>
      </x:c>
      <x:c r="U57" t="n">
        <x:f>D57-E57-F57</x:f>
        <x:v>0</x:v>
      </x:c>
    </x:row>
    <x:row r="58">
      <x:c r="A58" t="n">
        <x:v>50</x:v>
      </x:c>
      <x:c r="B58" t="str">
        <x:v>CH. LAXMINARAYAN I.C. MANDI SHYAMNAGAR URF KHERLI HAFIZPUR R.NO.-2</x:v>
      </x:c>
      <x:c r="C58" t="n">
        <x:v>1332</x:v>
      </x:c>
      <x:c r="D58" t="n">
        <x:v>822</x:v>
      </x:c>
      <x:c r="E58" t="n">
        <x:f>SUM(H58:O58)</x:f>
        <x:v>820</x:v>
      </x:c>
      <x:c r="F58" t="n">
        <x:v>2</x:v>
      </x:c>
      <x:c r="G58" s="50" t="n">
        <x:f>IF(C58="","",IFERROR(D58/C58,0))</x:f>
        <x:v>0.6171171171171171</x:v>
      </x:c>
      <x:c r="H58" s="36" t="n">
        <x:v>32</x:v>
      </x:c>
      <x:c r="I58" t="n">
        <x:v>569</x:v>
      </x:c>
      <x:c r="J58" t="n">
        <x:v>197</x:v>
      </x:c>
      <x:c r="K58" t="n">
        <x:v>13</x:v>
      </x:c>
      <x:c r="L58" t="n">
        <x:v>2</x:v>
      </x:c>
      <x:c r="M58" t="n">
        <x:v>3</x:v>
      </x:c>
      <x:c r="N58" t="n">
        <x:v>4</x:v>
      </x:c>
      <x:c r="O58" t="n">
        <x:v>0</x:v>
      </x:c>
      <x:c r="P58" s="50" t="n">
        <x:f>IF(D58=0,"",H58/D58)</x:f>
        <x:v>0.038929440389294405</x:v>
      </x:c>
      <x:c r="Q58" t="n">
        <x:f>MAX(I58:O58)</x:f>
        <x:v>569</x:v>
      </x:c>
      <x:c r="R58" t="n">
        <x:f>H58-Q58</x:f>
        <x:v>-537</x:v>
      </x:c>
      <x:c r="S58" s="52" t="n">
        <x:f>IF(D58=0,"",(R58)/D58)</x:f>
        <x:v>-0.6532846715328468</x:v>
      </x:c>
      <x:c r="T58" t="str">
        <x:v>Dhirendra Singh</x:v>
      </x:c>
      <x:c r="U58" t="n">
        <x:f>D58-E58-F58</x:f>
        <x:v>0</x:v>
      </x:c>
    </x:row>
    <x:row r="59">
      <x:c r="A59" t="n">
        <x:v>51</x:v>
      </x:c>
      <x:c r="B59" t="str">
        <x:v>CH. LAXMINARAYAN I.C. MANDI SHYAMNAGAR URF KHERLI HAFIZPUR R.NO.-3</x:v>
      </x:c>
      <x:c r="C59" t="n">
        <x:v>876</x:v>
      </x:c>
      <x:c r="D59" t="n">
        <x:v>587</x:v>
      </x:c>
      <x:c r="E59" t="n">
        <x:f>SUM(H59:O59)</x:f>
        <x:v>578</x:v>
      </x:c>
      <x:c r="F59" t="n">
        <x:v>9</x:v>
      </x:c>
      <x:c r="G59" s="50" t="n">
        <x:f>IF(C59="","",IFERROR(D59/C59,0))</x:f>
        <x:v>0.6700913242009132</x:v>
      </x:c>
      <x:c r="H59" s="36" t="n">
        <x:v>11</x:v>
      </x:c>
      <x:c r="I59" t="n">
        <x:v>423</x:v>
      </x:c>
      <x:c r="J59" t="n">
        <x:v>127</x:v>
      </x:c>
      <x:c r="K59" t="n">
        <x:v>6</x:v>
      </x:c>
      <x:c r="L59" t="n">
        <x:v>1</x:v>
      </x:c>
      <x:c r="M59" t="n">
        <x:v>5</x:v>
      </x:c>
      <x:c r="N59" t="n">
        <x:v>1</x:v>
      </x:c>
      <x:c r="O59" t="n">
        <x:v>4</x:v>
      </x:c>
      <x:c r="P59" s="50" t="n">
        <x:f>IF(D59=0,"",H59/D59)</x:f>
        <x:v>0.018739352640545145</x:v>
      </x:c>
      <x:c r="Q59" t="n">
        <x:f>MAX(I59:O59)</x:f>
        <x:v>423</x:v>
      </x:c>
      <x:c r="R59" t="n">
        <x:f>H59-Q59</x:f>
        <x:v>-412</x:v>
      </x:c>
      <x:c r="S59" s="52" t="n">
        <x:f>IF(D59=0,"",(R59)/D59)</x:f>
        <x:v>-0.7018739352640545</x:v>
      </x:c>
      <x:c r="T59" t="str">
        <x:v>Dhirendra Singh</x:v>
      </x:c>
      <x:c r="U59" t="n">
        <x:f>D59-E59-F59</x:f>
        <x:v>0</x:v>
      </x:c>
    </x:row>
    <x:row r="60">
      <x:c r="A60" t="n">
        <x:v>52</x:v>
      </x:c>
      <x:c r="B60" t="str">
        <x:v>CH. LAXMI NARAYAN I.C. MANDI SHYAMNAGAR URF KHERLI HAFIZPUR R.NO.-4</x:v>
      </x:c>
      <x:c r="C60" t="n">
        <x:v>696</x:v>
      </x:c>
      <x:c r="D60" t="n">
        <x:v>411</x:v>
      </x:c>
      <x:c r="E60" t="n">
        <x:f>SUM(H60:O60)</x:f>
        <x:v>409</x:v>
      </x:c>
      <x:c r="F60" t="n">
        <x:v>2</x:v>
      </x:c>
      <x:c r="G60" s="50" t="n">
        <x:f>IF(C60="","",IFERROR(D60/C60,0))</x:f>
        <x:v>0.5905172413793104</x:v>
      </x:c>
      <x:c r="H60" s="36" t="n">
        <x:v>5</x:v>
      </x:c>
      <x:c r="I60" t="n">
        <x:v>309</x:v>
      </x:c>
      <x:c r="J60" t="n">
        <x:v>83</x:v>
      </x:c>
      <x:c r="K60" t="n">
        <x:v>5</x:v>
      </x:c>
      <x:c r="L60" t="n">
        <x:v>2</x:v>
      </x:c>
      <x:c r="M60" t="n">
        <x:v>0</x:v>
      </x:c>
      <x:c r="N60" t="n">
        <x:v>1</x:v>
      </x:c>
      <x:c r="O60" t="n">
        <x:v>4</x:v>
      </x:c>
      <x:c r="P60" s="50" t="n">
        <x:f>IF(D60=0,"",H60/D60)</x:f>
        <x:v>0.012165450121654502</x:v>
      </x:c>
      <x:c r="Q60" t="n">
        <x:f>MAX(I60:O60)</x:f>
        <x:v>309</x:v>
      </x:c>
      <x:c r="R60" t="n">
        <x:f>H60-Q60</x:f>
        <x:v>-304</x:v>
      </x:c>
      <x:c r="S60" s="52" t="n">
        <x:f>IF(D60=0,"",(R60)/D60)</x:f>
        <x:v>-0.7396593673965937</x:v>
      </x:c>
      <x:c r="T60" t="str">
        <x:v>Dhirendra Singh</x:v>
      </x:c>
      <x:c r="U60" t="n">
        <x:f>D60-E60-F60</x:f>
        <x:v>0</x:v>
      </x:c>
    </x:row>
    <x:row r="61">
      <x:c r="A61" t="n">
        <x:v>53</x:v>
      </x:c>
      <x:c r="B61" t="str">
        <x:v>CH. LAXMI NARAYAN I.C. MANDI SHYAMNAGAR URF KHERLI HAFIZPUR R.NO.-5</x:v>
      </x:c>
      <x:c r="C61" t="n">
        <x:v>1150</x:v>
      </x:c>
      <x:c r="D61" t="n">
        <x:v>709</x:v>
      </x:c>
      <x:c r="E61" t="n">
        <x:f>SUM(H61:O61)</x:f>
        <x:v>704</x:v>
      </x:c>
      <x:c r="F61" t="n">
        <x:v>5</x:v>
      </x:c>
      <x:c r="G61" s="50" t="n">
        <x:f>IF(C61="","",IFERROR(D61/C61,0))</x:f>
        <x:v>0.6165217391304347</x:v>
      </x:c>
      <x:c r="H61" s="36" t="n">
        <x:v>29</x:v>
      </x:c>
      <x:c r="I61" t="n">
        <x:v>423</x:v>
      </x:c>
      <x:c r="J61" t="n">
        <x:v>224</x:v>
      </x:c>
      <x:c r="K61" t="n">
        <x:v>14</x:v>
      </x:c>
      <x:c r="L61" t="n">
        <x:v>5</x:v>
      </x:c>
      <x:c r="M61" t="n">
        <x:v>5</x:v>
      </x:c>
      <x:c r="N61" t="n">
        <x:v>2</x:v>
      </x:c>
      <x:c r="O61" t="n">
        <x:v>2</x:v>
      </x:c>
      <x:c r="P61" s="50" t="n">
        <x:f>IF(D61=0,"",H61/D61)</x:f>
        <x:v>0.04090267983074753</x:v>
      </x:c>
      <x:c r="Q61" t="n">
        <x:f>MAX(I61:O61)</x:f>
        <x:v>423</x:v>
      </x:c>
      <x:c r="R61" t="n">
        <x:f>H61-Q61</x:f>
        <x:v>-394</x:v>
      </x:c>
      <x:c r="S61" s="52" t="n">
        <x:f>IF(D61=0,"",(R61)/D61)</x:f>
        <x:v>-0.5557122708039492</x:v>
      </x:c>
      <x:c r="T61" t="str">
        <x:v>Dhirendra Singh</x:v>
      </x:c>
      <x:c r="U61" t="n">
        <x:f>D61-E61-F61</x:f>
        <x:v>0</x:v>
      </x:c>
    </x:row>
    <x:row r="62">
      <x:c r="A62" t="n">
        <x:v>54</x:v>
      </x:c>
      <x:c r="B62" t="str">
        <x:v>PRY. SCHOOL PANCHAYATAN INAYATPUR R.NO. 1</x:v>
      </x:c>
      <x:c r="C62" t="n">
        <x:v>1294</x:v>
      </x:c>
      <x:c r="D62" t="n">
        <x:v>890</x:v>
      </x:c>
      <x:c r="E62" t="n">
        <x:f>SUM(H62:O62)</x:f>
        <x:v>882</x:v>
      </x:c>
      <x:c r="F62" t="n">
        <x:v>8</x:v>
      </x:c>
      <x:c r="G62" s="50" t="n">
        <x:f>IF(C62="","",IFERROR(D62/C62,0))</x:f>
        <x:v>0.6877897990726429</x:v>
      </x:c>
      <x:c r="H62" s="36" t="n">
        <x:v>22</x:v>
      </x:c>
      <x:c r="I62" t="n">
        <x:v>176</x:v>
      </x:c>
      <x:c r="J62" t="n">
        <x:v>636</x:v>
      </x:c>
      <x:c r="K62" t="n">
        <x:v>17</x:v>
      </x:c>
      <x:c r="L62" t="n">
        <x:v>11</x:v>
      </x:c>
      <x:c r="M62" t="n">
        <x:v>10</x:v>
      </x:c>
      <x:c r="N62" t="n">
        <x:v>7</x:v>
      </x:c>
      <x:c r="O62" t="n">
        <x:v>3</x:v>
      </x:c>
      <x:c r="P62" s="50" t="n">
        <x:f>IF(D62=0,"",H62/D62)</x:f>
        <x:v>0.024719101123595506</x:v>
      </x:c>
      <x:c r="Q62" t="n">
        <x:f>MAX(I62:O62)</x:f>
        <x:v>636</x:v>
      </x:c>
      <x:c r="R62" t="n">
        <x:f>H62-Q62</x:f>
        <x:v>-614</x:v>
      </x:c>
      <x:c r="S62" s="52" t="n">
        <x:f>IF(D62=0,"",(R62)/D62)</x:f>
        <x:v>-0.6898876404494382</x:v>
      </x:c>
      <x:c r="T62" t="str">
        <x:v>Vedram Bhati</x:v>
      </x:c>
      <x:c r="U62" t="n">
        <x:f>D62-E62-F62</x:f>
        <x:v>0</x:v>
      </x:c>
    </x:row>
    <x:row r="63">
      <x:c r="A63" t="n">
        <x:v>55</x:v>
      </x:c>
      <x:c r="B63" t="str">
        <x:v>UCHCHA PRY. VIDHYALAYA GIRDHARPUR R.NO. 1</x:v>
      </x:c>
      <x:c r="C63" t="n">
        <x:v>1342</x:v>
      </x:c>
      <x:c r="D63" t="n">
        <x:v>1101</x:v>
      </x:c>
      <x:c r="E63" t="n">
        <x:f>SUM(H63:O63)</x:f>
        <x:v>1092</x:v>
      </x:c>
      <x:c r="F63" t="n">
        <x:v>9</x:v>
      </x:c>
      <x:c r="G63" s="50" t="n">
        <x:f>IF(C63="","",IFERROR(D63/C63,0))</x:f>
        <x:v>0.8204172876304023</x:v>
      </x:c>
      <x:c r="H63" s="36" t="n">
        <x:v>8</x:v>
      </x:c>
      <x:c r="I63" t="n">
        <x:v>176</x:v>
      </x:c>
      <x:c r="J63" t="n">
        <x:v>872</x:v>
      </x:c>
      <x:c r="K63" t="n">
        <x:v>16</x:v>
      </x:c>
      <x:c r="L63" t="n">
        <x:v>9</x:v>
      </x:c>
      <x:c r="M63" t="n">
        <x:v>6</x:v>
      </x:c>
      <x:c r="N63" t="n">
        <x:v>4</x:v>
      </x:c>
      <x:c r="O63" t="n">
        <x:v>1</x:v>
      </x:c>
      <x:c r="P63" s="50" t="n">
        <x:f>IF(D63=0,"",H63/D63)</x:f>
        <x:v>0.007266121707538601</x:v>
      </x:c>
      <x:c r="Q63" t="n">
        <x:f>MAX(I63:O63)</x:f>
        <x:v>872</x:v>
      </x:c>
      <x:c r="R63" t="n">
        <x:f>H63-Q63</x:f>
        <x:v>-864</x:v>
      </x:c>
      <x:c r="S63" s="52" t="n">
        <x:f>IF(D63=0,"",(R63)/D63)</x:f>
        <x:v>-0.784741144414169</x:v>
      </x:c>
      <x:c r="T63" t="str">
        <x:v>Vedram Bhati</x:v>
      </x:c>
      <x:c r="U63" t="n">
        <x:f>D63-E63-F63</x:f>
        <x:v>0</x:v>
      </x:c>
    </x:row>
    <x:row r="64">
      <x:c r="A64" t="n">
        <x:v>56</x:v>
      </x:c>
      <x:c r="B64" t="str">
        <x:v>PRY. SCHOOL RAUNI R.NO. 1</x:v>
      </x:c>
      <x:c r="C64" t="n">
        <x:v>858</x:v>
      </x:c>
      <x:c r="D64" t="n">
        <x:v>670</x:v>
      </x:c>
      <x:c r="E64" t="n">
        <x:f>SUM(H64:O64)</x:f>
        <x:v>667</x:v>
      </x:c>
      <x:c r="F64" t="n">
        <x:v>3</x:v>
      </x:c>
      <x:c r="G64" s="50" t="n">
        <x:f>IF(C64="","",IFERROR(D64/C64,0))</x:f>
        <x:v>0.7808857808857809</x:v>
      </x:c>
      <x:c r="H64" s="36" t="n">
        <x:v>23</x:v>
      </x:c>
      <x:c r="I64" t="n">
        <x:v>160</x:v>
      </x:c>
      <x:c r="J64" t="n">
        <x:v>480</x:v>
      </x:c>
      <x:c r="K64" t="n">
        <x:v>0</x:v>
      </x:c>
      <x:c r="L64" t="n">
        <x:v>3</x:v>
      </x:c>
      <x:c r="M64" t="n">
        <x:v>0</x:v>
      </x:c>
      <x:c r="N64" t="n">
        <x:v>1</x:v>
      </x:c>
      <x:c r="O64" t="n">
        <x:v>0</x:v>
      </x:c>
      <x:c r="P64" s="50" t="n">
        <x:f>IF(D64=0,"",H64/D64)</x:f>
        <x:v>0.034328358208955224</x:v>
      </x:c>
      <x:c r="Q64" t="n">
        <x:f>MAX(I64:O64)</x:f>
        <x:v>480</x:v>
      </x:c>
      <x:c r="R64" t="n">
        <x:f>H64-Q64</x:f>
        <x:v>-457</x:v>
      </x:c>
      <x:c r="S64" s="52" t="n">
        <x:f>IF(D64=0,"",(R64)/D64)</x:f>
        <x:v>-0.682089552238806</x:v>
      </x:c>
      <x:c r="T64" t="str">
        <x:v>Vedram Bhati</x:v>
      </x:c>
      <x:c r="U64" t="n">
        <x:f>D64-E64-F64</x:f>
        <x:v>0</x:v>
      </x:c>
    </x:row>
    <x:row r="65">
      <x:c r="A65" t="n">
        <x:v>57</x:v>
      </x:c>
      <x:c r="B65" t="str">
        <x:v>J. H. SCHOOL SALEMPUR GUJAR R.NO. 1</x:v>
      </x:c>
      <x:c r="C65" t="n">
        <x:v>1292</x:v>
      </x:c>
      <x:c r="D65" t="n">
        <x:v>877</x:v>
      </x:c>
      <x:c r="E65" t="n">
        <x:f>SUM(H65:O65)</x:f>
        <x:v>864</x:v>
      </x:c>
      <x:c r="F65" t="n">
        <x:v>13</x:v>
      </x:c>
      <x:c r="G65" s="50" t="n">
        <x:f>IF(C65="","",IFERROR(D65/C65,0))</x:f>
        <x:v>0.6787925696594427</x:v>
      </x:c>
      <x:c r="H65" s="36" t="n">
        <x:v>61</x:v>
      </x:c>
      <x:c r="I65" t="n">
        <x:v>398</x:v>
      </x:c>
      <x:c r="J65" t="n">
        <x:v>344</x:v>
      </x:c>
      <x:c r="K65" t="n">
        <x:v>22</x:v>
      </x:c>
      <x:c r="L65" t="n">
        <x:v>7</x:v>
      </x:c>
      <x:c r="M65" t="n">
        <x:v>13</x:v>
      </x:c>
      <x:c r="N65" t="n">
        <x:v>8</x:v>
      </x:c>
      <x:c r="O65" t="n">
        <x:v>11</x:v>
      </x:c>
      <x:c r="P65" s="50" t="n">
        <x:f>IF(D65=0,"",H65/D65)</x:f>
        <x:v>0.06955530216647662</x:v>
      </x:c>
      <x:c r="Q65" t="n">
        <x:f>MAX(I65:O65)</x:f>
        <x:v>398</x:v>
      </x:c>
      <x:c r="R65" t="n">
        <x:f>H65-Q65</x:f>
        <x:v>-337</x:v>
      </x:c>
      <x:c r="S65" s="52" t="n">
        <x:f>IF(D65=0,"",(R65)/D65)</x:f>
        <x:v>-0.38426453819840367</x:v>
      </x:c>
      <x:c r="T65" t="str">
        <x:v>Dhirendra Singh</x:v>
      </x:c>
      <x:c r="U65" t="n">
        <x:f>D65-E65-F65</x:f>
        <x:v>0</x:v>
      </x:c>
    </x:row>
    <x:row r="66">
      <x:c r="A66" t="n">
        <x:v>58</x:v>
      </x:c>
      <x:c r="B66" t="str">
        <x:v>J. H. SCHOOL SALEMPUR GUJAR R.NO. 2</x:v>
      </x:c>
      <x:c r="C66" t="n">
        <x:v>993</x:v>
      </x:c>
      <x:c r="D66" t="n">
        <x:v>588</x:v>
      </x:c>
      <x:c r="E66" t="n">
        <x:f>SUM(H66:O66)</x:f>
        <x:v>586</x:v>
      </x:c>
      <x:c r="F66" t="n">
        <x:v>2</x:v>
      </x:c>
      <x:c r="G66" s="50" t="n">
        <x:f>IF(C66="","",IFERROR(D66/C66,0))</x:f>
        <x:v>0.5921450151057401</x:v>
      </x:c>
      <x:c r="H66" s="36" t="n">
        <x:v>45</x:v>
      </x:c>
      <x:c r="I66" t="n">
        <x:v>232</x:v>
      </x:c>
      <x:c r="J66" t="n">
        <x:v>292</x:v>
      </x:c>
      <x:c r="K66" t="n">
        <x:v>1</x:v>
      </x:c>
      <x:c r="L66" t="n">
        <x:v>7</x:v>
      </x:c>
      <x:c r="M66" t="n">
        <x:v>6</x:v>
      </x:c>
      <x:c r="N66" t="n">
        <x:v>2</x:v>
      </x:c>
      <x:c r="O66" t="n">
        <x:v>1</x:v>
      </x:c>
      <x:c r="P66" s="50" t="n">
        <x:f>IF(D66=0,"",H66/D66)</x:f>
        <x:v>0.07653061224489796</x:v>
      </x:c>
      <x:c r="Q66" t="n">
        <x:f>MAX(I66:O66)</x:f>
        <x:v>292</x:v>
      </x:c>
      <x:c r="R66" t="n">
        <x:f>H66-Q66</x:f>
        <x:v>-247</x:v>
      </x:c>
      <x:c r="S66" s="52" t="n">
        <x:f>IF(D66=0,"",(R66)/D66)</x:f>
        <x:v>-0.4200680272108844</x:v>
      </x:c>
      <x:c r="T66" t="str">
        <x:v>Vedram Bhati</x:v>
      </x:c>
      <x:c r="U66" t="n">
        <x:f>D66-E66-F66</x:f>
        <x:v>0</x:v>
      </x:c>
    </x:row>
    <x:row r="67">
      <x:c r="A67" t="n">
        <x:v>59</x:v>
      </x:c>
      <x:c r="B67" t="str">
        <x:v>J. H. SCHOOL SALEMPUR GUJAR R.NO. 3</x:v>
      </x:c>
      <x:c r="C67" t="n">
        <x:v>859</x:v>
      </x:c>
      <x:c r="D67" t="n">
        <x:v>568</x:v>
      </x:c>
      <x:c r="E67" t="n">
        <x:f>SUM(H67:O67)</x:f>
        <x:v>566</x:v>
      </x:c>
      <x:c r="F67" t="n">
        <x:v>2</x:v>
      </x:c>
      <x:c r="G67" s="50" t="n">
        <x:f>IF(C67="","",IFERROR(D67/C67,0))</x:f>
        <x:v>0.6612339930151339</x:v>
      </x:c>
      <x:c r="H67" s="36" t="n">
        <x:v>23</x:v>
      </x:c>
      <x:c r="I67" t="n">
        <x:v>122</x:v>
      </x:c>
      <x:c r="J67" t="n">
        <x:v>401</x:v>
      </x:c>
      <x:c r="K67" t="n">
        <x:v>7</x:v>
      </x:c>
      <x:c r="L67" t="n">
        <x:v>5</x:v>
      </x:c>
      <x:c r="M67" t="n">
        <x:v>4</x:v>
      </x:c>
      <x:c r="N67" t="n">
        <x:v>2</x:v>
      </x:c>
      <x:c r="O67" t="n">
        <x:v>2</x:v>
      </x:c>
      <x:c r="P67" s="50" t="n">
        <x:f>IF(D67=0,"",H67/D67)</x:f>
        <x:v>0.040492957746478875</x:v>
      </x:c>
      <x:c r="Q67" t="n">
        <x:f>MAX(I67:O67)</x:f>
        <x:v>401</x:v>
      </x:c>
      <x:c r="R67" t="n">
        <x:f>H67-Q67</x:f>
        <x:v>-378</x:v>
      </x:c>
      <x:c r="S67" s="52" t="n">
        <x:f>IF(D67=0,"",(R67)/D67)</x:f>
        <x:v>-0.6654929577464789</x:v>
      </x:c>
      <x:c r="T67" t="str">
        <x:v>Vedram Bhati</x:v>
      </x:c>
      <x:c r="U67" t="n">
        <x:f>D67-E67-F67</x:f>
        <x:v>0</x:v>
      </x:c>
    </x:row>
    <x:row r="68">
      <x:c r="A68" t="n">
        <x:v>60</x:v>
      </x:c>
      <x:c r="B68" t="str">
        <x:v>PRY. SCHOOL AMINABAD URF NYANA R.NO. 1</x:v>
      </x:c>
      <x:c r="C68" t="n">
        <x:v>1080</x:v>
      </x:c>
      <x:c r="D68" t="n">
        <x:v>707</x:v>
      </x:c>
      <x:c r="E68" t="n">
        <x:f>SUM(H68:O68)</x:f>
        <x:v>706</x:v>
      </x:c>
      <x:c r="F68" t="n">
        <x:v>1</x:v>
      </x:c>
      <x:c r="G68" s="50" t="n">
        <x:f>IF(C68="","",IFERROR(D68/C68,0))</x:f>
        <x:v>0.6546296296296297</x:v>
      </x:c>
      <x:c r="H68" s="36" t="n">
        <x:v>53</x:v>
      </x:c>
      <x:c r="I68" t="n">
        <x:v>405</x:v>
      </x:c>
      <x:c r="J68" t="n">
        <x:v>234</x:v>
      </x:c>
      <x:c r="K68" t="n">
        <x:v>2</x:v>
      </x:c>
      <x:c r="L68" t="n">
        <x:v>7</x:v>
      </x:c>
      <x:c r="M68" t="n">
        <x:v>1</x:v>
      </x:c>
      <x:c r="N68" t="n">
        <x:v>1</x:v>
      </x:c>
      <x:c r="O68" t="n">
        <x:v>3</x:v>
      </x:c>
      <x:c r="P68" s="50" t="n">
        <x:f>IF(D68=0,"",H68/D68)</x:f>
        <x:v>0.07496463932107496</x:v>
      </x:c>
      <x:c r="Q68" t="n">
        <x:f>MAX(I68:O68)</x:f>
        <x:v>405</x:v>
      </x:c>
      <x:c r="R68" t="n">
        <x:f>H68-Q68</x:f>
        <x:v>-352</x:v>
      </x:c>
      <x:c r="S68" s="52" t="n">
        <x:f>IF(D68=0,"",(R68)/D68)</x:f>
        <x:v>-0.49787835926449786</x:v>
      </x:c>
      <x:c r="T68" t="str">
        <x:v>Dhirendra Singh</x:v>
      </x:c>
      <x:c r="U68" t="n">
        <x:f>D68-E68-F68</x:f>
        <x:v>0</x:v>
      </x:c>
    </x:row>
    <x:row r="69">
      <x:c r="A69" t="n">
        <x:v>61</x:v>
      </x:c>
      <x:c r="B69" t="str">
        <x:v>PRY. SCHOOL RAMPUR MAZRA R.NO. 1</x:v>
      </x:c>
      <x:c r="C69" t="n">
        <x:v>1366</x:v>
      </x:c>
      <x:c r="D69" t="n">
        <x:v>972</x:v>
      </x:c>
      <x:c r="E69" t="n">
        <x:f>SUM(H69:O69)</x:f>
        <x:v>969</x:v>
      </x:c>
      <x:c r="F69" t="n">
        <x:v>3</x:v>
      </x:c>
      <x:c r="G69" s="50" t="n">
        <x:f>IF(C69="","",IFERROR(D69/C69,0))</x:f>
        <x:v>0.7115666178623719</x:v>
      </x:c>
      <x:c r="H69" s="36" t="n">
        <x:v>28</x:v>
      </x:c>
      <x:c r="I69" t="n">
        <x:v>182</x:v>
      </x:c>
      <x:c r="J69" t="n">
        <x:v>744</x:v>
      </x:c>
      <x:c r="K69" t="n">
        <x:v>4</x:v>
      </x:c>
      <x:c r="L69" t="n">
        <x:v>5</x:v>
      </x:c>
      <x:c r="M69" t="n">
        <x:v>0</x:v>
      </x:c>
      <x:c r="N69" t="n">
        <x:v>1</x:v>
      </x:c>
      <x:c r="O69" t="n">
        <x:v>5</x:v>
      </x:c>
      <x:c r="P69" s="50" t="n">
        <x:f>IF(D69=0,"",H69/D69)</x:f>
        <x:v>0.02880658436213992</x:v>
      </x:c>
      <x:c r="Q69" t="n">
        <x:f>MAX(I69:O69)</x:f>
        <x:v>744</x:v>
      </x:c>
      <x:c r="R69" t="n">
        <x:f>H69-Q69</x:f>
        <x:v>-716</x:v>
      </x:c>
      <x:c r="S69" s="52" t="n">
        <x:f>IF(D69=0,"",(R69)/D69)</x:f>
        <x:v>-0.7366255144032922</x:v>
      </x:c>
      <x:c r="T69" t="str">
        <x:v>Vedram Bhati</x:v>
      </x:c>
      <x:c r="U69" t="n">
        <x:f>D69-E69-F69</x:f>
        <x:v>0</x:v>
      </x:c>
    </x:row>
    <x:row r="70">
      <x:c r="A70" t="n">
        <x:v>62</x:v>
      </x:c>
      <x:c r="B70" t="str">
        <x:v>PRY. SCHOOL KULIPURA R.NO. 1</x:v>
      </x:c>
      <x:c r="C70" t="n">
        <x:v>995</x:v>
      </x:c>
      <x:c r="D70" t="n">
        <x:v>608</x:v>
      </x:c>
      <x:c r="E70" t="n">
        <x:f>SUM(H70:O70)</x:f>
        <x:v>605</x:v>
      </x:c>
      <x:c r="F70" t="n">
        <x:v>3</x:v>
      </x:c>
      <x:c r="G70" s="50" t="n">
        <x:f>IF(C70="","",IFERROR(D70/C70,0))</x:f>
        <x:v>0.6110552763819096</x:v>
      </x:c>
      <x:c r="H70" s="36" t="n">
        <x:v>23</x:v>
      </x:c>
      <x:c r="I70" t="n">
        <x:v>213</x:v>
      </x:c>
      <x:c r="J70" t="n">
        <x:v>348</x:v>
      </x:c>
      <x:c r="K70" t="n">
        <x:v>2</x:v>
      </x:c>
      <x:c r="L70" t="n">
        <x:v>12</x:v>
      </x:c>
      <x:c r="M70" t="n">
        <x:v>2</x:v>
      </x:c>
      <x:c r="N70" t="n">
        <x:v>1</x:v>
      </x:c>
      <x:c r="O70" t="n">
        <x:v>4</x:v>
      </x:c>
      <x:c r="P70" s="50" t="n">
        <x:f>IF(D70=0,"",H70/D70)</x:f>
        <x:v>0.03782894736842105</x:v>
      </x:c>
      <x:c r="Q70" t="n">
        <x:f>MAX(I70:O70)</x:f>
        <x:v>348</x:v>
      </x:c>
      <x:c r="R70" t="n">
        <x:f>H70-Q70</x:f>
        <x:v>-325</x:v>
      </x:c>
      <x:c r="S70" s="52" t="n">
        <x:f>IF(D70=0,"",(R70)/D70)</x:f>
        <x:v>-0.5345394736842105</x:v>
      </x:c>
      <x:c r="T70" t="str">
        <x:v>Vedram Bhati</x:v>
      </x:c>
      <x:c r="U70" t="n">
        <x:f>D70-E70-F70</x:f>
        <x:v>0</x:v>
      </x:c>
    </x:row>
    <x:row r="71">
      <x:c r="A71" t="n">
        <x:v>63</x:v>
      </x:c>
      <x:c r="B71" t="str">
        <x:v>RAJENDRA I. C. VILASPUR R.NO. 1</x:v>
      </x:c>
      <x:c r="C71" t="n">
        <x:v>1404</x:v>
      </x:c>
      <x:c r="D71" t="n">
        <x:v>872</x:v>
      </x:c>
      <x:c r="E71" t="n">
        <x:f>SUM(H71:O71)</x:f>
        <x:v>858</x:v>
      </x:c>
      <x:c r="F71" t="n">
        <x:v>14</x:v>
      </x:c>
      <x:c r="G71" s="50" t="n">
        <x:f>IF(C71="","",IFERROR(D71/C71,0))</x:f>
        <x:v>0.6210826210826211</x:v>
      </x:c>
      <x:c r="H71" s="36" t="n">
        <x:v>17</x:v>
      </x:c>
      <x:c r="I71" t="n">
        <x:v>403</x:v>
      </x:c>
      <x:c r="J71" t="n">
        <x:v>320</x:v>
      </x:c>
      <x:c r="K71" t="n">
        <x:v>92</x:v>
      </x:c>
      <x:c r="L71" t="n">
        <x:v>12</x:v>
      </x:c>
      <x:c r="M71" t="n">
        <x:v>1</x:v>
      </x:c>
      <x:c r="N71" t="n">
        <x:v>5</x:v>
      </x:c>
      <x:c r="O71" t="n">
        <x:v>8</x:v>
      </x:c>
      <x:c r="P71" s="50" t="n">
        <x:f>IF(D71=0,"",H71/D71)</x:f>
        <x:v>0.0194954128440367</x:v>
      </x:c>
      <x:c r="Q71" t="n">
        <x:f>MAX(I71:O71)</x:f>
        <x:v>403</x:v>
      </x:c>
      <x:c r="R71" t="n">
        <x:f>H71-Q71</x:f>
        <x:v>-386</x:v>
      </x:c>
      <x:c r="S71" s="52" t="n">
        <x:f>IF(D71=0,"",(R71)/D71)</x:f>
        <x:v>-0.4426605504587156</x:v>
      </x:c>
      <x:c r="T71" t="str">
        <x:v>Dhirendra Singh</x:v>
      </x:c>
      <x:c r="U71" t="n">
        <x:f>D71-E71-F71</x:f>
        <x:v>0</x:v>
      </x:c>
    </x:row>
    <x:row r="72">
      <x:c r="A72" t="n">
        <x:v>64</x:v>
      </x:c>
      <x:c r="B72" t="str">
        <x:v>RAJENDRA I. C. VILASPUR R.NO. 2</x:v>
      </x:c>
      <x:c r="C72" t="n">
        <x:v>1088</x:v>
      </x:c>
      <x:c r="D72" t="n">
        <x:v>596</x:v>
      </x:c>
      <x:c r="E72" t="n">
        <x:f>SUM(H72:O72)</x:f>
        <x:v>587</x:v>
      </x:c>
      <x:c r="F72" t="n">
        <x:v>9</x:v>
      </x:c>
      <x:c r="G72" s="50" t="n">
        <x:f>IF(C72="","",IFERROR(D72/C72,0))</x:f>
        <x:v>0.5477941176470589</x:v>
      </x:c>
      <x:c r="H72" s="36" t="n">
        <x:v>59</x:v>
      </x:c>
      <x:c r="I72" t="n">
        <x:v>205</x:v>
      </x:c>
      <x:c r="J72" t="n">
        <x:v>231</x:v>
      </x:c>
      <x:c r="K72" t="n">
        <x:v>67</x:v>
      </x:c>
      <x:c r="L72" t="n">
        <x:v>8</x:v>
      </x:c>
      <x:c r="M72" t="n">
        <x:v>6</x:v>
      </x:c>
      <x:c r="N72" t="n">
        <x:v>8</x:v>
      </x:c>
      <x:c r="O72" t="n">
        <x:v>3</x:v>
      </x:c>
      <x:c r="P72" s="50" t="n">
        <x:f>IF(D72=0,"",H72/D72)</x:f>
        <x:v>0.09899328859060402</x:v>
      </x:c>
      <x:c r="Q72" t="n">
        <x:f>MAX(I72:O72)</x:f>
        <x:v>231</x:v>
      </x:c>
      <x:c r="R72" t="n">
        <x:f>H72-Q72</x:f>
        <x:v>-172</x:v>
      </x:c>
      <x:c r="S72" s="52" t="n">
        <x:f>IF(D72=0,"",(R72)/D72)</x:f>
        <x:v>-0.28859060402684567</x:v>
      </x:c>
      <x:c r="T72" t="str">
        <x:v>Vedram Bhati</x:v>
      </x:c>
      <x:c r="U72" t="n">
        <x:f>D72-E72-F72</x:f>
        <x:v>0</x:v>
      </x:c>
    </x:row>
    <x:row r="73">
      <x:c r="A73" t="n">
        <x:v>65</x:v>
      </x:c>
      <x:c r="B73" t="str">
        <x:v>RAJENDRA I. C. VILASPUR R.NO. 3</x:v>
      </x:c>
      <x:c r="C73" t="n">
        <x:v>1082</x:v>
      </x:c>
      <x:c r="D73" t="n">
        <x:v>608</x:v>
      </x:c>
      <x:c r="E73" t="n">
        <x:f>SUM(H73:O73)</x:f>
        <x:v>601</x:v>
      </x:c>
      <x:c r="F73" t="n">
        <x:v>7</x:v>
      </x:c>
      <x:c r="G73" s="50" t="n">
        <x:f>IF(C73="","",IFERROR(D73/C73,0))</x:f>
        <x:v>0.5619223659889094</x:v>
      </x:c>
      <x:c r="H73" s="36" t="n">
        <x:v>50</x:v>
      </x:c>
      <x:c r="I73" t="n">
        <x:v>176</x:v>
      </x:c>
      <x:c r="J73" t="n">
        <x:v>314</x:v>
      </x:c>
      <x:c r="K73" t="n">
        <x:v>46</x:v>
      </x:c>
      <x:c r="L73" t="n">
        <x:v>3</x:v>
      </x:c>
      <x:c r="M73" t="n">
        <x:v>3</x:v>
      </x:c>
      <x:c r="N73" t="n">
        <x:v>6</x:v>
      </x:c>
      <x:c r="O73" t="n">
        <x:v>3</x:v>
      </x:c>
      <x:c r="P73" s="50" t="n">
        <x:f>IF(D73=0,"",H73/D73)</x:f>
        <x:v>0.08223684210526316</x:v>
      </x:c>
      <x:c r="Q73" t="n">
        <x:f>MAX(I73:O73)</x:f>
        <x:v>314</x:v>
      </x:c>
      <x:c r="R73" t="n">
        <x:f>H73-Q73</x:f>
        <x:v>-264</x:v>
      </x:c>
      <x:c r="S73" s="52" t="n">
        <x:f>IF(D73=0,"",(R73)/D73)</x:f>
        <x:v>-0.4342105263157895</x:v>
      </x:c>
      <x:c r="T73" t="str">
        <x:v>Vedram Bhati</x:v>
      </x:c>
      <x:c r="U73" t="n">
        <x:f>D73-E73-F73</x:f>
        <x:v>0</x:v>
      </x:c>
    </x:row>
    <x:row r="74">
      <x:c r="A74" t="n">
        <x:v>66</x:v>
      </x:c>
      <x:c r="B74" t="str">
        <x:v>RAJENDRA I. C. VILASPUR R.NO. 4</x:v>
      </x:c>
      <x:c r="C74" t="n">
        <x:v>987</x:v>
      </x:c>
      <x:c r="D74" t="n">
        <x:v>606</x:v>
      </x:c>
      <x:c r="E74" t="n">
        <x:f>SUM(H74:O74)</x:f>
        <x:v>602</x:v>
      </x:c>
      <x:c r="F74" t="n">
        <x:v>4</x:v>
      </x:c>
      <x:c r="G74" s="50" t="n">
        <x:f>IF(C74="","",IFERROR(D74/C74,0))</x:f>
        <x:v>0.6139817629179332</x:v>
      </x:c>
      <x:c r="H74" s="36" t="n">
        <x:v>17</x:v>
      </x:c>
      <x:c r="I74" t="n">
        <x:v>364</x:v>
      </x:c>
      <x:c r="J74" t="n">
        <x:v>186</x:v>
      </x:c>
      <x:c r="K74" t="n">
        <x:v>33</x:v>
      </x:c>
      <x:c r="L74" t="n">
        <x:v>1</x:v>
      </x:c>
      <x:c r="M74" t="n">
        <x:v>0</x:v>
      </x:c>
      <x:c r="N74" t="n">
        <x:v>1</x:v>
      </x:c>
      <x:c r="O74" t="n">
        <x:v>0</x:v>
      </x:c>
      <x:c r="P74" s="50" t="n">
        <x:f>IF(D74=0,"",H74/D74)</x:f>
        <x:v>0.028052805280528052</x:v>
      </x:c>
      <x:c r="Q74" t="n">
        <x:f>MAX(I74:O74)</x:f>
        <x:v>364</x:v>
      </x:c>
      <x:c r="R74" t="n">
        <x:f>H74-Q74</x:f>
        <x:v>-347</x:v>
      </x:c>
      <x:c r="S74" s="52" t="n">
        <x:f>IF(D74=0,"",(R74)/D74)</x:f>
        <x:v>-0.5726072607260726</x:v>
      </x:c>
      <x:c r="T74" t="str">
        <x:v>Dhirendra Singh</x:v>
      </x:c>
      <x:c r="U74" t="n">
        <x:f>D74-E74-F74</x:f>
        <x:v>0</x:v>
      </x:c>
    </x:row>
    <x:row r="75">
      <x:c r="A75" t="n">
        <x:v>67</x:v>
      </x:c>
      <x:c r="B75" t="str">
        <x:v>RAJENDRA I. C. VILASPUR R.NO. 5</x:v>
      </x:c>
      <x:c r="C75" t="n">
        <x:v>1004</x:v>
      </x:c>
      <x:c r="D75" t="n">
        <x:v>341</x:v>
      </x:c>
      <x:c r="E75" t="n">
        <x:f>SUM(H75:O75)</x:f>
        <x:v>336</x:v>
      </x:c>
      <x:c r="F75" t="n">
        <x:v>5</x:v>
      </x:c>
      <x:c r="G75" s="50" t="n">
        <x:f>IF(C75="","",IFERROR(D75/C75,0))</x:f>
        <x:v>0.3396414342629482</x:v>
      </x:c>
      <x:c r="H75" s="36" t="n">
        <x:v>7</x:v>
      </x:c>
      <x:c r="I75" t="n">
        <x:v>168</x:v>
      </x:c>
      <x:c r="J75" t="n">
        <x:v>115</x:v>
      </x:c>
      <x:c r="K75" t="n">
        <x:v>41</x:v>
      </x:c>
      <x:c r="L75" t="n">
        <x:v>0</x:v>
      </x:c>
      <x:c r="M75" t="n">
        <x:v>0</x:v>
      </x:c>
      <x:c r="N75" t="n">
        <x:v>3</x:v>
      </x:c>
      <x:c r="O75" t="n">
        <x:v>2</x:v>
      </x:c>
      <x:c r="P75" s="50" t="n">
        <x:f>IF(D75=0,"",H75/D75)</x:f>
        <x:v>0.020527859237536656</x:v>
      </x:c>
      <x:c r="Q75" t="n">
        <x:f>MAX(I75:O75)</x:f>
        <x:v>168</x:v>
      </x:c>
      <x:c r="R75" t="n">
        <x:f>H75-Q75</x:f>
        <x:v>-161</x:v>
      </x:c>
      <x:c r="S75" s="52" t="n">
        <x:f>IF(D75=0,"",(R75)/D75)</x:f>
        <x:v>-0.47214076246334313</x:v>
      </x:c>
      <x:c r="T75" t="str">
        <x:v>Dhirendra Singh</x:v>
      </x:c>
      <x:c r="U75" t="n">
        <x:f>D75-E75-F75</x:f>
        <x:v>0</x:v>
      </x:c>
    </x:row>
    <x:row r="76">
      <x:c r="A76" t="n">
        <x:v>68</x:v>
      </x:c>
      <x:c r="B76" t="str">
        <x:v>RAJENDRA I. C. VILASPUR R.NO. 6</x:v>
      </x:c>
      <x:c r="C76" t="n">
        <x:v>839</x:v>
      </x:c>
      <x:c r="D76" t="n">
        <x:v>424</x:v>
      </x:c>
      <x:c r="E76" t="n">
        <x:f>SUM(H76:O76)</x:f>
        <x:v>424</x:v>
      </x:c>
      <x:c r="F76" t="n">
        <x:v>0</x:v>
      </x:c>
      <x:c r="G76" s="50" t="n">
        <x:f>IF(C76="","",IFERROR(D76/C76,0))</x:f>
        <x:v>0.5053635280095352</x:v>
      </x:c>
      <x:c r="H76" s="36" t="n">
        <x:v>22</x:v>
      </x:c>
      <x:c r="I76" t="n">
        <x:v>68</x:v>
      </x:c>
      <x:c r="J76" t="n">
        <x:v>311</x:v>
      </x:c>
      <x:c r="K76" t="n">
        <x:v>13</x:v>
      </x:c>
      <x:c r="L76" t="n">
        <x:v>4</x:v>
      </x:c>
      <x:c r="M76" t="n">
        <x:v>5</x:v>
      </x:c>
      <x:c r="N76" t="n">
        <x:v>1</x:v>
      </x:c>
      <x:c r="O76" t="n">
        <x:v>0</x:v>
      </x:c>
      <x:c r="P76" s="50" t="n">
        <x:f>IF(D76=0,"",H76/D76)</x:f>
        <x:v>0.05188679245283019</x:v>
      </x:c>
      <x:c r="Q76" t="n">
        <x:f>MAX(I76:O76)</x:f>
        <x:v>311</x:v>
      </x:c>
      <x:c r="R76" t="n">
        <x:f>H76-Q76</x:f>
        <x:v>-289</x:v>
      </x:c>
      <x:c r="S76" s="52" t="n">
        <x:f>IF(D76=0,"",(R76)/D76)</x:f>
        <x:v>-0.6816037735849056</x:v>
      </x:c>
      <x:c r="T76" t="str">
        <x:v>Vedram Bhati</x:v>
      </x:c>
      <x:c r="U76" t="n">
        <x:f>D76-E76-F76</x:f>
        <x:v>0</x:v>
      </x:c>
    </x:row>
    <x:row r="77">
      <x:c r="A77" t="n">
        <x:v>69</x:v>
      </x:c>
      <x:c r="B77" t="str">
        <x:v>RAJENDRA I. C. VILASPUR R.NO. 7</x:v>
      </x:c>
      <x:c r="C77" t="n">
        <x:v>1001</x:v>
      </x:c>
      <x:c r="D77" t="n">
        <x:v>579</x:v>
      </x:c>
      <x:c r="E77" t="n">
        <x:f>SUM(H77:O77)</x:f>
        <x:v>563</x:v>
      </x:c>
      <x:c r="F77" t="n">
        <x:v>16</x:v>
      </x:c>
      <x:c r="G77" s="50" t="n">
        <x:f>IF(C77="","",IFERROR(D77/C77,0))</x:f>
        <x:v>0.5784215784215784</x:v>
      </x:c>
      <x:c r="H77" s="36" t="n">
        <x:v>62</x:v>
      </x:c>
      <x:c r="I77" t="n">
        <x:v>80</x:v>
      </x:c>
      <x:c r="J77" t="n">
        <x:v>407</x:v>
      </x:c>
      <x:c r="K77" t="n">
        <x:v>7</x:v>
      </x:c>
      <x:c r="L77" t="n">
        <x:v>4</x:v>
      </x:c>
      <x:c r="M77" t="n">
        <x:v>1</x:v>
      </x:c>
      <x:c r="N77" t="n">
        <x:v>1</x:v>
      </x:c>
      <x:c r="O77" t="n">
        <x:v>1</x:v>
      </x:c>
      <x:c r="P77" s="50" t="n">
        <x:f>IF(D77=0,"",H77/D77)</x:f>
        <x:v>0.1070811744386874</x:v>
      </x:c>
      <x:c r="Q77" t="n">
        <x:f>MAX(I77:O77)</x:f>
        <x:v>407</x:v>
      </x:c>
      <x:c r="R77" t="n">
        <x:f>H77-Q77</x:f>
        <x:v>-345</x:v>
      </x:c>
      <x:c r="S77" s="52" t="n">
        <x:f>IF(D77=0,"",(R77)/D77)</x:f>
        <x:v>-0.5958549222797928</x:v>
      </x:c>
      <x:c r="T77" t="str">
        <x:v>Vedram Bhati</x:v>
      </x:c>
      <x:c r="U77" t="n">
        <x:f>D77-E77-F77</x:f>
        <x:v>0</x:v>
      </x:c>
    </x:row>
    <x:row r="78">
      <x:c r="A78" t="n">
        <x:v>70</x:v>
      </x:c>
      <x:c r="B78" t="str">
        <x:v>RAJENDRA I. C. VILASPUR R.NO. 8</x:v>
      </x:c>
      <x:c r="C78" t="n">
        <x:v>1478</x:v>
      </x:c>
      <x:c r="D78" t="n">
        <x:v>885</x:v>
      </x:c>
      <x:c r="E78" t="n">
        <x:f>SUM(H78:O78)</x:f>
        <x:v>880</x:v>
      </x:c>
      <x:c r="F78" t="n">
        <x:v>5</x:v>
      </x:c>
      <x:c r="G78" s="50" t="n">
        <x:f>IF(C78="","",IFERROR(D78/C78,0))</x:f>
        <x:v>0.5987821380243572</x:v>
      </x:c>
      <x:c r="H78" s="36" t="n">
        <x:v>38</x:v>
      </x:c>
      <x:c r="I78" t="n">
        <x:v>61</x:v>
      </x:c>
      <x:c r="J78" t="n">
        <x:v>683</x:v>
      </x:c>
      <x:c r="K78" t="n">
        <x:v>73</x:v>
      </x:c>
      <x:c r="L78" t="n">
        <x:v>10</x:v>
      </x:c>
      <x:c r="M78" t="n">
        <x:v>8</x:v>
      </x:c>
      <x:c r="N78" t="n">
        <x:v>5</x:v>
      </x:c>
      <x:c r="O78" t="n">
        <x:v>2</x:v>
      </x:c>
      <x:c r="P78" s="50" t="n">
        <x:f>IF(D78=0,"",H78/D78)</x:f>
        <x:v>0.04293785310734463</x:v>
      </x:c>
      <x:c r="Q78" t="n">
        <x:f>MAX(I78:O78)</x:f>
        <x:v>683</x:v>
      </x:c>
      <x:c r="R78" t="n">
        <x:f>H78-Q78</x:f>
        <x:v>-645</x:v>
      </x:c>
      <x:c r="S78" s="52" t="n">
        <x:f>IF(D78=0,"",(R78)/D78)</x:f>
        <x:v>-0.7288135593220338</x:v>
      </x:c>
      <x:c r="T78" t="str">
        <x:v>Vedram Bhati</x:v>
      </x:c>
      <x:c r="U78" t="n">
        <x:f>D78-E78-F78</x:f>
        <x:v>0</x:v>
      </x:c>
    </x:row>
    <x:row r="79">
      <x:c r="A79" t="n">
        <x:v>71</x:v>
      </x:c>
      <x:c r="B79" t="str">
        <x:v>PRY. SCHOOL AZAMPUR GARHI R.NO. 1</x:v>
      </x:c>
      <x:c r="C79" t="n">
        <x:v>922</x:v>
      </x:c>
      <x:c r="D79" t="n">
        <x:v>690</x:v>
      </x:c>
      <x:c r="E79" t="n">
        <x:f>SUM(H79:O79)</x:f>
        <x:v>686</x:v>
      </x:c>
      <x:c r="F79" t="n">
        <x:v>4</x:v>
      </x:c>
      <x:c r="G79" s="50" t="n">
        <x:f>IF(C79="","",IFERROR(D79/C79,0))</x:f>
        <x:v>0.7483731019522777</x:v>
      </x:c>
      <x:c r="H79" s="36" t="n">
        <x:v>9</x:v>
      </x:c>
      <x:c r="I79" t="n">
        <x:v>424</x:v>
      </x:c>
      <x:c r="J79" t="n">
        <x:v>235</x:v>
      </x:c>
      <x:c r="K79" t="n">
        <x:v>7</x:v>
      </x:c>
      <x:c r="L79" t="n">
        <x:v>1</x:v>
      </x:c>
      <x:c r="M79" t="n">
        <x:v>4</x:v>
      </x:c>
      <x:c r="N79" t="n">
        <x:v>4</x:v>
      </x:c>
      <x:c r="O79" t="n">
        <x:v>2</x:v>
      </x:c>
      <x:c r="P79" s="50" t="n">
        <x:f>IF(D79=0,"",H79/D79)</x:f>
        <x:v>0.013043478260869565</x:v>
      </x:c>
      <x:c r="Q79" t="n">
        <x:f>MAX(I79:O79)</x:f>
        <x:v>424</x:v>
      </x:c>
      <x:c r="R79" t="n">
        <x:f>H79-Q79</x:f>
        <x:v>-415</x:v>
      </x:c>
      <x:c r="S79" s="52" t="n">
        <x:f>IF(D79=0,"",(R79)/D79)</x:f>
        <x:v>-0.6014492753623188</x:v>
      </x:c>
      <x:c r="T79" t="str">
        <x:v>Dhirendra Singh</x:v>
      </x:c>
      <x:c r="U79" t="n">
        <x:f>D79-E79-F79</x:f>
        <x:v>0</x:v>
      </x:c>
    </x:row>
    <x:row r="80">
      <x:c r="A80" t="n">
        <x:v>72</x:v>
      </x:c>
      <x:c r="B80" t="str">
        <x:v>PRY. SCHOOL BANJARPUR R.NO. 1</x:v>
      </x:c>
      <x:c r="C80" t="n">
        <x:v>1323</x:v>
      </x:c>
      <x:c r="D80" t="n">
        <x:v>910</x:v>
      </x:c>
      <x:c r="E80" t="n">
        <x:f>SUM(H80:O80)</x:f>
        <x:v>907</x:v>
      </x:c>
      <x:c r="F80" t="n">
        <x:v>3</x:v>
      </x:c>
      <x:c r="G80" s="50" t="n">
        <x:f>IF(C80="","",IFERROR(D80/C80,0))</x:f>
        <x:v>0.6878306878306878</x:v>
      </x:c>
      <x:c r="H80" s="36" t="n">
        <x:v>35</x:v>
      </x:c>
      <x:c r="I80" t="n">
        <x:v>319</x:v>
      </x:c>
      <x:c r="J80" t="n">
        <x:v>533</x:v>
      </x:c>
      <x:c r="K80" t="n">
        <x:v>6</x:v>
      </x:c>
      <x:c r="L80" t="n">
        <x:v>4</x:v>
      </x:c>
      <x:c r="M80" t="n">
        <x:v>1</x:v>
      </x:c>
      <x:c r="N80" t="n">
        <x:v>7</x:v>
      </x:c>
      <x:c r="O80" t="n">
        <x:v>2</x:v>
      </x:c>
      <x:c r="P80" s="50" t="n">
        <x:f>IF(D80=0,"",H80/D80)</x:f>
        <x:v>0.038461538461538464</x:v>
      </x:c>
      <x:c r="Q80" t="n">
        <x:f>MAX(I80:O80)</x:f>
        <x:v>533</x:v>
      </x:c>
      <x:c r="R80" t="n">
        <x:f>H80-Q80</x:f>
        <x:v>-498</x:v>
      </x:c>
      <x:c r="S80" s="52" t="n">
        <x:f>IF(D80=0,"",(R80)/D80)</x:f>
        <x:v>-0.5472527472527473</x:v>
      </x:c>
      <x:c r="T80" t="str">
        <x:v>Vedram Bhati</x:v>
      </x:c>
      <x:c r="U80" t="n">
        <x:f>D80-E80-F80</x:f>
        <x:v>0</x:v>
      </x:c>
    </x:row>
    <x:row r="81">
      <x:c r="A81" t="n">
        <x:v>73</x:v>
      </x:c>
      <x:c r="B81" t="str">
        <x:v>PRY. SCHOOL SARAKPUR R.NO. 1</x:v>
      </x:c>
      <x:c r="C81" t="n">
        <x:v>782</x:v>
      </x:c>
      <x:c r="D81" t="n">
        <x:v>516</x:v>
      </x:c>
      <x:c r="E81" t="n">
        <x:f>SUM(H81:O81)</x:f>
        <x:v>516</x:v>
      </x:c>
      <x:c r="F81" t="n">
        <x:v>0</x:v>
      </x:c>
      <x:c r="G81" s="50" t="n">
        <x:f>IF(C81="","",IFERROR(D81/C81,0))</x:f>
        <x:v>0.659846547314578</x:v>
      </x:c>
      <x:c r="H81" s="36" t="n">
        <x:v>16</x:v>
      </x:c>
      <x:c r="I81" t="n">
        <x:v>277</x:v>
      </x:c>
      <x:c r="J81" t="n">
        <x:v>213</x:v>
      </x:c>
      <x:c r="K81" t="n">
        <x:v>5</x:v>
      </x:c>
      <x:c r="L81" t="n">
        <x:v>1</x:v>
      </x:c>
      <x:c r="M81" t="n">
        <x:v>0</x:v>
      </x:c>
      <x:c r="N81" t="n">
        <x:v>4</x:v>
      </x:c>
      <x:c r="O81" t="n">
        <x:v>0</x:v>
      </x:c>
      <x:c r="P81" s="50" t="n">
        <x:f>IF(D81=0,"",H81/D81)</x:f>
        <x:v>0.031007751937984496</x:v>
      </x:c>
      <x:c r="Q81" t="n">
        <x:f>MAX(I81:O81)</x:f>
        <x:v>277</x:v>
      </x:c>
      <x:c r="R81" t="n">
        <x:f>H81-Q81</x:f>
        <x:v>-261</x:v>
      </x:c>
      <x:c r="S81" s="52" t="n">
        <x:f>IF(D81=0,"",(R81)/D81)</x:f>
        <x:v>-0.5058139534883721</x:v>
      </x:c>
      <x:c r="T81" t="str">
        <x:v>Dhirendra Singh</x:v>
      </x:c>
      <x:c r="U81" t="n">
        <x:f>D81-E81-F81</x:f>
        <x:v>0</x:v>
      </x:c>
    </x:row>
    <x:row r="82">
      <x:c r="A82" t="n">
        <x:v>74</x:v>
      </x:c>
      <x:c r="B82" t="str">
        <x:v>PRY. SCHOOL BHATTA R.NO. 1</x:v>
      </x:c>
      <x:c r="C82" t="n">
        <x:v>1382</x:v>
      </x:c>
      <x:c r="D82" t="n">
        <x:v>849</x:v>
      </x:c>
      <x:c r="E82" t="n">
        <x:f>SUM(H82:O82)</x:f>
        <x:v>847</x:v>
      </x:c>
      <x:c r="F82" t="n">
        <x:v>2</x:v>
      </x:c>
      <x:c r="G82" s="50" t="n">
        <x:f>IF(C82="","",IFERROR(D82/C82,0))</x:f>
        <x:v>0.6143270622286541</x:v>
      </x:c>
      <x:c r="H82" s="36" t="n">
        <x:v>60</x:v>
      </x:c>
      <x:c r="I82" t="n">
        <x:v>443</x:v>
      </x:c>
      <x:c r="J82" t="n">
        <x:v>202</x:v>
      </x:c>
      <x:c r="K82" t="n">
        <x:v>131</x:v>
      </x:c>
      <x:c r="L82" t="n">
        <x:v>1</x:v>
      </x:c>
      <x:c r="M82" t="n">
        <x:v>2</x:v>
      </x:c>
      <x:c r="N82" t="n">
        <x:v>4</x:v>
      </x:c>
      <x:c r="O82" t="n">
        <x:v>4</x:v>
      </x:c>
      <x:c r="P82" s="50" t="n">
        <x:f>IF(D82=0,"",H82/D82)</x:f>
        <x:v>0.0706713780918728</x:v>
      </x:c>
      <x:c r="Q82" t="n">
        <x:f>MAX(I82:O82)</x:f>
        <x:v>443</x:v>
      </x:c>
      <x:c r="R82" t="n">
        <x:f>H82-Q82</x:f>
        <x:v>-383</x:v>
      </x:c>
      <x:c r="S82" s="52" t="n">
        <x:f>IF(D82=0,"",(R82)/D82)</x:f>
        <x:v>-0.45111896348645464</x:v>
      </x:c>
      <x:c r="T82" t="str">
        <x:v>Dhirendra Singh</x:v>
      </x:c>
      <x:c r="U82" t="n">
        <x:f>D82-E82-F82</x:f>
        <x:v>0</x:v>
      </x:c>
    </x:row>
    <x:row r="83">
      <x:c r="A83" t="n">
        <x:v>75</x:v>
      </x:c>
      <x:c r="B83" t="str">
        <x:v>PRY. SCHOOL BHATTA R.NO. 2</x:v>
      </x:c>
      <x:c r="C83" t="n">
        <x:v>714</x:v>
      </x:c>
      <x:c r="D83" t="n">
        <x:v>417</x:v>
      </x:c>
      <x:c r="E83" t="n">
        <x:f>SUM(H83:O83)</x:f>
        <x:v>417</x:v>
      </x:c>
      <x:c r="F83" t="n">
        <x:v>0</x:v>
      </x:c>
      <x:c r="G83" s="50" t="n">
        <x:f>IF(C83="","",IFERROR(D83/C83,0))</x:f>
        <x:v>0.5840336134453782</x:v>
      </x:c>
      <x:c r="H83" s="36" t="n">
        <x:v>20</x:v>
      </x:c>
      <x:c r="I83" t="n">
        <x:v>273</x:v>
      </x:c>
      <x:c r="J83" t="n">
        <x:v>71</x:v>
      </x:c>
      <x:c r="K83" t="n">
        <x:v>50</x:v>
      </x:c>
      <x:c r="L83" t="n">
        <x:v>0</x:v>
      </x:c>
      <x:c r="M83" t="n">
        <x:v>2</x:v>
      </x:c>
      <x:c r="N83" t="n">
        <x:v>0</x:v>
      </x:c>
      <x:c r="O83" t="n">
        <x:v>1</x:v>
      </x:c>
      <x:c r="P83" s="50" t="n">
        <x:f>IF(D83=0,"",H83/D83)</x:f>
        <x:v>0.047961630695443645</x:v>
      </x:c>
      <x:c r="Q83" t="n">
        <x:f>MAX(I83:O83)</x:f>
        <x:v>273</x:v>
      </x:c>
      <x:c r="R83" t="n">
        <x:f>H83-Q83</x:f>
        <x:v>-253</x:v>
      </x:c>
      <x:c r="S83" s="52" t="n">
        <x:f>IF(D83=0,"",(R83)/D83)</x:f>
        <x:v>-0.6067146282973621</x:v>
      </x:c>
      <x:c r="T83" t="str">
        <x:v>Dhirendra Singh</x:v>
      </x:c>
      <x:c r="U83" t="n">
        <x:f>D83-E83-F83</x:f>
        <x:v>0</x:v>
      </x:c>
    </x:row>
    <x:row r="84">
      <x:c r="A84" t="n">
        <x:v>76</x:v>
      </x:c>
      <x:c r="B84" t="str">
        <x:v>PRY. SCHOOL BHATTA R.NO. 3</x:v>
      </x:c>
      <x:c r="C84" t="n">
        <x:v>794</x:v>
      </x:c>
      <x:c r="D84" t="n">
        <x:v>474</x:v>
      </x:c>
      <x:c r="E84" t="n">
        <x:f>SUM(H84:O84)</x:f>
        <x:v>471</x:v>
      </x:c>
      <x:c r="F84" t="n">
        <x:v>3</x:v>
      </x:c>
      <x:c r="G84" s="50" t="n">
        <x:f>IF(C84="","",IFERROR(D84/C84,0))</x:f>
        <x:v>0.5969773299748111</x:v>
      </x:c>
      <x:c r="H84" s="36" t="n">
        <x:v>22</x:v>
      </x:c>
      <x:c r="I84" t="n">
        <x:v>176</x:v>
      </x:c>
      <x:c r="J84" t="n">
        <x:v>215</x:v>
      </x:c>
      <x:c r="K84" t="n">
        <x:v>42</x:v>
      </x:c>
      <x:c r="L84" t="n">
        <x:v>4</x:v>
      </x:c>
      <x:c r="M84" t="n">
        <x:v>4</x:v>
      </x:c>
      <x:c r="N84" t="n">
        <x:v>7</x:v>
      </x:c>
      <x:c r="O84" t="n">
        <x:v>1</x:v>
      </x:c>
      <x:c r="P84" s="50" t="n">
        <x:f>IF(D84=0,"",H84/D84)</x:f>
        <x:v>0.046413502109704644</x:v>
      </x:c>
      <x:c r="Q84" t="n">
        <x:f>MAX(I84:O84)</x:f>
        <x:v>215</x:v>
      </x:c>
      <x:c r="R84" t="n">
        <x:f>H84-Q84</x:f>
        <x:v>-193</x:v>
      </x:c>
      <x:c r="S84" s="52" t="n">
        <x:f>IF(D84=0,"",(R84)/D84)</x:f>
        <x:v>-0.40717299578059074</x:v>
      </x:c>
      <x:c r="T84" t="str">
        <x:v>Vedram Bhati</x:v>
      </x:c>
      <x:c r="U84" t="n">
        <x:f>D84-E84-F84</x:f>
        <x:v>0</x:v>
      </x:c>
    </x:row>
    <x:row r="85">
      <x:c r="A85" t="n">
        <x:v>77</x:v>
      </x:c>
      <x:c r="B85" t="str">
        <x:v>PRY. SCHOOL CHUHARPUR BANGAR R.NO. 1</x:v>
      </x:c>
      <x:c r="C85" t="n">
        <x:v>917</x:v>
      </x:c>
      <x:c r="D85" t="n">
        <x:v>771</x:v>
      </x:c>
      <x:c r="E85" t="n">
        <x:f>SUM(H85:O85)</x:f>
        <x:v>765</x:v>
      </x:c>
      <x:c r="F85" t="n">
        <x:v>6</x:v>
      </x:c>
      <x:c r="G85" s="50" t="n">
        <x:f>IF(C85="","",IFERROR(D85/C85,0))</x:f>
        <x:v>0.8407851690294439</x:v>
      </x:c>
      <x:c r="H85" s="36" t="n">
        <x:v>246</x:v>
      </x:c>
      <x:c r="I85" t="n">
        <x:v>126</x:v>
      </x:c>
      <x:c r="J85" t="n">
        <x:v>376</x:v>
      </x:c>
      <x:c r="K85" t="n">
        <x:v>7</x:v>
      </x:c>
      <x:c r="L85" t="n">
        <x:v>4</x:v>
      </x:c>
      <x:c r="M85" t="n">
        <x:v>1</x:v>
      </x:c>
      <x:c r="N85" t="n">
        <x:v>2</x:v>
      </x:c>
      <x:c r="O85" t="n">
        <x:v>3</x:v>
      </x:c>
      <x:c r="P85" s="50" t="n">
        <x:f>IF(D85=0,"",H85/D85)</x:f>
        <x:v>0.31906614785992216</x:v>
      </x:c>
      <x:c r="Q85" t="n">
        <x:f>MAX(I85:O85)</x:f>
        <x:v>376</x:v>
      </x:c>
      <x:c r="R85" t="n">
        <x:f>H85-Q85</x:f>
        <x:v>-130</x:v>
      </x:c>
      <x:c r="S85" s="52" t="n">
        <x:f>IF(D85=0,"",(R85)/D85)</x:f>
        <x:v>-0.16861219195849547</x:v>
      </x:c>
      <x:c r="T85" t="str">
        <x:v>Vedram Bhati</x:v>
      </x:c>
      <x:c r="U85" t="n">
        <x:f>D85-E85-F85</x:f>
        <x:v>0</x:v>
      </x:c>
    </x:row>
    <x:row r="86">
      <x:c r="A86" t="n">
        <x:v>78</x:v>
      </x:c>
      <x:c r="B86" t="str">
        <x:v>PRY. PATH. TALRA R.NO. 1</x:v>
      </x:c>
      <x:c r="C86" t="n">
        <x:v>1327</x:v>
      </x:c>
      <x:c r="D86" t="n">
        <x:v>805</x:v>
      </x:c>
      <x:c r="E86" t="n">
        <x:f>SUM(H86:O86)</x:f>
        <x:v>798</x:v>
      </x:c>
      <x:c r="F86" t="n">
        <x:v>7</x:v>
      </x:c>
      <x:c r="G86" s="50" t="n">
        <x:f>IF(C86="","",IFERROR(D86/C86,0))</x:f>
        <x:v>0.6066314996232103</x:v>
      </x:c>
      <x:c r="H86" s="36" t="n">
        <x:v>25</x:v>
      </x:c>
      <x:c r="I86" t="n">
        <x:v>186</x:v>
      </x:c>
      <x:c r="J86" t="n">
        <x:v>543</x:v>
      </x:c>
      <x:c r="K86" t="n">
        <x:v>14</x:v>
      </x:c>
      <x:c r="L86" t="n">
        <x:v>16</x:v>
      </x:c>
      <x:c r="M86" t="n">
        <x:v>5</x:v>
      </x:c>
      <x:c r="N86" t="n">
        <x:v>7</x:v>
      </x:c>
      <x:c r="O86" t="n">
        <x:v>2</x:v>
      </x:c>
      <x:c r="P86" s="50" t="n">
        <x:f>IF(D86=0,"",H86/D86)</x:f>
        <x:v>0.031055900621118012</x:v>
      </x:c>
      <x:c r="Q86" t="n">
        <x:f>MAX(I86:O86)</x:f>
        <x:v>543</x:v>
      </x:c>
      <x:c r="R86" t="n">
        <x:f>H86-Q86</x:f>
        <x:v>-518</x:v>
      </x:c>
      <x:c r="S86" s="52" t="n">
        <x:f>IF(D86=0,"",(R86)/D86)</x:f>
        <x:v>-0.6434782608695652</x:v>
      </x:c>
      <x:c r="T86" t="str">
        <x:v>Vedram Bhati</x:v>
      </x:c>
      <x:c r="U86" t="n">
        <x:f>D86-E86-F86</x:f>
        <x:v>0</x:v>
      </x:c>
    </x:row>
    <x:row r="87">
      <x:c r="A87" t="n">
        <x:v>79</x:v>
      </x:c>
      <x:c r="B87" t="str">
        <x:v>PRY. SCHOOL HATEVA R.NO. 1</x:v>
      </x:c>
      <x:c r="C87" t="n">
        <x:v>1093</x:v>
      </x:c>
      <x:c r="D87" t="n">
        <x:v>870</x:v>
      </x:c>
      <x:c r="E87" t="n">
        <x:f>SUM(H87:O87)</x:f>
        <x:v>863</x:v>
      </x:c>
      <x:c r="F87" t="n">
        <x:v>7</x:v>
      </x:c>
      <x:c r="G87" s="50" t="n">
        <x:f>IF(C87="","",IFERROR(D87/C87,0))</x:f>
        <x:v>0.7959743824336688</x:v>
      </x:c>
      <x:c r="H87" s="36" t="n">
        <x:v>11</x:v>
      </x:c>
      <x:c r="I87" t="n">
        <x:v>425</x:v>
      </x:c>
      <x:c r="J87" t="n">
        <x:v>363</x:v>
      </x:c>
      <x:c r="K87" t="n">
        <x:v>57</x:v>
      </x:c>
      <x:c r="L87" t="n">
        <x:v>2</x:v>
      </x:c>
      <x:c r="M87" t="n">
        <x:v>0</x:v>
      </x:c>
      <x:c r="N87" t="n">
        <x:v>2</x:v>
      </x:c>
      <x:c r="O87" t="n">
        <x:v>3</x:v>
      </x:c>
      <x:c r="P87" s="50" t="n">
        <x:f>IF(D87=0,"",H87/D87)</x:f>
        <x:v>0.01264367816091954</x:v>
      </x:c>
      <x:c r="Q87" t="n">
        <x:f>MAX(I87:O87)</x:f>
        <x:v>425</x:v>
      </x:c>
      <x:c r="R87" t="n">
        <x:f>H87-Q87</x:f>
        <x:v>-414</x:v>
      </x:c>
      <x:c r="S87" s="52" t="n">
        <x:f>IF(D87=0,"",(R87)/D87)</x:f>
        <x:v>-0.47586206896551725</x:v>
      </x:c>
      <x:c r="T87" t="str">
        <x:v>Dhirendra Singh</x:v>
      </x:c>
      <x:c r="U87" t="n">
        <x:f>D87-E87-F87</x:f>
        <x:v>0</x:v>
      </x:c>
    </x:row>
    <x:row r="88">
      <x:c r="A88" t="n">
        <x:v>80</x:v>
      </x:c>
      <x:c r="B88" t="str">
        <x:v>PRY. SCHOOL DALEL GARH R.NO. 1</x:v>
      </x:c>
      <x:c r="C88" t="n">
        <x:v>1342</x:v>
      </x:c>
      <x:c r="D88" t="n">
        <x:v>975</x:v>
      </x:c>
      <x:c r="E88" t="n">
        <x:f>SUM(H88:O88)</x:f>
        <x:v>971</x:v>
      </x:c>
      <x:c r="F88" t="n">
        <x:v>4</x:v>
      </x:c>
      <x:c r="G88" s="50" t="n">
        <x:f>IF(C88="","",IFERROR(D88/C88,0))</x:f>
        <x:v>0.7265275707898659</x:v>
      </x:c>
      <x:c r="H88" s="36" t="n">
        <x:v>21</x:v>
      </x:c>
      <x:c r="I88" t="n">
        <x:v>305</x:v>
      </x:c>
      <x:c r="J88" t="n">
        <x:v>623</x:v>
      </x:c>
      <x:c r="K88" t="n">
        <x:v>6</x:v>
      </x:c>
      <x:c r="L88" t="n">
        <x:v>8</x:v>
      </x:c>
      <x:c r="M88" t="n">
        <x:v>1</x:v>
      </x:c>
      <x:c r="N88" t="n">
        <x:v>5</x:v>
      </x:c>
      <x:c r="O88" t="n">
        <x:v>2</x:v>
      </x:c>
      <x:c r="P88" s="50" t="n">
        <x:f>IF(D88=0,"",H88/D88)</x:f>
        <x:v>0.021538461538461538</x:v>
      </x:c>
      <x:c r="Q88" t="n">
        <x:f>MAX(I88:O88)</x:f>
        <x:v>623</x:v>
      </x:c>
      <x:c r="R88" t="n">
        <x:f>H88-Q88</x:f>
        <x:v>-602</x:v>
      </x:c>
      <x:c r="S88" s="52" t="n">
        <x:f>IF(D88=0,"",(R88)/D88)</x:f>
        <x:v>-0.6174358974358974</x:v>
      </x:c>
      <x:c r="T88" t="str">
        <x:v>Vedram Bhati</x:v>
      </x:c>
      <x:c r="U88" t="n">
        <x:f>D88-E88-F88</x:f>
        <x:v>0</x:v>
      </x:c>
    </x:row>
    <x:row r="89">
      <x:c r="A89" t="n">
        <x:v>81</x:v>
      </x:c>
      <x:c r="B89" t="str">
        <x:v>PRY. SCHOOL BAGPUR R.NO. 1</x:v>
      </x:c>
      <x:c r="C89" t="n">
        <x:v>1035</x:v>
      </x:c>
      <x:c r="D89" t="n">
        <x:v>718</x:v>
      </x:c>
      <x:c r="E89" t="n">
        <x:f>SUM(H89:O89)</x:f>
        <x:v>713</x:v>
      </x:c>
      <x:c r="F89" t="n">
        <x:v>5</x:v>
      </x:c>
      <x:c r="G89" s="50" t="n">
        <x:f>IF(C89="","",IFERROR(D89/C89,0))</x:f>
        <x:v>0.693719806763285</x:v>
      </x:c>
      <x:c r="H89" s="36" t="n">
        <x:v>26</x:v>
      </x:c>
      <x:c r="I89" t="n">
        <x:v>379</x:v>
      </x:c>
      <x:c r="J89" t="n">
        <x:v>286</x:v>
      </x:c>
      <x:c r="K89" t="n">
        <x:v>4</x:v>
      </x:c>
      <x:c r="L89" t="n">
        <x:v>8</x:v>
      </x:c>
      <x:c r="M89" t="n">
        <x:v>0</x:v>
      </x:c>
      <x:c r="N89" t="n">
        <x:v>8</x:v>
      </x:c>
      <x:c r="O89" t="n">
        <x:v>2</x:v>
      </x:c>
      <x:c r="P89" s="50" t="n">
        <x:f>IF(D89=0,"",H89/D89)</x:f>
        <x:v>0.036211699164345405</x:v>
      </x:c>
      <x:c r="Q89" t="n">
        <x:f>MAX(I89:O89)</x:f>
        <x:v>379</x:v>
      </x:c>
      <x:c r="R89" t="n">
        <x:f>H89-Q89</x:f>
        <x:v>-353</x:v>
      </x:c>
      <x:c r="S89" s="52" t="n">
        <x:f>IF(D89=0,"",(R89)/D89)</x:f>
        <x:v>-0.49164345403899723</x:v>
      </x:c>
      <x:c r="T89" t="str">
        <x:v>Dhirendra Singh</x:v>
      </x:c>
      <x:c r="U89" t="n">
        <x:f>D89-E89-F89</x:f>
        <x:v>0</x:v>
      </x:c>
    </x:row>
    <x:row r="90">
      <x:c r="A90" t="n">
        <x:v>82</x:v>
      </x:c>
      <x:c r="B90" t="str">
        <x:v>PRY. SCHOOL PIPLKA SURATPUR R.NO. 1</x:v>
      </x:c>
      <x:c r="C90" t="n">
        <x:v>733</x:v>
      </x:c>
      <x:c r="D90" t="n">
        <x:v>483</x:v>
      </x:c>
      <x:c r="E90" t="n">
        <x:f>SUM(H90:O90)</x:f>
        <x:v>481</x:v>
      </x:c>
      <x:c r="F90" t="n">
        <x:v>2</x:v>
      </x:c>
      <x:c r="G90" s="50" t="n">
        <x:f>IF(C90="","",IFERROR(D90/C90,0))</x:f>
        <x:v>0.6589358799454298</x:v>
      </x:c>
      <x:c r="H90" s="36" t="n">
        <x:v>4</x:v>
      </x:c>
      <x:c r="I90" t="n">
        <x:v>169</x:v>
      </x:c>
      <x:c r="J90" t="n">
        <x:v>271</x:v>
      </x:c>
      <x:c r="K90" t="n">
        <x:v>16</x:v>
      </x:c>
      <x:c r="L90" t="n">
        <x:v>4</x:v>
      </x:c>
      <x:c r="M90" t="n">
        <x:v>9</x:v>
      </x:c>
      <x:c r="N90" t="n">
        <x:v>2</x:v>
      </x:c>
      <x:c r="O90" t="n">
        <x:v>6</x:v>
      </x:c>
      <x:c r="P90" s="50" t="n">
        <x:f>IF(D90=0,"",H90/D90)</x:f>
        <x:v>0.008281573498964804</x:v>
      </x:c>
      <x:c r="Q90" t="n">
        <x:f>MAX(I90:O90)</x:f>
        <x:v>271</x:v>
      </x:c>
      <x:c r="R90" t="n">
        <x:f>H90-Q90</x:f>
        <x:v>-267</x:v>
      </x:c>
      <x:c r="S90" s="52" t="n">
        <x:f>IF(D90=0,"",(R90)/D90)</x:f>
        <x:v>-0.5527950310559007</x:v>
      </x:c>
      <x:c r="T90" t="str">
        <x:v>Vedram Bhati</x:v>
      </x:c>
      <x:c r="U90" t="n">
        <x:f>D90-E90-F90</x:f>
        <x:v>0</x:v>
      </x:c>
    </x:row>
    <x:row r="91">
      <x:c r="A91" t="n">
        <x:v>83</x:v>
      </x:c>
      <x:c r="B91" t="str">
        <x:v>PRY. SCHOOL PIPLKA SURATPUR R.NO. 2</x:v>
      </x:c>
      <x:c r="C91" t="n">
        <x:v>1108</x:v>
      </x:c>
      <x:c r="D91" t="n">
        <x:v>758</x:v>
      </x:c>
      <x:c r="E91" t="n">
        <x:f>SUM(H91:O91)</x:f>
        <x:v>752</x:v>
      </x:c>
      <x:c r="F91" t="n">
        <x:v>6</x:v>
      </x:c>
      <x:c r="G91" s="50" t="n">
        <x:f>IF(C91="","",IFERROR(D91/C91,0))</x:f>
        <x:v>0.6841155234657039</x:v>
      </x:c>
      <x:c r="H91" s="36" t="n">
        <x:v>10</x:v>
      </x:c>
      <x:c r="I91" t="n">
        <x:v>438</x:v>
      </x:c>
      <x:c r="J91" t="n">
        <x:v>284</x:v>
      </x:c>
      <x:c r="K91" t="n">
        <x:v>12</x:v>
      </x:c>
      <x:c r="L91" t="n">
        <x:v>0</x:v>
      </x:c>
      <x:c r="M91" t="n">
        <x:v>1</x:v>
      </x:c>
      <x:c r="N91" t="n">
        <x:v>3</x:v>
      </x:c>
      <x:c r="O91" t="n">
        <x:v>4</x:v>
      </x:c>
      <x:c r="P91" s="50" t="n">
        <x:f>IF(D91=0,"",H91/D91)</x:f>
        <x:v>0.013192612137203167</x:v>
      </x:c>
      <x:c r="Q91" t="n">
        <x:f>MAX(I91:O91)</x:f>
        <x:v>438</x:v>
      </x:c>
      <x:c r="R91" t="n">
        <x:f>H91-Q91</x:f>
        <x:v>-428</x:v>
      </x:c>
      <x:c r="S91" s="52" t="n">
        <x:f>IF(D91=0,"",(R91)/D91)</x:f>
        <x:v>-0.5646437994722955</x:v>
      </x:c>
      <x:c r="T91" t="str">
        <x:v>Dhirendra Singh</x:v>
      </x:c>
      <x:c r="U91" t="n">
        <x:f>D91-E91-F91</x:f>
        <x:v>0</x:v>
      </x:c>
    </x:row>
    <x:row r="92">
      <x:c r="A92" t="n">
        <x:v>84</x:v>
      </x:c>
      <x:c r="B92" t="str">
        <x:v>PRY. SCHOOL VISAECH R.NO. 1</x:v>
      </x:c>
      <x:c r="C92" t="n">
        <x:v>525</x:v>
      </x:c>
      <x:c r="D92" t="n">
        <x:v>361</x:v>
      </x:c>
      <x:c r="E92" t="n">
        <x:f>SUM(H92:O92)</x:f>
        <x:v>360</x:v>
      </x:c>
      <x:c r="F92" t="n">
        <x:v>1</x:v>
      </x:c>
      <x:c r="G92" s="50" t="n">
        <x:f>IF(C92="","",IFERROR(D92/C92,0))</x:f>
        <x:v>0.6876190476190476</x:v>
      </x:c>
      <x:c r="H92" s="36" t="n">
        <x:v>10</x:v>
      </x:c>
      <x:c r="I92" t="n">
        <x:v>150</x:v>
      </x:c>
      <x:c r="J92" t="n">
        <x:v>188</x:v>
      </x:c>
      <x:c r="K92" t="n">
        <x:v>3</x:v>
      </x:c>
      <x:c r="L92" t="n">
        <x:v>2</x:v>
      </x:c>
      <x:c r="M92" t="n">
        <x:v>5</x:v>
      </x:c>
      <x:c r="N92" t="n">
        <x:v>1</x:v>
      </x:c>
      <x:c r="O92" t="n">
        <x:v>1</x:v>
      </x:c>
      <x:c r="P92" s="50" t="n">
        <x:f>IF(D92=0,"",H92/D92)</x:f>
        <x:v>0.027700831024930747</x:v>
      </x:c>
      <x:c r="Q92" t="n">
        <x:f>MAX(I92:O92)</x:f>
        <x:v>188</x:v>
      </x:c>
      <x:c r="R92" t="n">
        <x:f>H92-Q92</x:f>
        <x:v>-178</x:v>
      </x:c>
      <x:c r="S92" s="52" t="n">
        <x:f>IF(D92=0,"",(R92)/D92)</x:f>
        <x:v>-0.4930747922437673</x:v>
      </x:c>
      <x:c r="T92" t="str">
        <x:v>Vedram Bhati</x:v>
      </x:c>
      <x:c r="U92" t="n">
        <x:f>D92-E92-F92</x:f>
        <x:v>0</x:v>
      </x:c>
    </x:row>
    <x:row r="93">
      <x:c r="A93" t="n">
        <x:v>85</x:v>
      </x:c>
      <x:c r="B93" t="str">
        <x:v>PRY. SCHOOL DADUPUR DANKAUR R.NO. 1</x:v>
      </x:c>
      <x:c r="C93" t="n">
        <x:v>1347</x:v>
      </x:c>
      <x:c r="D93" t="n">
        <x:v>856</x:v>
      </x:c>
      <x:c r="E93" t="n">
        <x:f>SUM(H93:O93)</x:f>
        <x:v>846</x:v>
      </x:c>
      <x:c r="F93" t="n">
        <x:v>10</x:v>
      </x:c>
      <x:c r="G93" s="50" t="n">
        <x:f>IF(C93="","",IFERROR(D93/C93,0))</x:f>
        <x:v>0.635486265775798</x:v>
      </x:c>
      <x:c r="H93" s="36" t="n">
        <x:v>7</x:v>
      </x:c>
      <x:c r="I93" t="n">
        <x:v>334</x:v>
      </x:c>
      <x:c r="J93" t="n">
        <x:v>469</x:v>
      </x:c>
      <x:c r="K93" t="n">
        <x:v>9</x:v>
      </x:c>
      <x:c r="L93" t="n">
        <x:v>12</x:v>
      </x:c>
      <x:c r="M93" t="n">
        <x:v>4</x:v>
      </x:c>
      <x:c r="N93" t="n">
        <x:v>6</x:v>
      </x:c>
      <x:c r="O93" t="n">
        <x:v>5</x:v>
      </x:c>
      <x:c r="P93" s="50" t="n">
        <x:f>IF(D93=0,"",H93/D93)</x:f>
        <x:v>0.008177570093457943</x:v>
      </x:c>
      <x:c r="Q93" t="n">
        <x:f>MAX(I93:O93)</x:f>
        <x:v>469</x:v>
      </x:c>
      <x:c r="R93" t="n">
        <x:f>H93-Q93</x:f>
        <x:v>-462</x:v>
      </x:c>
      <x:c r="S93" s="52" t="n">
        <x:f>IF(D93=0,"",(R93)/D93)</x:f>
        <x:v>-0.5397196261682243</x:v>
      </x:c>
      <x:c r="T93" t="str">
        <x:v>Vedram Bhati</x:v>
      </x:c>
      <x:c r="U93" t="n">
        <x:f>D93-E93-F93</x:f>
        <x:v>0</x:v>
      </x:c>
    </x:row>
    <x:row r="94">
      <x:c r="A94" t="n">
        <x:v>86</x:v>
      </x:c>
      <x:c r="B94" t="str">
        <x:v>PRY. SCHOOL DADUPUR DANKAUR R.NO. 2</x:v>
      </x:c>
      <x:c r="C94" t="n">
        <x:v>1218</x:v>
      </x:c>
      <x:c r="D94" t="n">
        <x:v>825</x:v>
      </x:c>
      <x:c r="E94" t="n">
        <x:f>SUM(H94:O94)</x:f>
        <x:v>824</x:v>
      </x:c>
      <x:c r="F94" t="n">
        <x:v>1</x:v>
      </x:c>
      <x:c r="G94" s="50" t="n">
        <x:f>IF(C94="","",IFERROR(D94/C94,0))</x:f>
        <x:v>0.6773399014778325</x:v>
      </x:c>
      <x:c r="H94" s="36" t="n">
        <x:v>26</x:v>
      </x:c>
      <x:c r="I94" t="n">
        <x:v>275</x:v>
      </x:c>
      <x:c r="J94" t="n">
        <x:v>505</x:v>
      </x:c>
      <x:c r="K94" t="n">
        <x:v>5</x:v>
      </x:c>
      <x:c r="L94" t="n">
        <x:v>6</x:v>
      </x:c>
      <x:c r="M94" t="n">
        <x:v>3</x:v>
      </x:c>
      <x:c r="N94" t="n">
        <x:v>4</x:v>
      </x:c>
      <x:c r="O94" t="n">
        <x:v>0</x:v>
      </x:c>
      <x:c r="P94" s="50" t="n">
        <x:f>IF(D94=0,"",H94/D94)</x:f>
        <x:v>0.03151515151515152</x:v>
      </x:c>
      <x:c r="Q94" t="n">
        <x:f>MAX(I94:O94)</x:f>
        <x:v>505</x:v>
      </x:c>
      <x:c r="R94" t="n">
        <x:f>H94-Q94</x:f>
        <x:v>-479</x:v>
      </x:c>
      <x:c r="S94" s="52" t="n">
        <x:f>IF(D94=0,"",(R94)/D94)</x:f>
        <x:v>-0.5806060606060606</x:v>
      </x:c>
      <x:c r="T94" t="str">
        <x:v>Vedram Bhati</x:v>
      </x:c>
      <x:c r="U94" t="n">
        <x:f>D94-E94-F94</x:f>
        <x:v>0</x:v>
      </x:c>
    </x:row>
    <x:row r="95">
      <x:c r="A95" t="n">
        <x:v>87</x:v>
      </x:c>
      <x:c r="B95" t="str">
        <x:v>PRY. SCHOOL AMARPUR R.NO. 1</x:v>
      </x:c>
      <x:c r="C95" t="n">
        <x:v>995</x:v>
      </x:c>
      <x:c r="D95" t="n">
        <x:v>779</x:v>
      </x:c>
      <x:c r="E95" t="n">
        <x:f>SUM(H95:O95)</x:f>
        <x:v>775</x:v>
      </x:c>
      <x:c r="F95" t="n">
        <x:v>4</x:v>
      </x:c>
      <x:c r="G95" s="50" t="n">
        <x:f>IF(C95="","",IFERROR(D95/C95,0))</x:f>
        <x:v>0.7829145728643216</x:v>
      </x:c>
      <x:c r="H95" s="36" t="n">
        <x:v>117</x:v>
      </x:c>
      <x:c r="I95" t="n">
        <x:v>190</x:v>
      </x:c>
      <x:c r="J95" t="n">
        <x:v>438</x:v>
      </x:c>
      <x:c r="K95" t="n">
        <x:v>8</x:v>
      </x:c>
      <x:c r="L95" t="n">
        <x:v>8</x:v>
      </x:c>
      <x:c r="M95" t="n">
        <x:v>5</x:v>
      </x:c>
      <x:c r="N95" t="n">
        <x:v>7</x:v>
      </x:c>
      <x:c r="O95" t="n">
        <x:v>2</x:v>
      </x:c>
      <x:c r="P95" s="50" t="n">
        <x:f>IF(D95=0,"",H95/D95)</x:f>
        <x:v>0.15019255455712452</x:v>
      </x:c>
      <x:c r="Q95" t="n">
        <x:f>MAX(I95:O95)</x:f>
        <x:v>438</x:v>
      </x:c>
      <x:c r="R95" t="n">
        <x:f>H95-Q95</x:f>
        <x:v>-321</x:v>
      </x:c>
      <x:c r="S95" s="52" t="n">
        <x:f>IF(D95=0,"",(R95)/D95)</x:f>
        <x:v>-0.4120667522464698</x:v>
      </x:c>
      <x:c r="T95" t="str">
        <x:v>Vedram Bhati</x:v>
      </x:c>
      <x:c r="U95" t="n">
        <x:f>D95-E95-F95</x:f>
        <x:v>0</x:v>
      </x:c>
    </x:row>
    <x:row r="96">
      <x:c r="A96" t="n">
        <x:v>88</x:v>
      </x:c>
      <x:c r="B96" t="str">
        <x:v>PRY. SCHOOL NANUAKA RAJPUR R.NO. 1</x:v>
      </x:c>
      <x:c r="C96" t="n">
        <x:v>535</x:v>
      </x:c>
      <x:c r="D96" t="n">
        <x:v>423</x:v>
      </x:c>
      <x:c r="E96" t="n">
        <x:f>SUM(H96:O96)</x:f>
        <x:v>422</x:v>
      </x:c>
      <x:c r="F96" t="n">
        <x:v>1</x:v>
      </x:c>
      <x:c r="G96" s="50" t="n">
        <x:f>IF(C96="","",IFERROR(D96/C96,0))</x:f>
        <x:v>0.7906542056074767</x:v>
      </x:c>
      <x:c r="H96" s="36" t="n">
        <x:v>14</x:v>
      </x:c>
      <x:c r="I96" t="n">
        <x:v>111</x:v>
      </x:c>
      <x:c r="J96" t="n">
        <x:v>287</x:v>
      </x:c>
      <x:c r="K96" t="n">
        <x:v>2</x:v>
      </x:c>
      <x:c r="L96" t="n">
        <x:v>5</x:v>
      </x:c>
      <x:c r="M96" t="n">
        <x:v>3</x:v>
      </x:c>
      <x:c r="N96" t="n">
        <x:v>0</x:v>
      </x:c>
      <x:c r="O96" t="n">
        <x:v>0</x:v>
      </x:c>
      <x:c r="P96" s="50" t="n">
        <x:f>IF(D96=0,"",H96/D96)</x:f>
        <x:v>0.03309692671394799</x:v>
      </x:c>
      <x:c r="Q96" t="n">
        <x:f>MAX(I96:O96)</x:f>
        <x:v>287</x:v>
      </x:c>
      <x:c r="R96" t="n">
        <x:f>H96-Q96</x:f>
        <x:v>-273</x:v>
      </x:c>
      <x:c r="S96" s="52" t="n">
        <x:f>IF(D96=0,"",(R96)/D96)</x:f>
        <x:v>-0.6453900709219859</x:v>
      </x:c>
      <x:c r="T96" t="str">
        <x:v>Vedram Bhati</x:v>
      </x:c>
      <x:c r="U96" t="n">
        <x:f>D96-E96-F96</x:f>
        <x:v>0</x:v>
      </x:c>
    </x:row>
    <x:row r="97">
      <x:c r="A97" t="n">
        <x:v>89</x:v>
      </x:c>
      <x:c r="B97" t="str">
        <x:v>PRY. SCHOOL NAVADA R.NO. 1</x:v>
      </x:c>
      <x:c r="C97" t="n">
        <x:v>1281</x:v>
      </x:c>
      <x:c r="D97" t="n">
        <x:v>796</x:v>
      </x:c>
      <x:c r="E97" t="n">
        <x:f>SUM(H97:O97)</x:f>
        <x:v>791</x:v>
      </x:c>
      <x:c r="F97" t="n">
        <x:v>5</x:v>
      </x:c>
      <x:c r="G97" s="50" t="n">
        <x:f>IF(C97="","",IFERROR(D97/C97,0))</x:f>
        <x:v>0.6213895394223263</x:v>
      </x:c>
      <x:c r="H97" s="36" t="n">
        <x:v>31</x:v>
      </x:c>
      <x:c r="I97" t="n">
        <x:v>294</x:v>
      </x:c>
      <x:c r="J97" t="n">
        <x:v>381</x:v>
      </x:c>
      <x:c r="K97" t="n">
        <x:v>55</x:v>
      </x:c>
      <x:c r="L97" t="n">
        <x:v>10</x:v>
      </x:c>
      <x:c r="M97" t="n">
        <x:v>8</x:v>
      </x:c>
      <x:c r="N97" t="n">
        <x:v>9</x:v>
      </x:c>
      <x:c r="O97" t="n">
        <x:v>3</x:v>
      </x:c>
      <x:c r="P97" s="50" t="n">
        <x:f>IF(D97=0,"",H97/D97)</x:f>
        <x:v>0.038944723618090454</x:v>
      </x:c>
      <x:c r="Q97" t="n">
        <x:f>MAX(I97:O97)</x:f>
        <x:v>381</x:v>
      </x:c>
      <x:c r="R97" t="n">
        <x:f>H97-Q97</x:f>
        <x:v>-350</x:v>
      </x:c>
      <x:c r="S97" s="52" t="n">
        <x:f>IF(D97=0,"",(R97)/D97)</x:f>
        <x:v>-0.4396984924623116</x:v>
      </x:c>
      <x:c r="T97" t="str">
        <x:v>Vedram Bhati</x:v>
      </x:c>
      <x:c r="U97" t="n">
        <x:f>D97-E97-F97</x:f>
        <x:v>0</x:v>
      </x:c>
    </x:row>
    <x:row r="98">
      <x:c r="A98" t="n">
        <x:v>90</x:v>
      </x:c>
      <x:c r="B98" t="str">
        <x:v>PRY. SCHOOL NAVADA R.NO. 2</x:v>
      </x:c>
      <x:c r="C98" t="n">
        <x:v>1245</x:v>
      </x:c>
      <x:c r="D98" t="n">
        <x:v>741</x:v>
      </x:c>
      <x:c r="E98" t="n">
        <x:f>SUM(H98:O98)</x:f>
        <x:v>738</x:v>
      </x:c>
      <x:c r="F98" t="n">
        <x:v>3</x:v>
      </x:c>
      <x:c r="G98" s="50" t="n">
        <x:f>IF(C98="","",IFERROR(D98/C98,0))</x:f>
        <x:v>0.5951807228915663</x:v>
      </x:c>
      <x:c r="H98" s="36" t="n">
        <x:v>12</x:v>
      </x:c>
      <x:c r="I98" t="n">
        <x:v>166</x:v>
      </x:c>
      <x:c r="J98" t="n">
        <x:v>539</x:v>
      </x:c>
      <x:c r="K98" t="n">
        <x:v>7</x:v>
      </x:c>
      <x:c r="L98" t="n">
        <x:v>6</x:v>
      </x:c>
      <x:c r="M98" t="n">
        <x:v>1</x:v>
      </x:c>
      <x:c r="N98" t="n">
        <x:v>6</x:v>
      </x:c>
      <x:c r="O98" t="n">
        <x:v>1</x:v>
      </x:c>
      <x:c r="P98" s="50" t="n">
        <x:f>IF(D98=0,"",H98/D98)</x:f>
        <x:v>0.016194331983805668</x:v>
      </x:c>
      <x:c r="Q98" t="n">
        <x:f>MAX(I98:O98)</x:f>
        <x:v>539</x:v>
      </x:c>
      <x:c r="R98" t="n">
        <x:f>H98-Q98</x:f>
        <x:v>-527</x:v>
      </x:c>
      <x:c r="S98" s="52" t="n">
        <x:f>IF(D98=0,"",(R98)/D98)</x:f>
        <x:v>-0.7112010796221323</x:v>
      </x:c>
      <x:c r="T98" t="str">
        <x:v>Vedram Bhati</x:v>
      </x:c>
      <x:c r="U98" t="n">
        <x:f>D98-E98-F98</x:f>
        <x:v>0</x:v>
      </x:c>
    </x:row>
    <x:row r="99">
      <x:c r="A99" t="n">
        <x:v>91</x:v>
      </x:c>
      <x:c r="B99" t="str">
        <x:v>PRY. SCHOOL KANARSI R.NO. 1</x:v>
      </x:c>
      <x:c r="C99" t="n">
        <x:v>1061</x:v>
      </x:c>
      <x:c r="D99" t="n">
        <x:v>726</x:v>
      </x:c>
      <x:c r="E99" t="n">
        <x:f>SUM(H99:O99)</x:f>
        <x:v>715</x:v>
      </x:c>
      <x:c r="F99" t="n">
        <x:v>11</x:v>
      </x:c>
      <x:c r="G99" s="50" t="n">
        <x:f>IF(C99="","",IFERROR(D99/C99,0))</x:f>
        <x:v>0.6842601319509897</x:v>
      </x:c>
      <x:c r="H99" s="36" t="n">
        <x:v>8</x:v>
      </x:c>
      <x:c r="I99" t="n">
        <x:v>99</x:v>
      </x:c>
      <x:c r="J99" t="n">
        <x:v>569</x:v>
      </x:c>
      <x:c r="K99" t="n">
        <x:v>6</x:v>
      </x:c>
      <x:c r="L99" t="n">
        <x:v>16</x:v>
      </x:c>
      <x:c r="M99" t="n">
        <x:v>5</x:v>
      </x:c>
      <x:c r="N99" t="n">
        <x:v>10</x:v>
      </x:c>
      <x:c r="O99" t="n">
        <x:v>2</x:v>
      </x:c>
      <x:c r="P99" s="50" t="n">
        <x:f>IF(D99=0,"",H99/D99)</x:f>
        <x:v>0.011019283746556474</x:v>
      </x:c>
      <x:c r="Q99" t="n">
        <x:f>MAX(I99:O99)</x:f>
        <x:v>569</x:v>
      </x:c>
      <x:c r="R99" t="n">
        <x:f>H99-Q99</x:f>
        <x:v>-561</x:v>
      </x:c>
      <x:c r="S99" s="52" t="n">
        <x:f>IF(D99=0,"",(R99)/D99)</x:f>
        <x:v>-0.7727272727272727</x:v>
      </x:c>
      <x:c r="T99" t="str">
        <x:v>Vedram Bhati</x:v>
      </x:c>
      <x:c r="U99" t="n">
        <x:f>D99-E99-F99</x:f>
        <x:v>0</x:v>
      </x:c>
    </x:row>
    <x:row r="100">
      <x:c r="A100" t="n">
        <x:v>92</x:v>
      </x:c>
      <x:c r="B100" t="str">
        <x:v>PRY. SCHOOL KANRSA MAZRA KANARSI R.NO. 1</x:v>
      </x:c>
      <x:c r="C100" t="n">
        <x:v>890</x:v>
      </x:c>
      <x:c r="D100" t="n">
        <x:v>611</x:v>
      </x:c>
      <x:c r="E100" t="n">
        <x:f>SUM(H100:O100)</x:f>
        <x:v>610</x:v>
      </x:c>
      <x:c r="F100" t="n">
        <x:v>1</x:v>
      </x:c>
      <x:c r="G100" s="50" t="n">
        <x:f>IF(C100="","",IFERROR(D100/C100,0))</x:f>
        <x:v>0.6865168539325842</x:v>
      </x:c>
      <x:c r="H100" s="36" t="n">
        <x:v>16</x:v>
      </x:c>
      <x:c r="I100" t="n">
        <x:v>239</x:v>
      </x:c>
      <x:c r="J100" t="n">
        <x:v>342</x:v>
      </x:c>
      <x:c r="K100" t="n">
        <x:v>2</x:v>
      </x:c>
      <x:c r="L100" t="n">
        <x:v>6</x:v>
      </x:c>
      <x:c r="M100" t="n">
        <x:v>3</x:v>
      </x:c>
      <x:c r="N100" t="n">
        <x:v>1</x:v>
      </x:c>
      <x:c r="O100" t="n">
        <x:v>1</x:v>
      </x:c>
      <x:c r="P100" s="50" t="n">
        <x:f>IF(D100=0,"",H100/D100)</x:f>
        <x:v>0.02618657937806874</x:v>
      </x:c>
      <x:c r="Q100" t="n">
        <x:f>MAX(I100:O100)</x:f>
        <x:v>342</x:v>
      </x:c>
      <x:c r="R100" t="n">
        <x:f>H100-Q100</x:f>
        <x:v>-326</x:v>
      </x:c>
      <x:c r="S100" s="52" t="n">
        <x:f>IF(D100=0,"",(R100)/D100)</x:f>
        <x:v>-0.5335515548281505</x:v>
      </x:c>
      <x:c r="T100" t="str">
        <x:v>Vedram Bhati</x:v>
      </x:c>
      <x:c r="U100" t="n">
        <x:f>D100-E100-F100</x:f>
        <x:v>0</x:v>
      </x:c>
    </x:row>
    <x:row r="101">
      <x:c r="A101" t="n">
        <x:v>93</x:v>
      </x:c>
      <x:c r="B101" t="str">
        <x:v>PRY. SCHOOL KANARSI R.NO. 2</x:v>
      </x:c>
      <x:c r="C101" t="n">
        <x:v>906</x:v>
      </x:c>
      <x:c r="D101" t="n">
        <x:v>635</x:v>
      </x:c>
      <x:c r="E101" t="n">
        <x:f>SUM(H101:O101)</x:f>
        <x:v>632</x:v>
      </x:c>
      <x:c r="F101" t="n">
        <x:v>3</x:v>
      </x:c>
      <x:c r="G101" s="50" t="n">
        <x:f>IF(C101="","",IFERROR(D101/C101,0))</x:f>
        <x:v>0.7008830022075055</x:v>
      </x:c>
      <x:c r="H101" s="36" t="n">
        <x:v>10</x:v>
      </x:c>
      <x:c r="I101" t="n">
        <x:v>210</x:v>
      </x:c>
      <x:c r="J101" t="n">
        <x:v>386</x:v>
      </x:c>
      <x:c r="K101" t="n">
        <x:v>6</x:v>
      </x:c>
      <x:c r="L101" t="n">
        <x:v>6</x:v>
      </x:c>
      <x:c r="M101" t="n">
        <x:v>4</x:v>
      </x:c>
      <x:c r="N101" t="n">
        <x:v>5</x:v>
      </x:c>
      <x:c r="O101" t="n">
        <x:v>5</x:v>
      </x:c>
      <x:c r="P101" s="50" t="n">
        <x:f>IF(D101=0,"",H101/D101)</x:f>
        <x:v>0.015748031496062992</x:v>
      </x:c>
      <x:c r="Q101" t="n">
        <x:f>MAX(I101:O101)</x:f>
        <x:v>386</x:v>
      </x:c>
      <x:c r="R101" t="n">
        <x:f>H101-Q101</x:f>
        <x:v>-376</x:v>
      </x:c>
      <x:c r="S101" s="52" t="n">
        <x:f>IF(D101=0,"",(R101)/D101)</x:f>
        <x:v>-0.5921259842519685</x:v>
      </x:c>
      <x:c r="T101" t="str">
        <x:v>Vedram Bhati</x:v>
      </x:c>
      <x:c r="U101" t="n">
        <x:f>D101-E101-F101</x:f>
        <x:v>0</x:v>
      </x:c>
    </x:row>
    <x:row r="102">
      <x:c r="A102" t="n">
        <x:v>94</x:v>
      </x:c>
      <x:c r="B102" t="str">
        <x:v>PRY. SCHOOL JUNAIDPUR R.NO. 1</x:v>
      </x:c>
      <x:c r="C102" t="n">
        <x:v>810</x:v>
      </x:c>
      <x:c r="D102" t="n">
        <x:v>555</x:v>
      </x:c>
      <x:c r="E102" t="n">
        <x:f>SUM(H102:O102)</x:f>
        <x:v>551</x:v>
      </x:c>
      <x:c r="F102" t="n">
        <x:v>4</x:v>
      </x:c>
      <x:c r="G102" s="50" t="n">
        <x:f>IF(C102="","",IFERROR(D102/C102,0))</x:f>
        <x:v>0.6851851851851852</x:v>
      </x:c>
      <x:c r="H102" s="36" t="n">
        <x:v>45</x:v>
      </x:c>
      <x:c r="I102" t="n">
        <x:v>187</x:v>
      </x:c>
      <x:c r="J102" t="n">
        <x:v>286</x:v>
      </x:c>
      <x:c r="K102" t="n">
        <x:v>19</x:v>
      </x:c>
      <x:c r="L102" t="n">
        <x:v>6</x:v>
      </x:c>
      <x:c r="M102" t="n">
        <x:v>3</x:v>
      </x:c>
      <x:c r="N102" t="n">
        <x:v>2</x:v>
      </x:c>
      <x:c r="O102" t="n">
        <x:v>3</x:v>
      </x:c>
      <x:c r="P102" s="50" t="n">
        <x:f>IF(D102=0,"",H102/D102)</x:f>
        <x:v>0.08108108108108109</x:v>
      </x:c>
      <x:c r="Q102" t="n">
        <x:f>MAX(I102:O102)</x:f>
        <x:v>286</x:v>
      </x:c>
      <x:c r="R102" t="n">
        <x:f>H102-Q102</x:f>
        <x:v>-241</x:v>
      </x:c>
      <x:c r="S102" s="52" t="n">
        <x:f>IF(D102=0,"",(R102)/D102)</x:f>
        <x:v>-0.43423423423423424</x:v>
      </x:c>
      <x:c r="T102" t="str">
        <x:v>Vedram Bhati</x:v>
      </x:c>
      <x:c r="U102" t="n">
        <x:f>D102-E102-F102</x:f>
        <x:v>0</x:v>
      </x:c>
    </x:row>
    <x:row r="103">
      <x:c r="A103" t="n">
        <x:v>95</x:v>
      </x:c>
      <x:c r="B103" t="str">
        <x:v>PRY. SCHOOL JUNAIDPUR R.NO. 2</x:v>
      </x:c>
      <x:c r="C103" t="n">
        <x:v>773</x:v>
      </x:c>
      <x:c r="D103" t="n">
        <x:v>456</x:v>
      </x:c>
      <x:c r="E103" t="n">
        <x:f>SUM(H103:O103)</x:f>
        <x:v>451</x:v>
      </x:c>
      <x:c r="F103" t="n">
        <x:v>5</x:v>
      </x:c>
      <x:c r="G103" s="50" t="n">
        <x:f>IF(C103="","",IFERROR(D103/C103,0))</x:f>
        <x:v>0.5899094437257438</x:v>
      </x:c>
      <x:c r="H103" s="36" t="n">
        <x:v>30</x:v>
      </x:c>
      <x:c r="I103" t="n">
        <x:v>181</x:v>
      </x:c>
      <x:c r="J103" t="n">
        <x:v>226</x:v>
      </x:c>
      <x:c r="K103" t="n">
        <x:v>2</x:v>
      </x:c>
      <x:c r="L103" t="n">
        <x:v>4</x:v>
      </x:c>
      <x:c r="M103" t="n">
        <x:v>2</x:v>
      </x:c>
      <x:c r="N103" t="n">
        <x:v>2</x:v>
      </x:c>
      <x:c r="O103" t="n">
        <x:v>4</x:v>
      </x:c>
      <x:c r="P103" s="50" t="n">
        <x:f>IF(D103=0,"",H103/D103)</x:f>
        <x:v>0.06578947368421052</x:v>
      </x:c>
      <x:c r="Q103" t="n">
        <x:f>MAX(I103:O103)</x:f>
        <x:v>226</x:v>
      </x:c>
      <x:c r="R103" t="n">
        <x:f>H103-Q103</x:f>
        <x:v>-196</x:v>
      </x:c>
      <x:c r="S103" s="52" t="n">
        <x:f>IF(D103=0,"",(R103)/D103)</x:f>
        <x:v>-0.4298245614035088</x:v>
      </x:c>
      <x:c r="T103" t="str">
        <x:v>Vedram Bhati</x:v>
      </x:c>
      <x:c r="U103" t="n">
        <x:f>D103-E103-F103</x:f>
        <x:v>0</x:v>
      </x:c>
    </x:row>
    <x:row r="104">
      <x:c r="A104" t="n">
        <x:v>96</x:v>
      </x:c>
      <x:c r="B104" t="str">
        <x:v>PRY. SCHOOL CHACHULA R.NO. 1</x:v>
      </x:c>
      <x:c r="C104" t="n">
        <x:v>1223</x:v>
      </x:c>
      <x:c r="D104" t="n">
        <x:v>753</x:v>
      </x:c>
      <x:c r="E104" t="n">
        <x:f>SUM(H104:O104)</x:f>
        <x:v>736</x:v>
      </x:c>
      <x:c r="F104" t="n">
        <x:v>17</x:v>
      </x:c>
      <x:c r="G104" s="50" t="n">
        <x:f>IF(C104="","",IFERROR(D104/C104,0))</x:f>
        <x:v>0.615699100572363</x:v>
      </x:c>
      <x:c r="H104" s="36" t="n">
        <x:v>61</x:v>
      </x:c>
      <x:c r="I104" t="n">
        <x:v>335</x:v>
      </x:c>
      <x:c r="J104" t="n">
        <x:v>315</x:v>
      </x:c>
      <x:c r="K104" t="n">
        <x:v>7</x:v>
      </x:c>
      <x:c r="L104" t="n">
        <x:v>6</x:v>
      </x:c>
      <x:c r="M104" t="n">
        <x:v>4</x:v>
      </x:c>
      <x:c r="N104" t="n">
        <x:v>6</x:v>
      </x:c>
      <x:c r="O104" t="n">
        <x:v>2</x:v>
      </x:c>
      <x:c r="P104" s="50" t="n">
        <x:f>IF(D104=0,"",H104/D104)</x:f>
        <x:v>0.08100929614873838</x:v>
      </x:c>
      <x:c r="Q104" t="n">
        <x:f>MAX(I104:O104)</x:f>
        <x:v>335</x:v>
      </x:c>
      <x:c r="R104" t="n">
        <x:f>H104-Q104</x:f>
        <x:v>-274</x:v>
      </x:c>
      <x:c r="S104" s="52" t="n">
        <x:f>IF(D104=0,"",(R104)/D104)</x:f>
        <x:v>-0.36387782204515273</x:v>
      </x:c>
      <x:c r="T104" t="str">
        <x:v>Dhirendra Singh</x:v>
      </x:c>
      <x:c r="U104" t="n">
        <x:f>D104-E104-F104</x:f>
        <x:v>0</x:v>
      </x:c>
    </x:row>
    <x:row r="105">
      <x:c r="A105" t="n">
        <x:v>97</x:v>
      </x:c>
      <x:c r="B105" t="str">
        <x:v>PRY. SCHOOL CHACHULA R.NO. 2</x:v>
      </x:c>
      <x:c r="C105" t="n">
        <x:v>732</x:v>
      </x:c>
      <x:c r="D105" t="n">
        <x:v>400</x:v>
      </x:c>
      <x:c r="E105" t="n">
        <x:f>SUM(H105:O105)</x:f>
        <x:v>400</x:v>
      </x:c>
      <x:c r="F105" t="n">
        <x:v>0</x:v>
      </x:c>
      <x:c r="G105" s="50" t="n">
        <x:f>IF(C105="","",IFERROR(D105/C105,0))</x:f>
        <x:v>0.546448087431694</x:v>
      </x:c>
      <x:c r="H105" s="36" t="n">
        <x:v>42</x:v>
      </x:c>
      <x:c r="I105" t="n">
        <x:v>107</x:v>
      </x:c>
      <x:c r="J105" t="n">
        <x:v>244</x:v>
      </x:c>
      <x:c r="K105" t="n">
        <x:v>2</x:v>
      </x:c>
      <x:c r="L105" t="n">
        <x:v>1</x:v>
      </x:c>
      <x:c r="M105" t="n">
        <x:v>3</x:v>
      </x:c>
      <x:c r="N105" t="n">
        <x:v>0</x:v>
      </x:c>
      <x:c r="O105" t="n">
        <x:v>1</x:v>
      </x:c>
      <x:c r="P105" s="50" t="n">
        <x:f>IF(D105=0,"",H105/D105)</x:f>
        <x:v>0.105</x:v>
      </x:c>
      <x:c r="Q105" t="n">
        <x:f>MAX(I105:O105)</x:f>
        <x:v>244</x:v>
      </x:c>
      <x:c r="R105" t="n">
        <x:f>H105-Q105</x:f>
        <x:v>-202</x:v>
      </x:c>
      <x:c r="S105" s="52" t="n">
        <x:f>IF(D105=0,"",(R105)/D105)</x:f>
        <x:v>-0.505</x:v>
      </x:c>
      <x:c r="T105" t="str">
        <x:v>Vedram Bhati</x:v>
      </x:c>
      <x:c r="U105" t="n">
        <x:f>D105-E105-F105</x:f>
        <x:v>0</x:v>
      </x:c>
    </x:row>
    <x:row r="106">
      <x:c r="A106" t="n">
        <x:v>98</x:v>
      </x:c>
      <x:c r="B106" t="str">
        <x:v>PRY. SCHOOL ROSHANPUR R.NO. 1</x:v>
      </x:c>
      <x:c r="C106" t="n">
        <x:v>816</x:v>
      </x:c>
      <x:c r="D106" t="n">
        <x:v>550</x:v>
      </x:c>
      <x:c r="E106" t="n">
        <x:f>SUM(H106:O106)</x:f>
        <x:v>549</x:v>
      </x:c>
      <x:c r="F106" t="n">
        <x:v>1</x:v>
      </x:c>
      <x:c r="G106" s="50" t="n">
        <x:f>IF(C106="","",IFERROR(D106/C106,0))</x:f>
        <x:v>0.6740196078431373</x:v>
      </x:c>
      <x:c r="H106" s="36" t="n">
        <x:v>14</x:v>
      </x:c>
      <x:c r="I106" t="n">
        <x:v>166</x:v>
      </x:c>
      <x:c r="J106" t="n">
        <x:v>343</x:v>
      </x:c>
      <x:c r="K106" t="n">
        <x:v>21</x:v>
      </x:c>
      <x:c r="L106" t="n">
        <x:v>1</x:v>
      </x:c>
      <x:c r="M106" t="n">
        <x:v>0</x:v>
      </x:c>
      <x:c r="N106" t="n">
        <x:v>3</x:v>
      </x:c>
      <x:c r="O106" t="n">
        <x:v>1</x:v>
      </x:c>
      <x:c r="P106" s="50" t="n">
        <x:f>IF(D106=0,"",H106/D106)</x:f>
        <x:v>0.025454545454545455</x:v>
      </x:c>
      <x:c r="Q106" t="n">
        <x:f>MAX(I106:O106)</x:f>
        <x:v>343</x:v>
      </x:c>
      <x:c r="R106" t="n">
        <x:f>H106-Q106</x:f>
        <x:v>-329</x:v>
      </x:c>
      <x:c r="S106" s="52" t="n">
        <x:f>IF(D106=0,"",(R106)/D106)</x:f>
        <x:v>-0.5981818181818181</x:v>
      </x:c>
      <x:c r="T106" t="str">
        <x:v>Vedram Bhati</x:v>
      </x:c>
      <x:c r="U106" t="n">
        <x:f>D106-E106-F106</x:f>
        <x:v>0</x:v>
      </x:c>
    </x:row>
    <x:row r="107">
      <x:c r="A107" t="n">
        <x:v>99</x:v>
      </x:c>
      <x:c r="B107" t="str">
        <x:v>PRY. SCHOOL DHANAURI R.NO. 1</x:v>
      </x:c>
      <x:c r="C107" t="n">
        <x:v>1040</x:v>
      </x:c>
      <x:c r="D107" t="n">
        <x:v>709</x:v>
      </x:c>
      <x:c r="E107" t="n">
        <x:f>SUM(H107:O107)</x:f>
        <x:v>708</x:v>
      </x:c>
      <x:c r="F107" t="n">
        <x:v>1</x:v>
      </x:c>
      <x:c r="G107" s="50" t="n">
        <x:f>IF(C107="","",IFERROR(D107/C107,0))</x:f>
        <x:v>0.6817307692307693</x:v>
      </x:c>
      <x:c r="H107" s="36" t="n">
        <x:v>16</x:v>
      </x:c>
      <x:c r="I107" t="n">
        <x:v>439</x:v>
      </x:c>
      <x:c r="J107" t="n">
        <x:v>237</x:v>
      </x:c>
      <x:c r="K107" t="n">
        <x:v>8</x:v>
      </x:c>
      <x:c r="L107" t="n">
        <x:v>1</x:v>
      </x:c>
      <x:c r="M107" t="n">
        <x:v>0</x:v>
      </x:c>
      <x:c r="N107" t="n">
        <x:v>6</x:v>
      </x:c>
      <x:c r="O107" t="n">
        <x:v>1</x:v>
      </x:c>
      <x:c r="P107" s="50" t="n">
        <x:f>IF(D107=0,"",H107/D107)</x:f>
        <x:v>0.022566995768688293</x:v>
      </x:c>
      <x:c r="Q107" t="n">
        <x:f>MAX(I107:O107)</x:f>
        <x:v>439</x:v>
      </x:c>
      <x:c r="R107" t="n">
        <x:f>H107-Q107</x:f>
        <x:v>-423</x:v>
      </x:c>
      <x:c r="S107" s="52" t="n">
        <x:f>IF(D107=0,"",(R107)/D107)</x:f>
        <x:v>-0.5966149506346967</x:v>
      </x:c>
      <x:c r="T107" t="str">
        <x:v>Dhirendra Singh</x:v>
      </x:c>
      <x:c r="U107" t="n">
        <x:f>D107-E107-F107</x:f>
        <x:v>0</x:v>
      </x:c>
    </x:row>
    <x:row r="108">
      <x:c r="A108" t="n">
        <x:v>100</x:v>
      </x:c>
      <x:c r="B108" t="str">
        <x:v>PRY. SCHOOL DHANAURI R.NO. 2</x:v>
      </x:c>
      <x:c r="C108" t="n">
        <x:v>792</x:v>
      </x:c>
      <x:c r="D108" t="n">
        <x:v>495</x:v>
      </x:c>
      <x:c r="E108" t="n">
        <x:f>SUM(H108:O108)</x:f>
        <x:v>492</x:v>
      </x:c>
      <x:c r="F108" t="n">
        <x:v>3</x:v>
      </x:c>
      <x:c r="G108" s="50" t="n">
        <x:f>IF(C108="","",IFERROR(D108/C108,0))</x:f>
        <x:v>0.625</x:v>
      </x:c>
      <x:c r="H108" s="36" t="n">
        <x:v>19</x:v>
      </x:c>
      <x:c r="I108" t="n">
        <x:v>345</x:v>
      </x:c>
      <x:c r="J108" t="n">
        <x:v>100</x:v>
      </x:c>
      <x:c r="K108" t="n">
        <x:v>20</x:v>
      </x:c>
      <x:c r="L108" t="n">
        <x:v>2</x:v>
      </x:c>
      <x:c r="M108" t="n">
        <x:v>0</x:v>
      </x:c>
      <x:c r="N108" t="n">
        <x:v>4</x:v>
      </x:c>
      <x:c r="O108" t="n">
        <x:v>2</x:v>
      </x:c>
      <x:c r="P108" s="50" t="n">
        <x:f>IF(D108=0,"",H108/D108)</x:f>
        <x:v>0.03838383838383838</x:v>
      </x:c>
      <x:c r="Q108" t="n">
        <x:f>MAX(I108:O108)</x:f>
        <x:v>345</x:v>
      </x:c>
      <x:c r="R108" t="n">
        <x:f>H108-Q108</x:f>
        <x:v>-326</x:v>
      </x:c>
      <x:c r="S108" s="52" t="n">
        <x:f>IF(D108=0,"",(R108)/D108)</x:f>
        <x:v>-0.6585858585858586</x:v>
      </x:c>
      <x:c r="T108" t="str">
        <x:v>Dhirendra Singh</x:v>
      </x:c>
      <x:c r="U108" t="n">
        <x:f>D108-E108-F108</x:f>
        <x:v>0</x:v>
      </x:c>
    </x:row>
    <x:row r="109">
      <x:c r="A109" t="n">
        <x:v>101</x:v>
      </x:c>
      <x:c r="B109" t="str">
        <x:v>SUNHARI LAL BALMUKUND I. C. DHANAURI R.NO. 1</x:v>
      </x:c>
      <x:c r="C109" t="n">
        <x:v>890</x:v>
      </x:c>
      <x:c r="D109" t="n">
        <x:v>580</x:v>
      </x:c>
      <x:c r="E109" t="n">
        <x:f>SUM(H109:O109)</x:f>
        <x:v>577</x:v>
      </x:c>
      <x:c r="F109" t="n">
        <x:v>3</x:v>
      </x:c>
      <x:c r="G109" s="50" t="n">
        <x:f>IF(C109="","",IFERROR(D109/C109,0))</x:f>
        <x:v>0.651685393258427</x:v>
      </x:c>
      <x:c r="H109" s="36" t="n">
        <x:v>36</x:v>
      </x:c>
      <x:c r="I109" t="n">
        <x:v>300</x:v>
      </x:c>
      <x:c r="J109" t="n">
        <x:v>219</x:v>
      </x:c>
      <x:c r="K109" t="n">
        <x:v>12</x:v>
      </x:c>
      <x:c r="L109" t="n">
        <x:v>3</x:v>
      </x:c>
      <x:c r="M109" t="n">
        <x:v>3</x:v>
      </x:c>
      <x:c r="N109" t="n">
        <x:v>2</x:v>
      </x:c>
      <x:c r="O109" t="n">
        <x:v>2</x:v>
      </x:c>
      <x:c r="P109" s="50" t="n">
        <x:f>IF(D109=0,"",H109/D109)</x:f>
        <x:v>0.06206896551724138</x:v>
      </x:c>
      <x:c r="Q109" t="n">
        <x:f>MAX(I109:O109)</x:f>
        <x:v>300</x:v>
      </x:c>
      <x:c r="R109" t="n">
        <x:f>H109-Q109</x:f>
        <x:v>-264</x:v>
      </x:c>
      <x:c r="S109" s="52" t="n">
        <x:f>IF(D109=0,"",(R109)/D109)</x:f>
        <x:v>-0.45517241379310347</x:v>
      </x:c>
      <x:c r="T109" t="str">
        <x:v>Dhirendra Singh</x:v>
      </x:c>
      <x:c r="U109" t="n">
        <x:f>D109-E109-F109</x:f>
        <x:v>0</x:v>
      </x:c>
    </x:row>
    <x:row r="110">
      <x:c r="A110" t="n">
        <x:v>102</x:v>
      </x:c>
      <x:c r="B110" t="str">
        <x:v>SUNHARI LAL BALMUKUND I. C. DHANAURI R.NO. 2</x:v>
      </x:c>
      <x:c r="C110" t="n">
        <x:v>794</x:v>
      </x:c>
      <x:c r="D110" t="n">
        <x:v>501</x:v>
      </x:c>
      <x:c r="E110" t="n">
        <x:f>SUM(H110:O110)</x:f>
        <x:v>496</x:v>
      </x:c>
      <x:c r="F110" t="n">
        <x:v>5</x:v>
      </x:c>
      <x:c r="G110" s="50" t="n">
        <x:f>IF(C110="","",IFERROR(D110/C110,0))</x:f>
        <x:v>0.6309823677581864</x:v>
      </x:c>
      <x:c r="H110" s="36" t="n">
        <x:v>15</x:v>
      </x:c>
      <x:c r="I110" t="n">
        <x:v>314</x:v>
      </x:c>
      <x:c r="J110" t="n">
        <x:v>133</x:v>
      </x:c>
      <x:c r="K110" t="n">
        <x:v>27</x:v>
      </x:c>
      <x:c r="L110" t="n">
        <x:v>2</x:v>
      </x:c>
      <x:c r="M110" t="n">
        <x:v>2</x:v>
      </x:c>
      <x:c r="N110" t="n">
        <x:v>0</x:v>
      </x:c>
      <x:c r="O110" t="n">
        <x:v>3</x:v>
      </x:c>
      <x:c r="P110" s="50" t="n">
        <x:f>IF(D110=0,"",H110/D110)</x:f>
        <x:v>0.029940119760479042</x:v>
      </x:c>
      <x:c r="Q110" t="n">
        <x:f>MAX(I110:O110)</x:f>
        <x:v>314</x:v>
      </x:c>
      <x:c r="R110" t="n">
        <x:f>H110-Q110</x:f>
        <x:v>-299</x:v>
      </x:c>
      <x:c r="S110" s="52" t="n">
        <x:f>IF(D110=0,"",(R110)/D110)</x:f>
        <x:v>-0.5968063872255489</x:v>
      </x:c>
      <x:c r="T110" t="str">
        <x:v>Dhirendra Singh</x:v>
      </x:c>
      <x:c r="U110" t="n">
        <x:f>D110-E110-F110</x:f>
        <x:v>0</x:v>
      </x:c>
    </x:row>
    <x:row r="111">
      <x:c r="A111" t="n">
        <x:v>103</x:v>
      </x:c>
      <x:c r="B111" t="str">
        <x:v>PRY. PATY. THASRANA R.NO. 1</x:v>
      </x:c>
      <x:c r="C111" t="n">
        <x:v>1009</x:v>
      </x:c>
      <x:c r="D111" t="n">
        <x:v>697</x:v>
      </x:c>
      <x:c r="E111" t="n">
        <x:f>SUM(H111:O111)</x:f>
        <x:v>695</x:v>
      </x:c>
      <x:c r="F111" t="n">
        <x:v>2</x:v>
      </x:c>
      <x:c r="G111" s="50" t="n">
        <x:f>IF(C111="","",IFERROR(D111/C111,0))</x:f>
        <x:v>0.6907829534192269</x:v>
      </x:c>
      <x:c r="H111" s="36" t="n">
        <x:v>26</x:v>
      </x:c>
      <x:c r="I111" t="n">
        <x:v>396</x:v>
      </x:c>
      <x:c r="J111" t="n">
        <x:v>230</x:v>
      </x:c>
      <x:c r="K111" t="n">
        <x:v>20</x:v>
      </x:c>
      <x:c r="L111" t="n">
        <x:v>5</x:v>
      </x:c>
      <x:c r="M111" t="n">
        <x:v>4</x:v>
      </x:c>
      <x:c r="N111" t="n">
        <x:v>3</x:v>
      </x:c>
      <x:c r="O111" t="n">
        <x:v>11</x:v>
      </x:c>
      <x:c r="P111" s="50" t="n">
        <x:f>IF(D111=0,"",H111/D111)</x:f>
        <x:v>0.03730272596843615</x:v>
      </x:c>
      <x:c r="Q111" t="n">
        <x:f>MAX(I111:O111)</x:f>
        <x:v>396</x:v>
      </x:c>
      <x:c r="R111" t="n">
        <x:f>H111-Q111</x:f>
        <x:v>-370</x:v>
      </x:c>
      <x:c r="S111" s="52" t="n">
        <x:f>IF(D111=0,"",(R111)/D111)</x:f>
        <x:v>-0.5308464849354376</x:v>
      </x:c>
      <x:c r="T111" t="str">
        <x:v>Dhirendra Singh</x:v>
      </x:c>
      <x:c r="U111" t="n">
        <x:f>D111-E111-F111</x:f>
        <x:v>0</x:v>
      </x:c>
    </x:row>
    <x:row r="112">
      <x:c r="A112" t="n">
        <x:v>104</x:v>
      </x:c>
      <x:c r="B112" t="str">
        <x:v>PRY. SCHOOL CHANGAULI R.NO. 1</x:v>
      </x:c>
      <x:c r="C112" t="n">
        <x:v>655</x:v>
      </x:c>
      <x:c r="D112" t="n">
        <x:v>536</x:v>
      </x:c>
      <x:c r="E112" t="n">
        <x:f>SUM(H112:O112)</x:f>
        <x:v>530</x:v>
      </x:c>
      <x:c r="F112" t="n">
        <x:v>6</x:v>
      </x:c>
      <x:c r="G112" s="50" t="n">
        <x:f>IF(C112="","",IFERROR(D112/C112,0))</x:f>
        <x:v>0.8183206106870229</x:v>
      </x:c>
      <x:c r="H112" s="36" t="n">
        <x:v>10</x:v>
      </x:c>
      <x:c r="I112" t="n">
        <x:v>384</x:v>
      </x:c>
      <x:c r="J112" t="n">
        <x:v>85</x:v>
      </x:c>
      <x:c r="K112" t="n">
        <x:v>45</x:v>
      </x:c>
      <x:c r="L112" t="n">
        <x:v>2</x:v>
      </x:c>
      <x:c r="M112" t="n">
        <x:v>1</x:v>
      </x:c>
      <x:c r="N112" t="n">
        <x:v>1</x:v>
      </x:c>
      <x:c r="O112" t="n">
        <x:v>2</x:v>
      </x:c>
      <x:c r="P112" s="50" t="n">
        <x:f>IF(D112=0,"",H112/D112)</x:f>
        <x:v>0.018656716417910446</x:v>
      </x:c>
      <x:c r="Q112" t="n">
        <x:f>MAX(I112:O112)</x:f>
        <x:v>384</x:v>
      </x:c>
      <x:c r="R112" t="n">
        <x:f>H112-Q112</x:f>
        <x:v>-374</x:v>
      </x:c>
      <x:c r="S112" s="52" t="n">
        <x:f>IF(D112=0,"",(R112)/D112)</x:f>
        <x:v>-0.6977611940298507</x:v>
      </x:c>
      <x:c r="T112" t="str">
        <x:v>Dhirendra Singh</x:v>
      </x:c>
      <x:c r="U112" t="n">
        <x:f>D112-E112-F112</x:f>
        <x:v>0</x:v>
      </x:c>
    </x:row>
    <x:row r="113">
      <x:c r="A113" t="n">
        <x:v>105</x:v>
      </x:c>
      <x:c r="B113" t="str">
        <x:v>PRY. SCHOOL USMANPUR R.NO. 1</x:v>
      </x:c>
      <x:c r="C113" t="n">
        <x:v>912</x:v>
      </x:c>
      <x:c r="D113" t="n">
        <x:v>621</x:v>
      </x:c>
      <x:c r="E113" t="n">
        <x:f>SUM(H113:O113)</x:f>
        <x:v>619</x:v>
      </x:c>
      <x:c r="F113" t="n">
        <x:v>2</x:v>
      </x:c>
      <x:c r="G113" s="50" t="n">
        <x:f>IF(C113="","",IFERROR(D113/C113,0))</x:f>
        <x:v>0.680921052631579</x:v>
      </x:c>
      <x:c r="H113" s="36" t="n">
        <x:v>84</x:v>
      </x:c>
      <x:c r="I113" t="n">
        <x:v>231</x:v>
      </x:c>
      <x:c r="J113" t="n">
        <x:v>274</x:v>
      </x:c>
      <x:c r="K113" t="n">
        <x:v>14</x:v>
      </x:c>
      <x:c r="L113" t="n">
        <x:v>6</x:v>
      </x:c>
      <x:c r="M113" t="n">
        <x:v>5</x:v>
      </x:c>
      <x:c r="N113" t="n">
        <x:v>0</x:v>
      </x:c>
      <x:c r="O113" t="n">
        <x:v>5</x:v>
      </x:c>
      <x:c r="P113" s="50" t="n">
        <x:f>IF(D113=0,"",H113/D113)</x:f>
        <x:v>0.13526570048309178</x:v>
      </x:c>
      <x:c r="Q113" t="n">
        <x:f>MAX(I113:O113)</x:f>
        <x:v>274</x:v>
      </x:c>
      <x:c r="R113" t="n">
        <x:f>H113-Q113</x:f>
        <x:v>-190</x:v>
      </x:c>
      <x:c r="S113" s="52" t="n">
        <x:f>IF(D113=0,"",(R113)/D113)</x:f>
        <x:v>-0.3059581320450886</x:v>
      </x:c>
      <x:c r="T113" t="str">
        <x:v>Vedram Bhati</x:v>
      </x:c>
      <x:c r="U113" t="n">
        <x:f>D113-E113-F113</x:f>
        <x:v>0</x:v>
      </x:c>
    </x:row>
    <x:row r="114">
      <x:c r="A114" t="n">
        <x:v>106</x:v>
      </x:c>
      <x:c r="B114" t="str">
        <x:v>PRY. SCHOOL USMANPUR R.NO. 2</x:v>
      </x:c>
      <x:c r="C114" t="n">
        <x:v>1087</x:v>
      </x:c>
      <x:c r="D114" t="n">
        <x:v>795</x:v>
      </x:c>
      <x:c r="E114" t="n">
        <x:f>SUM(H114:O114)</x:f>
        <x:v>793</x:v>
      </x:c>
      <x:c r="F114" t="n">
        <x:v>2</x:v>
      </x:c>
      <x:c r="G114" s="50" t="n">
        <x:f>IF(C114="","",IFERROR(D114/C114,0))</x:f>
        <x:v>0.7313707451701932</x:v>
      </x:c>
      <x:c r="H114" s="36" t="n">
        <x:v>114</x:v>
      </x:c>
      <x:c r="I114" t="n">
        <x:v>263</x:v>
      </x:c>
      <x:c r="J114" t="n">
        <x:v>383</x:v>
      </x:c>
      <x:c r="K114" t="n">
        <x:v>16</x:v>
      </x:c>
      <x:c r="L114" t="n">
        <x:v>4</x:v>
      </x:c>
      <x:c r="M114" t="n">
        <x:v>1</x:v>
      </x:c>
      <x:c r="N114" t="n">
        <x:v>9</x:v>
      </x:c>
      <x:c r="O114" t="n">
        <x:v>3</x:v>
      </x:c>
      <x:c r="P114" s="50" t="n">
        <x:f>IF(D114=0,"",H114/D114)</x:f>
        <x:v>0.14339622641509434</x:v>
      </x:c>
      <x:c r="Q114" t="n">
        <x:f>MAX(I114:O114)</x:f>
        <x:v>383</x:v>
      </x:c>
      <x:c r="R114" t="n">
        <x:f>H114-Q114</x:f>
        <x:v>-269</x:v>
      </x:c>
      <x:c r="S114" s="52" t="n">
        <x:f>IF(D114=0,"",(R114)/D114)</x:f>
        <x:v>-0.3383647798742138</x:v>
      </x:c>
      <x:c r="T114" t="str">
        <x:v>Vedram Bhati</x:v>
      </x:c>
      <x:c r="U114" t="n">
        <x:f>D114-E114-F114</x:f>
        <x:v>0</x:v>
      </x:c>
    </x:row>
    <x:row r="115">
      <x:c r="A115" t="n">
        <x:v>107</x:v>
      </x:c>
      <x:c r="B115" t="str">
        <x:v>PRY. SCHOOL MUTAINA R.NO. 1</x:v>
      </x:c>
      <x:c r="C115" t="n">
        <x:v>907</x:v>
      </x:c>
      <x:c r="D115" t="n">
        <x:v>668</x:v>
      </x:c>
      <x:c r="E115" t="n">
        <x:f>SUM(H115:O115)</x:f>
        <x:v>665</x:v>
      </x:c>
      <x:c r="F115" t="n">
        <x:v>3</x:v>
      </x:c>
      <x:c r="G115" s="50" t="n">
        <x:f>IF(C115="","",IFERROR(D115/C115,0))</x:f>
        <x:v>0.7364939360529217</x:v>
      </x:c>
      <x:c r="H115" s="36" t="n">
        <x:v>14</x:v>
      </x:c>
      <x:c r="I115" t="n">
        <x:v>374</x:v>
      </x:c>
      <x:c r="J115" t="n">
        <x:v>135</x:v>
      </x:c>
      <x:c r="K115" t="n">
        <x:v>134</x:v>
      </x:c>
      <x:c r="L115" t="n">
        <x:v>2</x:v>
      </x:c>
      <x:c r="M115" t="n">
        <x:v>1</x:v>
      </x:c>
      <x:c r="N115" t="n">
        <x:v>4</x:v>
      </x:c>
      <x:c r="O115" t="n">
        <x:v>1</x:v>
      </x:c>
      <x:c r="P115" s="50" t="n">
        <x:f>IF(D115=0,"",H115/D115)</x:f>
        <x:v>0.020958083832335328</x:v>
      </x:c>
      <x:c r="Q115" t="n">
        <x:f>MAX(I115:O115)</x:f>
        <x:v>374</x:v>
      </x:c>
      <x:c r="R115" t="n">
        <x:f>H115-Q115</x:f>
        <x:v>-360</x:v>
      </x:c>
      <x:c r="S115" s="52" t="n">
        <x:f>IF(D115=0,"",(R115)/D115)</x:f>
        <x:v>-0.5389221556886228</x:v>
      </x:c>
      <x:c r="T115" t="str">
        <x:v>Dhirendra Singh</x:v>
      </x:c>
      <x:c r="U115" t="n">
        <x:f>D115-E115-F115</x:f>
        <x:v>0</x:v>
      </x:c>
    </x:row>
    <x:row r="116">
      <x:c r="A116" t="n">
        <x:v>108</x:v>
      </x:c>
      <x:c r="B116" t="str">
        <x:v>KISAN I. C. PARSAUL R.NO. 1</x:v>
      </x:c>
      <x:c r="C116" t="n">
        <x:v>1159</x:v>
      </x:c>
      <x:c r="D116" t="n">
        <x:v>731</x:v>
      </x:c>
      <x:c r="E116" t="n">
        <x:f>SUM(H116:O116)</x:f>
        <x:v>728</x:v>
      </x:c>
      <x:c r="F116" t="n">
        <x:v>3</x:v>
      </x:c>
      <x:c r="G116" s="50" t="n">
        <x:f>IF(C116="","",IFERROR(D116/C116,0))</x:f>
        <x:v>0.630716134598792</x:v>
      </x:c>
      <x:c r="H116" s="36" t="n">
        <x:v>95</x:v>
      </x:c>
      <x:c r="I116" t="n">
        <x:v>416</x:v>
      </x:c>
      <x:c r="J116" t="n">
        <x:v>73</x:v>
      </x:c>
      <x:c r="K116" t="n">
        <x:v>134</x:v>
      </x:c>
      <x:c r="L116" t="n">
        <x:v>1</x:v>
      </x:c>
      <x:c r="M116" t="n">
        <x:v>0</x:v>
      </x:c>
      <x:c r="N116" t="n">
        <x:v>5</x:v>
      </x:c>
      <x:c r="O116" t="n">
        <x:v>4</x:v>
      </x:c>
      <x:c r="P116" s="50" t="n">
        <x:f>IF(D116=0,"",H116/D116)</x:f>
        <x:v>0.12995896032831739</x:v>
      </x:c>
      <x:c r="Q116" t="n">
        <x:f>MAX(I116:O116)</x:f>
        <x:v>416</x:v>
      </x:c>
      <x:c r="R116" t="n">
        <x:f>H116-Q116</x:f>
        <x:v>-321</x:v>
      </x:c>
      <x:c r="S116" s="52" t="n">
        <x:f>IF(D116=0,"",(R116)/D116)</x:f>
        <x:v>-0.43912448700410395</x:v>
      </x:c>
      <x:c r="T116" t="str">
        <x:v>Dhirendra Singh</x:v>
      </x:c>
      <x:c r="U116" t="n">
        <x:f>D116-E116-F116</x:f>
        <x:v>0</x:v>
      </x:c>
    </x:row>
    <x:row r="117">
      <x:c r="A117" t="n">
        <x:v>109</x:v>
      </x:c>
      <x:c r="B117" t="str">
        <x:v>KISAN I. C. PARSAUL R.NO. 2</x:v>
      </x:c>
      <x:c r="C117" t="n">
        <x:v>740</x:v>
      </x:c>
      <x:c r="D117" t="n">
        <x:v>547</x:v>
      </x:c>
      <x:c r="E117" t="n">
        <x:f>SUM(H117:O117)</x:f>
        <x:v>545</x:v>
      </x:c>
      <x:c r="F117" t="n">
        <x:v>2</x:v>
      </x:c>
      <x:c r="G117" s="50" t="n">
        <x:f>IF(C117="","",IFERROR(D117/C117,0))</x:f>
        <x:v>0.7391891891891892</x:v>
      </x:c>
      <x:c r="H117" s="36" t="n">
        <x:v>41</x:v>
      </x:c>
      <x:c r="I117" t="n">
        <x:v>251</x:v>
      </x:c>
      <x:c r="J117" t="n">
        <x:v>105</x:v>
      </x:c>
      <x:c r="K117" t="n">
        <x:v>134</x:v>
      </x:c>
      <x:c r="L117" t="n">
        <x:v>4</x:v>
      </x:c>
      <x:c r="M117" t="n">
        <x:v>9</x:v>
      </x:c>
      <x:c r="N117" t="n">
        <x:v>0</x:v>
      </x:c>
      <x:c r="O117" t="n">
        <x:v>1</x:v>
      </x:c>
      <x:c r="P117" s="50" t="n">
        <x:f>IF(D117=0,"",H117/D117)</x:f>
        <x:v>0.07495429616087751</x:v>
      </x:c>
      <x:c r="Q117" t="n">
        <x:f>MAX(I117:O117)</x:f>
        <x:v>251</x:v>
      </x:c>
      <x:c r="R117" t="n">
        <x:f>H117-Q117</x:f>
        <x:v>-210</x:v>
      </x:c>
      <x:c r="S117" s="52" t="n">
        <x:f>IF(D117=0,"",(R117)/D117)</x:f>
        <x:v>-0.38391224862888484</x:v>
      </x:c>
      <x:c r="T117" t="str">
        <x:v>Dhirendra Singh</x:v>
      </x:c>
      <x:c r="U117" t="n">
        <x:f>D117-E117-F117</x:f>
        <x:v>0</x:v>
      </x:c>
    </x:row>
    <x:row r="118">
      <x:c r="A118" t="n">
        <x:v>110</x:v>
      </x:c>
      <x:c r="B118" t="str">
        <x:v>KISAN I. C. PARSAUL R.NO.3</x:v>
      </x:c>
      <x:c r="C118" t="n">
        <x:v>845</x:v>
      </x:c>
      <x:c r="D118" t="n">
        <x:v>532</x:v>
      </x:c>
      <x:c r="E118" t="n">
        <x:f>SUM(H118:O118)</x:f>
        <x:v>527</x:v>
      </x:c>
      <x:c r="F118" t="n">
        <x:v>5</x:v>
      </x:c>
      <x:c r="G118" s="50" t="n">
        <x:f>IF(C118="","",IFERROR(D118/C118,0))</x:f>
        <x:v>0.6295857988165681</x:v>
      </x:c>
      <x:c r="H118" s="36" t="n">
        <x:v>17</x:v>
      </x:c>
      <x:c r="I118" t="n">
        <x:v>278</x:v>
      </x:c>
      <x:c r="J118" t="n">
        <x:v>119</x:v>
      </x:c>
      <x:c r="K118" t="n">
        <x:v>106</x:v>
      </x:c>
      <x:c r="L118" t="n">
        <x:v>0</x:v>
      </x:c>
      <x:c r="M118" t="n">
        <x:v>0</x:v>
      </x:c>
      <x:c r="N118" t="n">
        <x:v>3</x:v>
      </x:c>
      <x:c r="O118" t="n">
        <x:v>4</x:v>
      </x:c>
      <x:c r="P118" s="50" t="n">
        <x:f>IF(D118=0,"",H118/D118)</x:f>
        <x:v>0.03195488721804511</x:v>
      </x:c>
      <x:c r="Q118" t="n">
        <x:f>MAX(I118:O118)</x:f>
        <x:v>278</x:v>
      </x:c>
      <x:c r="R118" t="n">
        <x:f>H118-Q118</x:f>
        <x:v>-261</x:v>
      </x:c>
      <x:c r="S118" s="52" t="n">
        <x:f>IF(D118=0,"",(R118)/D118)</x:f>
        <x:v>-0.4906015037593985</x:v>
      </x:c>
      <x:c r="T118" t="str">
        <x:v>Dhirendra Singh</x:v>
      </x:c>
      <x:c r="U118" t="n">
        <x:f>D118-E118-F118</x:f>
        <x:v>0</x:v>
      </x:c>
    </x:row>
    <x:row r="119">
      <x:c r="A119" t="n">
        <x:v>111</x:v>
      </x:c>
      <x:c r="B119" t="str">
        <x:v>KISAN I. C. PARSAUL R.NO.4</x:v>
      </x:c>
      <x:c r="C119" t="n">
        <x:v>766</x:v>
      </x:c>
      <x:c r="D119" t="n">
        <x:v>461</x:v>
      </x:c>
      <x:c r="E119" t="n">
        <x:f>SUM(H119:O119)</x:f>
        <x:v>457</x:v>
      </x:c>
      <x:c r="F119" t="n">
        <x:v>4</x:v>
      </x:c>
      <x:c r="G119" s="50" t="n">
        <x:f>IF(C119="","",IFERROR(D119/C119,0))</x:f>
        <x:v>0.6018276762402088</x:v>
      </x:c>
      <x:c r="H119" s="36" t="n">
        <x:v>16</x:v>
      </x:c>
      <x:c r="I119" t="n">
        <x:v>206</x:v>
      </x:c>
      <x:c r="J119" t="n">
        <x:v>152</x:v>
      </x:c>
      <x:c r="K119" t="n">
        <x:v>79</x:v>
      </x:c>
      <x:c r="L119" t="n">
        <x:v>1</x:v>
      </x:c>
      <x:c r="M119" t="n">
        <x:v>0</x:v>
      </x:c>
      <x:c r="N119" t="n">
        <x:v>1</x:v>
      </x:c>
      <x:c r="O119" t="n">
        <x:v>2</x:v>
      </x:c>
      <x:c r="P119" s="50" t="n">
        <x:f>IF(D119=0,"",H119/D119)</x:f>
        <x:v>0.03470715835140998</x:v>
      </x:c>
      <x:c r="Q119" t="n">
        <x:f>MAX(I119:O119)</x:f>
        <x:v>206</x:v>
      </x:c>
      <x:c r="R119" t="n">
        <x:f>H119-Q119</x:f>
        <x:v>-190</x:v>
      </x:c>
      <x:c r="S119" s="52" t="n">
        <x:f>IF(D119=0,"",(R119)/D119)</x:f>
        <x:v>-0.4121475054229935</x:v>
      </x:c>
      <x:c r="T119" t="str">
        <x:v>Dhirendra Singh</x:v>
      </x:c>
      <x:c r="U119" t="n">
        <x:f>D119-E119-F119</x:f>
        <x:v>0</x:v>
      </x:c>
    </x:row>
    <x:row r="120">
      <x:c r="A120" t="n">
        <x:v>112</x:v>
      </x:c>
      <x:c r="B120" t="str">
        <x:v>PRY. SCHOOL ACHCHHEPUR R.NO. 1</x:v>
      </x:c>
      <x:c r="C120" t="n">
        <x:v>778</x:v>
      </x:c>
      <x:c r="D120" t="n">
        <x:v>684</x:v>
      </x:c>
      <x:c r="E120" t="n">
        <x:f>SUM(H120:O120)</x:f>
        <x:v>683</x:v>
      </x:c>
      <x:c r="F120" t="n">
        <x:v>1</x:v>
      </x:c>
      <x:c r="G120" s="50" t="n">
        <x:f>IF(C120="","",IFERROR(D120/C120,0))</x:f>
        <x:v>0.8791773778920309</x:v>
      </x:c>
      <x:c r="H120" s="36" t="n">
        <x:v>6</x:v>
      </x:c>
      <x:c r="I120" t="n">
        <x:v>650</x:v>
      </x:c>
      <x:c r="J120" t="n">
        <x:v>19</x:v>
      </x:c>
      <x:c r="K120" t="n">
        <x:v>6</x:v>
      </x:c>
      <x:c r="L120" t="n">
        <x:v>0</x:v>
      </x:c>
      <x:c r="M120" t="n">
        <x:v>1</x:v>
      </x:c>
      <x:c r="N120" t="n">
        <x:v>0</x:v>
      </x:c>
      <x:c r="O120" t="n">
        <x:v>1</x:v>
      </x:c>
      <x:c r="P120" s="50" t="n">
        <x:f>IF(D120=0,"",H120/D120)</x:f>
        <x:v>0.008771929824561403</x:v>
      </x:c>
      <x:c r="Q120" t="n">
        <x:f>MAX(I120:O120)</x:f>
        <x:v>650</x:v>
      </x:c>
      <x:c r="R120" t="n">
        <x:f>H120-Q120</x:f>
        <x:v>-644</x:v>
      </x:c>
      <x:c r="S120" s="52" t="n">
        <x:f>IF(D120=0,"",(R120)/D120)</x:f>
        <x:v>-0.9415204678362573</x:v>
      </x:c>
      <x:c r="T120" t="str">
        <x:v>Dhirendra Singh</x:v>
      </x:c>
      <x:c r="U120" t="n">
        <x:f>D120-E120-F120</x:f>
        <x:v>0</x:v>
      </x:c>
    </x:row>
    <x:row r="121">
      <x:c r="A121" t="n">
        <x:v>113</x:v>
      </x:c>
      <x:c r="B121" t="str">
        <x:v>PRY. SCHOOL ACHCHHEPUR R.NO. 2</x:v>
      </x:c>
      <x:c r="C121" t="n">
        <x:v>797</x:v>
      </x:c>
      <x:c r="D121" t="n">
        <x:v>676</x:v>
      </x:c>
      <x:c r="E121" t="n">
        <x:f>SUM(H121:O121)</x:f>
        <x:v>674</x:v>
      </x:c>
      <x:c r="F121" t="n">
        <x:v>2</x:v>
      </x:c>
      <x:c r="G121" s="50" t="n">
        <x:f>IF(C121="","",IFERROR(D121/C121,0))</x:f>
        <x:v>0.848180677540778</x:v>
      </x:c>
      <x:c r="H121" s="36" t="n">
        <x:v>17</x:v>
      </x:c>
      <x:c r="I121" t="n">
        <x:v>607</x:v>
      </x:c>
      <x:c r="J121" t="n">
        <x:v>22</x:v>
      </x:c>
      <x:c r="K121" t="n">
        <x:v>18</x:v>
      </x:c>
      <x:c r="L121" t="n">
        <x:v>0</x:v>
      </x:c>
      <x:c r="M121" t="n">
        <x:v>2</x:v>
      </x:c>
      <x:c r="N121" t="n">
        <x:v>0</x:v>
      </x:c>
      <x:c r="O121" t="n">
        <x:v>8</x:v>
      </x:c>
      <x:c r="P121" s="50" t="n">
        <x:f>IF(D121=0,"",H121/D121)</x:f>
        <x:v>0.02514792899408284</x:v>
      </x:c>
      <x:c r="Q121" t="n">
        <x:f>MAX(I121:O121)</x:f>
        <x:v>607</x:v>
      </x:c>
      <x:c r="R121" t="n">
        <x:f>H121-Q121</x:f>
        <x:v>-590</x:v>
      </x:c>
      <x:c r="S121" s="52" t="n">
        <x:f>IF(D121=0,"",(R121)/D121)</x:f>
        <x:v>-0.8727810650887574</x:v>
      </x:c>
      <x:c r="T121" t="str">
        <x:v>Dhirendra Singh</x:v>
      </x:c>
      <x:c r="U121" t="n">
        <x:f>D121-E121-F121</x:f>
        <x:v>0</x:v>
      </x:c>
    </x:row>
    <x:row r="122">
      <x:c r="A122" t="n">
        <x:v>114</x:v>
      </x:c>
      <x:c r="B122" t="str">
        <x:v>PRY. SCHOOL CHANDPUR R.NO. 1</x:v>
      </x:c>
      <x:c r="C122" t="n">
        <x:v>634</x:v>
      </x:c>
      <x:c r="D122" t="n">
        <x:v>473</x:v>
      </x:c>
      <x:c r="E122" t="n">
        <x:f>SUM(H122:O122)</x:f>
        <x:v>468</x:v>
      </x:c>
      <x:c r="F122" t="n">
        <x:v>5</x:v>
      </x:c>
      <x:c r="G122" s="50" t="n">
        <x:f>IF(C122="","",IFERROR(D122/C122,0))</x:f>
        <x:v>0.7460567823343849</x:v>
      </x:c>
      <x:c r="H122" s="36" t="n">
        <x:v>19</x:v>
      </x:c>
      <x:c r="I122" t="n">
        <x:v>378</x:v>
      </x:c>
      <x:c r="J122" t="n">
        <x:v>32</x:v>
      </x:c>
      <x:c r="K122" t="n">
        <x:v>34</x:v>
      </x:c>
      <x:c r="L122" t="n">
        <x:v>1</x:v>
      </x:c>
      <x:c r="M122" t="n">
        <x:v>1</x:v>
      </x:c>
      <x:c r="N122" t="n">
        <x:v>0</x:v>
      </x:c>
      <x:c r="O122" t="n">
        <x:v>3</x:v>
      </x:c>
      <x:c r="P122" s="50" t="n">
        <x:f>IF(D122=0,"",H122/D122)</x:f>
        <x:v>0.040169133192389</x:v>
      </x:c>
      <x:c r="Q122" t="n">
        <x:f>MAX(I122:O122)</x:f>
        <x:v>378</x:v>
      </x:c>
      <x:c r="R122" t="n">
        <x:f>H122-Q122</x:f>
        <x:v>-359</x:v>
      </x:c>
      <x:c r="S122" s="52" t="n">
        <x:f>IF(D122=0,"",(R122)/D122)</x:f>
        <x:v>-0.758985200845666</x:v>
      </x:c>
      <x:c r="T122" t="str">
        <x:v>Dhirendra Singh</x:v>
      </x:c>
      <x:c r="U122" t="n">
        <x:f>D122-E122-F122</x:f>
        <x:v>0</x:v>
      </x:c>
    </x:row>
    <x:row r="123">
      <x:c r="A123" t="n">
        <x:v>115</x:v>
      </x:c>
      <x:c r="B123" t="str">
        <x:v>PRY. PATH. NILAUNI R.NO. 1</x:v>
      </x:c>
      <x:c r="C123" t="n">
        <x:v>988</x:v>
      </x:c>
      <x:c r="D123" t="n">
        <x:v>615</x:v>
      </x:c>
      <x:c r="E123" t="n">
        <x:f>SUM(H123:O123)</x:f>
        <x:v>607</x:v>
      </x:c>
      <x:c r="F123" t="n">
        <x:v>8</x:v>
      </x:c>
      <x:c r="G123" s="50" t="n">
        <x:f>IF(C123="","",IFERROR(D123/C123,0))</x:f>
        <x:v>0.6224696356275303</x:v>
      </x:c>
      <x:c r="H123" s="36" t="n">
        <x:v>14</x:v>
      </x:c>
      <x:c r="I123" t="n">
        <x:v>281</x:v>
      </x:c>
      <x:c r="J123" t="n">
        <x:v>280</x:v>
      </x:c>
      <x:c r="K123" t="n">
        <x:v>19</x:v>
      </x:c>
      <x:c r="L123" t="n">
        <x:v>7</x:v>
      </x:c>
      <x:c r="M123" t="n">
        <x:v>1</x:v>
      </x:c>
      <x:c r="N123" t="n">
        <x:v>2</x:v>
      </x:c>
      <x:c r="O123" t="n">
        <x:v>3</x:v>
      </x:c>
      <x:c r="P123" s="50" t="n">
        <x:f>IF(D123=0,"",H123/D123)</x:f>
        <x:v>0.022764227642276424</x:v>
      </x:c>
      <x:c r="Q123" t="n">
        <x:f>MAX(I123:O123)</x:f>
        <x:v>281</x:v>
      </x:c>
      <x:c r="R123" t="n">
        <x:f>H123-Q123</x:f>
        <x:v>-267</x:v>
      </x:c>
      <x:c r="S123" s="52" t="n">
        <x:f>IF(D123=0,"",(R123)/D123)</x:f>
        <x:v>-0.43414634146341463</x:v>
      </x:c>
      <x:c r="T123" t="str">
        <x:v>Dhirendra Singh</x:v>
      </x:c>
      <x:c r="U123" t="n">
        <x:f>D123-E123-F123</x:f>
        <x:v>0</x:v>
      </x:c>
    </x:row>
    <x:row r="124">
      <x:c r="A124" t="n">
        <x:v>116</x:v>
      </x:c>
      <x:c r="B124" t="str">
        <x:v>PRY. PATH. NILAUNI R.NO. 2</x:v>
      </x:c>
      <x:c r="C124" t="n">
        <x:v>931</x:v>
      </x:c>
      <x:c r="D124" t="n">
        <x:v>620</x:v>
      </x:c>
      <x:c r="E124" t="n">
        <x:f>SUM(H124:O124)</x:f>
        <x:v>618</x:v>
      </x:c>
      <x:c r="F124" t="n">
        <x:v>2</x:v>
      </x:c>
      <x:c r="G124" s="50" t="n">
        <x:f>IF(C124="","",IFERROR(D124/C124,0))</x:f>
        <x:v>0.6659505907626209</x:v>
      </x:c>
      <x:c r="H124" s="36" t="n">
        <x:v>16</x:v>
      </x:c>
      <x:c r="I124" t="n">
        <x:v>358</x:v>
      </x:c>
      <x:c r="J124" t="n">
        <x:v>200</x:v>
      </x:c>
      <x:c r="K124" t="n">
        <x:v>32</x:v>
      </x:c>
      <x:c r="L124" t="n">
        <x:v>1</x:v>
      </x:c>
      <x:c r="M124" t="n">
        <x:v>3</x:v>
      </x:c>
      <x:c r="N124" t="n">
        <x:v>3</x:v>
      </x:c>
      <x:c r="O124" t="n">
        <x:v>5</x:v>
      </x:c>
      <x:c r="P124" s="50" t="n">
        <x:f>IF(D124=0,"",H124/D124)</x:f>
        <x:v>0.025806451612903226</x:v>
      </x:c>
      <x:c r="Q124" t="n">
        <x:f>MAX(I124:O124)</x:f>
        <x:v>358</x:v>
      </x:c>
      <x:c r="R124" t="n">
        <x:f>H124-Q124</x:f>
        <x:v>-342</x:v>
      </x:c>
      <x:c r="S124" s="52" t="n">
        <x:f>IF(D124=0,"",(R124)/D124)</x:f>
        <x:v>-0.5516129032258065</x:v>
      </x:c>
      <x:c r="T124" t="str">
        <x:v>Dhirendra Singh</x:v>
      </x:c>
      <x:c r="U124" t="n">
        <x:f>D124-E124-F124</x:f>
        <x:v>0</x:v>
      </x:c>
    </x:row>
    <x:row r="125">
      <x:c r="A125" t="n">
        <x:v>117</x:v>
      </x:c>
      <x:c r="B125" t="str">
        <x:v>PRY. SCHOOL SHAHPUR R.NO. 1</x:v>
      </x:c>
      <x:c r="C125" t="n">
        <x:v>702</x:v>
      </x:c>
      <x:c r="D125" t="n">
        <x:v>415</x:v>
      </x:c>
      <x:c r="E125" t="n">
        <x:f>SUM(H125:O125)</x:f>
        <x:v>412</x:v>
      </x:c>
      <x:c r="F125" t="n">
        <x:v>3</x:v>
      </x:c>
      <x:c r="G125" s="50" t="n">
        <x:f>IF(C125="","",IFERROR(D125/C125,0))</x:f>
        <x:v>0.5911680911680912</x:v>
      </x:c>
      <x:c r="H125" s="36" t="n">
        <x:v>3</x:v>
      </x:c>
      <x:c r="I125" t="n">
        <x:v>125</x:v>
      </x:c>
      <x:c r="J125" t="n">
        <x:v>213</x:v>
      </x:c>
      <x:c r="K125" t="n">
        <x:v>63</x:v>
      </x:c>
      <x:c r="L125" t="n">
        <x:v>4</x:v>
      </x:c>
      <x:c r="M125" t="n">
        <x:v>1</x:v>
      </x:c>
      <x:c r="N125" t="n">
        <x:v>2</x:v>
      </x:c>
      <x:c r="O125" t="n">
        <x:v>1</x:v>
      </x:c>
      <x:c r="P125" s="50" t="n">
        <x:f>IF(D125=0,"",H125/D125)</x:f>
        <x:v>0.007228915662650603</x:v>
      </x:c>
      <x:c r="Q125" t="n">
        <x:f>MAX(I125:O125)</x:f>
        <x:v>213</x:v>
      </x:c>
      <x:c r="R125" t="n">
        <x:f>H125-Q125</x:f>
        <x:v>-210</x:v>
      </x:c>
      <x:c r="S125" s="52" t="n">
        <x:f>IF(D125=0,"",(R125)/D125)</x:f>
        <x:v>-0.5060240963855421</x:v>
      </x:c>
      <x:c r="T125" t="str">
        <x:v>Vedram Bhati</x:v>
      </x:c>
      <x:c r="U125" t="n">
        <x:f>D125-E125-F125</x:f>
        <x:v>0</x:v>
      </x:c>
    </x:row>
    <x:row r="126">
      <x:c r="A126" t="n">
        <x:v>118</x:v>
      </x:c>
      <x:c r="B126" t="str">
        <x:v>PRY. SCHOOL MIRZAPUR R.NO. 1</x:v>
      </x:c>
      <x:c r="C126" t="n">
        <x:v>1458</x:v>
      </x:c>
      <x:c r="D126" t="n">
        <x:v>976</x:v>
      </x:c>
      <x:c r="E126" t="n">
        <x:f>SUM(H126:O126)</x:f>
        <x:v>971</x:v>
      </x:c>
      <x:c r="F126" t="n">
        <x:v>5</x:v>
      </x:c>
      <x:c r="G126" s="50" t="n">
        <x:f>IF(C126="","",IFERROR(D126/C126,0))</x:f>
        <x:v>0.6694101508916324</x:v>
      </x:c>
      <x:c r="H126" s="36" t="n">
        <x:v>25</x:v>
      </x:c>
      <x:c r="I126" t="n">
        <x:v>759</x:v>
      </x:c>
      <x:c r="J126" t="n">
        <x:v>136</x:v>
      </x:c>
      <x:c r="K126" t="n">
        <x:v>24</x:v>
      </x:c>
      <x:c r="L126" t="n">
        <x:v>2</x:v>
      </x:c>
      <x:c r="M126" t="n">
        <x:v>12</x:v>
      </x:c>
      <x:c r="N126" t="n">
        <x:v>6</x:v>
      </x:c>
      <x:c r="O126" t="n">
        <x:v>7</x:v>
      </x:c>
      <x:c r="P126" s="50" t="n">
        <x:f>IF(D126=0,"",H126/D126)</x:f>
        <x:v>0.025614754098360656</x:v>
      </x:c>
      <x:c r="Q126" t="n">
        <x:f>MAX(I126:O126)</x:f>
        <x:v>759</x:v>
      </x:c>
      <x:c r="R126" t="n">
        <x:f>H126-Q126</x:f>
        <x:v>-734</x:v>
      </x:c>
      <x:c r="S126" s="52" t="n">
        <x:f>IF(D126=0,"",(R126)/D126)</x:f>
        <x:v>-0.7520491803278688</x:v>
      </x:c>
      <x:c r="T126" t="str">
        <x:v>Dhirendra Singh</x:v>
      </x:c>
      <x:c r="U126" t="n">
        <x:f>D126-E126-F126</x:f>
        <x:v>0</x:v>
      </x:c>
    </x:row>
    <x:row r="127">
      <x:c r="A127" t="n">
        <x:v>119</x:v>
      </x:c>
      <x:c r="B127" t="str">
        <x:v>SHRI HARDWARI LAL JANHIT H.S. SCHOOL MIRZAPUR R.NO. 1</x:v>
      </x:c>
      <x:c r="C127" t="n">
        <x:v>1448</x:v>
      </x:c>
      <x:c r="D127" t="n">
        <x:v>1129</x:v>
      </x:c>
      <x:c r="E127" t="n">
        <x:f>SUM(H127:O127)</x:f>
        <x:v>1125</x:v>
      </x:c>
      <x:c r="F127" t="n">
        <x:v>4</x:v>
      </x:c>
      <x:c r="G127" s="50" t="n">
        <x:f>IF(C127="","",IFERROR(D127/C127,0))</x:f>
        <x:v>0.7796961325966851</x:v>
      </x:c>
      <x:c r="H127" s="36" t="n">
        <x:v>16</x:v>
      </x:c>
      <x:c r="I127" t="n">
        <x:v>906</x:v>
      </x:c>
      <x:c r="J127" t="n">
        <x:v>177</x:v>
      </x:c>
      <x:c r="K127" t="n">
        <x:v>7</x:v>
      </x:c>
      <x:c r="L127" t="n">
        <x:v>1</x:v>
      </x:c>
      <x:c r="M127" t="n">
        <x:v>6</x:v>
      </x:c>
      <x:c r="N127" t="n">
        <x:v>5</x:v>
      </x:c>
      <x:c r="O127" t="n">
        <x:v>7</x:v>
      </x:c>
      <x:c r="P127" s="50" t="n">
        <x:f>IF(D127=0,"",H127/D127)</x:f>
        <x:v>0.0141718334809566</x:v>
      </x:c>
      <x:c r="Q127" t="n">
        <x:f>MAX(I127:O127)</x:f>
        <x:v>906</x:v>
      </x:c>
      <x:c r="R127" t="n">
        <x:f>H127-Q127</x:f>
        <x:v>-890</x:v>
      </x:c>
      <x:c r="S127" s="52" t="n">
        <x:f>IF(D127=0,"",(R127)/D127)</x:f>
        <x:v>-0.7883082373782108</x:v>
      </x:c>
      <x:c r="T127" t="str">
        <x:v>Dhirendra Singh</x:v>
      </x:c>
      <x:c r="U127" t="n">
        <x:f>D127-E127-F127</x:f>
        <x:v>0</x:v>
      </x:c>
    </x:row>
    <x:row r="128">
      <x:c r="A128" t="n">
        <x:v>120</x:v>
      </x:c>
      <x:c r="B128" t="str">
        <x:v>SHRI HARDWARI LAL JANHIT H.S. SCHOOL MIRZAPUR R.NO.2</x:v>
      </x:c>
      <x:c r="C128" t="n">
        <x:v>836</x:v>
      </x:c>
      <x:c r="D128" t="n">
        <x:v>633</x:v>
      </x:c>
      <x:c r="E128" t="n">
        <x:f>SUM(H128:O128)</x:f>
        <x:v>633</x:v>
      </x:c>
      <x:c r="F128" t="n">
        <x:v>0</x:v>
      </x:c>
      <x:c r="G128" s="50" t="n">
        <x:f>IF(C128="","",IFERROR(D128/C128,0))</x:f>
        <x:v>0.757177033492823</x:v>
      </x:c>
      <x:c r="H128" s="36" t="n">
        <x:v>3</x:v>
      </x:c>
      <x:c r="I128" t="n">
        <x:v>434</x:v>
      </x:c>
      <x:c r="J128" t="n">
        <x:v>170</x:v>
      </x:c>
      <x:c r="K128" t="n">
        <x:v>19</x:v>
      </x:c>
      <x:c r="L128" t="n">
        <x:v>3</x:v>
      </x:c>
      <x:c r="M128" t="n">
        <x:v>0</x:v>
      </x:c>
      <x:c r="N128" t="n">
        <x:v>2</x:v>
      </x:c>
      <x:c r="O128" t="n">
        <x:v>2</x:v>
      </x:c>
      <x:c r="P128" s="50" t="n">
        <x:f>IF(D128=0,"",H128/D128)</x:f>
        <x:v>0.004739336492890996</x:v>
      </x:c>
      <x:c r="Q128" t="n">
        <x:f>MAX(I128:O128)</x:f>
        <x:v>434</x:v>
      </x:c>
      <x:c r="R128" t="n">
        <x:f>H128-Q128</x:f>
        <x:v>-431</x:v>
      </x:c>
      <x:c r="S128" s="52" t="n">
        <x:f>IF(D128=0,"",(R128)/D128)</x:f>
        <x:v>-0.6808846761453397</x:v>
      </x:c>
      <x:c r="T128" t="str">
        <x:v>Dhirendra Singh</x:v>
      </x:c>
      <x:c r="U128" t="n">
        <x:f>D128-E128-F128</x:f>
        <x:v>0</x:v>
      </x:c>
    </x:row>
    <x:row r="129">
      <x:c r="A129" t="n">
        <x:v>121</x:v>
      </x:c>
      <x:c r="B129" t="str">
        <x:v>SHRI HARDWARI LAL JANHIT H.S. SCHOOL MIRZAPUR R.NO. 3</x:v>
      </x:c>
      <x:c r="C129" t="n">
        <x:v>580</x:v>
      </x:c>
      <x:c r="D129" t="n">
        <x:v>386</x:v>
      </x:c>
      <x:c r="E129" t="n">
        <x:f>SUM(H129:O129)</x:f>
        <x:v>384</x:v>
      </x:c>
      <x:c r="F129" t="n">
        <x:v>2</x:v>
      </x:c>
      <x:c r="G129" s="50" t="n">
        <x:f>IF(C129="","",IFERROR(D129/C129,0))</x:f>
        <x:v>0.6655172413793103</x:v>
      </x:c>
      <x:c r="H129" s="36" t="n">
        <x:v>6</x:v>
      </x:c>
      <x:c r="I129" t="n">
        <x:v>297</x:v>
      </x:c>
      <x:c r="J129" t="n">
        <x:v>69</x:v>
      </x:c>
      <x:c r="K129" t="n">
        <x:v>9</x:v>
      </x:c>
      <x:c r="L129" t="n">
        <x:v>1</x:v>
      </x:c>
      <x:c r="M129" t="n">
        <x:v>0</x:v>
      </x:c>
      <x:c r="N129" t="n">
        <x:v>1</x:v>
      </x:c>
      <x:c r="O129" t="n">
        <x:v>1</x:v>
      </x:c>
      <x:c r="P129" s="50" t="n">
        <x:f>IF(D129=0,"",H129/D129)</x:f>
        <x:v>0.015544041450777202</x:v>
      </x:c>
      <x:c r="Q129" t="n">
        <x:f>MAX(I129:O129)</x:f>
        <x:v>297</x:v>
      </x:c>
      <x:c r="R129" t="n">
        <x:f>H129-Q129</x:f>
        <x:v>-291</x:v>
      </x:c>
      <x:c r="S129" s="52" t="n">
        <x:f>IF(D129=0,"",(R129)/D129)</x:f>
        <x:v>-0.7538860103626943</x:v>
      </x:c>
      <x:c r="T129" t="str">
        <x:v>Dhirendra Singh</x:v>
      </x:c>
      <x:c r="U129" t="n">
        <x:f>D129-E129-F129</x:f>
        <x:v>0</x:v>
      </x:c>
    </x:row>
    <x:row r="130">
      <x:c r="A130" t="n">
        <x:v>122</x:v>
      </x:c>
      <x:c r="B130" t="str">
        <x:v>PRY. SCHOOL CHAPARGARH R.NO.2</x:v>
      </x:c>
      <x:c r="C130" t="n">
        <x:v>542</x:v>
      </x:c>
      <x:c r="D130" t="n">
        <x:v>453</x:v>
      </x:c>
      <x:c r="E130" t="n">
        <x:f>SUM(H130:O130)</x:f>
        <x:v>453</x:v>
      </x:c>
      <x:c r="F130" t="n">
        <x:v>0</x:v>
      </x:c>
      <x:c r="G130" s="50" t="n">
        <x:f>IF(C130="","",IFERROR(D130/C130,0))</x:f>
        <x:v>0.8357933579335793</x:v>
      </x:c>
      <x:c r="H130" s="36" t="n">
        <x:v>23</x:v>
      </x:c>
      <x:c r="I130" t="n">
        <x:v>76</x:v>
      </x:c>
      <x:c r="J130" t="n">
        <x:v>347</x:v>
      </x:c>
      <x:c r="K130" t="n">
        <x:v>4</x:v>
      </x:c>
      <x:c r="L130" t="n">
        <x:v>2</x:v>
      </x:c>
      <x:c r="M130" t="n">
        <x:v>1</x:v>
      </x:c>
      <x:c r="N130" t="n">
        <x:v>0</x:v>
      </x:c>
      <x:c r="O130" t="n">
        <x:v>0</x:v>
      </x:c>
      <x:c r="P130" s="50" t="n">
        <x:f>IF(D130=0,"",H130/D130)</x:f>
        <x:v>0.05077262693156733</x:v>
      </x:c>
      <x:c r="Q130" t="n">
        <x:f>MAX(I130:O130)</x:f>
        <x:v>347</x:v>
      </x:c>
      <x:c r="R130" t="n">
        <x:f>H130-Q130</x:f>
        <x:v>-324</x:v>
      </x:c>
      <x:c r="S130" s="52" t="n">
        <x:f>IF(D130=0,"",(R130)/D130)</x:f>
        <x:v>-0.7152317880794702</x:v>
      </x:c>
      <x:c r="T130" t="str">
        <x:v>Vedram Bhati</x:v>
      </x:c>
      <x:c r="U130" t="n">
        <x:f>D130-E130-F130</x:f>
        <x:v>0</x:v>
      </x:c>
    </x:row>
    <x:row r="131">
      <x:c r="A131" t="n">
        <x:v>123</x:v>
      </x:c>
      <x:c r="B131" t="str">
        <x:v>PRY. SCHOOL RAMPUR BANGAR R.NO. 1</x:v>
      </x:c>
      <x:c r="C131" t="n">
        <x:v>827</x:v>
      </x:c>
      <x:c r="D131" t="n">
        <x:v>690</x:v>
      </x:c>
      <x:c r="E131" t="n">
        <x:f>SUM(H131:O131)</x:f>
        <x:v>688</x:v>
      </x:c>
      <x:c r="F131" t="n">
        <x:v>2</x:v>
      </x:c>
      <x:c r="G131" s="50" t="n">
        <x:f>IF(C131="","",IFERROR(D131/C131,0))</x:f>
        <x:v>0.8343409915356711</x:v>
      </x:c>
      <x:c r="H131" s="36" t="n">
        <x:v>17</x:v>
      </x:c>
      <x:c r="I131" t="n">
        <x:v>586</x:v>
      </x:c>
      <x:c r="J131" t="n">
        <x:v>64</x:v>
      </x:c>
      <x:c r="K131" t="n">
        <x:v>17</x:v>
      </x:c>
      <x:c r="L131" t="n">
        <x:v>0</x:v>
      </x:c>
      <x:c r="M131" t="n">
        <x:v>2</x:v>
      </x:c>
      <x:c r="N131" t="n">
        <x:v>1</x:v>
      </x:c>
      <x:c r="O131" t="n">
        <x:v>1</x:v>
      </x:c>
      <x:c r="P131" s="50" t="n">
        <x:f>IF(D131=0,"",H131/D131)</x:f>
        <x:v>0.02463768115942029</x:v>
      </x:c>
      <x:c r="Q131" t="n">
        <x:f>MAX(I131:O131)</x:f>
        <x:v>586</x:v>
      </x:c>
      <x:c r="R131" t="n">
        <x:f>H131-Q131</x:f>
        <x:v>-569</x:v>
      </x:c>
      <x:c r="S131" s="52" t="n">
        <x:f>IF(D131=0,"",(R131)/D131)</x:f>
        <x:v>-0.8246376811594203</x:v>
      </x:c>
      <x:c r="T131" t="str">
        <x:v>Dhirendra Singh</x:v>
      </x:c>
      <x:c r="U131" t="n">
        <x:f>D131-E131-F131</x:f>
        <x:v>0</x:v>
      </x:c>
    </x:row>
    <x:row r="132">
      <x:c r="A132" t="n">
        <x:v>124</x:v>
      </x:c>
      <x:c r="B132" t="str">
        <x:v>PRY. PATH. ACHCHHEJA BUJURG R.NO. 1</x:v>
      </x:c>
      <x:c r="C132" t="n">
        <x:v>1355</x:v>
      </x:c>
      <x:c r="D132" t="n">
        <x:v>993</x:v>
      </x:c>
      <x:c r="E132" t="n">
        <x:f>SUM(H132:O132)</x:f>
        <x:v>990</x:v>
      </x:c>
      <x:c r="F132" t="n">
        <x:v>3</x:v>
      </x:c>
      <x:c r="G132" s="50" t="n">
        <x:f>IF(C132="","",IFERROR(D132/C132,0))</x:f>
        <x:v>0.7328413284132841</x:v>
      </x:c>
      <x:c r="H132" s="36" t="n">
        <x:v>41</x:v>
      </x:c>
      <x:c r="I132" t="n">
        <x:v>421</x:v>
      </x:c>
      <x:c r="J132" t="n">
        <x:v>494</x:v>
      </x:c>
      <x:c r="K132" t="n">
        <x:v>17</x:v>
      </x:c>
      <x:c r="L132" t="n">
        <x:v>9</x:v>
      </x:c>
      <x:c r="M132" t="n">
        <x:v>2</x:v>
      </x:c>
      <x:c r="N132" t="n">
        <x:v>4</x:v>
      </x:c>
      <x:c r="O132" t="n">
        <x:v>2</x:v>
      </x:c>
      <x:c r="P132" s="50" t="n">
        <x:f>IF(D132=0,"",H132/D132)</x:f>
        <x:v>0.041289023162134945</x:v>
      </x:c>
      <x:c r="Q132" t="n">
        <x:f>MAX(I132:O132)</x:f>
        <x:v>494</x:v>
      </x:c>
      <x:c r="R132" t="n">
        <x:f>H132-Q132</x:f>
        <x:v>-453</x:v>
      </x:c>
      <x:c r="S132" s="52" t="n">
        <x:f>IF(D132=0,"",(R132)/D132)</x:f>
        <x:v>-0.4561933534743202</x:v>
      </x:c>
      <x:c r="T132" t="str">
        <x:v>Vedram Bhati</x:v>
      </x:c>
      <x:c r="U132" t="n">
        <x:f>D132-E132-F132</x:f>
        <x:v>0</x:v>
      </x:c>
    </x:row>
    <x:row r="133">
      <x:c r="A133" t="n">
        <x:v>125</x:v>
      </x:c>
      <x:c r="B133" t="str">
        <x:v>PRY. SCHOOL DUNGARPUR REELKA R.NO. 1</x:v>
      </x:c>
      <x:c r="C133" t="n">
        <x:v>852</x:v>
      </x:c>
      <x:c r="D133" t="n">
        <x:v>624</x:v>
      </x:c>
      <x:c r="E133" t="n">
        <x:f>SUM(H133:O133)</x:f>
        <x:v>620</x:v>
      </x:c>
      <x:c r="F133" t="n">
        <x:v>4</x:v>
      </x:c>
      <x:c r="G133" s="50" t="n">
        <x:f>IF(C133="","",IFERROR(D133/C133,0))</x:f>
        <x:v>0.7323943661971831</x:v>
      </x:c>
      <x:c r="H133" s="36" t="n">
        <x:v>36</x:v>
      </x:c>
      <x:c r="I133" t="n">
        <x:v>184</x:v>
      </x:c>
      <x:c r="J133" t="n">
        <x:v>385</x:v>
      </x:c>
      <x:c r="K133" t="n">
        <x:v>5</x:v>
      </x:c>
      <x:c r="L133" t="n">
        <x:v>3</x:v>
      </x:c>
      <x:c r="M133" t="n">
        <x:v>1</x:v>
      </x:c>
      <x:c r="N133" t="n">
        <x:v>5</x:v>
      </x:c>
      <x:c r="O133" t="n">
        <x:v>1</x:v>
      </x:c>
      <x:c r="P133" s="50" t="n">
        <x:f>IF(D133=0,"",H133/D133)</x:f>
        <x:v>0.057692307692307696</x:v>
      </x:c>
      <x:c r="Q133" t="n">
        <x:f>MAX(I133:O133)</x:f>
        <x:v>385</x:v>
      </x:c>
      <x:c r="R133" t="n">
        <x:f>H133-Q133</x:f>
        <x:v>-349</x:v>
      </x:c>
      <x:c r="S133" s="52" t="n">
        <x:f>IF(D133=0,"",(R133)/D133)</x:f>
        <x:v>-0.5592948717948718</x:v>
      </x:c>
      <x:c r="T133" t="str">
        <x:v>Vedram Bhati</x:v>
      </x:c>
      <x:c r="U133" t="n">
        <x:f>D133-E133-F133</x:f>
        <x:v>0</x:v>
      </x:c>
    </x:row>
    <x:row r="134">
      <x:c r="A134" t="n">
        <x:v>126</x:v>
      </x:c>
      <x:c r="B134" t="str">
        <x:v>PRY. SCHOOL DUNGARPUR REELKA R.NO. 2</x:v>
      </x:c>
      <x:c r="C134" t="n">
        <x:v>887</x:v>
      </x:c>
      <x:c r="D134" t="n">
        <x:v>642</x:v>
      </x:c>
      <x:c r="E134" t="n">
        <x:f>SUM(H134:O134)</x:f>
        <x:v>637</x:v>
      </x:c>
      <x:c r="F134" t="n">
        <x:v>5</x:v>
      </x:c>
      <x:c r="G134" s="50" t="n">
        <x:f>IF(C134="","",IFERROR(D134/C134,0))</x:f>
        <x:v>0.7237880496054115</x:v>
      </x:c>
      <x:c r="H134" s="36" t="n">
        <x:v>22</x:v>
      </x:c>
      <x:c r="I134" t="n">
        <x:v>109</x:v>
      </x:c>
      <x:c r="J134" t="n">
        <x:v>484</x:v>
      </x:c>
      <x:c r="K134" t="n">
        <x:v>3</x:v>
      </x:c>
      <x:c r="L134" t="n">
        <x:v>8</x:v>
      </x:c>
      <x:c r="M134" t="n">
        <x:v>6</x:v>
      </x:c>
      <x:c r="N134" t="n">
        <x:v>4</x:v>
      </x:c>
      <x:c r="O134" t="n">
        <x:v>1</x:v>
      </x:c>
      <x:c r="P134" s="50" t="n">
        <x:f>IF(D134=0,"",H134/D134)</x:f>
        <x:v>0.03426791277258567</x:v>
      </x:c>
      <x:c r="Q134" t="n">
        <x:f>MAX(I134:O134)</x:f>
        <x:v>484</x:v>
      </x:c>
      <x:c r="R134" t="n">
        <x:f>H134-Q134</x:f>
        <x:v>-462</x:v>
      </x:c>
      <x:c r="S134" s="52" t="n">
        <x:f>IF(D134=0,"",(R134)/D134)</x:f>
        <x:v>-0.719626168224299</x:v>
      </x:c>
      <x:c r="T134" t="str">
        <x:v>Vedram Bhati</x:v>
      </x:c>
      <x:c r="U134" t="n">
        <x:f>D134-E134-F134</x:f>
        <x:v>0</x:v>
      </x:c>
    </x:row>
    <x:row r="135">
      <x:c r="A135" t="n">
        <x:v>127</x:v>
      </x:c>
      <x:c r="B135" t="str">
        <x:v>PRY. SCHOOL MOHAMMADPUR GUJAR R.NO. 1</x:v>
      </x:c>
      <x:c r="C135" t="n">
        <x:v>902</x:v>
      </x:c>
      <x:c r="D135" t="n">
        <x:v>698</x:v>
      </x:c>
      <x:c r="E135" t="n">
        <x:f>SUM(H135:O135)</x:f>
        <x:v>698</x:v>
      </x:c>
      <x:c r="F135" t="n">
        <x:v>0</x:v>
      </x:c>
      <x:c r="G135" s="50" t="n">
        <x:f>IF(C135="","",IFERROR(D135/C135,0))</x:f>
        <x:v>0.7738359201773836</x:v>
      </x:c>
      <x:c r="H135" s="36" t="n">
        <x:v>657</x:v>
      </x:c>
      <x:c r="I135" t="n">
        <x:v>20</x:v>
      </x:c>
      <x:c r="J135" t="n">
        <x:v>18</x:v>
      </x:c>
      <x:c r="K135" t="n">
        <x:v>1</x:v>
      </x:c>
      <x:c r="L135" t="n">
        <x:v>0</x:v>
      </x:c>
      <x:c r="M135" t="n">
        <x:v>1</x:v>
      </x:c>
      <x:c r="N135" t="n">
        <x:v>1</x:v>
      </x:c>
      <x:c r="O135" t="n">
        <x:v>0</x:v>
      </x:c>
      <x:c r="P135" s="50" t="n">
        <x:f>IF(D135=0,"",H135/D135)</x:f>
        <x:v>0.9412607449856734</x:v>
      </x:c>
      <x:c r="Q135" t="n">
        <x:f>MAX(I135:O135)</x:f>
        <x:v>20</x:v>
      </x:c>
      <x:c r="R135" t="n">
        <x:f>H135-Q135</x:f>
        <x:v>637</x:v>
      </x:c>
      <x:c r="S135" s="52" t="n">
        <x:f>IF(D135=0,"",(R135)/D135)</x:f>
        <x:v>0.9126074498567335</x:v>
      </x:c>
      <x:c r="T135" t="str">
        <x:v>Narender Nagar</x:v>
      </x:c>
      <x:c r="U135" t="n">
        <x:f>D135-E135-F135</x:f>
        <x:v>0</x:v>
      </x:c>
    </x:row>
    <x:row r="136">
      <x:c r="A136" t="n">
        <x:v>128</x:v>
      </x:c>
      <x:c r="B136" t="str">
        <x:v>BIHARI LAL I. C. DANKAUR PURVA R.NO. 1</x:v>
      </x:c>
      <x:c r="C136" t="n">
        <x:v>1348</x:v>
      </x:c>
      <x:c r="D136" t="n">
        <x:v>767</x:v>
      </x:c>
      <x:c r="E136" t="n">
        <x:f>SUM(H136:O136)</x:f>
        <x:v>765</x:v>
      </x:c>
      <x:c r="F136" t="n">
        <x:v>2</x:v>
      </x:c>
      <x:c r="G136" s="50" t="n">
        <x:f>IF(C136="","",IFERROR(D136/C136,0))</x:f>
        <x:v>0.5689910979228486</x:v>
      </x:c>
      <x:c r="H136" s="36" t="n">
        <x:v>22</x:v>
      </x:c>
      <x:c r="I136" t="n">
        <x:v>539</x:v>
      </x:c>
      <x:c r="J136" t="n">
        <x:v>177</x:v>
      </x:c>
      <x:c r="K136" t="n">
        <x:v>20</x:v>
      </x:c>
      <x:c r="L136" t="n">
        <x:v>2</x:v>
      </x:c>
      <x:c r="M136" t="n">
        <x:v>2</x:v>
      </x:c>
      <x:c r="N136" t="n">
        <x:v>0</x:v>
      </x:c>
      <x:c r="O136" t="n">
        <x:v>3</x:v>
      </x:c>
      <x:c r="P136" s="50" t="n">
        <x:f>IF(D136=0,"",H136/D136)</x:f>
        <x:v>0.028683181225554105</x:v>
      </x:c>
      <x:c r="Q136" t="n">
        <x:f>MAX(I136:O136)</x:f>
        <x:v>539</x:v>
      </x:c>
      <x:c r="R136" t="n">
        <x:f>H136-Q136</x:f>
        <x:v>-517</x:v>
      </x:c>
      <x:c r="S136" s="52" t="n">
        <x:f>IF(D136=0,"",(R136)/D136)</x:f>
        <x:v>-0.6740547588005215</x:v>
      </x:c>
      <x:c r="T136" t="str">
        <x:v>Dhirendra Singh</x:v>
      </x:c>
      <x:c r="U136" t="n">
        <x:f>D136-E136-F136</x:f>
        <x:v>0</x:v>
      </x:c>
    </x:row>
    <x:row r="137">
      <x:c r="A137" t="n">
        <x:v>129</x:v>
      </x:c>
      <x:c r="B137" t="str">
        <x:v>BIHARI LAL I. C. DANKAUR PURVA R.NO. 2</x:v>
      </x:c>
      <x:c r="C137" t="n">
        <x:v>1212</x:v>
      </x:c>
      <x:c r="D137" t="n">
        <x:v>676</x:v>
      </x:c>
      <x:c r="E137" t="n">
        <x:f>SUM(H137:O137)</x:f>
        <x:v>669</x:v>
      </x:c>
      <x:c r="F137" t="n">
        <x:v>7</x:v>
      </x:c>
      <x:c r="G137" s="50" t="n">
        <x:f>IF(C137="","",IFERROR(D137/C137,0))</x:f>
        <x:v>0.5577557755775577</x:v>
      </x:c>
      <x:c r="H137" s="36" t="n">
        <x:v>33</x:v>
      </x:c>
      <x:c r="I137" t="n">
        <x:v>339</x:v>
      </x:c>
      <x:c r="J137" t="n">
        <x:v>248</x:v>
      </x:c>
      <x:c r="K137" t="n">
        <x:v>21</x:v>
      </x:c>
      <x:c r="L137" t="n">
        <x:v>9</x:v>
      </x:c>
      <x:c r="M137" t="n">
        <x:v>4</x:v>
      </x:c>
      <x:c r="N137" t="n">
        <x:v>11</x:v>
      </x:c>
      <x:c r="O137" t="n">
        <x:v>4</x:v>
      </x:c>
      <x:c r="P137" s="50" t="n">
        <x:f>IF(D137=0,"",H137/D137)</x:f>
        <x:v>0.04881656804733728</x:v>
      </x:c>
      <x:c r="Q137" t="n">
        <x:f>MAX(I137:O137)</x:f>
        <x:v>339</x:v>
      </x:c>
      <x:c r="R137" t="n">
        <x:f>H137-Q137</x:f>
        <x:v>-306</x:v>
      </x:c>
      <x:c r="S137" s="52" t="n">
        <x:f>IF(D137=0,"",(R137)/D137)</x:f>
        <x:v>-0.4526627218934911</x:v>
      </x:c>
      <x:c r="T137" t="str">
        <x:v>Dhirendra Singh</x:v>
      </x:c>
      <x:c r="U137" t="n">
        <x:f>D137-E137-F137</x:f>
        <x:v>0</x:v>
      </x:c>
    </x:row>
    <x:row r="138">
      <x:c r="A138" t="n">
        <x:v>130</x:v>
      </x:c>
      <x:c r="B138" t="str">
        <x:v>BIHARI LAL I. C. DANKAUR PURVA R.NO. 3</x:v>
      </x:c>
      <x:c r="C138" t="n">
        <x:v>1322</x:v>
      </x:c>
      <x:c r="D138" t="n">
        <x:v>780</x:v>
      </x:c>
      <x:c r="E138" t="n">
        <x:f>SUM(H138:O138)</x:f>
        <x:v>772</x:v>
      </x:c>
      <x:c r="F138" t="n">
        <x:v>8</x:v>
      </x:c>
      <x:c r="G138" s="50" t="n">
        <x:f>IF(C138="","",IFERROR(D138/C138,0))</x:f>
        <x:v>0.5900151285930408</x:v>
      </x:c>
      <x:c r="H138" s="36" t="n">
        <x:v>48</x:v>
      </x:c>
      <x:c r="I138" t="n">
        <x:v>343</x:v>
      </x:c>
      <x:c r="J138" t="n">
        <x:v>357</x:v>
      </x:c>
      <x:c r="K138" t="n">
        <x:v>9</x:v>
      </x:c>
      <x:c r="L138" t="n">
        <x:v>1</x:v>
      </x:c>
      <x:c r="M138" t="n">
        <x:v>4</x:v>
      </x:c>
      <x:c r="N138" t="n">
        <x:v>8</x:v>
      </x:c>
      <x:c r="O138" t="n">
        <x:v>2</x:v>
      </x:c>
      <x:c r="P138" s="50" t="n">
        <x:f>IF(D138=0,"",H138/D138)</x:f>
        <x:v>0.06153846153846154</x:v>
      </x:c>
      <x:c r="Q138" t="n">
        <x:f>MAX(I138:O138)</x:f>
        <x:v>357</x:v>
      </x:c>
      <x:c r="R138" t="n">
        <x:f>H138-Q138</x:f>
        <x:v>-309</x:v>
      </x:c>
      <x:c r="S138" s="52" t="n">
        <x:f>IF(D138=0,"",(R138)/D138)</x:f>
        <x:v>-0.39615384615384613</x:v>
      </x:c>
      <x:c r="T138" t="str">
        <x:v>Vedram Bhati</x:v>
      </x:c>
      <x:c r="U138" t="n">
        <x:f>D138-E138-F138</x:f>
        <x:v>0</x:v>
      </x:c>
    </x:row>
    <x:row r="139">
      <x:c r="A139" t="n">
        <x:v>131</x:v>
      </x:c>
      <x:c r="B139" t="str">
        <x:v>BIHARI LAL I. C. DANKAUR PURVA R.NO. 4</x:v>
      </x:c>
      <x:c r="C139" t="n">
        <x:v>899</x:v>
      </x:c>
      <x:c r="D139" t="n">
        <x:v>531</x:v>
      </x:c>
      <x:c r="E139" t="n">
        <x:f>SUM(H139:O139)</x:f>
        <x:v>528</x:v>
      </x:c>
      <x:c r="F139" t="n">
        <x:v>3</x:v>
      </x:c>
      <x:c r="G139" s="50" t="n">
        <x:f>IF(C139="","",IFERROR(D139/C139,0))</x:f>
        <x:v>0.5906562847608454</x:v>
      </x:c>
      <x:c r="H139" s="36" t="n">
        <x:v>14</x:v>
      </x:c>
      <x:c r="I139" t="n">
        <x:v>371</x:v>
      </x:c>
      <x:c r="J139" t="n">
        <x:v>108</x:v>
      </x:c>
      <x:c r="K139" t="n">
        <x:v>26</x:v>
      </x:c>
      <x:c r="L139" t="n">
        <x:v>1</x:v>
      </x:c>
      <x:c r="M139" t="n">
        <x:v>3</x:v>
      </x:c>
      <x:c r="N139" t="n">
        <x:v>2</x:v>
      </x:c>
      <x:c r="O139" t="n">
        <x:v>3</x:v>
      </x:c>
      <x:c r="P139" s="50" t="n">
        <x:f>IF(D139=0,"",H139/D139)</x:f>
        <x:v>0.026365348399246705</x:v>
      </x:c>
      <x:c r="Q139" t="n">
        <x:f>MAX(I139:O139)</x:f>
        <x:v>371</x:v>
      </x:c>
      <x:c r="R139" t="n">
        <x:f>H139-Q139</x:f>
        <x:v>-357</x:v>
      </x:c>
      <x:c r="S139" s="52" t="n">
        <x:f>IF(D139=0,"",(R139)/D139)</x:f>
        <x:v>-0.672316384180791</x:v>
      </x:c>
      <x:c r="T139" t="str">
        <x:v>Dhirendra Singh</x:v>
      </x:c>
      <x:c r="U139" t="n">
        <x:f>D139-E139-F139</x:f>
        <x:v>0</x:v>
      </x:c>
    </x:row>
    <x:row r="140">
      <x:c r="A140" t="n">
        <x:v>132</x:v>
      </x:c>
      <x:c r="B140" t="str">
        <x:v>BIHARI LAL I. C. DANKAUR PURVA R.NO. 5</x:v>
      </x:c>
      <x:c r="C140" t="n">
        <x:v>1275</x:v>
      </x:c>
      <x:c r="D140" t="n">
        <x:v>812</x:v>
      </x:c>
      <x:c r="E140" t="n">
        <x:f>SUM(H140:O140)</x:f>
        <x:v>812</x:v>
      </x:c>
      <x:c r="F140" t="n">
        <x:v>0</x:v>
      </x:c>
      <x:c r="G140" s="50" t="n">
        <x:f>IF(C140="","",IFERROR(D140/C140,0))</x:f>
        <x:v>0.6368627450980392</x:v>
      </x:c>
      <x:c r="H140" s="36" t="n">
        <x:v>97</x:v>
      </x:c>
      <x:c r="I140" t="n">
        <x:v>242</x:v>
      </x:c>
      <x:c r="J140" t="n">
        <x:v>431</x:v>
      </x:c>
      <x:c r="K140" t="n">
        <x:v>20</x:v>
      </x:c>
      <x:c r="L140" t="n">
        <x:v>6</x:v>
      </x:c>
      <x:c r="M140" t="n">
        <x:v>9</x:v>
      </x:c>
      <x:c r="N140" t="n">
        <x:v>6</x:v>
      </x:c>
      <x:c r="O140" t="n">
        <x:v>1</x:v>
      </x:c>
      <x:c r="P140" s="50" t="n">
        <x:f>IF(D140=0,"",H140/D140)</x:f>
        <x:v>0.11945812807881774</x:v>
      </x:c>
      <x:c r="Q140" t="n">
        <x:f>MAX(I140:O140)</x:f>
        <x:v>431</x:v>
      </x:c>
      <x:c r="R140" t="n">
        <x:f>H140-Q140</x:f>
        <x:v>-334</x:v>
      </x:c>
      <x:c r="S140" s="52" t="n">
        <x:f>IF(D140=0,"",(R140)/D140)</x:f>
        <x:v>-0.41133004926108374</x:v>
      </x:c>
      <x:c r="T140" t="str">
        <x:v>Vedram Bhati</x:v>
      </x:c>
      <x:c r="U140" t="n">
        <x:f>D140-E140-F140</x:f>
        <x:v>0</x:v>
      </x:c>
    </x:row>
    <x:row r="141">
      <x:c r="A141" t="n">
        <x:v>133</x:v>
      </x:c>
      <x:c r="B141" t="str">
        <x:v>BIHARI LAL I. C. DANKAUR PURVA R.NO. 6</x:v>
      </x:c>
      <x:c r="C141" t="n">
        <x:v>1434</x:v>
      </x:c>
      <x:c r="D141" t="n">
        <x:v>902</x:v>
      </x:c>
      <x:c r="E141" t="n">
        <x:f>SUM(H141:O141)</x:f>
        <x:v>899</x:v>
      </x:c>
      <x:c r="F141" t="n">
        <x:v>3</x:v>
      </x:c>
      <x:c r="G141" s="50" t="n">
        <x:f>IF(C141="","",IFERROR(D141/C141,0))</x:f>
        <x:v>0.6290097629009763</x:v>
      </x:c>
      <x:c r="H141" s="36" t="n">
        <x:v>68</x:v>
      </x:c>
      <x:c r="I141" t="n">
        <x:v>296</x:v>
      </x:c>
      <x:c r="J141" t="n">
        <x:v>503</x:v>
      </x:c>
      <x:c r="K141" t="n">
        <x:v>7</x:v>
      </x:c>
      <x:c r="L141" t="n">
        <x:v>10</x:v>
      </x:c>
      <x:c r="M141" t="n">
        <x:v>4</x:v>
      </x:c>
      <x:c r="N141" t="n">
        <x:v>6</x:v>
      </x:c>
      <x:c r="O141" t="n">
        <x:v>5</x:v>
      </x:c>
      <x:c r="P141" s="50" t="n">
        <x:f>IF(D141=0,"",H141/D141)</x:f>
        <x:v>0.07538802660753881</x:v>
      </x:c>
      <x:c r="Q141" t="n">
        <x:f>MAX(I141:O141)</x:f>
        <x:v>503</x:v>
      </x:c>
      <x:c r="R141" t="n">
        <x:f>H141-Q141</x:f>
        <x:v>-435</x:v>
      </x:c>
      <x:c r="S141" s="52" t="n">
        <x:f>IF(D141=0,"",(R141)/D141)</x:f>
        <x:v>-0.48226164079822614</x:v>
      </x:c>
      <x:c r="T141" t="str">
        <x:v>Vedram Bhati</x:v>
      </x:c>
      <x:c r="U141" t="n">
        <x:f>D141-E141-F141</x:f>
        <x:v>0</x:v>
      </x:c>
    </x:row>
    <x:row r="142">
      <x:c r="A142" t="n">
        <x:v>134</x:v>
      </x:c>
      <x:c r="B142" t="str">
        <x:v>PURVA M.V. T.A. DANKAUR R.NO. 1</x:v>
      </x:c>
      <x:c r="C142" t="n">
        <x:v>1219</x:v>
      </x:c>
      <x:c r="D142" t="n">
        <x:v>803</x:v>
      </x:c>
      <x:c r="E142" t="n">
        <x:f>SUM(H142:O142)</x:f>
        <x:v>798</x:v>
      </x:c>
      <x:c r="F142" t="n">
        <x:v>5</x:v>
      </x:c>
      <x:c r="G142" s="50" t="n">
        <x:f>IF(C142="","",IFERROR(D142/C142,0))</x:f>
        <x:v>0.6587366694011485</x:v>
      </x:c>
      <x:c r="H142" s="36" t="n">
        <x:v>20</x:v>
      </x:c>
      <x:c r="I142" t="n">
        <x:v>194</x:v>
      </x:c>
      <x:c r="J142" t="n">
        <x:v>546</x:v>
      </x:c>
      <x:c r="K142" t="n">
        <x:v>21</x:v>
      </x:c>
      <x:c r="L142" t="n">
        <x:v>4</x:v>
      </x:c>
      <x:c r="M142" t="n">
        <x:v>8</x:v>
      </x:c>
      <x:c r="N142" t="n">
        <x:v>4</x:v>
      </x:c>
      <x:c r="O142" t="n">
        <x:v>1</x:v>
      </x:c>
      <x:c r="P142" s="50" t="n">
        <x:f>IF(D142=0,"",H142/D142)</x:f>
        <x:v>0.024906600249066</x:v>
      </x:c>
      <x:c r="Q142" t="n">
        <x:f>MAX(I142:O142)</x:f>
        <x:v>546</x:v>
      </x:c>
      <x:c r="R142" t="n">
        <x:f>H142-Q142</x:f>
        <x:v>-526</x:v>
      </x:c>
      <x:c r="S142" s="52" t="n">
        <x:f>IF(D142=0,"",(R142)/D142)</x:f>
        <x:v>-0.6550435865504358</x:v>
      </x:c>
      <x:c r="T142" t="str">
        <x:v>Vedram Bhati</x:v>
      </x:c>
      <x:c r="U142" t="n">
        <x:f>D142-E142-F142</x:f>
        <x:v>0</x:v>
      </x:c>
    </x:row>
    <x:row r="143">
      <x:c r="A143" t="n">
        <x:v>135</x:v>
      </x:c>
      <x:c r="B143" t="str">
        <x:v>PURVA M.V. T.A. DANKAUR R.NO. 2</x:v>
      </x:c>
      <x:c r="C143" t="n">
        <x:v>938</x:v>
      </x:c>
      <x:c r="D143" t="n">
        <x:v>573</x:v>
      </x:c>
      <x:c r="E143" t="n">
        <x:f>SUM(H143:O143)</x:f>
        <x:v>569</x:v>
      </x:c>
      <x:c r="F143" t="n">
        <x:v>4</x:v>
      </x:c>
      <x:c r="G143" s="50" t="n">
        <x:f>IF(C143="","",IFERROR(D143/C143,0))</x:f>
        <x:v>0.6108742004264393</x:v>
      </x:c>
      <x:c r="H143" s="36" t="n">
        <x:v>18</x:v>
      </x:c>
      <x:c r="I143" t="n">
        <x:v>323</x:v>
      </x:c>
      <x:c r="J143" t="n">
        <x:v>214</x:v>
      </x:c>
      <x:c r="K143" t="n">
        <x:v>3</x:v>
      </x:c>
      <x:c r="L143" t="n">
        <x:v>2</x:v>
      </x:c>
      <x:c r="M143" t="n">
        <x:v>4</x:v>
      </x:c>
      <x:c r="N143" t="n">
        <x:v>3</x:v>
      </x:c>
      <x:c r="O143" t="n">
        <x:v>2</x:v>
      </x:c>
      <x:c r="P143" s="50" t="n">
        <x:f>IF(D143=0,"",H143/D143)</x:f>
        <x:v>0.031413612565445025</x:v>
      </x:c>
      <x:c r="Q143" t="n">
        <x:f>MAX(I143:O143)</x:f>
        <x:v>323</x:v>
      </x:c>
      <x:c r="R143" t="n">
        <x:f>H143-Q143</x:f>
        <x:v>-305</x:v>
      </x:c>
      <x:c r="S143" s="52" t="n">
        <x:f>IF(D143=0,"",(R143)/D143)</x:f>
        <x:v>-0.5322862129144852</x:v>
      </x:c>
      <x:c r="T143" t="str">
        <x:v>Dhirendra Singh</x:v>
      </x:c>
      <x:c r="U143" t="n">
        <x:f>D143-E143-F143</x:f>
        <x:v>0</x:v>
      </x:c>
    </x:row>
    <x:row r="144">
      <x:c r="A144" t="n">
        <x:v>136</x:v>
      </x:c>
      <x:c r="B144" t="str">
        <x:v>PURVA M.V. T.A. DANKAUR R.NO. 3</x:v>
      </x:c>
      <x:c r="C144" t="n">
        <x:v>858</x:v>
      </x:c>
      <x:c r="D144" t="n">
        <x:v>527</x:v>
      </x:c>
      <x:c r="E144" t="n">
        <x:f>SUM(H144:O144)</x:f>
        <x:v>526</x:v>
      </x:c>
      <x:c r="F144" t="n">
        <x:v>1</x:v>
      </x:c>
      <x:c r="G144" s="50" t="n">
        <x:f>IF(C144="","",IFERROR(D144/C144,0))</x:f>
        <x:v>0.6142191142191142</x:v>
      </x:c>
      <x:c r="H144" s="36" t="n">
        <x:v>18</x:v>
      </x:c>
      <x:c r="I144" t="n">
        <x:v>253</x:v>
      </x:c>
      <x:c r="J144" t="n">
        <x:v>235</x:v>
      </x:c>
      <x:c r="K144" t="n">
        <x:v>9</x:v>
      </x:c>
      <x:c r="L144" t="n">
        <x:v>2</x:v>
      </x:c>
      <x:c r="M144" t="n">
        <x:v>4</x:v>
      </x:c>
      <x:c r="N144" t="n">
        <x:v>2</x:v>
      </x:c>
      <x:c r="O144" t="n">
        <x:v>3</x:v>
      </x:c>
      <x:c r="P144" s="50" t="n">
        <x:f>IF(D144=0,"",H144/D144)</x:f>
        <x:v>0.03415559772296015</x:v>
      </x:c>
      <x:c r="Q144" t="n">
        <x:f>MAX(I144:O144)</x:f>
        <x:v>253</x:v>
      </x:c>
      <x:c r="R144" t="n">
        <x:f>H144-Q144</x:f>
        <x:v>-235</x:v>
      </x:c>
      <x:c r="S144" s="52" t="n">
        <x:f>IF(D144=0,"",(R144)/D144)</x:f>
        <x:v>-0.4459203036053131</x:v>
      </x:c>
      <x:c r="T144" t="str">
        <x:v>Dhirendra Singh</x:v>
      </x:c>
      <x:c r="U144" t="n">
        <x:f>D144-E144-F144</x:f>
        <x:v>0</x:v>
      </x:c>
    </x:row>
    <x:row r="145">
      <x:c r="A145" t="n">
        <x:v>137</x:v>
      </x:c>
      <x:c r="B145" t="str">
        <x:v>PRY. VIDHYALAYA NO. 1 T.A. DANKAUR R.NO. 1</x:v>
      </x:c>
      <x:c r="C145" t="n">
        <x:v>1195</x:v>
      </x:c>
      <x:c r="D145" t="n">
        <x:v>703</x:v>
      </x:c>
      <x:c r="E145" t="n">
        <x:f>SUM(H145:O145)</x:f>
        <x:v>696</x:v>
      </x:c>
      <x:c r="F145" t="n">
        <x:v>7</x:v>
      </x:c>
      <x:c r="G145" s="50" t="n">
        <x:f>IF(C145="","",IFERROR(D145/C145,0))</x:f>
        <x:v>0.5882845188284519</x:v>
      </x:c>
      <x:c r="H145" s="36" t="n">
        <x:v>63</x:v>
      </x:c>
      <x:c r="I145" t="n">
        <x:v>350</x:v>
      </x:c>
      <x:c r="J145" t="n">
        <x:v>251</x:v>
      </x:c>
      <x:c r="K145" t="n">
        <x:v>18</x:v>
      </x:c>
      <x:c r="L145" t="n">
        <x:v>4</x:v>
      </x:c>
      <x:c r="M145" t="n">
        <x:v>1</x:v>
      </x:c>
      <x:c r="N145" t="n">
        <x:v>3</x:v>
      </x:c>
      <x:c r="O145" t="n">
        <x:v>6</x:v>
      </x:c>
      <x:c r="P145" s="50" t="n">
        <x:f>IF(D145=0,"",H145/D145)</x:f>
        <x:v>0.08961593172119488</x:v>
      </x:c>
      <x:c r="Q145" t="n">
        <x:f>MAX(I145:O145)</x:f>
        <x:v>350</x:v>
      </x:c>
      <x:c r="R145" t="n">
        <x:f>H145-Q145</x:f>
        <x:v>-287</x:v>
      </x:c>
      <x:c r="S145" s="52" t="n">
        <x:f>IF(D145=0,"",(R145)/D145)</x:f>
        <x:v>-0.40825035561877665</x:v>
      </x:c>
      <x:c r="T145" t="str">
        <x:v>Dhirendra Singh</x:v>
      </x:c>
      <x:c r="U145" t="n">
        <x:f>D145-E145-F145</x:f>
        <x:v>0</x:v>
      </x:c>
    </x:row>
    <x:row r="146">
      <x:c r="A146" t="n">
        <x:v>138</x:v>
      </x:c>
      <x:c r="B146" t="str">
        <x:v>PRY. VIDHYALAYA NO. 1 T.A. DANKAUR R.NO. 2</x:v>
      </x:c>
      <x:c r="C146" t="n">
        <x:v>1134</x:v>
      </x:c>
      <x:c r="D146" t="n">
        <x:v>735</x:v>
      </x:c>
      <x:c r="E146" t="n">
        <x:f>SUM(H146:O146)</x:f>
        <x:v>725</x:v>
      </x:c>
      <x:c r="F146" t="n">
        <x:v>10</x:v>
      </x:c>
      <x:c r="G146" s="50" t="n">
        <x:f>IF(C146="","",IFERROR(D146/C146,0))</x:f>
        <x:v>0.6481481481481481</x:v>
      </x:c>
      <x:c r="H146" s="36" t="n">
        <x:v>27</x:v>
      </x:c>
      <x:c r="I146" t="n">
        <x:v>575</x:v>
      </x:c>
      <x:c r="J146" t="n">
        <x:v>98</x:v>
      </x:c>
      <x:c r="K146" t="n">
        <x:v>12</x:v>
      </x:c>
      <x:c r="L146" t="n">
        <x:v>1</x:v>
      </x:c>
      <x:c r="M146" t="n">
        <x:v>0</x:v>
      </x:c>
      <x:c r="N146" t="n">
        <x:v>3</x:v>
      </x:c>
      <x:c r="O146" t="n">
        <x:v>9</x:v>
      </x:c>
      <x:c r="P146" s="50" t="n">
        <x:f>IF(D146=0,"",H146/D146)</x:f>
        <x:v>0.036734693877551024</x:v>
      </x:c>
      <x:c r="Q146" t="n">
        <x:f>MAX(I146:O146)</x:f>
        <x:v>575</x:v>
      </x:c>
      <x:c r="R146" t="n">
        <x:f>H146-Q146</x:f>
        <x:v>-548</x:v>
      </x:c>
      <x:c r="S146" s="52" t="n">
        <x:f>IF(D146=0,"",(R146)/D146)</x:f>
        <x:v>-0.745578231292517</x:v>
      </x:c>
      <x:c r="T146" t="str">
        <x:v>Dhirendra Singh</x:v>
      </x:c>
      <x:c r="U146" t="n">
        <x:f>D146-E146-F146</x:f>
        <x:v>0</x:v>
      </x:c>
    </x:row>
    <x:row r="147">
      <x:c r="A147" t="n">
        <x:v>139</x:v>
      </x:c>
      <x:c r="B147" t="str">
        <x:v>किसान आ0इ0का0 दनकौर क0न0 1 KISAN ADHYATMIK I.C. DANKARU R.NO. 1</x:v>
      </x:c>
      <x:c r="C147" t="n">
        <x:v>1170</x:v>
      </x:c>
      <x:c r="D147" t="n">
        <x:v>479</x:v>
      </x:c>
      <x:c r="E147" t="n">
        <x:f>SUM(H147:O147)</x:f>
        <x:v>475</x:v>
      </x:c>
      <x:c r="F147" t="n">
        <x:v>4</x:v>
      </x:c>
      <x:c r="G147" s="50" t="n">
        <x:f>IF(C147="","",IFERROR(D147/C147,0))</x:f>
        <x:v>0.4094017094017094</x:v>
      </x:c>
      <x:c r="H147" s="36" t="n">
        <x:v>23</x:v>
      </x:c>
      <x:c r="I147" t="n">
        <x:v>189</x:v>
      </x:c>
      <x:c r="J147" t="n">
        <x:v>254</x:v>
      </x:c>
      <x:c r="K147" t="n">
        <x:v>5</x:v>
      </x:c>
      <x:c r="L147" t="n">
        <x:v>0</x:v>
      </x:c>
      <x:c r="M147" t="n">
        <x:v>1</x:v>
      </x:c>
      <x:c r="N147" t="n">
        <x:v>3</x:v>
      </x:c>
      <x:c r="O147" t="n">
        <x:v>0</x:v>
      </x:c>
      <x:c r="P147" s="50" t="n">
        <x:f>IF(D147=0,"",H147/D147)</x:f>
        <x:v>0.04801670146137787</x:v>
      </x:c>
      <x:c r="Q147" t="n">
        <x:f>MAX(I147:O147)</x:f>
        <x:v>254</x:v>
      </x:c>
      <x:c r="R147" t="n">
        <x:f>H147-Q147</x:f>
        <x:v>-231</x:v>
      </x:c>
      <x:c r="S147" s="52" t="n">
        <x:f>IF(D147=0,"",(R147)/D147)</x:f>
        <x:v>-0.4822546972860125</x:v>
      </x:c>
      <x:c r="T147" t="str">
        <x:v>Vedram Bhati</x:v>
      </x:c>
      <x:c r="U147" t="n">
        <x:f>D147-E147-F147</x:f>
        <x:v>0</x:v>
      </x:c>
    </x:row>
    <x:row r="148">
      <x:c r="A148" t="n">
        <x:v>140</x:v>
      </x:c>
      <x:c r="B148" t="str">
        <x:v>KISAN ADHYATMIK I.C. DANKARU R.NO.2</x:v>
      </x:c>
      <x:c r="C148" t="n">
        <x:v>509</x:v>
      </x:c>
      <x:c r="D148" t="n">
        <x:v>284</x:v>
      </x:c>
      <x:c r="E148" t="n">
        <x:f>SUM(H148:O148)</x:f>
        <x:v>282</x:v>
      </x:c>
      <x:c r="F148" t="n">
        <x:v>2</x:v>
      </x:c>
      <x:c r="G148" s="50" t="n">
        <x:f>IF(C148="","",IFERROR(D148/C148,0))</x:f>
        <x:v>0.5579567779960707</x:v>
      </x:c>
      <x:c r="H148" s="36" t="n">
        <x:v>22</x:v>
      </x:c>
      <x:c r="I148" t="n">
        <x:v>133</x:v>
      </x:c>
      <x:c r="J148" t="n">
        <x:v>122</x:v>
      </x:c>
      <x:c r="K148" t="n">
        <x:v>2</x:v>
      </x:c>
      <x:c r="L148" t="n">
        <x:v>0</x:v>
      </x:c>
      <x:c r="M148" t="n">
        <x:v>1</x:v>
      </x:c>
      <x:c r="N148" t="n">
        <x:v>1</x:v>
      </x:c>
      <x:c r="O148" t="n">
        <x:v>1</x:v>
      </x:c>
      <x:c r="P148" s="50" t="n">
        <x:f>IF(D148=0,"",H148/D148)</x:f>
        <x:v>0.07746478873239436</x:v>
      </x:c>
      <x:c r="Q148" t="n">
        <x:f>MAX(I148:O148)</x:f>
        <x:v>133</x:v>
      </x:c>
      <x:c r="R148" t="n">
        <x:f>H148-Q148</x:f>
        <x:v>-111</x:v>
      </x:c>
      <x:c r="S148" s="52" t="n">
        <x:f>IF(D148=0,"",(R148)/D148)</x:f>
        <x:v>-0.3908450704225352</x:v>
      </x:c>
      <x:c r="T148" t="str">
        <x:v>Dhirendra Singh</x:v>
      </x:c>
      <x:c r="U148" t="n">
        <x:f>D148-E148-F148</x:f>
        <x:v>0</x:v>
      </x:c>
    </x:row>
    <x:row r="149">
      <x:c r="A149" t="n">
        <x:v>141</x:v>
      </x:c>
      <x:c r="B149" t="str">
        <x:v>KISAN ADHYATMIK I.C. DANKARU R.NO. 3</x:v>
      </x:c>
      <x:c r="C149" t="n">
        <x:v>391</x:v>
      </x:c>
      <x:c r="D149" t="n">
        <x:v>223</x:v>
      </x:c>
      <x:c r="E149" t="n">
        <x:f>SUM(H149:O149)</x:f>
        <x:v>223</x:v>
      </x:c>
      <x:c r="F149" t="n">
        <x:v>0</x:v>
      </x:c>
      <x:c r="G149" s="50" t="n">
        <x:f>IF(C149="","",IFERROR(D149/C149,0))</x:f>
        <x:v>0.5703324808184144</x:v>
      </x:c>
      <x:c r="H149" s="36" t="n">
        <x:v>14</x:v>
      </x:c>
      <x:c r="I149" t="n">
        <x:v>52</x:v>
      </x:c>
      <x:c r="J149" t="n">
        <x:v>154</x:v>
      </x:c>
      <x:c r="K149" t="n">
        <x:v>0</x:v>
      </x:c>
      <x:c r="L149" t="n">
        <x:v>2</x:v>
      </x:c>
      <x:c r="M149" t="n">
        <x:v>0</x:v>
      </x:c>
      <x:c r="N149" t="n">
        <x:v>1</x:v>
      </x:c>
      <x:c r="O149" t="n">
        <x:v>0</x:v>
      </x:c>
      <x:c r="P149" s="50" t="n">
        <x:f>IF(D149=0,"",H149/D149)</x:f>
        <x:v>0.06278026905829596</x:v>
      </x:c>
      <x:c r="Q149" t="n">
        <x:f>MAX(I149:O149)</x:f>
        <x:v>154</x:v>
      </x:c>
      <x:c r="R149" t="n">
        <x:f>H149-Q149</x:f>
        <x:v>-140</x:v>
      </x:c>
      <x:c r="S149" s="52" t="n">
        <x:f>IF(D149=0,"",(R149)/D149)</x:f>
        <x:v>-0.6278026905829597</x:v>
      </x:c>
      <x:c r="T149" t="str">
        <x:v>Vedram Bhati</x:v>
      </x:c>
      <x:c r="U149" t="n">
        <x:f>D149-E149-F149</x:f>
        <x:v>0</x:v>
      </x:c>
    </x:row>
    <x:row r="150">
      <x:c r="A150" t="n">
        <x:v>142</x:v>
      </x:c>
      <x:c r="B150" t="str">
        <x:v>PRY. SCHOOL GUNPURA R.NO. 1</x:v>
      </x:c>
      <x:c r="C150" t="n">
        <x:v>413</x:v>
      </x:c>
      <x:c r="D150" t="n">
        <x:v>287</x:v>
      </x:c>
      <x:c r="E150" t="n">
        <x:f>SUM(H150:O150)</x:f>
        <x:v>287</x:v>
      </x:c>
      <x:c r="F150" t="n">
        <x:v>0</x:v>
      </x:c>
      <x:c r="G150" s="50" t="n">
        <x:f>IF(C150="","",IFERROR(D150/C150,0))</x:f>
        <x:v>0.6949152542372882</x:v>
      </x:c>
      <x:c r="H150" s="36" t="n">
        <x:v>23</x:v>
      </x:c>
      <x:c r="I150" t="n">
        <x:v>117</x:v>
      </x:c>
      <x:c r="J150" t="n">
        <x:v>139</x:v>
      </x:c>
      <x:c r="K150" t="n">
        <x:v>1</x:v>
      </x:c>
      <x:c r="L150" t="n">
        <x:v>4</x:v>
      </x:c>
      <x:c r="M150" t="n">
        <x:v>0</x:v>
      </x:c>
      <x:c r="N150" t="n">
        <x:v>3</x:v>
      </x:c>
      <x:c r="O150" t="n">
        <x:v>0</x:v>
      </x:c>
      <x:c r="P150" s="50" t="n">
        <x:f>IF(D150=0,"",H150/D150)</x:f>
        <x:v>0.08013937282229965</x:v>
      </x:c>
      <x:c r="Q150" t="n">
        <x:f>MAX(I150:O150)</x:f>
        <x:v>139</x:v>
      </x:c>
      <x:c r="R150" t="n">
        <x:f>H150-Q150</x:f>
        <x:v>-116</x:v>
      </x:c>
      <x:c r="S150" s="52" t="n">
        <x:f>IF(D150=0,"",(R150)/D150)</x:f>
        <x:v>-0.40418118466898956</x:v>
      </x:c>
      <x:c r="T150" t="str">
        <x:v>Vedram Bhati</x:v>
      </x:c>
      <x:c r="U150" t="n">
        <x:f>D150-E150-F150</x:f>
        <x:v>0</x:v>
      </x:c>
    </x:row>
    <x:row r="151">
      <x:c r="A151" t="n">
        <x:v>143</x:v>
      </x:c>
      <x:c r="B151" t="str">
        <x:v>PRY. SCHOOL ATTA GUJRAN R.NO. 1</x:v>
      </x:c>
      <x:c r="C151" t="n">
        <x:v>1435</x:v>
      </x:c>
      <x:c r="D151" t="n">
        <x:v>936</x:v>
      </x:c>
      <x:c r="E151" t="n">
        <x:f>SUM(H151:O151)</x:f>
        <x:v>931</x:v>
      </x:c>
      <x:c r="F151" t="n">
        <x:v>5</x:v>
      </x:c>
      <x:c r="G151" s="50" t="n">
        <x:f>IF(C151="","",IFERROR(D151/C151,0))</x:f>
        <x:v>0.6522648083623693</x:v>
      </x:c>
      <x:c r="H151" s="36" t="n">
        <x:v>51</x:v>
      </x:c>
      <x:c r="I151" t="n">
        <x:v>360</x:v>
      </x:c>
      <x:c r="J151" t="n">
        <x:v>475</x:v>
      </x:c>
      <x:c r="K151" t="n">
        <x:v>20</x:v>
      </x:c>
      <x:c r="L151" t="n">
        <x:v>10</x:v>
      </x:c>
      <x:c r="M151" t="n">
        <x:v>5</x:v>
      </x:c>
      <x:c r="N151" t="n">
        <x:v>10</x:v>
      </x:c>
      <x:c r="O151" t="n">
        <x:v>0</x:v>
      </x:c>
      <x:c r="P151" s="50" t="n">
        <x:f>IF(D151=0,"",H151/D151)</x:f>
        <x:v>0.05448717948717949</x:v>
      </x:c>
      <x:c r="Q151" t="n">
        <x:f>MAX(I151:O151)</x:f>
        <x:v>475</x:v>
      </x:c>
      <x:c r="R151" t="n">
        <x:f>H151-Q151</x:f>
        <x:v>-424</x:v>
      </x:c>
      <x:c r="S151" s="52" t="n">
        <x:f>IF(D151=0,"",(R151)/D151)</x:f>
        <x:v>-0.452991452991453</x:v>
      </x:c>
      <x:c r="T151" t="str">
        <x:v>Vedram Bhati</x:v>
      </x:c>
      <x:c r="U151" t="n">
        <x:f>D151-E151-F151</x:f>
        <x:v>0</x:v>
      </x:c>
    </x:row>
    <x:row r="152">
      <x:c r="A152" t="n">
        <x:v>144</x:v>
      </x:c>
      <x:c r="B152" t="str">
        <x:v>PRY. SCHOOL ATTA GUJRAN R.NO.2</x:v>
      </x:c>
      <x:c r="C152" t="n">
        <x:v>840</x:v>
      </x:c>
      <x:c r="D152" t="n">
        <x:v>619</x:v>
      </x:c>
      <x:c r="E152" t="n">
        <x:f>SUM(H152:O152)</x:f>
        <x:v>616</x:v>
      </x:c>
      <x:c r="F152" t="n">
        <x:v>3</x:v>
      </x:c>
      <x:c r="G152" s="50" t="n">
        <x:f>IF(C152="","",IFERROR(D152/C152,0))</x:f>
        <x:v>0.736904761904762</x:v>
      </x:c>
      <x:c r="H152" s="36" t="n">
        <x:v>11</x:v>
      </x:c>
      <x:c r="I152" t="n">
        <x:v>48</x:v>
      </x:c>
      <x:c r="J152" t="n">
        <x:v>532</x:v>
      </x:c>
      <x:c r="K152" t="n">
        <x:v>2</x:v>
      </x:c>
      <x:c r="L152" t="n">
        <x:v>9</x:v>
      </x:c>
      <x:c r="M152" t="n">
        <x:v>4</x:v>
      </x:c>
      <x:c r="N152" t="n">
        <x:v>8</x:v>
      </x:c>
      <x:c r="O152" t="n">
        <x:v>2</x:v>
      </x:c>
      <x:c r="P152" s="50" t="n">
        <x:f>IF(D152=0,"",H152/D152)</x:f>
        <x:v>0.017770597738287562</x:v>
      </x:c>
      <x:c r="Q152" t="n">
        <x:f>MAX(I152:O152)</x:f>
        <x:v>532</x:v>
      </x:c>
      <x:c r="R152" t="n">
        <x:f>H152-Q152</x:f>
        <x:v>-521</x:v>
      </x:c>
      <x:c r="S152" s="52" t="n">
        <x:f>IF(D152=0,"",(R152)/D152)</x:f>
        <x:v>-0.8416801292407108</x:v>
      </x:c>
      <x:c r="T152" t="str">
        <x:v>Vedram Bhati</x:v>
      </x:c>
      <x:c r="U152" t="n">
        <x:f>D152-E152-F152</x:f>
        <x:v>0</x:v>
      </x:c>
    </x:row>
    <x:row r="153">
      <x:c r="A153" t="n">
        <x:v>145</x:v>
      </x:c>
      <x:c r="B153" t="str">
        <x:v>PRY. SCHOOL JAGANPUR AFZALPUR R.NO.</x:v>
      </x:c>
      <x:c r="C153" t="n">
        <x:v>775</x:v>
      </x:c>
      <x:c r="D153" t="n">
        <x:v>449</x:v>
      </x:c>
      <x:c r="E153" t="n">
        <x:f>SUM(H153:O153)</x:f>
        <x:v>442</x:v>
      </x:c>
      <x:c r="F153" t="n">
        <x:v>7</x:v>
      </x:c>
      <x:c r="G153" s="50" t="n">
        <x:f>IF(C153="","",IFERROR(D153/C153,0))</x:f>
        <x:v>0.5793548387096774</x:v>
      </x:c>
      <x:c r="H153" s="36" t="n">
        <x:v>33</x:v>
      </x:c>
      <x:c r="I153" t="n">
        <x:v>124</x:v>
      </x:c>
      <x:c r="J153" t="n">
        <x:v>264</x:v>
      </x:c>
      <x:c r="K153" t="n">
        <x:v>8</x:v>
      </x:c>
      <x:c r="L153" t="n">
        <x:v>4</x:v>
      </x:c>
      <x:c r="M153" t="n">
        <x:v>2</x:v>
      </x:c>
      <x:c r="N153" t="n">
        <x:v>4</x:v>
      </x:c>
      <x:c r="O153" t="n">
        <x:v>3</x:v>
      </x:c>
      <x:c r="P153" s="50" t="n">
        <x:f>IF(D153=0,"",H153/D153)</x:f>
        <x:v>0.07349665924276169</x:v>
      </x:c>
      <x:c r="Q153" t="n">
        <x:f>MAX(I153:O153)</x:f>
        <x:v>264</x:v>
      </x:c>
      <x:c r="R153" t="n">
        <x:f>H153-Q153</x:f>
        <x:v>-231</x:v>
      </x:c>
      <x:c r="S153" s="52" t="n">
        <x:f>IF(D153=0,"",(R153)/D153)</x:f>
        <x:v>-0.5144766146993318</x:v>
      </x:c>
      <x:c r="T153" t="str">
        <x:v>Vedram Bhati</x:v>
      </x:c>
      <x:c r="U153" t="n">
        <x:f>D153-E153-F153</x:f>
        <x:v>0</x:v>
      </x:c>
    </x:row>
    <x:row r="154">
      <x:c r="A154" t="n">
        <x:v>146</x:v>
      </x:c>
      <x:c r="B154" t="str">
        <x:v>PRY. SCHOOL ORANGPUR R.NO. 1</x:v>
      </x:c>
      <x:c r="C154" t="n">
        <x:v>929</x:v>
      </x:c>
      <x:c r="D154" t="n">
        <x:v>653</x:v>
      </x:c>
      <x:c r="E154" t="n">
        <x:f>SUM(H154:O154)</x:f>
        <x:v>649</x:v>
      </x:c>
      <x:c r="F154" t="n">
        <x:v>4</x:v>
      </x:c>
      <x:c r="G154" s="50" t="n">
        <x:f>IF(C154="","",IFERROR(D154/C154,0))</x:f>
        <x:v>0.7029063509149623</x:v>
      </x:c>
      <x:c r="H154" s="36" t="n">
        <x:v>45</x:v>
      </x:c>
      <x:c r="I154" t="n">
        <x:v>187</x:v>
      </x:c>
      <x:c r="J154" t="n">
        <x:v>401</x:v>
      </x:c>
      <x:c r="K154" t="n">
        <x:v>6</x:v>
      </x:c>
      <x:c r="L154" t="n">
        <x:v>2</x:v>
      </x:c>
      <x:c r="M154" t="n">
        <x:v>2</x:v>
      </x:c>
      <x:c r="N154" t="n">
        <x:v>6</x:v>
      </x:c>
      <x:c r="O154" t="n">
        <x:v>0</x:v>
      </x:c>
      <x:c r="P154" s="50" t="n">
        <x:f>IF(D154=0,"",H154/D154)</x:f>
        <x:v>0.06891271056661562</x:v>
      </x:c>
      <x:c r="Q154" t="n">
        <x:f>MAX(I154:O154)</x:f>
        <x:v>401</x:v>
      </x:c>
      <x:c r="R154" t="n">
        <x:f>H154-Q154</x:f>
        <x:v>-356</x:v>
      </x:c>
      <x:c r="S154" s="52" t="n">
        <x:f>IF(D154=0,"",(R154)/D154)</x:f>
        <x:v>-0.5451761102603369</x:v>
      </x:c>
      <x:c r="T154" t="str">
        <x:v>Vedram Bhati</x:v>
      </x:c>
      <x:c r="U154" t="n">
        <x:f>D154-E154-F154</x:f>
        <x:v>0</x:v>
      </x:c>
    </x:row>
    <x:row r="155">
      <x:c r="A155" t="n">
        <x:v>147</x:v>
      </x:c>
      <x:c r="B155" t="str">
        <x:v>PRY. SCHOOL FATEHPUR ATTA R.NO. 1</x:v>
      </x:c>
      <x:c r="C155" t="n">
        <x:v>1354</x:v>
      </x:c>
      <x:c r="D155" t="n">
        <x:v>967</x:v>
      </x:c>
      <x:c r="E155" t="n">
        <x:f>SUM(H155:O155)</x:f>
        <x:v>962</x:v>
      </x:c>
      <x:c r="F155" t="n">
        <x:v>5</x:v>
      </x:c>
      <x:c r="G155" s="50" t="n">
        <x:f>IF(C155="","",IFERROR(D155/C155,0))</x:f>
        <x:v>0.7141802067946824</x:v>
      </x:c>
      <x:c r="H155" s="36" t="n">
        <x:v>109</x:v>
      </x:c>
      <x:c r="I155" t="n">
        <x:v>457</x:v>
      </x:c>
      <x:c r="J155" t="n">
        <x:v>366</x:v>
      </x:c>
      <x:c r="K155" t="n">
        <x:v>13</x:v>
      </x:c>
      <x:c r="L155" t="n">
        <x:v>3</x:v>
      </x:c>
      <x:c r="M155" t="n">
        <x:v>4</x:v>
      </x:c>
      <x:c r="N155" t="n">
        <x:v>7</x:v>
      </x:c>
      <x:c r="O155" t="n">
        <x:v>3</x:v>
      </x:c>
      <x:c r="P155" s="50" t="n">
        <x:f>IF(D155=0,"",H155/D155)</x:f>
        <x:v>0.11271975180972078</x:v>
      </x:c>
      <x:c r="Q155" t="n">
        <x:f>MAX(I155:O155)</x:f>
        <x:v>457</x:v>
      </x:c>
      <x:c r="R155" t="n">
        <x:f>H155-Q155</x:f>
        <x:v>-348</x:v>
      </x:c>
      <x:c r="S155" s="52" t="n">
        <x:f>IF(D155=0,"",(R155)/D155)</x:f>
        <x:v>-0.35987590486039295</x:v>
      </x:c>
      <x:c r="T155" t="str">
        <x:v>Dhirendra Singh</x:v>
      </x:c>
      <x:c r="U155" t="n">
        <x:f>D155-E155-F155</x:f>
        <x:v>0</x:v>
      </x:c>
    </x:row>
    <x:row r="156">
      <x:c r="A156" t="n">
        <x:v>148</x:v>
      </x:c>
      <x:c r="B156" t="str">
        <x:v>PRY. SCHOOL FATEHPUR ATTA R.NO. 2</x:v>
      </x:c>
      <x:c r="C156" t="n">
        <x:v>813</x:v>
      </x:c>
      <x:c r="D156" t="n">
        <x:v>501</x:v>
      </x:c>
      <x:c r="E156" t="n">
        <x:f>SUM(H156:O156)</x:f>
        <x:v>496</x:v>
      </x:c>
      <x:c r="F156" t="n">
        <x:v>5</x:v>
      </x:c>
      <x:c r="G156" s="50" t="n">
        <x:f>IF(C156="","",IFERROR(D156/C156,0))</x:f>
        <x:v>0.6162361623616236</x:v>
      </x:c>
      <x:c r="H156" s="36" t="n">
        <x:v>90</x:v>
      </x:c>
      <x:c r="I156" t="n">
        <x:v>121</x:v>
      </x:c>
      <x:c r="J156" t="n">
        <x:v>265</x:v>
      </x:c>
      <x:c r="K156" t="n">
        <x:v>12</x:v>
      </x:c>
      <x:c r="L156" t="n">
        <x:v>2</x:v>
      </x:c>
      <x:c r="M156" t="n">
        <x:v>1</x:v>
      </x:c>
      <x:c r="N156" t="n">
        <x:v>2</x:v>
      </x:c>
      <x:c r="O156" t="n">
        <x:v>3</x:v>
      </x:c>
      <x:c r="P156" s="50" t="n">
        <x:f>IF(D156=0,"",H156/D156)</x:f>
        <x:v>0.17964071856287425</x:v>
      </x:c>
      <x:c r="Q156" t="n">
        <x:f>MAX(I156:O156)</x:f>
        <x:v>265</x:v>
      </x:c>
      <x:c r="R156" t="n">
        <x:f>H156-Q156</x:f>
        <x:v>-175</x:v>
      </x:c>
      <x:c r="S156" s="52" t="n">
        <x:f>IF(D156=0,"",(R156)/D156)</x:f>
        <x:v>-0.34930139720558884</x:v>
      </x:c>
      <x:c r="T156" t="str">
        <x:v>Vedram Bhati</x:v>
      </x:c>
      <x:c r="U156" t="n">
        <x:f>D156-E156-F156</x:f>
        <x:v>0</x:v>
      </x:c>
    </x:row>
    <x:row r="157">
      <x:c r="A157" t="n">
        <x:v>149</x:v>
      </x:c>
      <x:c r="B157" t="str">
        <x:v>PRY. SCHOOL SALARPUR R.NO. 1</x:v>
      </x:c>
      <x:c r="C157" t="n">
        <x:v>1262</x:v>
      </x:c>
      <x:c r="D157" t="n">
        <x:v>970</x:v>
      </x:c>
      <x:c r="E157" t="n">
        <x:f>SUM(H157:O157)</x:f>
        <x:v>968</x:v>
      </x:c>
      <x:c r="F157" t="n">
        <x:v>2</x:v>
      </x:c>
      <x:c r="G157" s="50" t="n">
        <x:f>IF(C157="","",IFERROR(D157/C157,0))</x:f>
        <x:v>0.768621236133122</x:v>
      </x:c>
      <x:c r="H157" s="36" t="n">
        <x:v>23</x:v>
      </x:c>
      <x:c r="I157" t="n">
        <x:v>218</x:v>
      </x:c>
      <x:c r="J157" t="n">
        <x:v>712</x:v>
      </x:c>
      <x:c r="K157" t="n">
        <x:v>3</x:v>
      </x:c>
      <x:c r="L157" t="n">
        <x:v>6</x:v>
      </x:c>
      <x:c r="M157" t="n">
        <x:v>3</x:v>
      </x:c>
      <x:c r="N157" t="n">
        <x:v>2</x:v>
      </x:c>
      <x:c r="O157" t="n">
        <x:v>1</x:v>
      </x:c>
      <x:c r="P157" s="50" t="n">
        <x:f>IF(D157=0,"",H157/D157)</x:f>
        <x:v>0.023711340206185566</x:v>
      </x:c>
      <x:c r="Q157" t="n">
        <x:f>MAX(I157:O157)</x:f>
        <x:v>712</x:v>
      </x:c>
      <x:c r="R157" t="n">
        <x:f>H157-Q157</x:f>
        <x:v>-689</x:v>
      </x:c>
      <x:c r="S157" s="52" t="n">
        <x:f>IF(D157=0,"",(R157)/D157)</x:f>
        <x:v>-0.7103092783505155</x:v>
      </x:c>
      <x:c r="T157" t="str">
        <x:v>Vedram Bhati</x:v>
      </x:c>
      <x:c r="U157" t="n">
        <x:f>D157-E157-F157</x:f>
        <x:v>0</x:v>
      </x:c>
    </x:row>
    <x:row r="158">
      <x:c r="A158" t="n">
        <x:v>150</x:v>
      </x:c>
      <x:c r="B158" t="str">
        <x:v>PRY. SCHOOL MUNJKHERA R.NO. 1</x:v>
      </x:c>
      <x:c r="C158" t="n">
        <x:v>896</x:v>
      </x:c>
      <x:c r="D158" t="n">
        <x:v>634</x:v>
      </x:c>
      <x:c r="E158" t="n">
        <x:f>SUM(H158:O158)</x:f>
        <x:v>630</x:v>
      </x:c>
      <x:c r="F158" t="n">
        <x:v>4</x:v>
      </x:c>
      <x:c r="G158" s="50" t="n">
        <x:f>IF(C158="","",IFERROR(D158/C158,0))</x:f>
        <x:v>0.7075892857142857</x:v>
      </x:c>
      <x:c r="H158" s="36" t="n">
        <x:v>101</x:v>
      </x:c>
      <x:c r="I158" t="n">
        <x:v>238</x:v>
      </x:c>
      <x:c r="J158" t="n">
        <x:v>211</x:v>
      </x:c>
      <x:c r="K158" t="n">
        <x:v>69</x:v>
      </x:c>
      <x:c r="L158" t="n">
        <x:v>2</x:v>
      </x:c>
      <x:c r="M158" t="n">
        <x:v>3</x:v>
      </x:c>
      <x:c r="N158" t="n">
        <x:v>2</x:v>
      </x:c>
      <x:c r="O158" t="n">
        <x:v>4</x:v>
      </x:c>
      <x:c r="P158" s="50" t="n">
        <x:f>IF(D158=0,"",H158/D158)</x:f>
        <x:v>0.15930599369085174</x:v>
      </x:c>
      <x:c r="Q158" t="n">
        <x:f>MAX(I158:O158)</x:f>
        <x:v>238</x:v>
      </x:c>
      <x:c r="R158" t="n">
        <x:f>H158-Q158</x:f>
        <x:v>-137</x:v>
      </x:c>
      <x:c r="S158" s="52" t="n">
        <x:f>IF(D158=0,"",(R158)/D158)</x:f>
        <x:v>-0.21608832807570977</x:v>
      </x:c>
      <x:c r="T158" t="str">
        <x:v>Dhirendra Singh</x:v>
      </x:c>
      <x:c r="U158" t="n">
        <x:f>D158-E158-F158</x:f>
        <x:v>0</x:v>
      </x:c>
    </x:row>
    <x:row r="159">
      <x:c r="A159" t="n">
        <x:v>151</x:v>
      </x:c>
      <x:c r="B159" t="str">
        <x:v>PRY. SCHOOL BALLUKHERA MAZRA MUNJKHERA R.NO. 1</x:v>
      </x:c>
      <x:c r="C159" t="n">
        <x:v>989</x:v>
      </x:c>
      <x:c r="D159" t="n">
        <x:v>758</x:v>
      </x:c>
      <x:c r="E159" t="n">
        <x:f>SUM(H159:O159)</x:f>
        <x:v>757</x:v>
      </x:c>
      <x:c r="F159" t="n">
        <x:v>1</x:v>
      </x:c>
      <x:c r="G159" s="50" t="n">
        <x:f>IF(C159="","",IFERROR(D159/C159,0))</x:f>
        <x:v>0.7664307381193124</x:v>
      </x:c>
      <x:c r="H159" s="36" t="n">
        <x:v>6</x:v>
      </x:c>
      <x:c r="I159" t="n">
        <x:v>10</x:v>
      </x:c>
      <x:c r="J159" t="n">
        <x:v>718</x:v>
      </x:c>
      <x:c r="K159" t="n">
        <x:v>2</x:v>
      </x:c>
      <x:c r="L159" t="n">
        <x:v>5</x:v>
      </x:c>
      <x:c r="M159" t="n">
        <x:v>7</x:v>
      </x:c>
      <x:c r="N159" t="n">
        <x:v>7</x:v>
      </x:c>
      <x:c r="O159" t="n">
        <x:v>2</x:v>
      </x:c>
      <x:c r="P159" s="50" t="n">
        <x:f>IF(D159=0,"",H159/D159)</x:f>
        <x:v>0.0079155672823219</x:v>
      </x:c>
      <x:c r="Q159" t="n">
        <x:f>MAX(I159:O159)</x:f>
        <x:v>718</x:v>
      </x:c>
      <x:c r="R159" t="n">
        <x:f>H159-Q159</x:f>
        <x:v>-712</x:v>
      </x:c>
      <x:c r="S159" s="52" t="n">
        <x:f>IF(D159=0,"",(R159)/D159)</x:f>
        <x:v>-0.9393139841688655</x:v>
      </x:c>
      <x:c r="T159" t="str">
        <x:v>Vedram Bhati</x:v>
      </x:c>
      <x:c r="U159" t="n">
        <x:f>D159-E159-F159</x:f>
        <x:v>0</x:v>
      </x:c>
    </x:row>
    <x:row r="160">
      <x:c r="A160" t="n">
        <x:v>152</x:v>
      </x:c>
      <x:c r="B160" t="str">
        <x:v>PRY. SCHOOL DERIN KHUBAN MAZRA MUNJKHERA R.NO. 1</x:v>
      </x:c>
      <x:c r="C160" t="n">
        <x:v>598</x:v>
      </x:c>
      <x:c r="D160" t="n">
        <x:v>428</x:v>
      </x:c>
      <x:c r="E160" t="n">
        <x:f>SUM(H160:O160)</x:f>
        <x:v>423</x:v>
      </x:c>
      <x:c r="F160" t="n">
        <x:v>5</x:v>
      </x:c>
      <x:c r="G160" s="50" t="n">
        <x:f>IF(C160="","",IFERROR(D160/C160,0))</x:f>
        <x:v>0.7157190635451505</x:v>
      </x:c>
      <x:c r="H160" s="36" t="n">
        <x:v>97</x:v>
      </x:c>
      <x:c r="I160" t="n">
        <x:v>117</x:v>
      </x:c>
      <x:c r="J160" t="n">
        <x:v>183</x:v>
      </x:c>
      <x:c r="K160" t="n">
        <x:v>15</x:v>
      </x:c>
      <x:c r="L160" t="n">
        <x:v>4</x:v>
      </x:c>
      <x:c r="M160" t="n">
        <x:v>5</x:v>
      </x:c>
      <x:c r="N160" t="n">
        <x:v>1</x:v>
      </x:c>
      <x:c r="O160" t="n">
        <x:v>1</x:v>
      </x:c>
      <x:c r="P160" s="50" t="n">
        <x:f>IF(D160=0,"",H160/D160)</x:f>
        <x:v>0.2266355140186916</x:v>
      </x:c>
      <x:c r="Q160" t="n">
        <x:f>MAX(I160:O160)</x:f>
        <x:v>183</x:v>
      </x:c>
      <x:c r="R160" t="n">
        <x:f>H160-Q160</x:f>
        <x:v>-86</x:v>
      </x:c>
      <x:c r="S160" s="52" t="n">
        <x:f>IF(D160=0,"",(R160)/D160)</x:f>
        <x:v>-0.20093457943925233</x:v>
      </x:c>
      <x:c r="T160" t="str">
        <x:v>Vedram Bhati</x:v>
      </x:c>
      <x:c r="U160" t="n">
        <x:f>D160-E160-F160</x:f>
        <x:v>0</x:v>
      </x:c>
    </x:row>
    <x:row r="161">
      <x:c r="A161" t="n">
        <x:v>153</x:v>
      </x:c>
      <x:c r="B161" t="str">
        <x:v>PRY. SCHOOL KHERLI BHAV R.NO. 1</x:v>
      </x:c>
      <x:c r="C161" t="n">
        <x:v>1081</x:v>
      </x:c>
      <x:c r="D161" t="n">
        <x:v>820</x:v>
      </x:c>
      <x:c r="E161" t="n">
        <x:f>SUM(H161:O161)</x:f>
        <x:v>808</x:v>
      </x:c>
      <x:c r="F161" t="n">
        <x:v>12</x:v>
      </x:c>
      <x:c r="G161" s="50" t="n">
        <x:f>IF(C161="","",IFERROR(D161/C161,0))</x:f>
        <x:v>0.7585568917668826</x:v>
      </x:c>
      <x:c r="H161" s="36" t="n">
        <x:v>45</x:v>
      </x:c>
      <x:c r="I161" t="n">
        <x:v>366</x:v>
      </x:c>
      <x:c r="J161" t="n">
        <x:v>354</x:v>
      </x:c>
      <x:c r="K161" t="n">
        <x:v>23</x:v>
      </x:c>
      <x:c r="L161" t="n">
        <x:v>7</x:v>
      </x:c>
      <x:c r="M161" t="n">
        <x:v>4</x:v>
      </x:c>
      <x:c r="N161" t="n">
        <x:v>6</x:v>
      </x:c>
      <x:c r="O161" t="n">
        <x:v>3</x:v>
      </x:c>
      <x:c r="P161" s="50" t="n">
        <x:f>IF(D161=0,"",H161/D161)</x:f>
        <x:v>0.054878048780487805</x:v>
      </x:c>
      <x:c r="Q161" t="n">
        <x:f>MAX(I161:O161)</x:f>
        <x:v>366</x:v>
      </x:c>
      <x:c r="R161" t="n">
        <x:f>H161-Q161</x:f>
        <x:v>-321</x:v>
      </x:c>
      <x:c r="S161" s="52" t="n">
        <x:f>IF(D161=0,"",(R161)/D161)</x:f>
        <x:v>-0.39146341463414636</x:v>
      </x:c>
      <x:c r="T161" t="str">
        <x:v>Dhirendra Singh</x:v>
      </x:c>
      <x:c r="U161" t="n">
        <x:f>D161-E161-F161</x:f>
        <x:v>0</x:v>
      </x:c>
    </x:row>
    <x:row r="162">
      <x:c r="A162" t="n">
        <x:v>154</x:v>
      </x:c>
      <x:c r="B162" t="str">
        <x:v>PRY. SCHOOL KHERLI BHAV R.NO. 2</x:v>
      </x:c>
      <x:c r="C162" t="n">
        <x:v>814</x:v>
      </x:c>
      <x:c r="D162" t="n">
        <x:v>533</x:v>
      </x:c>
      <x:c r="E162" t="n">
        <x:f>SUM(H162:O162)</x:f>
        <x:v>532</x:v>
      </x:c>
      <x:c r="F162" t="n">
        <x:v>1</x:v>
      </x:c>
      <x:c r="G162" s="50" t="n">
        <x:f>IF(C162="","",IFERROR(D162/C162,0))</x:f>
        <x:v>0.6547911547911548</x:v>
      </x:c>
      <x:c r="H162" s="36" t="n">
        <x:v>27</x:v>
      </x:c>
      <x:c r="I162" t="n">
        <x:v>353</x:v>
      </x:c>
      <x:c r="J162" t="n">
        <x:v>134</x:v>
      </x:c>
      <x:c r="K162" t="n">
        <x:v>5</x:v>
      </x:c>
      <x:c r="L162" t="n">
        <x:v>1</x:v>
      </x:c>
      <x:c r="M162" t="n">
        <x:v>4</x:v>
      </x:c>
      <x:c r="N162" t="n">
        <x:v>7</x:v>
      </x:c>
      <x:c r="O162" t="n">
        <x:v>1</x:v>
      </x:c>
      <x:c r="P162" s="50" t="n">
        <x:f>IF(D162=0,"",H162/D162)</x:f>
        <x:v>0.05065666041275797</x:v>
      </x:c>
      <x:c r="Q162" t="n">
        <x:f>MAX(I162:O162)</x:f>
        <x:v>353</x:v>
      </x:c>
      <x:c r="R162" t="n">
        <x:f>H162-Q162</x:f>
        <x:v>-326</x:v>
      </x:c>
      <x:c r="S162" s="52" t="n">
        <x:f>IF(D162=0,"",(R162)/D162)</x:f>
        <x:v>-0.6116322701688556</x:v>
      </x:c>
      <x:c r="T162" t="str">
        <x:v>Dhirendra Singh</x:v>
      </x:c>
      <x:c r="U162" t="n">
        <x:f>D162-E162-F162</x:f>
        <x:v>0</x:v>
      </x:c>
    </x:row>
    <x:row r="163">
      <x:c r="A163" t="n">
        <x:v>155</x:v>
      </x:c>
      <x:c r="B163" t="str">
        <x:v>PRY. SCHOOL LATIFPUR R.NO. 1</x:v>
      </x:c>
      <x:c r="C163" t="n">
        <x:v>959</x:v>
      </x:c>
      <x:c r="D163" t="n">
        <x:v>739</x:v>
      </x:c>
      <x:c r="E163" t="n">
        <x:f>SUM(H163:O163)</x:f>
        <x:v>736</x:v>
      </x:c>
      <x:c r="F163" t="n">
        <x:v>3</x:v>
      </x:c>
      <x:c r="G163" s="50" t="n">
        <x:f>IF(C163="","",IFERROR(D163/C163,0))</x:f>
        <x:v>0.7705943691345151</x:v>
      </x:c>
      <x:c r="H163" s="36" t="n">
        <x:v>30</x:v>
      </x:c>
      <x:c r="I163" t="n">
        <x:v>443</x:v>
      </x:c>
      <x:c r="J163" t="n">
        <x:v>236</x:v>
      </x:c>
      <x:c r="K163" t="n">
        <x:v>20</x:v>
      </x:c>
      <x:c r="L163" t="n">
        <x:v>1</x:v>
      </x:c>
      <x:c r="M163" t="n">
        <x:v>0</x:v>
      </x:c>
      <x:c r="N163" t="n">
        <x:v>5</x:v>
      </x:c>
      <x:c r="O163" t="n">
        <x:v>1</x:v>
      </x:c>
      <x:c r="P163" s="50" t="n">
        <x:f>IF(D163=0,"",H163/D163)</x:f>
        <x:v>0.04059539918809202</x:v>
      </x:c>
      <x:c r="Q163" t="n">
        <x:f>MAX(I163:O163)</x:f>
        <x:v>443</x:v>
      </x:c>
      <x:c r="R163" t="n">
        <x:f>H163-Q163</x:f>
        <x:v>-413</x:v>
      </x:c>
      <x:c r="S163" s="52" t="n">
        <x:f>IF(D163=0,"",(R163)/D163)</x:f>
        <x:v>-0.5588633288227334</x:v>
      </x:c>
      <x:c r="T163" t="str">
        <x:v>Dhirendra Singh</x:v>
      </x:c>
      <x:c r="U163" t="n">
        <x:f>D163-E163-F163</x:f>
        <x:v>0</x:v>
      </x:c>
    </x:row>
    <x:row r="164">
      <x:c r="A164" t="n">
        <x:v>156</x:v>
      </x:c>
      <x:c r="B164" t="str">
        <x:v>PRY. SCHOOL KADALPUR R.NO. 1</x:v>
      </x:c>
      <x:c r="C164" t="n">
        <x:v>889</x:v>
      </x:c>
      <x:c r="D164" t="n">
        <x:v>700</x:v>
      </x:c>
      <x:c r="E164" t="n">
        <x:f>SUM(H164:O164)</x:f>
        <x:v>695</x:v>
      </x:c>
      <x:c r="F164" t="n">
        <x:v>5</x:v>
      </x:c>
      <x:c r="G164" s="50" t="n">
        <x:f>IF(C164="","",IFERROR(D164/C164,0))</x:f>
        <x:v>0.7874015748031497</x:v>
      </x:c>
      <x:c r="H164" s="36" t="n">
        <x:v>185</x:v>
      </x:c>
      <x:c r="I164" t="n">
        <x:v>255</x:v>
      </x:c>
      <x:c r="J164" t="n">
        <x:v>228</x:v>
      </x:c>
      <x:c r="K164" t="n">
        <x:v>9</x:v>
      </x:c>
      <x:c r="L164" t="n">
        <x:v>4</x:v>
      </x:c>
      <x:c r="M164" t="n">
        <x:v>4</x:v>
      </x:c>
      <x:c r="N164" t="n">
        <x:v>6</x:v>
      </x:c>
      <x:c r="O164" t="n">
        <x:v>4</x:v>
      </x:c>
      <x:c r="P164" s="50" t="n">
        <x:f>IF(D164=0,"",H164/D164)</x:f>
        <x:v>0.2642857142857143</x:v>
      </x:c>
      <x:c r="Q164" t="n">
        <x:f>MAX(I164:O164)</x:f>
        <x:v>255</x:v>
      </x:c>
      <x:c r="R164" t="n">
        <x:f>H164-Q164</x:f>
        <x:v>-70</x:v>
      </x:c>
      <x:c r="S164" s="52" t="n">
        <x:f>IF(D164=0,"",(R164)/D164)</x:f>
        <x:v>-0.1</x:v>
      </x:c>
      <x:c r="T164" t="str">
        <x:v>Dhirendra Singh</x:v>
      </x:c>
      <x:c r="U164" t="n">
        <x:f>D164-E164-F164</x:f>
        <x:v>0</x:v>
      </x:c>
    </x:row>
    <x:row r="165">
      <x:c r="A165" t="n">
        <x:v>157</x:v>
      </x:c>
      <x:c r="B165" t="str">
        <x:v>PRY. SCHOOL KADALPUR R.NO. 2</x:v>
      </x:c>
      <x:c r="C165" t="n">
        <x:v>802</x:v>
      </x:c>
      <x:c r="D165" t="n">
        <x:v>556</x:v>
      </x:c>
      <x:c r="E165" t="n">
        <x:f>SUM(H165:O165)</x:f>
        <x:v>554</x:v>
      </x:c>
      <x:c r="F165" t="n">
        <x:v>2</x:v>
      </x:c>
      <x:c r="G165" s="50" t="n">
        <x:f>IF(C165="","",IFERROR(D165/C165,0))</x:f>
        <x:v>0.6932668329177057</x:v>
      </x:c>
      <x:c r="H165" s="36" t="n">
        <x:v>142</x:v>
      </x:c>
      <x:c r="I165" t="n">
        <x:v>193</x:v>
      </x:c>
      <x:c r="J165" t="n">
        <x:v>204</x:v>
      </x:c>
      <x:c r="K165" t="n">
        <x:v>6</x:v>
      </x:c>
      <x:c r="L165" t="n">
        <x:v>3</x:v>
      </x:c>
      <x:c r="M165" t="n">
        <x:v>1</x:v>
      </x:c>
      <x:c r="N165" t="n">
        <x:v>4</x:v>
      </x:c>
      <x:c r="O165" t="n">
        <x:v>1</x:v>
      </x:c>
      <x:c r="P165" s="50" t="n">
        <x:f>IF(D165=0,"",H165/D165)</x:f>
        <x:v>0.25539568345323743</x:v>
      </x:c>
      <x:c r="Q165" t="n">
        <x:f>MAX(I165:O165)</x:f>
        <x:v>204</x:v>
      </x:c>
      <x:c r="R165" t="n">
        <x:f>H165-Q165</x:f>
        <x:v>-62</x:v>
      </x:c>
      <x:c r="S165" s="52" t="n">
        <x:f>IF(D165=0,"",(R165)/D165)</x:f>
        <x:v>-0.11151079136690648</x:v>
      </x:c>
      <x:c r="T165" t="str">
        <x:v>Vedram Bhati</x:v>
      </x:c>
      <x:c r="U165" t="n">
        <x:f>D165-E165-F165</x:f>
        <x:v>0</x:v>
      </x:c>
    </x:row>
    <x:row r="166">
      <x:c r="A166" t="n">
        <x:v>158</x:v>
      </x:c>
      <x:c r="B166" t="str">
        <x:v>PRY. SCHOOL MAKANPUR BANGAR R.NO. 1</x:v>
      </x:c>
      <x:c r="C166" t="n">
        <x:v>1006</x:v>
      </x:c>
      <x:c r="D166" t="n">
        <x:v>712</x:v>
      </x:c>
      <x:c r="E166" t="n">
        <x:f>SUM(H166:O166)</x:f>
        <x:v>696</x:v>
      </x:c>
      <x:c r="F166" t="n">
        <x:v>16</x:v>
      </x:c>
      <x:c r="G166" s="50" t="n">
        <x:f>IF(C166="","",IFERROR(D166/C166,0))</x:f>
        <x:v>0.7077534791252486</x:v>
      </x:c>
      <x:c r="H166" s="36" t="n">
        <x:v>6</x:v>
      </x:c>
      <x:c r="I166" t="n">
        <x:v>405</x:v>
      </x:c>
      <x:c r="J166" t="n">
        <x:v>249</x:v>
      </x:c>
      <x:c r="K166" t="n">
        <x:v>10</x:v>
      </x:c>
      <x:c r="L166" t="n">
        <x:v>7</x:v>
      </x:c>
      <x:c r="M166" t="n">
        <x:v>4</x:v>
      </x:c>
      <x:c r="N166" t="n">
        <x:v>7</x:v>
      </x:c>
      <x:c r="O166" t="n">
        <x:v>8</x:v>
      </x:c>
      <x:c r="P166" s="50" t="n">
        <x:f>IF(D166=0,"",H166/D166)</x:f>
        <x:v>0.008426966292134831</x:v>
      </x:c>
      <x:c r="Q166" t="n">
        <x:f>MAX(I166:O166)</x:f>
        <x:v>405</x:v>
      </x:c>
      <x:c r="R166" t="n">
        <x:f>H166-Q166</x:f>
        <x:v>-399</x:v>
      </x:c>
      <x:c r="S166" s="52" t="n">
        <x:f>IF(D166=0,"",(R166)/D166)</x:f>
        <x:v>-0.5603932584269663</x:v>
      </x:c>
      <x:c r="T166" t="str">
        <x:v>Dhirendra Singh</x:v>
      </x:c>
      <x:c r="U166" t="n">
        <x:f>D166-E166-F166</x:f>
        <x:v>0</x:v>
      </x:c>
    </x:row>
    <x:row r="167">
      <x:c r="A167" t="n">
        <x:v>159</x:v>
      </x:c>
      <x:c r="B167" t="str">
        <x:v>PRY. SCHOOL MAKANUR KHADAR R.NO. 1</x:v>
      </x:c>
      <x:c r="C167" t="n">
        <x:v>1062</x:v>
      </x:c>
      <x:c r="D167" t="n">
        <x:v>811</x:v>
      </x:c>
      <x:c r="E167" t="n">
        <x:f>SUM(H167:O167)</x:f>
        <x:v>810</x:v>
      </x:c>
      <x:c r="F167" t="n">
        <x:v>1</x:v>
      </x:c>
      <x:c r="G167" s="50" t="n">
        <x:f>IF(C167="","",IFERROR(D167/C167,0))</x:f>
        <x:v>0.763653483992467</x:v>
      </x:c>
      <x:c r="H167" s="36" t="n">
        <x:v>5</x:v>
      </x:c>
      <x:c r="I167" t="n">
        <x:v>655</x:v>
      </x:c>
      <x:c r="J167" t="n">
        <x:v>121</x:v>
      </x:c>
      <x:c r="K167" t="n">
        <x:v>26</x:v>
      </x:c>
      <x:c r="L167" t="n">
        <x:v>0</x:v>
      </x:c>
      <x:c r="M167" t="n">
        <x:v>1</x:v>
      </x:c>
      <x:c r="N167" t="n">
        <x:v>1</x:v>
      </x:c>
      <x:c r="O167" t="n">
        <x:v>1</x:v>
      </x:c>
      <x:c r="P167" s="50" t="n">
        <x:f>IF(D167=0,"",H167/D167)</x:f>
        <x:v>0.006165228113440197</x:v>
      </x:c>
      <x:c r="Q167" t="n">
        <x:f>MAX(I167:O167)</x:f>
        <x:v>655</x:v>
      </x:c>
      <x:c r="R167" t="n">
        <x:f>H167-Q167</x:f>
        <x:v>-650</x:v>
      </x:c>
      <x:c r="S167" s="52" t="n">
        <x:f>IF(D167=0,"",(R167)/D167)</x:f>
        <x:v>-0.8014796547472256</x:v>
      </x:c>
      <x:c r="T167" t="str">
        <x:v>Dhirendra Singh</x:v>
      </x:c>
      <x:c r="U167" t="n">
        <x:f>D167-E167-F167</x:f>
        <x:v>0</x:v>
      </x:c>
    </x:row>
    <x:row r="168">
      <x:c r="A168" t="n">
        <x:v>160</x:v>
      </x:c>
      <x:c r="B168" t="str">
        <x:v>PRY. SCHOOL RAMPUR KHADAR R.NO. 1</x:v>
      </x:c>
      <x:c r="C168" t="n">
        <x:v>742</x:v>
      </x:c>
      <x:c r="D168" t="n">
        <x:v>597</x:v>
      </x:c>
      <x:c r="E168" t="n">
        <x:f>SUM(H168:O168)</x:f>
        <x:v>597</x:v>
      </x:c>
      <x:c r="F168" t="n">
        <x:v>0</x:v>
      </x:c>
      <x:c r="G168" s="50" t="n">
        <x:f>IF(C168="","",IFERROR(D168/C168,0))</x:f>
        <x:v>0.8045822102425876</x:v>
      </x:c>
      <x:c r="H168" s="36" t="n">
        <x:v>2</x:v>
      </x:c>
      <x:c r="I168" t="n">
        <x:v>583</x:v>
      </x:c>
      <x:c r="J168" t="n">
        <x:v>10</x:v>
      </x:c>
      <x:c r="K168" t="n">
        <x:v>2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s="50" t="n">
        <x:f>IF(D168=0,"",H168/D168)</x:f>
        <x:v>0.0033500837520938024</x:v>
      </x:c>
      <x:c r="Q168" t="n">
        <x:f>MAX(I168:O168)</x:f>
        <x:v>583</x:v>
      </x:c>
      <x:c r="R168" t="n">
        <x:f>H168-Q168</x:f>
        <x:v>-581</x:v>
      </x:c>
      <x:c r="S168" s="52" t="n">
        <x:f>IF(D168=0,"",(R168)/D168)</x:f>
        <x:v>-0.9731993299832495</x:v>
      </x:c>
      <x:c r="T168" t="str">
        <x:v>Dhirendra Singh</x:v>
      </x:c>
      <x:c r="U168" t="n">
        <x:f>D168-E168-F168</x:f>
        <x:v>0</x:v>
      </x:c>
    </x:row>
    <x:row r="169">
      <x:c r="A169" t="n">
        <x:v>161</x:v>
      </x:c>
      <x:c r="B169" t="str">
        <x:v>PRY. SCHOOL MOHAMMADABAD KHERA R.NO. 1</x:v>
      </x:c>
      <x:c r="C169" t="n">
        <x:v>1224</x:v>
      </x:c>
      <x:c r="D169" t="n">
        <x:v>830</x:v>
      </x:c>
      <x:c r="E169" t="n">
        <x:f>SUM(H169:O169)</x:f>
        <x:v>817</x:v>
      </x:c>
      <x:c r="F169" t="n">
        <x:v>13</x:v>
      </x:c>
      <x:c r="G169" s="50" t="n">
        <x:f>IF(C169="","",IFERROR(D169/C169,0))</x:f>
        <x:v>0.6781045751633987</x:v>
      </x:c>
      <x:c r="H169" s="36" t="n">
        <x:v>11</x:v>
      </x:c>
      <x:c r="I169" t="n">
        <x:v>674</x:v>
      </x:c>
      <x:c r="J169" t="n">
        <x:v>35</x:v>
      </x:c>
      <x:c r="K169" t="n">
        <x:v>83</x:v>
      </x:c>
      <x:c r="L169" t="n">
        <x:v>0</x:v>
      </x:c>
      <x:c r="M169" t="n">
        <x:v>2</x:v>
      </x:c>
      <x:c r="N169" t="n">
        <x:v>4</x:v>
      </x:c>
      <x:c r="O169" t="n">
        <x:v>8</x:v>
      </x:c>
      <x:c r="P169" s="50" t="n">
        <x:f>IF(D169=0,"",H169/D169)</x:f>
        <x:v>0.01325301204819277</x:v>
      </x:c>
      <x:c r="Q169" t="n">
        <x:f>MAX(I169:O169)</x:f>
        <x:v>674</x:v>
      </x:c>
      <x:c r="R169" t="n">
        <x:f>H169-Q169</x:f>
        <x:v>-663</x:v>
      </x:c>
      <x:c r="S169" s="52" t="n">
        <x:f>IF(D169=0,"",(R169)/D169)</x:f>
        <x:v>-0.7987951807228916</x:v>
      </x:c>
      <x:c r="T169" t="str">
        <x:v>Dhirendra Singh</x:v>
      </x:c>
      <x:c r="U169" t="n">
        <x:f>D169-E169-F169</x:f>
        <x:v>0</x:v>
      </x:c>
    </x:row>
    <x:row r="170">
      <x:c r="A170" t="n">
        <x:v>162</x:v>
      </x:c>
      <x:c r="B170" t="str">
        <x:v>PRY. SCHOOL MOHAMMADABAD KHERA R.NO. 2</x:v>
      </x:c>
      <x:c r="C170" t="n">
        <x:v>584</x:v>
      </x:c>
      <x:c r="D170" t="n">
        <x:v>442</x:v>
      </x:c>
      <x:c r="E170" t="n">
        <x:f>SUM(H170:O170)</x:f>
        <x:v>438</x:v>
      </x:c>
      <x:c r="F170" t="n">
        <x:v>4</x:v>
      </x:c>
      <x:c r="G170" s="50" t="n">
        <x:f>IF(C170="","",IFERROR(D170/C170,0))</x:f>
        <x:v>0.7568493150684932</x:v>
      </x:c>
      <x:c r="H170" s="36" t="n">
        <x:v>5</x:v>
      </x:c>
      <x:c r="I170" t="n">
        <x:v>326</x:v>
      </x:c>
      <x:c r="J170" t="n">
        <x:v>73</x:v>
      </x:c>
      <x:c r="K170" t="n">
        <x:v>26</x:v>
      </x:c>
      <x:c r="L170" t="n">
        <x:v>2</x:v>
      </x:c>
      <x:c r="M170" t="n">
        <x:v>0</x:v>
      </x:c>
      <x:c r="N170" t="n">
        <x:v>3</x:v>
      </x:c>
      <x:c r="O170" t="n">
        <x:v>3</x:v>
      </x:c>
      <x:c r="P170" s="50" t="n">
        <x:f>IF(D170=0,"",H170/D170)</x:f>
        <x:v>0.011312217194570135</x:v>
      </x:c>
      <x:c r="Q170" t="n">
        <x:f>MAX(I170:O170)</x:f>
        <x:v>326</x:v>
      </x:c>
      <x:c r="R170" t="n">
        <x:f>H170-Q170</x:f>
        <x:v>-321</x:v>
      </x:c>
      <x:c r="S170" s="52" t="n">
        <x:f>IF(D170=0,"",(R170)/D170)</x:f>
        <x:v>-0.7262443438914027</x:v>
      </x:c>
      <x:c r="T170" t="str">
        <x:v>Dhirendra Singh</x:v>
      </x:c>
      <x:c r="U170" t="n">
        <x:f>D170-E170-F170</x:f>
        <x:v>0</x:v>
      </x:c>
    </x:row>
    <x:row r="171">
      <x:c r="A171" t="n">
        <x:v>163</x:v>
      </x:c>
      <x:c r="B171" t="str">
        <x:v>PRY. SCHOOL TAQIPUR BANGAR R.NO. 1</x:v>
      </x:c>
      <x:c r="C171" t="n">
        <x:v>296</x:v>
      </x:c>
      <x:c r="D171" t="n">
        <x:v>232</x:v>
      </x:c>
      <x:c r="E171" t="n">
        <x:f>SUM(H171:O171)</x:f>
        <x:v>228</x:v>
      </x:c>
      <x:c r="F171" t="n">
        <x:v>4</x:v>
      </x:c>
      <x:c r="G171" s="50" t="n">
        <x:f>IF(C171="","",IFERROR(D171/C171,0))</x:f>
        <x:v>0.7837837837837838</x:v>
      </x:c>
      <x:c r="H171" s="36" t="n">
        <x:v>0</x:v>
      </x:c>
      <x:c r="I171" t="n">
        <x:v>200</x:v>
      </x:c>
      <x:c r="J171" t="n">
        <x:v>9</x:v>
      </x:c>
      <x:c r="K171" t="n">
        <x:v>13</x:v>
      </x:c>
      <x:c r="L171" t="n">
        <x:v>0</x:v>
      </x:c>
      <x:c r="M171" t="n">
        <x:v>1</x:v>
      </x:c>
      <x:c r="N171" t="n">
        <x:v>2</x:v>
      </x:c>
      <x:c r="O171" t="n">
        <x:v>3</x:v>
      </x:c>
      <x:c r="P171" s="50" t="n">
        <x:f>IF(D171=0,"",H171/D171)</x:f>
        <x:v>0</x:v>
      </x:c>
      <x:c r="Q171" t="n">
        <x:f>MAX(I171:O171)</x:f>
        <x:v>200</x:v>
      </x:c>
      <x:c r="R171" t="n">
        <x:f>H171-Q171</x:f>
        <x:v>-200</x:v>
      </x:c>
      <x:c r="S171" s="52" t="n">
        <x:f>IF(D171=0,"",(R171)/D171)</x:f>
        <x:v>-0.8620689655172413</x:v>
      </x:c>
      <x:c r="T171" t="str">
        <x:v>Dhirendra Singh</x:v>
      </x:c>
      <x:c r="U171" t="n">
        <x:f>D171-E171-F171</x:f>
        <x:v>0</x:v>
      </x:c>
    </x:row>
    <x:row r="172">
      <x:c r="A172" t="n">
        <x:v>164</x:v>
      </x:c>
      <x:c r="B172" t="str">
        <x:v>PRY. SCHOOL ANWARGARH BANGAR R.NO. 1</x:v>
      </x:c>
      <x:c r="C172" t="n">
        <x:v>830</x:v>
      </x:c>
      <x:c r="D172" t="n">
        <x:v>640</x:v>
      </x:c>
      <x:c r="E172" t="n">
        <x:f>SUM(H172:O172)</x:f>
        <x:v>640</x:v>
      </x:c>
      <x:c r="F172" t="n">
        <x:v>0</x:v>
      </x:c>
      <x:c r="G172" s="50" t="n">
        <x:f>IF(C172="","",IFERROR(D172/C172,0))</x:f>
        <x:v>0.7710843373493976</x:v>
      </x:c>
      <x:c r="H172" s="36" t="n">
        <x:v>52</x:v>
      </x:c>
      <x:c r="I172" t="n">
        <x:v>448</x:v>
      </x:c>
      <x:c r="J172" t="n">
        <x:v>123</x:v>
      </x:c>
      <x:c r="K172" t="n">
        <x:v>6</x:v>
      </x:c>
      <x:c r="L172" t="n">
        <x:v>1</x:v>
      </x:c>
      <x:c r="M172" t="n">
        <x:v>1</x:v>
      </x:c>
      <x:c r="N172" t="n">
        <x:v>8</x:v>
      </x:c>
      <x:c r="O172" t="n">
        <x:v>1</x:v>
      </x:c>
      <x:c r="P172" s="50" t="n">
        <x:f>IF(D172=0,"",H172/D172)</x:f>
        <x:v>0.08125</x:v>
      </x:c>
      <x:c r="Q172" t="n">
        <x:f>MAX(I172:O172)</x:f>
        <x:v>448</x:v>
      </x:c>
      <x:c r="R172" t="n">
        <x:f>H172-Q172</x:f>
        <x:v>-396</x:v>
      </x:c>
      <x:c r="S172" s="52" t="n">
        <x:f>IF(D172=0,"",(R172)/D172)</x:f>
        <x:v>-0.61875</x:v>
      </x:c>
      <x:c r="T172" t="str">
        <x:v>Dhirendra Singh</x:v>
      </x:c>
      <x:c r="U172" t="n">
        <x:f>D172-E172-F172</x:f>
        <x:v>0</x:v>
      </x:c>
    </x:row>
    <x:row r="173">
      <x:c r="A173" t="n">
        <x:v>165</x:v>
      </x:c>
      <x:c r="B173" t="str">
        <x:v>J. H. SCHOOL RAUNIJA R.NO. 1</x:v>
      </x:c>
      <x:c r="C173" t="n">
        <x:v>977</x:v>
      </x:c>
      <x:c r="D173" t="n">
        <x:v>767</x:v>
      </x:c>
      <x:c r="E173" t="n">
        <x:f>SUM(H173:O173)</x:f>
        <x:v>766</x:v>
      </x:c>
      <x:c r="F173" t="n">
        <x:v>1</x:v>
      </x:c>
      <x:c r="G173" s="50" t="n">
        <x:f>IF(C173="","",IFERROR(D173/C173,0))</x:f>
        <x:v>0.7850562947799385</x:v>
      </x:c>
      <x:c r="H173" s="36" t="n">
        <x:v>12</x:v>
      </x:c>
      <x:c r="I173" t="n">
        <x:v>726</x:v>
      </x:c>
      <x:c r="J173" t="n">
        <x:v>18</x:v>
      </x:c>
      <x:c r="K173" t="n">
        <x:v>6</x:v>
      </x:c>
      <x:c r="L173" t="n">
        <x:v>1</x:v>
      </x:c>
      <x:c r="M173" t="n">
        <x:v>0</x:v>
      </x:c>
      <x:c r="N173" t="n">
        <x:v>0</x:v>
      </x:c>
      <x:c r="O173" t="n">
        <x:v>3</x:v>
      </x:c>
      <x:c r="P173" s="50" t="n">
        <x:f>IF(D173=0,"",H173/D173)</x:f>
        <x:v>0.01564537157757497</x:v>
      </x:c>
      <x:c r="Q173" t="n">
        <x:f>MAX(I173:O173)</x:f>
        <x:v>726</x:v>
      </x:c>
      <x:c r="R173" t="n">
        <x:f>H173-Q173</x:f>
        <x:v>-714</x:v>
      </x:c>
      <x:c r="S173" s="52" t="n">
        <x:f>IF(D173=0,"",(R173)/D173)</x:f>
        <x:v>-0.9308996088657105</x:v>
      </x:c>
      <x:c r="T173" t="str">
        <x:v>Dhirendra Singh</x:v>
      </x:c>
      <x:c r="U173" t="n">
        <x:f>D173-E173-F173</x:f>
        <x:v>0</x:v>
      </x:c>
    </x:row>
    <x:row r="174">
      <x:c r="A174" t="n">
        <x:v>166</x:v>
      </x:c>
      <x:c r="B174" t="str">
        <x:v>J. H. SCHOOL RAUNIJA R.NO. 2</x:v>
      </x:c>
      <x:c r="C174" t="n">
        <x:v>815</x:v>
      </x:c>
      <x:c r="D174" t="n">
        <x:v>572</x:v>
      </x:c>
      <x:c r="E174" t="n">
        <x:f>SUM(H174:O174)</x:f>
        <x:v>571</x:v>
      </x:c>
      <x:c r="F174" t="n">
        <x:v>1</x:v>
      </x:c>
      <x:c r="G174" s="50" t="n">
        <x:f>IF(C174="","",IFERROR(D174/C174,0))</x:f>
        <x:v>0.701840490797546</x:v>
      </x:c>
      <x:c r="H174" s="36" t="n">
        <x:v>16</x:v>
      </x:c>
      <x:c r="I174" t="n">
        <x:v>522</x:v>
      </x:c>
      <x:c r="J174" t="n">
        <x:v>20</x:v>
      </x:c>
      <x:c r="K174" t="n">
        <x:v>8</x:v>
      </x:c>
      <x:c r="L174" t="n">
        <x:v>1</x:v>
      </x:c>
      <x:c r="M174" t="n">
        <x:v>0</x:v>
      </x:c>
      <x:c r="N174" t="n">
        <x:v>3</x:v>
      </x:c>
      <x:c r="O174" t="n">
        <x:v>1</x:v>
      </x:c>
      <x:c r="P174" s="50" t="n">
        <x:f>IF(D174=0,"",H174/D174)</x:f>
        <x:v>0.027972027972027972</x:v>
      </x:c>
      <x:c r="Q174" t="n">
        <x:f>MAX(I174:O174)</x:f>
        <x:v>522</x:v>
      </x:c>
      <x:c r="R174" t="n">
        <x:f>H174-Q174</x:f>
        <x:v>-506</x:v>
      </x:c>
      <x:c r="S174" s="52" t="n">
        <x:f>IF(D174=0,"",(R174)/D174)</x:f>
        <x:v>-0.8846153846153846</x:v>
      </x:c>
      <x:c r="T174" t="str">
        <x:v>Dhirendra Singh</x:v>
      </x:c>
      <x:c r="U174" t="n">
        <x:f>D174-E174-F174</x:f>
        <x:v>0</x:v>
      </x:c>
    </x:row>
    <x:row r="175">
      <x:c r="A175" t="n">
        <x:v>167</x:v>
      </x:c>
      <x:c r="B175" t="str">
        <x:v>J. H. SCHOOL RAUNIJA R.NO. 3</x:v>
      </x:c>
      <x:c r="C175" t="n">
        <x:v>972</x:v>
      </x:c>
      <x:c r="D175" t="n">
        <x:v>692</x:v>
      </x:c>
      <x:c r="E175" t="n">
        <x:f>SUM(H175:O175)</x:f>
        <x:v>689</x:v>
      </x:c>
      <x:c r="F175" t="n">
        <x:v>3</x:v>
      </x:c>
      <x:c r="G175" s="50" t="n">
        <x:f>IF(C175="","",IFERROR(D175/C175,0))</x:f>
        <x:v>0.7119341563786008</x:v>
      </x:c>
      <x:c r="H175" s="36" t="n">
        <x:v>5</x:v>
      </x:c>
      <x:c r="I175" t="n">
        <x:v>341</x:v>
      </x:c>
      <x:c r="J175" t="n">
        <x:v>329</x:v>
      </x:c>
      <x:c r="K175" t="n">
        <x:v>0</x:v>
      </x:c>
      <x:c r="L175" t="n">
        <x:v>3</x:v>
      </x:c>
      <x:c r="M175" t="n">
        <x:v>3</x:v>
      </x:c>
      <x:c r="N175" t="n">
        <x:v>1</x:v>
      </x:c>
      <x:c r="O175" t="n">
        <x:v>7</x:v>
      </x:c>
      <x:c r="P175" s="50" t="n">
        <x:f>IF(D175=0,"",H175/D175)</x:f>
        <x:v>0.0072254335260115606</x:v>
      </x:c>
      <x:c r="Q175" t="n">
        <x:f>MAX(I175:O175)</x:f>
        <x:v>341</x:v>
      </x:c>
      <x:c r="R175" t="n">
        <x:f>H175-Q175</x:f>
        <x:v>-336</x:v>
      </x:c>
      <x:c r="S175" s="52" t="n">
        <x:f>IF(D175=0,"",(R175)/D175)</x:f>
        <x:v>-0.48554913294797686</x:v>
      </x:c>
      <x:c r="T175" t="str">
        <x:v>Dhirendra Singh</x:v>
      </x:c>
      <x:c r="U175" t="n">
        <x:f>D175-E175-F175</x:f>
        <x:v>0</x:v>
      </x:c>
    </x:row>
    <x:row r="176">
      <x:c r="A176" t="n">
        <x:v>168</x:v>
      </x:c>
      <x:c r="B176" t="str">
        <x:v>PRY. SCHOOL RUSTAMPUR R.NO. 1</x:v>
      </x:c>
      <x:c r="C176" t="n">
        <x:v>1040</x:v>
      </x:c>
      <x:c r="D176" t="n">
        <x:v>914</x:v>
      </x:c>
      <x:c r="E176" t="n">
        <x:f>SUM(H176:O176)</x:f>
        <x:v>909</x:v>
      </x:c>
      <x:c r="F176" t="n">
        <x:v>5</x:v>
      </x:c>
      <x:c r="G176" s="50" t="n">
        <x:f>IF(C176="","",IFERROR(D176/C176,0))</x:f>
        <x:v>0.8788461538461538</x:v>
      </x:c>
      <x:c r="H176" s="36" t="n">
        <x:v>1</x:v>
      </x:c>
      <x:c r="I176" t="n">
        <x:v>739</x:v>
      </x:c>
      <x:c r="J176" t="n">
        <x:v>131</x:v>
      </x:c>
      <x:c r="K176" t="n">
        <x:v>33</x:v>
      </x:c>
      <x:c r="L176" t="n">
        <x:v>2</x:v>
      </x:c>
      <x:c r="M176" t="n">
        <x:v>0</x:v>
      </x:c>
      <x:c r="N176" t="n">
        <x:v>2</x:v>
      </x:c>
      <x:c r="O176" t="n">
        <x:v>1</x:v>
      </x:c>
      <x:c r="P176" s="50" t="n">
        <x:f>IF(D176=0,"",H176/D176)</x:f>
        <x:v>0.0010940919037199124</x:v>
      </x:c>
      <x:c r="Q176" t="n">
        <x:f>MAX(I176:O176)</x:f>
        <x:v>739</x:v>
      </x:c>
      <x:c r="R176" t="n">
        <x:f>H176-Q176</x:f>
        <x:v>-738</x:v>
      </x:c>
      <x:c r="S176" s="52" t="n">
        <x:f>IF(D176=0,"",(R176)/D176)</x:f>
        <x:v>-0.8074398249452954</x:v>
      </x:c>
      <x:c r="T176" t="str">
        <x:v>Dhirendra Singh</x:v>
      </x:c>
      <x:c r="U176" t="n">
        <x:f>D176-E176-F176</x:f>
        <x:v>0</x:v>
      </x:c>
    </x:row>
    <x:row r="177">
      <x:c r="A177" t="n">
        <x:v>169</x:v>
      </x:c>
      <x:c r="B177" t="str">
        <x:v>PRY. SCHOOL CHAKJALALABAD R.NO. 1</x:v>
      </x:c>
      <x:c r="C177" t="n">
        <x:v>338</x:v>
      </x:c>
      <x:c r="D177" t="n">
        <x:v>275</x:v>
      </x:c>
      <x:c r="E177" t="n">
        <x:f>SUM(H177:O177)</x:f>
        <x:v>274</x:v>
      </x:c>
      <x:c r="F177" t="n">
        <x:v>1</x:v>
      </x:c>
      <x:c r="G177" s="50" t="n">
        <x:f>IF(C177="","",IFERROR(D177/C177,0))</x:f>
        <x:v>0.8136094674556213</x:v>
      </x:c>
      <x:c r="H177" s="36" t="n">
        <x:v>2</x:v>
      </x:c>
      <x:c r="I177" t="n">
        <x:v>10</x:v>
      </x:c>
      <x:c r="J177" t="n">
        <x:v>250</x:v>
      </x:c>
      <x:c r="K177" t="n">
        <x:v>8</x:v>
      </x:c>
      <x:c r="L177" t="n">
        <x:v>0</x:v>
      </x:c>
      <x:c r="M177" t="n">
        <x:v>3</x:v>
      </x:c>
      <x:c r="N177" t="n">
        <x:v>0</x:v>
      </x:c>
      <x:c r="O177" t="n">
        <x:v>1</x:v>
      </x:c>
      <x:c r="P177" s="50" t="n">
        <x:f>IF(D177=0,"",H177/D177)</x:f>
        <x:v>0.007272727272727273</x:v>
      </x:c>
      <x:c r="Q177" t="n">
        <x:f>MAX(I177:O177)</x:f>
        <x:v>250</x:v>
      </x:c>
      <x:c r="R177" t="n">
        <x:f>H177-Q177</x:f>
        <x:v>-248</x:v>
      </x:c>
      <x:c r="S177" s="52" t="n">
        <x:f>IF(D177=0,"",(R177)/D177)</x:f>
        <x:v>-0.9018181818181819</x:v>
      </x:c>
      <x:c r="T177" t="str">
        <x:v>Vedram Bhati</x:v>
      </x:c>
      <x:c r="U177" t="n">
        <x:f>D177-E177-F177</x:f>
        <x:v>0</x:v>
      </x:c>
    </x:row>
    <x:row r="178">
      <x:c r="A178" t="n">
        <x:v>170</x:v>
      </x:c>
      <x:c r="B178" t="str">
        <x:v>PRY. SCHOOL NAGLA PADAM SINGH R.NO. 1</x:v>
      </x:c>
      <x:c r="C178" t="n">
        <x:v>1235</x:v>
      </x:c>
      <x:c r="D178" t="n">
        <x:v>947</x:v>
      </x:c>
      <x:c r="E178" t="n">
        <x:f>SUM(H178:O178)</x:f>
        <x:v>937</x:v>
      </x:c>
      <x:c r="F178" t="n">
        <x:v>10</x:v>
      </x:c>
      <x:c r="G178" s="50" t="n">
        <x:f>IF(C178="","",IFERROR(D178/C178,0))</x:f>
        <x:v>0.7668016194331984</x:v>
      </x:c>
      <x:c r="H178" s="36" t="n">
        <x:v>6</x:v>
      </x:c>
      <x:c r="I178" t="n">
        <x:v>202</x:v>
      </x:c>
      <x:c r="J178" t="n">
        <x:v>675</x:v>
      </x:c>
      <x:c r="K178" t="n">
        <x:v>31</x:v>
      </x:c>
      <x:c r="L178" t="n">
        <x:v>4</x:v>
      </x:c>
      <x:c r="M178" t="n">
        <x:v>10</x:v>
      </x:c>
      <x:c r="N178" t="n">
        <x:v>6</x:v>
      </x:c>
      <x:c r="O178" t="n">
        <x:v>3</x:v>
      </x:c>
      <x:c r="P178" s="50" t="n">
        <x:f>IF(D178=0,"",H178/D178)</x:f>
        <x:v>0.006335797254487857</x:v>
      </x:c>
      <x:c r="Q178" t="n">
        <x:f>MAX(I178:O178)</x:f>
        <x:v>675</x:v>
      </x:c>
      <x:c r="R178" t="n">
        <x:f>H178-Q178</x:f>
        <x:v>-669</x:v>
      </x:c>
      <x:c r="S178" s="52" t="n">
        <x:f>IF(D178=0,"",(R178)/D178)</x:f>
        <x:v>-0.706441393875396</x:v>
      </x:c>
      <x:c r="T178" t="str">
        <x:v>Vedram Bhati</x:v>
      </x:c>
      <x:c r="U178" t="n">
        <x:f>D178-E178-F178</x:f>
        <x:v>0</x:v>
      </x:c>
    </x:row>
    <x:row r="179">
      <x:c r="A179" t="n">
        <x:v>171</x:v>
      </x:c>
      <x:c r="B179" t="str">
        <x:v>PRY. SCHOOL PACHOKARA R.NO. 1</x:v>
      </x:c>
      <x:c r="C179" t="n">
        <x:v>950</x:v>
      </x:c>
      <x:c r="D179" t="n">
        <x:v>549</x:v>
      </x:c>
      <x:c r="E179" t="n">
        <x:f>SUM(H179:O179)</x:f>
        <x:v>547</x:v>
      </x:c>
      <x:c r="F179" t="n">
        <x:v>2</x:v>
      </x:c>
      <x:c r="G179" s="50" t="n">
        <x:f>IF(C179="","",IFERROR(D179/C179,0))</x:f>
        <x:v>0.5778947368421052</x:v>
      </x:c>
      <x:c r="H179" s="36" t="n">
        <x:v>2</x:v>
      </x:c>
      <x:c r="I179" t="n">
        <x:v>125</x:v>
      </x:c>
      <x:c r="J179" t="n">
        <x:v>132</x:v>
      </x:c>
      <x:c r="K179" t="n">
        <x:v>275</x:v>
      </x:c>
      <x:c r="L179" t="n">
        <x:v>2</x:v>
      </x:c>
      <x:c r="M179" t="n">
        <x:v>2</x:v>
      </x:c>
      <x:c r="N179" t="n">
        <x:v>3</x:v>
      </x:c>
      <x:c r="O179" t="n">
        <x:v>6</x:v>
      </x:c>
      <x:c r="P179" s="50" t="n">
        <x:f>IF(D179=0,"",H179/D179)</x:f>
        <x:v>0.0036429872495446266</x:v>
      </x:c>
      <x:c r="Q179" t="n">
        <x:f>MAX(I179:O179)</x:f>
        <x:v>275</x:v>
      </x:c>
      <x:c r="R179" t="n">
        <x:f>H179-Q179</x:f>
        <x:v>-273</x:v>
      </x:c>
      <x:c r="S179" s="52" t="n">
        <x:f>IF(D179=0,"",(R179)/D179)</x:f>
        <x:v>-0.4972677595628415</x:v>
      </x:c>
      <x:c r="T179" t="str">
        <x:v>Kamal Sharma</x:v>
      </x:c>
      <x:c r="U179" t="n">
        <x:f>D179-E179-F179</x:f>
        <x:v>0</x:v>
      </x:c>
    </x:row>
    <x:row r="180">
      <x:c r="A180" t="n">
        <x:v>172</x:v>
      </x:c>
      <x:c r="B180" t="str">
        <x:v>PRY. SCHOOL UTRAWALI R.NO. 1</x:v>
      </x:c>
      <x:c r="C180" t="n">
        <x:v>1171</x:v>
      </x:c>
      <x:c r="D180" t="n">
        <x:v>832</x:v>
      </x:c>
      <x:c r="E180" t="n">
        <x:f>SUM(H180:O180)</x:f>
        <x:v>830</x:v>
      </x:c>
      <x:c r="F180" t="n">
        <x:v>2</x:v>
      </x:c>
      <x:c r="G180" s="50" t="n">
        <x:f>IF(C180="","",IFERROR(D180/C180,0))</x:f>
        <x:v>0.7105038428693424</x:v>
      </x:c>
      <x:c r="H180" s="36" t="n">
        <x:v>7</x:v>
      </x:c>
      <x:c r="I180" t="n">
        <x:v>277</x:v>
      </x:c>
      <x:c r="J180" t="n">
        <x:v>521</x:v>
      </x:c>
      <x:c r="K180" t="n">
        <x:v>7</x:v>
      </x:c>
      <x:c r="L180" t="n">
        <x:v>6</x:v>
      </x:c>
      <x:c r="M180" t="n">
        <x:v>4</x:v>
      </x:c>
      <x:c r="N180" t="n">
        <x:v>8</x:v>
      </x:c>
      <x:c r="O180" t="n">
        <x:v>0</x:v>
      </x:c>
      <x:c r="P180" s="50" t="n">
        <x:f>IF(D180=0,"",H180/D180)</x:f>
        <x:v>0.008413461538461538</x:v>
      </x:c>
      <x:c r="Q180" t="n">
        <x:f>MAX(I180:O180)</x:f>
        <x:v>521</x:v>
      </x:c>
      <x:c r="R180" t="n">
        <x:f>H180-Q180</x:f>
        <x:v>-514</x:v>
      </x:c>
      <x:c r="S180" s="52" t="n">
        <x:f>IF(D180=0,"",(R180)/D180)</x:f>
        <x:v>-0.6177884615384616</x:v>
      </x:c>
      <x:c r="T180" t="str">
        <x:v>Vedram Bhati</x:v>
      </x:c>
      <x:c r="U180" t="n">
        <x:f>D180-E180-F180</x:f>
        <x:v>0</x:v>
      </x:c>
    </x:row>
    <x:row r="181">
      <x:c r="A181" t="n">
        <x:v>173</x:v>
      </x:c>
      <x:c r="B181" t="str">
        <x:v>PRY. SCHOOL RASULPUR IKBAIL R.NO. 1</x:v>
      </x:c>
      <x:c r="C181" t="n">
        <x:v>168</x:v>
      </x:c>
      <x:c r="D181" t="n">
        <x:v>103</x:v>
      </x:c>
      <x:c r="E181" t="n">
        <x:f>SUM(H181:O181)</x:f>
        <x:v>102</x:v>
      </x:c>
      <x:c r="F181" t="n">
        <x:v>1</x:v>
      </x:c>
      <x:c r="G181" s="50" t="n">
        <x:f>IF(C181="","",IFERROR(D181/C181,0))</x:f>
        <x:v>0.6130952380952381</x:v>
      </x:c>
      <x:c r="H181" s="36" t="n">
        <x:v>2</x:v>
      </x:c>
      <x:c r="I181" t="n">
        <x:v>89</x:v>
      </x:c>
      <x:c r="J181" t="n">
        <x:v>7</x:v>
      </x:c>
      <x:c r="K181" t="n">
        <x:v>4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s="50" t="n">
        <x:f>IF(D181=0,"",H181/D181)</x:f>
        <x:v>0.019417475728155338</x:v>
      </x:c>
      <x:c r="Q181" t="n">
        <x:f>MAX(I181:O181)</x:f>
        <x:v>89</x:v>
      </x:c>
      <x:c r="R181" t="n">
        <x:f>H181-Q181</x:f>
        <x:v>-87</x:v>
      </x:c>
      <x:c r="S181" s="52" t="n">
        <x:f>IF(D181=0,"",(R181)/D181)</x:f>
        <x:v>-0.8446601941747572</x:v>
      </x:c>
      <x:c r="T181" t="str">
        <x:v>Dhirendra Singh</x:v>
      </x:c>
      <x:c r="U181" t="n">
        <x:f>D181-E181-F181</x:f>
        <x:v>0</x:v>
      </x:c>
    </x:row>
    <x:row r="182">
      <x:c r="A182" t="n">
        <x:v>174</x:v>
      </x:c>
      <x:c r="B182" t="str">
        <x:v>PRY. SCHOOL MOHAMMADPUR JADON R.NO. 1</x:v>
      </x:c>
      <x:c r="C182" t="n">
        <x:v>1004</x:v>
      </x:c>
      <x:c r="D182" t="n">
        <x:v>687</x:v>
      </x:c>
      <x:c r="E182" t="n">
        <x:f>SUM(H182:O182)</x:f>
        <x:v>686</x:v>
      </x:c>
      <x:c r="F182" t="n">
        <x:v>1</x:v>
      </x:c>
      <x:c r="G182" s="50" t="n">
        <x:f>IF(C182="","",IFERROR(D182/C182,0))</x:f>
        <x:v>0.6842629482071713</x:v>
      </x:c>
      <x:c r="H182" s="36" t="n">
        <x:v>16</x:v>
      </x:c>
      <x:c r="I182" t="n">
        <x:v>128</x:v>
      </x:c>
      <x:c r="J182" t="n">
        <x:v>525</x:v>
      </x:c>
      <x:c r="K182" t="n">
        <x:v>3</x:v>
      </x:c>
      <x:c r="L182" t="n">
        <x:v>5</x:v>
      </x:c>
      <x:c r="M182" t="n">
        <x:v>3</x:v>
      </x:c>
      <x:c r="N182" t="n">
        <x:v>2</x:v>
      </x:c>
      <x:c r="O182" t="n">
        <x:v>4</x:v>
      </x:c>
      <x:c r="P182" s="50" t="n">
        <x:f>IF(D182=0,"",H182/D182)</x:f>
        <x:v>0.023289665211062592</x:v>
      </x:c>
      <x:c r="Q182" t="n">
        <x:f>MAX(I182:O182)</x:f>
        <x:v>525</x:v>
      </x:c>
      <x:c r="R182" t="n">
        <x:f>H182-Q182</x:f>
        <x:v>-509</x:v>
      </x:c>
      <x:c r="S182" s="52" t="n">
        <x:f>IF(D182=0,"",(R182)/D182)</x:f>
        <x:v>-0.7409024745269287</x:v>
      </x:c>
      <x:c r="T182" t="str">
        <x:v>Vedram Bhati</x:v>
      </x:c>
      <x:c r="U182" t="n">
        <x:f>D182-E182-F182</x:f>
        <x:v>0</x:v>
      </x:c>
    </x:row>
    <x:row r="183">
      <x:c r="A183" t="n">
        <x:v>175</x:v>
      </x:c>
      <x:c r="B183" t="str">
        <x:v>PRY. SCHOOL MOHAMMADPUR JADON R.NO. 2</x:v>
      </x:c>
      <x:c r="C183" t="n">
        <x:v>467</x:v>
      </x:c>
      <x:c r="D183" t="n">
        <x:v>315</x:v>
      </x:c>
      <x:c r="E183" t="n">
        <x:f>SUM(H183:O183)</x:f>
        <x:v>315</x:v>
      </x:c>
      <x:c r="F183" t="n">
        <x:v>0</x:v>
      </x:c>
      <x:c r="G183" s="50" t="n">
        <x:f>IF(C183="","",IFERROR(D183/C183,0))</x:f>
        <x:v>0.6745182012847966</x:v>
      </x:c>
      <x:c r="H183" s="36" t="n">
        <x:v>30</x:v>
      </x:c>
      <x:c r="I183" t="n">
        <x:v>234</x:v>
      </x:c>
      <x:c r="J183" t="n">
        <x:v>40</x:v>
      </x:c>
      <x:c r="K183" t="n">
        <x:v>9</x:v>
      </x:c>
      <x:c r="L183" t="n">
        <x:v>0</x:v>
      </x:c>
      <x:c r="M183" t="n">
        <x:v>0</x:v>
      </x:c>
      <x:c r="N183" t="n">
        <x:v>1</x:v>
      </x:c>
      <x:c r="O183" t="n">
        <x:v>1</x:v>
      </x:c>
      <x:c r="P183" s="50" t="n">
        <x:f>IF(D183=0,"",H183/D183)</x:f>
        <x:v>0.09523809523809523</x:v>
      </x:c>
      <x:c r="Q183" t="n">
        <x:f>MAX(I183:O183)</x:f>
        <x:v>234</x:v>
      </x:c>
      <x:c r="R183" t="n">
        <x:f>H183-Q183</x:f>
        <x:v>-204</x:v>
      </x:c>
      <x:c r="S183" s="52" t="n">
        <x:f>IF(D183=0,"",(R183)/D183)</x:f>
        <x:v>-0.6476190476190476</x:v>
      </x:c>
      <x:c r="T183" t="str">
        <x:v>Dhirendra Singh</x:v>
      </x:c>
      <x:c r="U183" t="n">
        <x:f>D183-E183-F183</x:f>
        <x:v>0</x:v>
      </x:c>
    </x:row>
    <x:row r="184">
      <x:c r="A184" t="n">
        <x:v>176</x:v>
      </x:c>
      <x:c r="B184" t="str">
        <x:v>PRY. SCHOOL DOOGALI R.NO. 1</x:v>
      </x:c>
      <x:c r="C184" t="n">
        <x:v>658</x:v>
      </x:c>
      <x:c r="D184" t="n">
        <x:v>551</x:v>
      </x:c>
      <x:c r="E184" t="n">
        <x:f>SUM(H184:O184)</x:f>
        <x:v>548</x:v>
      </x:c>
      <x:c r="F184" t="n">
        <x:v>3</x:v>
      </x:c>
      <x:c r="G184" s="50" t="n">
        <x:f>IF(C184="","",IFERROR(D184/C184,0))</x:f>
        <x:v>0.837386018237082</x:v>
      </x:c>
      <x:c r="H184" s="36" t="n">
        <x:v>4</x:v>
      </x:c>
      <x:c r="I184" t="n">
        <x:v>249</x:v>
      </x:c>
      <x:c r="J184" t="n">
        <x:v>289</x:v>
      </x:c>
      <x:c r="K184" t="n">
        <x:v>2</x:v>
      </x:c>
      <x:c r="L184" t="n">
        <x:v>1</x:v>
      </x:c>
      <x:c r="M184" t="n">
        <x:v>1</x:v>
      </x:c>
      <x:c r="N184" t="n">
        <x:v>1</x:v>
      </x:c>
      <x:c r="O184" t="n">
        <x:v>1</x:v>
      </x:c>
      <x:c r="P184" s="50" t="n">
        <x:f>IF(D184=0,"",H184/D184)</x:f>
        <x:v>0.007259528130671506</x:v>
      </x:c>
      <x:c r="Q184" t="n">
        <x:f>MAX(I184:O184)</x:f>
        <x:v>289</x:v>
      </x:c>
      <x:c r="R184" t="n">
        <x:f>H184-Q184</x:f>
        <x:v>-285</x:v>
      </x:c>
      <x:c r="S184" s="52" t="n">
        <x:f>IF(D184=0,"",(R184)/D184)</x:f>
        <x:v>-0.5172413793103449</x:v>
      </x:c>
      <x:c r="T184" t="str">
        <x:v>Vedram Bhati</x:v>
      </x:c>
      <x:c r="U184" t="n">
        <x:f>D184-E184-F184</x:f>
        <x:v>0</x:v>
      </x:c>
    </x:row>
    <x:row r="185">
      <x:c r="A185" t="n">
        <x:v>177</x:v>
      </x:c>
      <x:c r="B185" t="str">
        <x:v>PRY. SCHOOL HAZIPUR R.NO. 1</x:v>
      </x:c>
      <x:c r="C185" t="n">
        <x:v>338</x:v>
      </x:c>
      <x:c r="D185" t="n">
        <x:v>219</x:v>
      </x:c>
      <x:c r="E185" t="n">
        <x:f>SUM(H185:O185)</x:f>
        <x:v>219</x:v>
      </x:c>
      <x:c r="F185" t="n">
        <x:v>0</x:v>
      </x:c>
      <x:c r="G185" s="50" t="n">
        <x:f>IF(C185="","",IFERROR(D185/C185,0))</x:f>
        <x:v>0.6479289940828402</x:v>
      </x:c>
      <x:c r="H185" s="36" t="n">
        <x:v>2</x:v>
      </x:c>
      <x:c r="I185" t="n">
        <x:v>106</x:v>
      </x:c>
      <x:c r="J185" t="n">
        <x:v>95</x:v>
      </x:c>
      <x:c r="K185" t="n">
        <x:v>11</x:v>
      </x:c>
      <x:c r="L185" t="n">
        <x:v>2</x:v>
      </x:c>
      <x:c r="M185" t="n">
        <x:v>0</x:v>
      </x:c>
      <x:c r="N185" t="n">
        <x:v>1</x:v>
      </x:c>
      <x:c r="O185" t="n">
        <x:v>2</x:v>
      </x:c>
      <x:c r="P185" s="50" t="n">
        <x:f>IF(D185=0,"",H185/D185)</x:f>
        <x:v>0.0091324200913242</x:v>
      </x:c>
      <x:c r="Q185" t="n">
        <x:f>MAX(I185:O185)</x:f>
        <x:v>106</x:v>
      </x:c>
      <x:c r="R185" t="n">
        <x:f>H185-Q185</x:f>
        <x:v>-104</x:v>
      </x:c>
      <x:c r="S185" s="52" t="n">
        <x:f>IF(D185=0,"",(R185)/D185)</x:f>
        <x:v>-0.4748858447488584</x:v>
      </x:c>
      <x:c r="T185" t="str">
        <x:v>Dhirendra Singh</x:v>
      </x:c>
      <x:c r="U185" t="n">
        <x:f>D185-E185-F185</x:f>
        <x:v>0</x:v>
      </x:c>
    </x:row>
    <x:row r="186">
      <x:c r="A186" t="n">
        <x:v>178</x:v>
      </x:c>
      <x:c r="B186" t="str">
        <x:v>INTER COLLEGE T.A. RABUPURA R.NO. 1</x:v>
      </x:c>
      <x:c r="C186" t="n">
        <x:v>691</x:v>
      </x:c>
      <x:c r="D186" t="n">
        <x:v>512</x:v>
      </x:c>
      <x:c r="E186" t="n">
        <x:f>SUM(H186:O186)</x:f>
        <x:v>506</x:v>
      </x:c>
      <x:c r="F186" t="n">
        <x:v>6</x:v>
      </x:c>
      <x:c r="G186" s="50" t="n">
        <x:f>IF(C186="","",IFERROR(D186/C186,0))</x:f>
        <x:v>0.7409551374819102</x:v>
      </x:c>
      <x:c r="H186" s="36" t="n">
        <x:v>12</x:v>
      </x:c>
      <x:c r="I186" t="n">
        <x:v>258</x:v>
      </x:c>
      <x:c r="J186" t="n">
        <x:v>214</x:v>
      </x:c>
      <x:c r="K186" t="n">
        <x:v>6</x:v>
      </x:c>
      <x:c r="L186" t="n">
        <x:v>3</x:v>
      </x:c>
      <x:c r="M186" t="n">
        <x:v>2</x:v>
      </x:c>
      <x:c r="N186" t="n">
        <x:v>4</x:v>
      </x:c>
      <x:c r="O186" t="n">
        <x:v>7</x:v>
      </x:c>
      <x:c r="P186" s="50" t="n">
        <x:f>IF(D186=0,"",H186/D186)</x:f>
        <x:v>0.0234375</x:v>
      </x:c>
      <x:c r="Q186" t="n">
        <x:f>MAX(I186:O186)</x:f>
        <x:v>258</x:v>
      </x:c>
      <x:c r="R186" t="n">
        <x:f>H186-Q186</x:f>
        <x:v>-246</x:v>
      </x:c>
      <x:c r="S186" s="52" t="n">
        <x:f>IF(D186=0,"",(R186)/D186)</x:f>
        <x:v>-0.48046875</x:v>
      </x:c>
      <x:c r="T186" t="str">
        <x:v>Dhirendra Singh</x:v>
      </x:c>
      <x:c r="U186" t="n">
        <x:f>D186-E186-F186</x:f>
        <x:v>0</x:v>
      </x:c>
    </x:row>
    <x:row r="187">
      <x:c r="A187" t="n">
        <x:v>179</x:v>
      </x:c>
      <x:c r="B187" t="str">
        <x:v>INTER COLLEGE T.A. RABUPURA R.NO. 2</x:v>
      </x:c>
      <x:c r="C187" t="n">
        <x:v>769</x:v>
      </x:c>
      <x:c r="D187" t="n">
        <x:v>454</x:v>
      </x:c>
      <x:c r="E187" t="n">
        <x:f>SUM(H187:O187)</x:f>
        <x:v>450</x:v>
      </x:c>
      <x:c r="F187" t="n">
        <x:v>4</x:v>
      </x:c>
      <x:c r="G187" s="50" t="n">
        <x:f>IF(C187="","",IFERROR(D187/C187,0))</x:f>
        <x:v>0.5903771131339401</x:v>
      </x:c>
      <x:c r="H187" s="36" t="n">
        <x:v>2</x:v>
      </x:c>
      <x:c r="I187" t="n">
        <x:v>146</x:v>
      </x:c>
      <x:c r="J187" t="n">
        <x:v>286</x:v>
      </x:c>
      <x:c r="K187" t="n">
        <x:v>4</x:v>
      </x:c>
      <x:c r="L187" t="n">
        <x:v>4</x:v>
      </x:c>
      <x:c r="M187" t="n">
        <x:v>2</x:v>
      </x:c>
      <x:c r="N187" t="n">
        <x:v>5</x:v>
      </x:c>
      <x:c r="O187" t="n">
        <x:v>1</x:v>
      </x:c>
      <x:c r="P187" s="50" t="n">
        <x:f>IF(D187=0,"",H187/D187)</x:f>
        <x:v>0.004405286343612335</x:v>
      </x:c>
      <x:c r="Q187" t="n">
        <x:f>MAX(I187:O187)</x:f>
        <x:v>286</x:v>
      </x:c>
      <x:c r="R187" t="n">
        <x:f>H187-Q187</x:f>
        <x:v>-284</x:v>
      </x:c>
      <x:c r="S187" s="52" t="n">
        <x:f>IF(D187=0,"",(R187)/D187)</x:f>
        <x:v>-0.6255506607929515</x:v>
      </x:c>
      <x:c r="T187" t="str">
        <x:v>Vedram Bhati</x:v>
      </x:c>
      <x:c r="U187" t="n">
        <x:f>D187-E187-F187</x:f>
        <x:v>0</x:v>
      </x:c>
    </x:row>
    <x:row r="188">
      <x:c r="A188" t="n">
        <x:v>180</x:v>
      </x:c>
      <x:c r="B188" t="str">
        <x:v>INTER COLLEGE T.A. RABUPURA R.NO. 3</x:v>
      </x:c>
      <x:c r="C188" t="n">
        <x:v>647</x:v>
      </x:c>
      <x:c r="D188" t="n">
        <x:v>437</x:v>
      </x:c>
      <x:c r="E188" t="n">
        <x:f>SUM(H188:O188)</x:f>
        <x:v>433</x:v>
      </x:c>
      <x:c r="F188" t="n">
        <x:v>4</x:v>
      </x:c>
      <x:c r="G188" s="50" t="n">
        <x:f>IF(C188="","",IFERROR(D188/C188,0))</x:f>
        <x:v>0.6754250386398764</x:v>
      </x:c>
      <x:c r="H188" s="36" t="n">
        <x:v>5</x:v>
      </x:c>
      <x:c r="I188" t="n">
        <x:v>35</x:v>
      </x:c>
      <x:c r="J188" t="n">
        <x:v>372</x:v>
      </x:c>
      <x:c r="K188" t="n">
        <x:v>2</x:v>
      </x:c>
      <x:c r="L188" t="n">
        <x:v>6</x:v>
      </x:c>
      <x:c r="M188" t="n">
        <x:v>5</x:v>
      </x:c>
      <x:c r="N188" t="n">
        <x:v>8</x:v>
      </x:c>
      <x:c r="O188" t="n">
        <x:v>0</x:v>
      </x:c>
      <x:c r="P188" s="50" t="n">
        <x:f>IF(D188=0,"",H188/D188)</x:f>
        <x:v>0.011441647597254004</x:v>
      </x:c>
      <x:c r="Q188" t="n">
        <x:f>MAX(I188:O188)</x:f>
        <x:v>372</x:v>
      </x:c>
      <x:c r="R188" t="n">
        <x:f>H188-Q188</x:f>
        <x:v>-367</x:v>
      </x:c>
      <x:c r="S188" s="52" t="n">
        <x:f>IF(D188=0,"",(R188)/D188)</x:f>
        <x:v>-0.8398169336384439</x:v>
      </x:c>
      <x:c r="T188" t="str">
        <x:v>Vedram Bhati</x:v>
      </x:c>
      <x:c r="U188" t="n">
        <x:f>D188-E188-F188</x:f>
        <x:v>0</x:v>
      </x:c>
    </x:row>
    <x:row r="189">
      <x:c r="A189" t="n">
        <x:v>181</x:v>
      </x:c>
      <x:c r="B189" t="str">
        <x:v>INTER COLLEGE T.A. RABUPURA R.NO. 4</x:v>
      </x:c>
      <x:c r="C189" t="n">
        <x:v>982</x:v>
      </x:c>
      <x:c r="D189" t="n">
        <x:v>578</x:v>
      </x:c>
      <x:c r="E189" t="n">
        <x:f>SUM(H189:O189)</x:f>
        <x:v>576</x:v>
      </x:c>
      <x:c r="F189" t="n">
        <x:v>2</x:v>
      </x:c>
      <x:c r="G189" s="50" t="n">
        <x:f>IF(C189="","",IFERROR(D189/C189,0))</x:f>
        <x:v>0.5885947046843177</x:v>
      </x:c>
      <x:c r="H189" s="36" t="n">
        <x:v>10</x:v>
      </x:c>
      <x:c r="I189" t="n">
        <x:v>236</x:v>
      </x:c>
      <x:c r="J189" t="n">
        <x:v>304</x:v>
      </x:c>
      <x:c r="K189" t="n">
        <x:v>14</x:v>
      </x:c>
      <x:c r="L189" t="n">
        <x:v>1</x:v>
      </x:c>
      <x:c r="M189" t="n">
        <x:v>4</x:v>
      </x:c>
      <x:c r="N189" t="n">
        <x:v>6</x:v>
      </x:c>
      <x:c r="O189" t="n">
        <x:v>1</x:v>
      </x:c>
      <x:c r="P189" s="50" t="n">
        <x:f>IF(D189=0,"",H189/D189)</x:f>
        <x:v>0.01730103806228374</x:v>
      </x:c>
      <x:c r="Q189" t="n">
        <x:f>MAX(I189:O189)</x:f>
        <x:v>304</x:v>
      </x:c>
      <x:c r="R189" t="n">
        <x:f>H189-Q189</x:f>
        <x:v>-294</x:v>
      </x:c>
      <x:c r="S189" s="52" t="n">
        <x:f>IF(D189=0,"",(R189)/D189)</x:f>
        <x:v>-0.5086505190311419</x:v>
      </x:c>
      <x:c r="T189" t="str">
        <x:v>Vedram Bhati</x:v>
      </x:c>
      <x:c r="U189" t="n">
        <x:f>D189-E189-F189</x:f>
        <x:v>0</x:v>
      </x:c>
    </x:row>
    <x:row r="190">
      <x:c r="A190" t="n">
        <x:v>182</x:v>
      </x:c>
      <x:c r="B190" t="str">
        <x:v>INTER COLLEGE T.A. RABUPURA R.NO. 5</x:v>
      </x:c>
      <x:c r="C190" t="n">
        <x:v>1297</x:v>
      </x:c>
      <x:c r="D190" t="n">
        <x:v>733</x:v>
      </x:c>
      <x:c r="E190" t="n">
        <x:f>SUM(H190:O190)</x:f>
        <x:v>730</x:v>
      </x:c>
      <x:c r="F190" t="n">
        <x:v>3</x:v>
      </x:c>
      <x:c r="G190" s="50" t="n">
        <x:f>IF(C190="","",IFERROR(D190/C190,0))</x:f>
        <x:v>0.5651503469545104</x:v>
      </x:c>
      <x:c r="H190" s="36" t="n">
        <x:v>20</x:v>
      </x:c>
      <x:c r="I190" t="n">
        <x:v>515</x:v>
      </x:c>
      <x:c r="J190" t="n">
        <x:v>168</x:v>
      </x:c>
      <x:c r="K190" t="n">
        <x:v>9</x:v>
      </x:c>
      <x:c r="L190" t="n">
        <x:v>6</x:v>
      </x:c>
      <x:c r="M190" t="n">
        <x:v>2</x:v>
      </x:c>
      <x:c r="N190" t="n">
        <x:v>5</x:v>
      </x:c>
      <x:c r="O190" t="n">
        <x:v>5</x:v>
      </x:c>
      <x:c r="P190" s="50" t="n">
        <x:f>IF(D190=0,"",H190/D190)</x:f>
        <x:v>0.027285129604365622</x:v>
      </x:c>
      <x:c r="Q190" t="n">
        <x:f>MAX(I190:O190)</x:f>
        <x:v>515</x:v>
      </x:c>
      <x:c r="R190" t="n">
        <x:f>H190-Q190</x:f>
        <x:v>-495</x:v>
      </x:c>
      <x:c r="S190" s="52" t="n">
        <x:f>IF(D190=0,"",(R190)/D190)</x:f>
        <x:v>-0.6753069577080492</x:v>
      </x:c>
      <x:c r="T190" t="str">
        <x:v>Dhirendra Singh</x:v>
      </x:c>
      <x:c r="U190" t="n">
        <x:f>D190-E190-F190</x:f>
        <x:v>0</x:v>
      </x:c>
    </x:row>
    <x:row r="191">
      <x:c r="A191" t="n">
        <x:v>183</x:v>
      </x:c>
      <x:c r="B191" t="str">
        <x:v>INTER COLLEGE T.A. RABUPURA R.NO. 6</x:v>
      </x:c>
      <x:c r="C191" t="n">
        <x:v>809</x:v>
      </x:c>
      <x:c r="D191" t="n">
        <x:v>507</x:v>
      </x:c>
      <x:c r="E191" t="n">
        <x:f>SUM(H191:O191)</x:f>
        <x:v>505</x:v>
      </x:c>
      <x:c r="F191" t="n">
        <x:v>2</x:v>
      </x:c>
      <x:c r="G191" s="50" t="n">
        <x:f>IF(C191="","",IFERROR(D191/C191,0))</x:f>
        <x:v>0.6266996291718171</x:v>
      </x:c>
      <x:c r="H191" s="36" t="n">
        <x:v>22</x:v>
      </x:c>
      <x:c r="I191" t="n">
        <x:v>312</x:v>
      </x:c>
      <x:c r="J191" t="n">
        <x:v>152</x:v>
      </x:c>
      <x:c r="K191" t="n">
        <x:v>6</x:v>
      </x:c>
      <x:c r="L191" t="n">
        <x:v>3</x:v>
      </x:c>
      <x:c r="M191" t="n">
        <x:v>2</x:v>
      </x:c>
      <x:c r="N191" t="n">
        <x:v>5</x:v>
      </x:c>
      <x:c r="O191" t="n">
        <x:v>3</x:v>
      </x:c>
      <x:c r="P191" s="50" t="n">
        <x:f>IF(D191=0,"",H191/D191)</x:f>
        <x:v>0.04339250493096647</x:v>
      </x:c>
      <x:c r="Q191" t="n">
        <x:f>MAX(I191:O191)</x:f>
        <x:v>312</x:v>
      </x:c>
      <x:c r="R191" t="n">
        <x:f>H191-Q191</x:f>
        <x:v>-290</x:v>
      </x:c>
      <x:c r="S191" s="52" t="n">
        <x:f>IF(D191=0,"",(R191)/D191)</x:f>
        <x:v>-0.571992110453649</x:v>
      </x:c>
      <x:c r="T191" t="str">
        <x:v>Dhirendra Singh</x:v>
      </x:c>
      <x:c r="U191" t="n">
        <x:f>D191-E191-F191</x:f>
        <x:v>0</x:v>
      </x:c>
    </x:row>
    <x:row r="192">
      <x:c r="A192" t="n">
        <x:v>184</x:v>
      </x:c>
      <x:c r="B192" t="str">
        <x:v>INTER COLLEGE T.A. RABUPURA R.NO. 7</x:v>
      </x:c>
      <x:c r="C192" t="n">
        <x:v>776</x:v>
      </x:c>
      <x:c r="D192" t="n">
        <x:v>498</x:v>
      </x:c>
      <x:c r="E192" t="n">
        <x:f>SUM(H192:O192)</x:f>
        <x:v>490</x:v>
      </x:c>
      <x:c r="F192" t="n">
        <x:v>8</x:v>
      </x:c>
      <x:c r="G192" s="50" t="n">
        <x:f>IF(C192="","",IFERROR(D192/C192,0))</x:f>
        <x:v>0.6417525773195877</x:v>
      </x:c>
      <x:c r="H192" s="36" t="n">
        <x:v>6</x:v>
      </x:c>
      <x:c r="I192" t="n">
        <x:v>419</x:v>
      </x:c>
      <x:c r="J192" t="n">
        <x:v>34</x:v>
      </x:c>
      <x:c r="K192" t="n">
        <x:v>9</x:v>
      </x:c>
      <x:c r="L192" t="n">
        <x:v>3</x:v>
      </x:c>
      <x:c r="M192" t="n">
        <x:v>4</x:v>
      </x:c>
      <x:c r="N192" t="n">
        <x:v>3</x:v>
      </x:c>
      <x:c r="O192" t="n">
        <x:v>12</x:v>
      </x:c>
      <x:c r="P192" s="50" t="n">
        <x:f>IF(D192=0,"",H192/D192)</x:f>
        <x:v>0.012048192771084338</x:v>
      </x:c>
      <x:c r="Q192" t="n">
        <x:f>MAX(I192:O192)</x:f>
        <x:v>419</x:v>
      </x:c>
      <x:c r="R192" t="n">
        <x:f>H192-Q192</x:f>
        <x:v>-413</x:v>
      </x:c>
      <x:c r="S192" s="52" t="n">
        <x:f>IF(D192=0,"",(R192)/D192)</x:f>
        <x:v>-0.8293172690763052</x:v>
      </x:c>
      <x:c r="T192" t="str">
        <x:v>Dhirendra Singh</x:v>
      </x:c>
      <x:c r="U192" t="n">
        <x:f>D192-E192-F192</x:f>
        <x:v>0</x:v>
      </x:c>
    </x:row>
    <x:row r="193">
      <x:c r="A193" t="n">
        <x:v>185</x:v>
      </x:c>
      <x:c r="B193" t="str">
        <x:v>INTER COLLEGE T.A. RABUPURA R.NO. 8</x:v>
      </x:c>
      <x:c r="C193" t="n">
        <x:v>1300</x:v>
      </x:c>
      <x:c r="D193" t="n">
        <x:v>800</x:v>
      </x:c>
      <x:c r="E193" t="n">
        <x:f>SUM(H193:O193)</x:f>
        <x:v>789</x:v>
      </x:c>
      <x:c r="F193" t="n">
        <x:v>11</x:v>
      </x:c>
      <x:c r="G193" s="50" t="n">
        <x:f>IF(C193="","",IFERROR(D193/C193,0))</x:f>
        <x:v>0.6153846153846154</x:v>
      </x:c>
      <x:c r="H193" s="36" t="n">
        <x:v>24</x:v>
      </x:c>
      <x:c r="I193" t="n">
        <x:v>459</x:v>
      </x:c>
      <x:c r="J193" t="n">
        <x:v>278</x:v>
      </x:c>
      <x:c r="K193" t="n">
        <x:v>5</x:v>
      </x:c>
      <x:c r="L193" t="n">
        <x:v>6</x:v>
      </x:c>
      <x:c r="M193" t="n">
        <x:v>7</x:v>
      </x:c>
      <x:c r="N193" t="n">
        <x:v>4</x:v>
      </x:c>
      <x:c r="O193" t="n">
        <x:v>6</x:v>
      </x:c>
      <x:c r="P193" s="50" t="n">
        <x:f>IF(D193=0,"",H193/D193)</x:f>
        <x:v>0.03</x:v>
      </x:c>
      <x:c r="Q193" t="n">
        <x:f>MAX(I193:O193)</x:f>
        <x:v>459</x:v>
      </x:c>
      <x:c r="R193" t="n">
        <x:f>H193-Q193</x:f>
        <x:v>-435</x:v>
      </x:c>
      <x:c r="S193" s="52" t="n">
        <x:f>IF(D193=0,"",(R193)/D193)</x:f>
        <x:v>-0.54375</x:v>
      </x:c>
      <x:c r="T193" t="str">
        <x:v>Dhirendra Singh</x:v>
      </x:c>
      <x:c r="U193" t="n">
        <x:f>D193-E193-F193</x:f>
        <x:v>0</x:v>
      </x:c>
    </x:row>
    <x:row r="194">
      <x:c r="A194" t="n">
        <x:v>186</x:v>
      </x:c>
      <x:c r="B194" t="str">
        <x:v>SARSWATI SHISHU MANDIR I.C. RABUPURA R. N. 1</x:v>
      </x:c>
      <x:c r="C194" t="n">
        <x:v>748</x:v>
      </x:c>
      <x:c r="D194" t="n">
        <x:v>467</x:v>
      </x:c>
      <x:c r="E194" t="n">
        <x:f>SUM(H194:O194)</x:f>
        <x:v>465</x:v>
      </x:c>
      <x:c r="F194" t="n">
        <x:v>2</x:v>
      </x:c>
      <x:c r="G194" s="50" t="n">
        <x:f>IF(C194="","",IFERROR(D194/C194,0))</x:f>
        <x:v>0.6243315508021391</x:v>
      </x:c>
      <x:c r="H194" s="36" t="n">
        <x:v>7</x:v>
      </x:c>
      <x:c r="I194" t="n">
        <x:v>320</x:v>
      </x:c>
      <x:c r="J194" t="n">
        <x:v>127</x:v>
      </x:c>
      <x:c r="K194" t="n">
        <x:v>5</x:v>
      </x:c>
      <x:c r="L194" t="n">
        <x:v>0</x:v>
      </x:c>
      <x:c r="M194" t="n">
        <x:v>2</x:v>
      </x:c>
      <x:c r="N194" t="n">
        <x:v>4</x:v>
      </x:c>
      <x:c r="O194" t="n">
        <x:v>0</x:v>
      </x:c>
      <x:c r="P194" s="50" t="n">
        <x:f>IF(D194=0,"",H194/D194)</x:f>
        <x:v>0.014989293361884369</x:v>
      </x:c>
      <x:c r="Q194" t="n">
        <x:f>MAX(I194:O194)</x:f>
        <x:v>320</x:v>
      </x:c>
      <x:c r="R194" t="n">
        <x:f>H194-Q194</x:f>
        <x:v>-313</x:v>
      </x:c>
      <x:c r="S194" s="52" t="n">
        <x:f>IF(D194=0,"",(R194)/D194)</x:f>
        <x:v>-0.6702355460385439</x:v>
      </x:c>
      <x:c r="T194" t="str">
        <x:v>Dhirendra Singh</x:v>
      </x:c>
      <x:c r="U194" t="n">
        <x:f>D194-E194-F194</x:f>
        <x:v>0</x:v>
      </x:c>
    </x:row>
    <x:row r="195">
      <x:c r="A195" t="n">
        <x:v>187</x:v>
      </x:c>
      <x:c r="B195" t="str">
        <x:v>SARSWATI SHISHU MANDIR I.C. RABUPURA R. N. 2</x:v>
      </x:c>
      <x:c r="C195" t="n">
        <x:v>718</x:v>
      </x:c>
      <x:c r="D195" t="n">
        <x:v>493</x:v>
      </x:c>
      <x:c r="E195" t="n">
        <x:f>SUM(H195:O195)</x:f>
        <x:v>490</x:v>
      </x:c>
      <x:c r="F195" t="n">
        <x:v>3</x:v>
      </x:c>
      <x:c r="G195" s="50" t="n">
        <x:f>IF(C195="","",IFERROR(D195/C195,0))</x:f>
        <x:v>0.6866295264623955</x:v>
      </x:c>
      <x:c r="H195" s="36" t="n">
        <x:v>12</x:v>
      </x:c>
      <x:c r="I195" t="n">
        <x:v>259</x:v>
      </x:c>
      <x:c r="J195" t="n">
        <x:v>202</x:v>
      </x:c>
      <x:c r="K195" t="n">
        <x:v>7</x:v>
      </x:c>
      <x:c r="L195" t="n">
        <x:v>5</x:v>
      </x:c>
      <x:c r="M195" t="n">
        <x:v>2</x:v>
      </x:c>
      <x:c r="N195" t="n">
        <x:v>2</x:v>
      </x:c>
      <x:c r="O195" t="n">
        <x:v>1</x:v>
      </x:c>
      <x:c r="P195" s="50" t="n">
        <x:f>IF(D195=0,"",H195/D195)</x:f>
        <x:v>0.02434077079107505</x:v>
      </x:c>
      <x:c r="Q195" t="n">
        <x:f>MAX(I195:O195)</x:f>
        <x:v>259</x:v>
      </x:c>
      <x:c r="R195" t="n">
        <x:f>H195-Q195</x:f>
        <x:v>-247</x:v>
      </x:c>
      <x:c r="S195" s="52" t="n">
        <x:f>IF(D195=0,"",(R195)/D195)</x:f>
        <x:v>-0.5010141987829615</x:v>
      </x:c>
      <x:c r="T195" t="str">
        <x:v>Dhirendra Singh</x:v>
      </x:c>
      <x:c r="U195" t="n">
        <x:f>D195-E195-F195</x:f>
        <x:v>0</x:v>
      </x:c>
    </x:row>
    <x:row r="196">
      <x:c r="A196" t="n">
        <x:v>188</x:v>
      </x:c>
      <x:c r="B196" t="str">
        <x:v>PRY. SCHOOL T.A. RABUPURA R.NO. 1</x:v>
      </x:c>
      <x:c r="C196" t="n">
        <x:v>751</x:v>
      </x:c>
      <x:c r="D196" t="n">
        <x:v>485</x:v>
      </x:c>
      <x:c r="E196" t="n">
        <x:f>SUM(H196:O196)</x:f>
        <x:v>481</x:v>
      </x:c>
      <x:c r="F196" t="n">
        <x:v>4</x:v>
      </x:c>
      <x:c r="G196" s="50" t="n">
        <x:f>IF(C196="","",IFERROR(D196/C196,0))</x:f>
        <x:v>0.6458055925432756</x:v>
      </x:c>
      <x:c r="H196" s="36" t="n">
        <x:v>13</x:v>
      </x:c>
      <x:c r="I196" t="n">
        <x:v>379</x:v>
      </x:c>
      <x:c r="J196" t="n">
        <x:v>76</x:v>
      </x:c>
      <x:c r="K196" t="n">
        <x:v>3</x:v>
      </x:c>
      <x:c r="L196" t="n">
        <x:v>2</x:v>
      </x:c>
      <x:c r="M196" t="n">
        <x:v>3</x:v>
      </x:c>
      <x:c r="N196" t="n">
        <x:v>1</x:v>
      </x:c>
      <x:c r="O196" t="n">
        <x:v>4</x:v>
      </x:c>
      <x:c r="P196" s="50" t="n">
        <x:f>IF(D196=0,"",H196/D196)</x:f>
        <x:v>0.026804123711340205</x:v>
      </x:c>
      <x:c r="Q196" t="n">
        <x:f>MAX(I196:O196)</x:f>
        <x:v>379</x:v>
      </x:c>
      <x:c r="R196" t="n">
        <x:f>H196-Q196</x:f>
        <x:v>-366</x:v>
      </x:c>
      <x:c r="S196" s="52" t="n">
        <x:f>IF(D196=0,"",(R196)/D196)</x:f>
        <x:v>-0.7546391752577319</x:v>
      </x:c>
      <x:c r="T196" t="str">
        <x:v>Dhirendra Singh</x:v>
      </x:c>
      <x:c r="U196" t="n">
        <x:f>D196-E196-F196</x:f>
        <x:v>0</x:v>
      </x:c>
    </x:row>
    <x:row r="197">
      <x:c r="A197" t="n">
        <x:v>189</x:v>
      </x:c>
      <x:c r="B197" t="str">
        <x:v>PRY. SCHOOL T.A. RABUPURA R.NO. 2</x:v>
      </x:c>
      <x:c r="C197" t="n">
        <x:v>932</x:v>
      </x:c>
      <x:c r="D197" t="n">
        <x:v>600</x:v>
      </x:c>
      <x:c r="E197" t="n">
        <x:f>SUM(H197:O197)</x:f>
        <x:v>590</x:v>
      </x:c>
      <x:c r="F197" t="n">
        <x:v>10</x:v>
      </x:c>
      <x:c r="G197" s="50" t="n">
        <x:f>IF(C197="","",IFERROR(D197/C197,0))</x:f>
        <x:v>0.6437768240343348</x:v>
      </x:c>
      <x:c r="H197" s="36" t="n">
        <x:v>18</x:v>
      </x:c>
      <x:c r="I197" t="n">
        <x:v>428</x:v>
      </x:c>
      <x:c r="J197" t="n">
        <x:v>125</x:v>
      </x:c>
      <x:c r="K197" t="n">
        <x:v>5</x:v>
      </x:c>
      <x:c r="L197" t="n">
        <x:v>1</x:v>
      </x:c>
      <x:c r="M197" t="n">
        <x:v>3</x:v>
      </x:c>
      <x:c r="N197" t="n">
        <x:v>3</x:v>
      </x:c>
      <x:c r="O197" t="n">
        <x:v>7</x:v>
      </x:c>
      <x:c r="P197" s="50" t="n">
        <x:f>IF(D197=0,"",H197/D197)</x:f>
        <x:v>0.03</x:v>
      </x:c>
      <x:c r="Q197" t="n">
        <x:f>MAX(I197:O197)</x:f>
        <x:v>428</x:v>
      </x:c>
      <x:c r="R197" t="n">
        <x:f>H197-Q197</x:f>
        <x:v>-410</x:v>
      </x:c>
      <x:c r="S197" s="52" t="n">
        <x:f>IF(D197=0,"",(R197)/D197)</x:f>
        <x:v>-0.6833333333333333</x:v>
      </x:c>
      <x:c r="T197" t="str">
        <x:v>Dhirendra Singh</x:v>
      </x:c>
      <x:c r="U197" t="n">
        <x:f>D197-E197-F197</x:f>
        <x:v>0</x:v>
      </x:c>
    </x:row>
    <x:row r="198">
      <x:c r="A198" t="n">
        <x:v>190</x:v>
      </x:c>
      <x:c r="B198" t="str">
        <x:v>PRY. SCHOOL T.A. RABUPURA R.NO. 3</x:v>
      </x:c>
      <x:c r="C198" t="n">
        <x:v>893</x:v>
      </x:c>
      <x:c r="D198" t="n">
        <x:v>564</x:v>
      </x:c>
      <x:c r="E198" t="n">
        <x:f>SUM(H198:O198)</x:f>
        <x:v>558</x:v>
      </x:c>
      <x:c r="F198" t="n">
        <x:v>6</x:v>
      </x:c>
      <x:c r="G198" s="50" t="n">
        <x:f>IF(C198="","",IFERROR(D198/C198,0))</x:f>
        <x:v>0.631578947368421</x:v>
      </x:c>
      <x:c r="H198" s="36" t="n">
        <x:v>31</x:v>
      </x:c>
      <x:c r="I198" t="n">
        <x:v>303</x:v>
      </x:c>
      <x:c r="J198" t="n">
        <x:v>196</x:v>
      </x:c>
      <x:c r="K198" t="n">
        <x:v>4</x:v>
      </x:c>
      <x:c r="L198" t="n">
        <x:v>3</x:v>
      </x:c>
      <x:c r="M198" t="n">
        <x:v>1</x:v>
      </x:c>
      <x:c r="N198" t="n">
        <x:v>7</x:v>
      </x:c>
      <x:c r="O198" t="n">
        <x:v>13</x:v>
      </x:c>
      <x:c r="P198" s="50" t="n">
        <x:f>IF(D198=0,"",H198/D198)</x:f>
        <x:v>0.0549645390070922</x:v>
      </x:c>
      <x:c r="Q198" t="n">
        <x:f>MAX(I198:O198)</x:f>
        <x:v>303</x:v>
      </x:c>
      <x:c r="R198" t="n">
        <x:f>H198-Q198</x:f>
        <x:v>-272</x:v>
      </x:c>
      <x:c r="S198" s="52" t="n">
        <x:f>IF(D198=0,"",(R198)/D198)</x:f>
        <x:v>-0.48226950354609927</x:v>
      </x:c>
      <x:c r="T198" t="str">
        <x:v>Dhirendra Singh</x:v>
      </x:c>
      <x:c r="U198" t="n">
        <x:f>D198-E198-F198</x:f>
        <x:v>0</x:v>
      </x:c>
    </x:row>
    <x:row r="199">
      <x:c r="A199" t="n">
        <x:v>191</x:v>
      </x:c>
      <x:c r="B199" t="str">
        <x:v>PRY. SCHOOL BHAIPUR BRAHMNAN R.NO. 1</x:v>
      </x:c>
      <x:c r="C199" t="n">
        <x:v>1107</x:v>
      </x:c>
      <x:c r="D199" t="n">
        <x:v>677</x:v>
      </x:c>
      <x:c r="E199" t="n">
        <x:f>SUM(H199:O199)</x:f>
        <x:v>674</x:v>
      </x:c>
      <x:c r="F199" t="n">
        <x:v>3</x:v>
      </x:c>
      <x:c r="G199" s="50" t="n">
        <x:f>IF(C199="","",IFERROR(D199/C199,0))</x:f>
        <x:v>0.6115627822944896</x:v>
      </x:c>
      <x:c r="H199" s="36" t="n">
        <x:v>22</x:v>
      </x:c>
      <x:c r="I199" t="n">
        <x:v>531</x:v>
      </x:c>
      <x:c r="J199" t="n">
        <x:v>34</x:v>
      </x:c>
      <x:c r="K199" t="n">
        <x:v>82</x:v>
      </x:c>
      <x:c r="L199" t="n">
        <x:v>0</x:v>
      </x:c>
      <x:c r="M199" t="n">
        <x:v>3</x:v>
      </x:c>
      <x:c r="N199" t="n">
        <x:v>0</x:v>
      </x:c>
      <x:c r="O199" t="n">
        <x:v>2</x:v>
      </x:c>
      <x:c r="P199" s="50" t="n">
        <x:f>IF(D199=0,"",H199/D199)</x:f>
        <x:v>0.03249630723781388</x:v>
      </x:c>
      <x:c r="Q199" t="n">
        <x:f>MAX(I199:O199)</x:f>
        <x:v>531</x:v>
      </x:c>
      <x:c r="R199" t="n">
        <x:f>H199-Q199</x:f>
        <x:v>-509</x:v>
      </x:c>
      <x:c r="S199" s="52" t="n">
        <x:f>IF(D199=0,"",(R199)/D199)</x:f>
        <x:v>-0.7518463810930576</x:v>
      </x:c>
      <x:c r="T199" t="str">
        <x:v>Dhirendra Singh</x:v>
      </x:c>
      <x:c r="U199" t="n">
        <x:f>D199-E199-F199</x:f>
        <x:v>0</x:v>
      </x:c>
    </x:row>
    <x:row r="200">
      <x:c r="A200" t="n">
        <x:v>192</x:v>
      </x:c>
      <x:c r="B200" t="str">
        <x:v>J.H. SCHOOL BHAIPUR BRAHMNAN R.NO. 1</x:v>
      </x:c>
      <x:c r="C200" t="n">
        <x:v>773</x:v>
      </x:c>
      <x:c r="D200" t="n">
        <x:v>495</x:v>
      </x:c>
      <x:c r="E200" t="n">
        <x:f>SUM(H200:O200)</x:f>
        <x:v>487</x:v>
      </x:c>
      <x:c r="F200" t="n">
        <x:v>8</x:v>
      </x:c>
      <x:c r="G200" s="50" t="n">
        <x:f>IF(C200="","",IFERROR(D200/C200,0))</x:f>
        <x:v>0.6403622250970246</x:v>
      </x:c>
      <x:c r="H200" s="36" t="n">
        <x:v>3</x:v>
      </x:c>
      <x:c r="I200" t="n">
        <x:v>223</x:v>
      </x:c>
      <x:c r="J200" t="n">
        <x:v>176</x:v>
      </x:c>
      <x:c r="K200" t="n">
        <x:v>74</x:v>
      </x:c>
      <x:c r="L200" t="n">
        <x:v>2</x:v>
      </x:c>
      <x:c r="M200" t="n">
        <x:v>4</x:v>
      </x:c>
      <x:c r="N200" t="n">
        <x:v>2</x:v>
      </x:c>
      <x:c r="O200" t="n">
        <x:v>3</x:v>
      </x:c>
      <x:c r="P200" s="50" t="n">
        <x:f>IF(D200=0,"",H200/D200)</x:f>
        <x:v>0.006060606060606061</x:v>
      </x:c>
      <x:c r="Q200" t="n">
        <x:f>MAX(I200:O200)</x:f>
        <x:v>223</x:v>
      </x:c>
      <x:c r="R200" t="n">
        <x:f>H200-Q200</x:f>
        <x:v>-220</x:v>
      </x:c>
      <x:c r="S200" s="52" t="n">
        <x:f>IF(D200=0,"",(R200)/D200)</x:f>
        <x:v>-0.4444444444444444</x:v>
      </x:c>
      <x:c r="T200" t="str">
        <x:v>Dhirendra Singh</x:v>
      </x:c>
      <x:c r="U200" t="n">
        <x:f>D200-E200-F200</x:f>
        <x:v>0</x:v>
      </x:c>
    </x:row>
    <x:row r="201">
      <x:c r="A201" t="n">
        <x:v>193</x:v>
      </x:c>
      <x:c r="B201" t="str">
        <x:v>J.H. SCHOOL BHAIPUR BRAHMNAN R.NO. 2</x:v>
      </x:c>
      <x:c r="C201" t="n">
        <x:v>542</x:v>
      </x:c>
      <x:c r="D201" t="n">
        <x:v>326</x:v>
      </x:c>
      <x:c r="E201" t="n">
        <x:f>SUM(H201:O201)</x:f>
        <x:v>322</x:v>
      </x:c>
      <x:c r="F201" t="n">
        <x:v>4</x:v>
      </x:c>
      <x:c r="G201" s="50" t="n">
        <x:f>IF(C201="","",IFERROR(D201/C201,0))</x:f>
        <x:v>0.6014760147601476</x:v>
      </x:c>
      <x:c r="H201" s="36" t="n">
        <x:v>5</x:v>
      </x:c>
      <x:c r="I201" t="n">
        <x:v>214</x:v>
      </x:c>
      <x:c r="J201" t="n">
        <x:v>19</x:v>
      </x:c>
      <x:c r="K201" t="n">
        <x:v>81</x:v>
      </x:c>
      <x:c r="L201" t="n">
        <x:v>0</x:v>
      </x:c>
      <x:c r="M201" t="n">
        <x:v>2</x:v>
      </x:c>
      <x:c r="N201" t="n">
        <x:v>0</x:v>
      </x:c>
      <x:c r="O201" t="n">
        <x:v>1</x:v>
      </x:c>
      <x:c r="P201" s="50" t="n">
        <x:f>IF(D201=0,"",H201/D201)</x:f>
        <x:v>0.015337423312883436</x:v>
      </x:c>
      <x:c r="Q201" t="n">
        <x:f>MAX(I201:O201)</x:f>
        <x:v>214</x:v>
      </x:c>
      <x:c r="R201" t="n">
        <x:f>H201-Q201</x:f>
        <x:v>-209</x:v>
      </x:c>
      <x:c r="S201" s="52" t="n">
        <x:f>IF(D201=0,"",(R201)/D201)</x:f>
        <x:v>-0.6411042944785276</x:v>
      </x:c>
      <x:c r="T201" t="str">
        <x:v>Dhirendra Singh</x:v>
      </x:c>
      <x:c r="U201" t="n">
        <x:f>D201-E201-F201</x:f>
        <x:v>0</x:v>
      </x:c>
    </x:row>
    <x:row r="202">
      <x:c r="A202" t="n">
        <x:v>194</x:v>
      </x:c>
      <x:c r="B202" t="str">
        <x:v>PRY. SCHOOL MENHADIPUR BANGAR R.NO. 1</x:v>
      </x:c>
      <x:c r="C202" t="n">
        <x:v>1242</x:v>
      </x:c>
      <x:c r="D202" t="n">
        <x:v>773</x:v>
      </x:c>
      <x:c r="E202" t="n">
        <x:f>SUM(H202:O202)</x:f>
        <x:v>754</x:v>
      </x:c>
      <x:c r="F202" t="n">
        <x:v>19</x:v>
      </x:c>
      <x:c r="G202" s="50" t="n">
        <x:f>IF(C202="","",IFERROR(D202/C202,0))</x:f>
        <x:v>0.6223832528180354</x:v>
      </x:c>
      <x:c r="H202" s="36" t="n">
        <x:v>265</x:v>
      </x:c>
      <x:c r="I202" t="n">
        <x:v>143</x:v>
      </x:c>
      <x:c r="J202" t="n">
        <x:v>209</x:v>
      </x:c>
      <x:c r="K202" t="n">
        <x:v>107</x:v>
      </x:c>
      <x:c r="L202" t="n">
        <x:v>10</x:v>
      </x:c>
      <x:c r="M202" t="n">
        <x:v>4</x:v>
      </x:c>
      <x:c r="N202" t="n">
        <x:v>6</x:v>
      </x:c>
      <x:c r="O202" t="n">
        <x:v>10</x:v>
      </x:c>
      <x:c r="P202" s="50" t="n">
        <x:f>IF(D202=0,"",H202/D202)</x:f>
        <x:v>0.3428201811125485</x:v>
      </x:c>
      <x:c r="Q202" t="n">
        <x:f>MAX(I202:O202)</x:f>
        <x:v>209</x:v>
      </x:c>
      <x:c r="R202" t="n">
        <x:f>H202-Q202</x:f>
        <x:v>56</x:v>
      </x:c>
      <x:c r="S202" s="52" t="n">
        <x:f>IF(D202=0,"",(R202)/D202)</x:f>
        <x:v>0.0724450194049159</x:v>
      </x:c>
      <x:c r="T202" t="str">
        <x:v>Narender Nagar</x:v>
      </x:c>
      <x:c r="U202" t="n">
        <x:f>D202-E202-F202</x:f>
        <x:v>0</x:v>
      </x:c>
    </x:row>
    <x:row r="203">
      <x:c r="A203" t="n">
        <x:v>195</x:v>
      </x:c>
      <x:c r="B203" t="str">
        <x:v>PRY. SCHOOL MENHADIPUR BANGAR R.NO. 2</x:v>
      </x:c>
      <x:c r="C203" t="n">
        <x:v>1235</x:v>
      </x:c>
      <x:c r="D203" t="n">
        <x:v>856</x:v>
      </x:c>
      <x:c r="E203" t="n">
        <x:f>SUM(H203:O203)</x:f>
        <x:v>848</x:v>
      </x:c>
      <x:c r="F203" t="n">
        <x:v>8</x:v>
      </x:c>
      <x:c r="G203" s="50" t="n">
        <x:f>IF(C203="","",IFERROR(D203/C203,0))</x:f>
        <x:v>0.6931174089068826</x:v>
      </x:c>
      <x:c r="H203" s="36" t="n">
        <x:v>469</x:v>
      </x:c>
      <x:c r="I203" t="n">
        <x:v>225</x:v>
      </x:c>
      <x:c r="J203" t="n">
        <x:v>133</x:v>
      </x:c>
      <x:c r="K203" t="n">
        <x:v>7</x:v>
      </x:c>
      <x:c r="L203" t="n">
        <x:v>2</x:v>
      </x:c>
      <x:c r="M203" t="n">
        <x:v>4</x:v>
      </x:c>
      <x:c r="N203" t="n">
        <x:v>4</x:v>
      </x:c>
      <x:c r="O203" t="n">
        <x:v>4</x:v>
      </x:c>
      <x:c r="P203" s="50" t="n">
        <x:f>IF(D203=0,"",H203/D203)</x:f>
        <x:v>0.5478971962616822</x:v>
      </x:c>
      <x:c r="Q203" t="n">
        <x:f>MAX(I203:O203)</x:f>
        <x:v>225</x:v>
      </x:c>
      <x:c r="R203" t="n">
        <x:f>H203-Q203</x:f>
        <x:v>244</x:v>
      </x:c>
      <x:c r="S203" s="52" t="n">
        <x:f>IF(D203=0,"",(R203)/D203)</x:f>
        <x:v>0.2850467289719626</x:v>
      </x:c>
      <x:c r="T203" t="str">
        <x:v>Narender Nagar</x:v>
      </x:c>
      <x:c r="U203" t="n">
        <x:f>D203-E203-F203</x:f>
        <x:v>0</x:v>
      </x:c>
    </x:row>
    <x:row r="204">
      <x:c r="A204" t="n">
        <x:v>196</x:v>
      </x:c>
      <x:c r="B204" t="str">
        <x:v>PRY. SCHOOL MENHADIPUR BANGAR R.NO. 3</x:v>
      </x:c>
      <x:c r="C204" t="n">
        <x:v>316</x:v>
      </x:c>
      <x:c r="D204" t="n">
        <x:v>196</x:v>
      </x:c>
      <x:c r="E204" t="n">
        <x:f>SUM(H204:O204)</x:f>
        <x:v>193</x:v>
      </x:c>
      <x:c r="F204" t="n">
        <x:v>3</x:v>
      </x:c>
      <x:c r="G204" s="50" t="n">
        <x:f>IF(C204="","",IFERROR(D204/C204,0))</x:f>
        <x:v>0.620253164556962</x:v>
      </x:c>
      <x:c r="H204" s="36" t="n">
        <x:v>5</x:v>
      </x:c>
      <x:c r="I204" t="n">
        <x:v>173</x:v>
      </x:c>
      <x:c r="J204" t="n">
        <x:v>7</x:v>
      </x:c>
      <x:c r="K204" t="n">
        <x:v>3</x:v>
      </x:c>
      <x:c r="L204" t="n">
        <x:v>0</x:v>
      </x:c>
      <x:c r="M204" t="n">
        <x:v>1</x:v>
      </x:c>
      <x:c r="N204" t="n">
        <x:v>2</x:v>
      </x:c>
      <x:c r="O204" t="n">
        <x:v>2</x:v>
      </x:c>
      <x:c r="P204" s="50" t="n">
        <x:f>IF(D204=0,"",H204/D204)</x:f>
        <x:v>0.025510204081632654</x:v>
      </x:c>
      <x:c r="Q204" t="n">
        <x:f>MAX(I204:O204)</x:f>
        <x:v>173</x:v>
      </x:c>
      <x:c r="R204" t="n">
        <x:f>H204-Q204</x:f>
        <x:v>-168</x:v>
      </x:c>
      <x:c r="S204" s="52" t="n">
        <x:f>IF(D204=0,"",(R204)/D204)</x:f>
        <x:v>-0.8571428571428571</x:v>
      </x:c>
      <x:c r="T204" t="str">
        <x:v>Dhirendra Singh</x:v>
      </x:c>
      <x:c r="U204" t="n">
        <x:f>D204-E204-F204</x:f>
        <x:v>0</x:v>
      </x:c>
    </x:row>
    <x:row r="205">
      <x:c r="A205" t="n">
        <x:v>197</x:v>
      </x:c>
      <x:c r="B205" t="str">
        <x:v>PRY. SCHOOL SIRAULI BANGAR R.NO. 1</x:v>
      </x:c>
      <x:c r="C205" t="n">
        <x:v>1122</x:v>
      </x:c>
      <x:c r="D205" t="n">
        <x:v>814</x:v>
      </x:c>
      <x:c r="E205" t="n">
        <x:f>SUM(H205:O205)</x:f>
        <x:v>808</x:v>
      </x:c>
      <x:c r="F205" t="n">
        <x:v>6</x:v>
      </x:c>
      <x:c r="G205" s="50" t="n">
        <x:f>IF(C205="","",IFERROR(D205/C205,0))</x:f>
        <x:v>0.7254901960784313</x:v>
      </x:c>
      <x:c r="H205" s="36" t="n">
        <x:v>61</x:v>
      </x:c>
      <x:c r="I205" t="n">
        <x:v>461</x:v>
      </x:c>
      <x:c r="J205" t="n">
        <x:v>249</x:v>
      </x:c>
      <x:c r="K205" t="n">
        <x:v>23</x:v>
      </x:c>
      <x:c r="L205" t="n">
        <x:v>4</x:v>
      </x:c>
      <x:c r="M205" t="n">
        <x:v>1</x:v>
      </x:c>
      <x:c r="N205" t="n">
        <x:v>4</x:v>
      </x:c>
      <x:c r="O205" t="n">
        <x:v>5</x:v>
      </x:c>
      <x:c r="P205" s="50" t="n">
        <x:f>IF(D205=0,"",H205/D205)</x:f>
        <x:v>0.07493857493857493</x:v>
      </x:c>
      <x:c r="Q205" t="n">
        <x:f>MAX(I205:O205)</x:f>
        <x:v>461</x:v>
      </x:c>
      <x:c r="R205" t="n">
        <x:f>H205-Q205</x:f>
        <x:v>-400</x:v>
      </x:c>
      <x:c r="S205" s="52" t="n">
        <x:f>IF(D205=0,"",(R205)/D205)</x:f>
        <x:v>-0.4914004914004914</x:v>
      </x:c>
      <x:c r="T205" t="str">
        <x:v>Dhirendra Singh</x:v>
      </x:c>
      <x:c r="U205" t="n">
        <x:f>D205-E205-F205</x:f>
        <x:v>0</x:v>
      </x:c>
    </x:row>
    <x:row r="206">
      <x:c r="A206" t="n">
        <x:v>198</x:v>
      </x:c>
      <x:c r="B206" t="str">
        <x:v>PRY. SCHOOL DHANPURA R.NO. 1</x:v>
      </x:c>
      <x:c r="C206" t="n">
        <x:v>390</x:v>
      </x:c>
      <x:c r="D206" t="n">
        <x:v>255</x:v>
      </x:c>
      <x:c r="E206" t="n">
        <x:f>SUM(H206:O206)</x:f>
        <x:v>251</x:v>
      </x:c>
      <x:c r="F206" t="n">
        <x:v>4</x:v>
      </x:c>
      <x:c r="G206" s="50" t="n">
        <x:f>IF(C206="","",IFERROR(D206/C206,0))</x:f>
        <x:v>0.6538461538461539</x:v>
      </x:c>
      <x:c r="H206" s="36" t="n">
        <x:v>158</x:v>
      </x:c>
      <x:c r="I206" t="n">
        <x:v>74</x:v>
      </x:c>
      <x:c r="J206" t="n">
        <x:v>14</x:v>
      </x:c>
      <x:c r="K206" t="n">
        <x:v>1</x:v>
      </x:c>
      <x:c r="L206" t="n">
        <x:v>0</x:v>
      </x:c>
      <x:c r="M206" t="n">
        <x:v>2</x:v>
      </x:c>
      <x:c r="N206" t="n">
        <x:v>2</x:v>
      </x:c>
      <x:c r="O206" t="n">
        <x:v>0</x:v>
      </x:c>
      <x:c r="P206" s="50" t="n">
        <x:f>IF(D206=0,"",H206/D206)</x:f>
        <x:v>0.6196078431372549</x:v>
      </x:c>
      <x:c r="Q206" t="n">
        <x:f>MAX(I206:O206)</x:f>
        <x:v>74</x:v>
      </x:c>
      <x:c r="R206" t="n">
        <x:f>H206-Q206</x:f>
        <x:v>84</x:v>
      </x:c>
      <x:c r="S206" s="52" t="n">
        <x:f>IF(D206=0,"",(R206)/D206)</x:f>
        <x:v>0.32941176470588235</x:v>
      </x:c>
      <x:c r="T206" t="str">
        <x:v>Narender Nagar</x:v>
      </x:c>
      <x:c r="U206" t="n">
        <x:f>D206-E206-F206</x:f>
        <x:v>0</x:v>
      </x:c>
    </x:row>
    <x:row r="207">
      <x:c r="A207" t="n">
        <x:v>199</x:v>
      </x:c>
      <x:c r="B207" t="str">
        <x:v>PRY. SCHOOL TIRTHALI R.NO. 1</x:v>
      </x:c>
      <x:c r="C207" t="n">
        <x:v>657</x:v>
      </x:c>
      <x:c r="D207" t="n">
        <x:v>474</x:v>
      </x:c>
      <x:c r="E207" t="n">
        <x:f>SUM(H207:O207)</x:f>
        <x:v>469</x:v>
      </x:c>
      <x:c r="F207" t="n">
        <x:v>5</x:v>
      </x:c>
      <x:c r="G207" s="50" t="n">
        <x:f>IF(C207="","",IFERROR(D207/C207,0))</x:f>
        <x:v>0.7214611872146118</x:v>
      </x:c>
      <x:c r="H207" s="36" t="n">
        <x:v>28</x:v>
      </x:c>
      <x:c r="I207" t="n">
        <x:v>261</x:v>
      </x:c>
      <x:c r="J207" t="n">
        <x:v>155</x:v>
      </x:c>
      <x:c r="K207" t="n">
        <x:v>16</x:v>
      </x:c>
      <x:c r="L207" t="n">
        <x:v>3</x:v>
      </x:c>
      <x:c r="M207" t="n">
        <x:v>2</x:v>
      </x:c>
      <x:c r="N207" t="n">
        <x:v>1</x:v>
      </x:c>
      <x:c r="O207" t="n">
        <x:v>3</x:v>
      </x:c>
      <x:c r="P207" s="50" t="n">
        <x:f>IF(D207=0,"",H207/D207)</x:f>
        <x:v>0.05907172995780591</x:v>
      </x:c>
      <x:c r="Q207" t="n">
        <x:f>MAX(I207:O207)</x:f>
        <x:v>261</x:v>
      </x:c>
      <x:c r="R207" t="n">
        <x:f>H207-Q207</x:f>
        <x:v>-233</x:v>
      </x:c>
      <x:c r="S207" s="52" t="n">
        <x:f>IF(D207=0,"",(R207)/D207)</x:f>
        <x:v>-0.49156118143459915</x:v>
      </x:c>
      <x:c r="T207" t="str">
        <x:v>Dhirendra Singh</x:v>
      </x:c>
      <x:c r="U207" t="n">
        <x:f>D207-E207-F207</x:f>
        <x:v>0</x:v>
      </x:c>
    </x:row>
    <x:row r="208">
      <x:c r="A208" t="n">
        <x:v>200</x:v>
      </x:c>
      <x:c r="B208" t="str">
        <x:v>PRY. SCHOOL TIRTHALI R.NO. 2</x:v>
      </x:c>
      <x:c r="C208" t="n">
        <x:v>650</x:v>
      </x:c>
      <x:c r="D208" t="n">
        <x:v>459</x:v>
      </x:c>
      <x:c r="E208" t="n">
        <x:f>SUM(H208:O208)</x:f>
        <x:v>454</x:v>
      </x:c>
      <x:c r="F208" t="n">
        <x:v>5</x:v>
      </x:c>
      <x:c r="G208" s="50" t="n">
        <x:f>IF(C208="","",IFERROR(D208/C208,0))</x:f>
        <x:v>0.7061538461538461</x:v>
      </x:c>
      <x:c r="H208" s="36" t="n">
        <x:v>44</x:v>
      </x:c>
      <x:c r="I208" t="n">
        <x:v>202</x:v>
      </x:c>
      <x:c r="J208" t="n">
        <x:v>179</x:v>
      </x:c>
      <x:c r="K208" t="n">
        <x:v>15</x:v>
      </x:c>
      <x:c r="L208" t="n">
        <x:v>5</x:v>
      </x:c>
      <x:c r="M208" t="n">
        <x:v>0</x:v>
      </x:c>
      <x:c r="N208" t="n">
        <x:v>4</x:v>
      </x:c>
      <x:c r="O208" t="n">
        <x:v>5</x:v>
      </x:c>
      <x:c r="P208" s="50" t="n">
        <x:f>IF(D208=0,"",H208/D208)</x:f>
        <x:v>0.09586056644880174</x:v>
      </x:c>
      <x:c r="Q208" t="n">
        <x:f>MAX(I208:O208)</x:f>
        <x:v>202</x:v>
      </x:c>
      <x:c r="R208" t="n">
        <x:f>H208-Q208</x:f>
        <x:v>-158</x:v>
      </x:c>
      <x:c r="S208" s="52" t="n">
        <x:f>IF(D208=0,"",(R208)/D208)</x:f>
        <x:v>-0.3442265795206972</x:v>
      </x:c>
      <x:c r="T208" t="str">
        <x:v>Dhirendra Singh</x:v>
      </x:c>
      <x:c r="U208" t="n">
        <x:f>D208-E208-F208</x:f>
        <x:v>0</x:v>
      </x:c>
    </x:row>
    <x:row r="209">
      <x:c r="A209" t="n">
        <x:v>201</x:v>
      </x:c>
      <x:c r="B209" t="str">
        <x:v>J.H. SCHOOL TIRTHALI R.NO. 1</x:v>
      </x:c>
      <x:c r="C209" t="n">
        <x:v>731</x:v>
      </x:c>
      <x:c r="D209" t="n">
        <x:v>542</x:v>
      </x:c>
      <x:c r="E209" t="n">
        <x:f>SUM(H209:O209)</x:f>
        <x:v>540</x:v>
      </x:c>
      <x:c r="F209" t="n">
        <x:v>2</x:v>
      </x:c>
      <x:c r="G209" s="50" t="n">
        <x:f>IF(C209="","",IFERROR(D209/C209,0))</x:f>
        <x:v>0.7414500683994528</x:v>
      </x:c>
      <x:c r="H209" s="36" t="n">
        <x:v>27</x:v>
      </x:c>
      <x:c r="I209" t="n">
        <x:v>242</x:v>
      </x:c>
      <x:c r="J209" t="n">
        <x:v>251</x:v>
      </x:c>
      <x:c r="K209" t="n">
        <x:v>6</x:v>
      </x:c>
      <x:c r="L209" t="n">
        <x:v>5</x:v>
      </x:c>
      <x:c r="M209" t="n">
        <x:v>2</x:v>
      </x:c>
      <x:c r="N209" t="n">
        <x:v>7</x:v>
      </x:c>
      <x:c r="O209" t="n">
        <x:v>0</x:v>
      </x:c>
      <x:c r="P209" s="50" t="n">
        <x:f>IF(D209=0,"",H209/D209)</x:f>
        <x:v>0.04981549815498155</x:v>
      </x:c>
      <x:c r="Q209" t="n">
        <x:f>MAX(I209:O209)</x:f>
        <x:v>251</x:v>
      </x:c>
      <x:c r="R209" t="n">
        <x:f>H209-Q209</x:f>
        <x:v>-224</x:v>
      </x:c>
      <x:c r="S209" s="52" t="n">
        <x:f>IF(D209=0,"",(R209)/D209)</x:f>
        <x:v>-0.4132841328413284</x:v>
      </x:c>
      <x:c r="T209" t="str">
        <x:v>Vedram Bhati</x:v>
      </x:c>
      <x:c r="U209" t="n">
        <x:f>D209-E209-F209</x:f>
        <x:v>0</x:v>
      </x:c>
    </x:row>
    <x:row r="210">
      <x:c r="A210" t="n">
        <x:v>202</x:v>
      </x:c>
      <x:c r="B210" t="str">
        <x:v>J.H. SCHOOL TIRTHALI R.NO. 2</x:v>
      </x:c>
      <x:c r="C210" t="n">
        <x:v>580</x:v>
      </x:c>
      <x:c r="D210" t="n">
        <x:v>473</x:v>
      </x:c>
      <x:c r="E210" t="n">
        <x:f>SUM(H210:O210)</x:f>
        <x:v>473</x:v>
      </x:c>
      <x:c r="F210" t="n">
        <x:v>0</x:v>
      </x:c>
      <x:c r="G210" s="50" t="n">
        <x:f>IF(C210="","",IFERROR(D210/C210,0))</x:f>
        <x:v>0.8155172413793104</x:v>
      </x:c>
      <x:c r="H210" s="36" t="n">
        <x:v>1</x:v>
      </x:c>
      <x:c r="I210" t="n">
        <x:v>165</x:v>
      </x:c>
      <x:c r="J210" t="n">
        <x:v>300</x:v>
      </x:c>
      <x:c r="K210" t="n">
        <x:v>1</x:v>
      </x:c>
      <x:c r="L210" t="n">
        <x:v>1</x:v>
      </x:c>
      <x:c r="M210" t="n">
        <x:v>3</x:v>
      </x:c>
      <x:c r="N210" t="n">
        <x:v>2</x:v>
      </x:c>
      <x:c r="O210" t="n">
        <x:v>0</x:v>
      </x:c>
      <x:c r="P210" s="50" t="n">
        <x:f>IF(D210=0,"",H210/D210)</x:f>
        <x:v>0.0021141649048625794</x:v>
      </x:c>
      <x:c r="Q210" t="n">
        <x:f>MAX(I210:O210)</x:f>
        <x:v>300</x:v>
      </x:c>
      <x:c r="R210" t="n">
        <x:f>H210-Q210</x:f>
        <x:v>-299</x:v>
      </x:c>
      <x:c r="S210" s="52" t="n">
        <x:f>IF(D210=0,"",(R210)/D210)</x:f>
        <x:v>-0.6321353065539113</x:v>
      </x:c>
      <x:c r="T210" t="str">
        <x:v>Vedram Bhati</x:v>
      </x:c>
      <x:c r="U210" t="n">
        <x:f>D210-E210-F210</x:f>
        <x:v>0</x:v>
      </x:c>
    </x:row>
    <x:row r="211">
      <x:c r="A211" t="n">
        <x:v>203</x:v>
      </x:c>
      <x:c r="B211" t="str">
        <x:v>PRY. SCHOOL BHUNNATAGA R.NO. 1</x:v>
      </x:c>
      <x:c r="C211" t="n">
        <x:v>1319</x:v>
      </x:c>
      <x:c r="D211" t="n">
        <x:v>886</x:v>
      </x:c>
      <x:c r="E211" t="n">
        <x:f>SUM(H211:O211)</x:f>
        <x:v>885</x:v>
      </x:c>
      <x:c r="F211" t="n">
        <x:v>1</x:v>
      </x:c>
      <x:c r="G211" s="50" t="n">
        <x:f>IF(C211="","",IFERROR(D211/C211,0))</x:f>
        <x:v>0.6717210007581501</x:v>
      </x:c>
      <x:c r="H211" s="36" t="n">
        <x:v>10</x:v>
      </x:c>
      <x:c r="I211" t="n">
        <x:v>477</x:v>
      </x:c>
      <x:c r="J211" t="n">
        <x:v>302</x:v>
      </x:c>
      <x:c r="K211" t="n">
        <x:v>62</x:v>
      </x:c>
      <x:c r="L211" t="n">
        <x:v>5</x:v>
      </x:c>
      <x:c r="M211" t="n">
        <x:v>28</x:v>
      </x:c>
      <x:c r="N211" t="n">
        <x:v>0</x:v>
      </x:c>
      <x:c r="O211" t="n">
        <x:v>1</x:v>
      </x:c>
      <x:c r="P211" s="50" t="n">
        <x:f>IF(D211=0,"",H211/D211)</x:f>
        <x:v>0.011286681715575621</x:v>
      </x:c>
      <x:c r="Q211" t="n">
        <x:f>MAX(I211:O211)</x:f>
        <x:v>477</x:v>
      </x:c>
      <x:c r="R211" t="n">
        <x:f>H211-Q211</x:f>
        <x:v>-467</x:v>
      </x:c>
      <x:c r="S211" s="52" t="n">
        <x:f>IF(D211=0,"",(R211)/D211)</x:f>
        <x:v>-0.5270880361173815</x:v>
      </x:c>
      <x:c r="T211" t="str">
        <x:v>Dhirendra Singh</x:v>
      </x:c>
      <x:c r="U211" t="n">
        <x:f>D211-E211-F211</x:f>
        <x:v>0</x:v>
      </x:c>
    </x:row>
    <x:row r="212">
      <x:c r="A212" t="n">
        <x:v>204</x:v>
      </x:c>
      <x:c r="B212" t="str">
        <x:v>PRY. SCHOOL MAKSOODPUR R.NO. 1</x:v>
      </x:c>
      <x:c r="C212" t="n">
        <x:v>494</x:v>
      </x:c>
      <x:c r="D212" t="n">
        <x:v>336</x:v>
      </x:c>
      <x:c r="E212" t="n">
        <x:f>SUM(H212:O212)</x:f>
        <x:v>336</x:v>
      </x:c>
      <x:c r="F212" t="n">
        <x:v>0</x:v>
      </x:c>
      <x:c r="G212" s="50" t="n">
        <x:f>IF(C212="","",IFERROR(D212/C212,0))</x:f>
        <x:v>0.680161943319838</x:v>
      </x:c>
      <x:c r="H212" s="36" t="n">
        <x:v>11</x:v>
      </x:c>
      <x:c r="I212" t="n">
        <x:v>207</x:v>
      </x:c>
      <x:c r="J212" t="n">
        <x:v>114</x:v>
      </x:c>
      <x:c r="K212" t="n">
        <x:v>2</x:v>
      </x:c>
      <x:c r="L212" t="n">
        <x:v>0</x:v>
      </x:c>
      <x:c r="M212" t="n">
        <x:v>2</x:v>
      </x:c>
      <x:c r="N212" t="n">
        <x:v>0</x:v>
      </x:c>
      <x:c r="O212" t="n">
        <x:v>0</x:v>
      </x:c>
      <x:c r="P212" s="50" t="n">
        <x:f>IF(D212=0,"",H212/D212)</x:f>
        <x:v>0.03273809523809524</x:v>
      </x:c>
      <x:c r="Q212" t="n">
        <x:f>MAX(I212:O212)</x:f>
        <x:v>207</x:v>
      </x:c>
      <x:c r="R212" t="n">
        <x:f>H212-Q212</x:f>
        <x:v>-196</x:v>
      </x:c>
      <x:c r="S212" s="52" t="n">
        <x:f>IF(D212=0,"",(R212)/D212)</x:f>
        <x:v>-0.5833333333333334</x:v>
      </x:c>
      <x:c r="T212" t="str">
        <x:v>Dhirendra Singh</x:v>
      </x:c>
      <x:c r="U212" t="n">
        <x:f>D212-E212-F212</x:f>
        <x:v>0</x:v>
      </x:c>
    </x:row>
    <x:row r="213">
      <x:c r="A213" t="n">
        <x:v>205</x:v>
      </x:c>
      <x:c r="B213" t="str">
        <x:v>PRY. SCHOOL MYANA R.NO. 1</x:v>
      </x:c>
      <x:c r="C213" t="n">
        <x:v>1179</x:v>
      </x:c>
      <x:c r="D213" t="n">
        <x:v>913</x:v>
      </x:c>
      <x:c r="E213" t="n">
        <x:f>SUM(H213:O213)</x:f>
        <x:v>906</x:v>
      </x:c>
      <x:c r="F213" t="n">
        <x:v>7</x:v>
      </x:c>
      <x:c r="G213" s="50" t="n">
        <x:f>IF(C213="","",IFERROR(D213/C213,0))</x:f>
        <x:v>0.7743850720949957</x:v>
      </x:c>
      <x:c r="H213" s="36" t="n">
        <x:v>11</x:v>
      </x:c>
      <x:c r="I213" t="n">
        <x:v>573</x:v>
      </x:c>
      <x:c r="J213" t="n">
        <x:v>196</x:v>
      </x:c>
      <x:c r="K213" t="n">
        <x:v>108</x:v>
      </x:c>
      <x:c r="L213" t="n">
        <x:v>4</x:v>
      </x:c>
      <x:c r="M213" t="n">
        <x:v>2</x:v>
      </x:c>
      <x:c r="N213" t="n">
        <x:v>5</x:v>
      </x:c>
      <x:c r="O213" t="n">
        <x:v>7</x:v>
      </x:c>
      <x:c r="P213" s="50" t="n">
        <x:f>IF(D213=0,"",H213/D213)</x:f>
        <x:v>0.012048192771084338</x:v>
      </x:c>
      <x:c r="Q213" t="n">
        <x:f>MAX(I213:O213)</x:f>
        <x:v>573</x:v>
      </x:c>
      <x:c r="R213" t="n">
        <x:f>H213-Q213</x:f>
        <x:v>-562</x:v>
      </x:c>
      <x:c r="S213" s="52" t="n">
        <x:f>IF(D213=0,"",(R213)/D213)</x:f>
        <x:v>-0.615553121577218</x:v>
      </x:c>
      <x:c r="T213" t="str">
        <x:v>Dhirendra Singh</x:v>
      </x:c>
      <x:c r="U213" t="n">
        <x:f>D213-E213-F213</x:f>
        <x:v>0</x:v>
      </x:c>
    </x:row>
    <x:row r="214">
      <x:c r="A214" t="n">
        <x:v>206</x:v>
      </x:c>
      <x:c r="B214" t="str">
        <x:v>PRY. SCHOOL KALUPURA R.NO. 1</x:v>
      </x:c>
      <x:c r="C214" t="n">
        <x:v>1148</x:v>
      </x:c>
      <x:c r="D214" t="n">
        <x:v>787</x:v>
      </x:c>
      <x:c r="E214" t="n">
        <x:f>SUM(H214:O214)</x:f>
        <x:v>781</x:v>
      </x:c>
      <x:c r="F214" t="n">
        <x:v>6</x:v>
      </x:c>
      <x:c r="G214" s="50" t="n">
        <x:f>IF(C214="","",IFERROR(D214/C214,0))</x:f>
        <x:v>0.6855400696864111</x:v>
      </x:c>
      <x:c r="H214" s="36" t="n">
        <x:v>52</x:v>
      </x:c>
      <x:c r="I214" t="n">
        <x:v>487</x:v>
      </x:c>
      <x:c r="J214" t="n">
        <x:v>62</x:v>
      </x:c>
      <x:c r="K214" t="n">
        <x:v>177</x:v>
      </x:c>
      <x:c r="L214" t="n">
        <x:v>1</x:v>
      </x:c>
      <x:c r="M214" t="n">
        <x:v>0</x:v>
      </x:c>
      <x:c r="N214" t="n">
        <x:v>1</x:v>
      </x:c>
      <x:c r="O214" t="n">
        <x:v>1</x:v>
      </x:c>
      <x:c r="P214" s="50" t="n">
        <x:f>IF(D214=0,"",H214/D214)</x:f>
        <x:v>0.06607369758576874</x:v>
      </x:c>
      <x:c r="Q214" t="n">
        <x:f>MAX(I214:O214)</x:f>
        <x:v>487</x:v>
      </x:c>
      <x:c r="R214" t="n">
        <x:f>H214-Q214</x:f>
        <x:v>-435</x:v>
      </x:c>
      <x:c r="S214" s="52" t="n">
        <x:f>IF(D214=0,"",(R214)/D214)</x:f>
        <x:v>-0.5527318932655655</x:v>
      </x:c>
      <x:c r="T214" t="str">
        <x:v>Dhirendra Singh</x:v>
      </x:c>
      <x:c r="U214" t="n">
        <x:f>D214-E214-F214</x:f>
        <x:v>0</x:v>
      </x:c>
    </x:row>
    <x:row r="215">
      <x:c r="A215" t="n">
        <x:v>207</x:v>
      </x:c>
      <x:c r="B215" t="str">
        <x:v>PRY. SCHOOL KALUPURA R.NO. 2</x:v>
      </x:c>
      <x:c r="C215" t="n">
        <x:v>826</x:v>
      </x:c>
      <x:c r="D215" t="n">
        <x:v>521</x:v>
      </x:c>
      <x:c r="E215" t="n">
        <x:f>SUM(H215:O215)</x:f>
        <x:v>518</x:v>
      </x:c>
      <x:c r="F215" t="n">
        <x:v>3</x:v>
      </x:c>
      <x:c r="G215" s="50" t="n">
        <x:f>IF(C215="","",IFERROR(D215/C215,0))</x:f>
        <x:v>0.6307506053268765</x:v>
      </x:c>
      <x:c r="H215" s="36" t="n">
        <x:v>56</x:v>
      </x:c>
      <x:c r="I215" t="n">
        <x:v>170</x:v>
      </x:c>
      <x:c r="J215" t="n">
        <x:v>208</x:v>
      </x:c>
      <x:c r="K215" t="n">
        <x:v>75</x:v>
      </x:c>
      <x:c r="L215" t="n">
        <x:v>2</x:v>
      </x:c>
      <x:c r="M215" t="n">
        <x:v>5</x:v>
      </x:c>
      <x:c r="N215" t="n">
        <x:v>1</x:v>
      </x:c>
      <x:c r="O215" t="n">
        <x:v>1</x:v>
      </x:c>
      <x:c r="P215" s="50" t="n">
        <x:f>IF(D215=0,"",H215/D215)</x:f>
        <x:v>0.10748560460652591</x:v>
      </x:c>
      <x:c r="Q215" t="n">
        <x:f>MAX(I215:O215)</x:f>
        <x:v>208</x:v>
      </x:c>
      <x:c r="R215" t="n">
        <x:f>H215-Q215</x:f>
        <x:v>-152</x:v>
      </x:c>
      <x:c r="S215" s="52" t="n">
        <x:f>IF(D215=0,"",(R215)/D215)</x:f>
        <x:v>-0.29174664107485604</x:v>
      </x:c>
      <x:c r="T215" t="str">
        <x:v>Vedram Bhati</x:v>
      </x:c>
      <x:c r="U215" t="n">
        <x:f>D215-E215-F215</x:f>
        <x:v>0</x:v>
      </x:c>
    </x:row>
    <x:row r="216">
      <x:c r="A216" t="n">
        <x:v>208</x:v>
      </x:c>
      <x:c r="B216" t="str">
        <x:v>PRY. SCHOOL JAUNCHANA R.NO. 1</x:v>
      </x:c>
      <x:c r="C216" t="n">
        <x:v>1085</x:v>
      </x:c>
      <x:c r="D216" t="n">
        <x:v>660</x:v>
      </x:c>
      <x:c r="E216" t="n">
        <x:f>SUM(H216:O216)</x:f>
        <x:v>655</x:v>
      </x:c>
      <x:c r="F216" t="n">
        <x:v>5</x:v>
      </x:c>
      <x:c r="G216" s="50" t="n">
        <x:f>IF(C216="","",IFERROR(D216/C216,0))</x:f>
        <x:v>0.6082949308755761</x:v>
      </x:c>
      <x:c r="H216" s="36" t="n">
        <x:v>28</x:v>
      </x:c>
      <x:c r="I216" t="n">
        <x:v>365</x:v>
      </x:c>
      <x:c r="J216" t="n">
        <x:v>235</x:v>
      </x:c>
      <x:c r="K216" t="n">
        <x:v>12</x:v>
      </x:c>
      <x:c r="L216" t="n">
        <x:v>7</x:v>
      </x:c>
      <x:c r="M216" t="n">
        <x:v>1</x:v>
      </x:c>
      <x:c r="N216" t="n">
        <x:v>4</x:v>
      </x:c>
      <x:c r="O216" t="n">
        <x:v>3</x:v>
      </x:c>
      <x:c r="P216" s="50" t="n">
        <x:f>IF(D216=0,"",H216/D216)</x:f>
        <x:v>0.04242424242424243</x:v>
      </x:c>
      <x:c r="Q216" t="n">
        <x:f>MAX(I216:O216)</x:f>
        <x:v>365</x:v>
      </x:c>
      <x:c r="R216" t="n">
        <x:f>H216-Q216</x:f>
        <x:v>-337</x:v>
      </x:c>
      <x:c r="S216" s="52" t="n">
        <x:f>IF(D216=0,"",(R216)/D216)</x:f>
        <x:v>-0.5106060606060606</x:v>
      </x:c>
      <x:c r="T216" t="str">
        <x:v>Dhirendra Singh</x:v>
      </x:c>
      <x:c r="U216" t="n">
        <x:f>D216-E216-F216</x:f>
        <x:v>0</x:v>
      </x:c>
    </x:row>
    <x:row r="217">
      <x:c r="A217" t="n">
        <x:v>209</x:v>
      </x:c>
      <x:c r="B217" t="str">
        <x:v>PRY. SCHOOL CHACHURA R.NO. 1</x:v>
      </x:c>
      <x:c r="C217" t="n">
        <x:v>917</x:v>
      </x:c>
      <x:c r="D217" t="n">
        <x:v>632</x:v>
      </x:c>
      <x:c r="E217" t="n">
        <x:f>SUM(H217:O217)</x:f>
        <x:v>626</x:v>
      </x:c>
      <x:c r="F217" t="n">
        <x:v>6</x:v>
      </x:c>
      <x:c r="G217" s="50" t="n">
        <x:f>IF(C217="","",IFERROR(D217/C217,0))</x:f>
        <x:v>0.6892039258451472</x:v>
      </x:c>
      <x:c r="H217" s="36" t="n">
        <x:v>24</x:v>
      </x:c>
      <x:c r="I217" t="n">
        <x:v>94</x:v>
      </x:c>
      <x:c r="J217" t="n">
        <x:v>474</x:v>
      </x:c>
      <x:c r="K217" t="n">
        <x:v>14</x:v>
      </x:c>
      <x:c r="L217" t="n">
        <x:v>7</x:v>
      </x:c>
      <x:c r="M217" t="n">
        <x:v>5</x:v>
      </x:c>
      <x:c r="N217" t="n">
        <x:v>6</x:v>
      </x:c>
      <x:c r="O217" t="n">
        <x:v>2</x:v>
      </x:c>
      <x:c r="P217" s="50" t="n">
        <x:f>IF(D217=0,"",H217/D217)</x:f>
        <x:v>0.0379746835443038</x:v>
      </x:c>
      <x:c r="Q217" t="n">
        <x:f>MAX(I217:O217)</x:f>
        <x:v>474</x:v>
      </x:c>
      <x:c r="R217" t="n">
        <x:f>H217-Q217</x:f>
        <x:v>-450</x:v>
      </x:c>
      <x:c r="S217" s="52" t="n">
        <x:f>IF(D217=0,"",(R217)/D217)</x:f>
        <x:v>-0.7120253164556962</x:v>
      </x:c>
      <x:c r="T217" t="str">
        <x:v>Vedram Bhati</x:v>
      </x:c>
      <x:c r="U217" t="n">
        <x:f>D217-E217-F217</x:f>
        <x:v>0</x:v>
      </x:c>
    </x:row>
    <x:row r="218">
      <x:c r="A218" t="n">
        <x:v>210</x:v>
      </x:c>
      <x:c r="B218" t="str">
        <x:v>PRY. SCHOOL AMANULLAPUR URF MARHARA R.NO. 1</x:v>
      </x:c>
      <x:c r="C218" t="n">
        <x:v>1409</x:v>
      </x:c>
      <x:c r="D218" t="n">
        <x:v>880</x:v>
      </x:c>
      <x:c r="E218" t="n">
        <x:f>SUM(H218:O218)</x:f>
        <x:v>880</x:v>
      </x:c>
      <x:c r="F218" t="n">
        <x:v>0</x:v>
      </x:c>
      <x:c r="G218" s="50" t="n">
        <x:f>IF(C218="","",IFERROR(D218/C218,0))</x:f>
        <x:v>0.6245564229950319</x:v>
      </x:c>
      <x:c r="H218" s="36" t="n">
        <x:v>38</x:v>
      </x:c>
      <x:c r="I218" t="n">
        <x:v>598</x:v>
      </x:c>
      <x:c r="J218" t="n">
        <x:v>200</x:v>
      </x:c>
      <x:c r="K218" t="n">
        <x:v>35</x:v>
      </x:c>
      <x:c r="L218" t="n">
        <x:v>2</x:v>
      </x:c>
      <x:c r="M218" t="n">
        <x:v>1</x:v>
      </x:c>
      <x:c r="N218" t="n">
        <x:v>2</x:v>
      </x:c>
      <x:c r="O218" t="n">
        <x:v>4</x:v>
      </x:c>
      <x:c r="P218" s="50" t="n">
        <x:f>IF(D218=0,"",H218/D218)</x:f>
        <x:v>0.04318181818181818</x:v>
      </x:c>
      <x:c r="Q218" t="n">
        <x:f>MAX(I218:O218)</x:f>
        <x:v>598</x:v>
      </x:c>
      <x:c r="R218" t="n">
        <x:f>H218-Q218</x:f>
        <x:v>-560</x:v>
      </x:c>
      <x:c r="S218" s="52" t="n">
        <x:f>IF(D218=0,"",(R218)/D218)</x:f>
        <x:v>-0.6363636363636364</x:v>
      </x:c>
      <x:c r="T218" t="str">
        <x:v>Dhirendra Singh</x:v>
      </x:c>
      <x:c r="U218" t="n">
        <x:f>D218-E218-F218</x:f>
        <x:v>0</x:v>
      </x:c>
    </x:row>
    <x:row r="219">
      <x:c r="A219" t="n">
        <x:v>211</x:v>
      </x:c>
      <x:c r="B219" t="str">
        <x:v>PRY. SCHOOL BHIKANPUR R.NO. 1</x:v>
      </x:c>
      <x:c r="C219" t="n">
        <x:v>850</x:v>
      </x:c>
      <x:c r="D219" t="n">
        <x:v>566</x:v>
      </x:c>
      <x:c r="E219" t="n">
        <x:f>SUM(H219:O219)</x:f>
        <x:v>563</x:v>
      </x:c>
      <x:c r="F219" t="n">
        <x:v>3</x:v>
      </x:c>
      <x:c r="G219" s="50" t="n">
        <x:f>IF(C219="","",IFERROR(D219/C219,0))</x:f>
        <x:v>0.6658823529411765</x:v>
      </x:c>
      <x:c r="H219" s="36" t="n">
        <x:v>3</x:v>
      </x:c>
      <x:c r="I219" t="n">
        <x:v>259</x:v>
      </x:c>
      <x:c r="J219" t="n">
        <x:v>290</x:v>
      </x:c>
      <x:c r="K219" t="n">
        <x:v>6</x:v>
      </x:c>
      <x:c r="L219" t="n">
        <x:v>1</x:v>
      </x:c>
      <x:c r="M219" t="n">
        <x:v>2</x:v>
      </x:c>
      <x:c r="N219" t="n">
        <x:v>2</x:v>
      </x:c>
      <x:c r="O219" t="n">
        <x:v>0</x:v>
      </x:c>
      <x:c r="P219" s="50" t="n">
        <x:f>IF(D219=0,"",H219/D219)</x:f>
        <x:v>0.00530035335689046</x:v>
      </x:c>
      <x:c r="Q219" t="n">
        <x:f>MAX(I219:O219)</x:f>
        <x:v>290</x:v>
      </x:c>
      <x:c r="R219" t="n">
        <x:f>H219-Q219</x:f>
        <x:v>-287</x:v>
      </x:c>
      <x:c r="S219" s="52" t="n">
        <x:f>IF(D219=0,"",(R219)/D219)</x:f>
        <x:v>-0.5070671378091873</x:v>
      </x:c>
      <x:c r="T219" t="str">
        <x:v>Vedram Bhati</x:v>
      </x:c>
      <x:c r="U219" t="n">
        <x:f>D219-E219-F219</x:f>
        <x:v>0</x:v>
      </x:c>
    </x:row>
    <x:row r="220">
      <x:c r="A220" t="n">
        <x:v>212</x:v>
      </x:c>
      <x:c r="B220" t="str">
        <x:v>PRY. SCHOOL AKALPUR R.NO. 1</x:v>
      </x:c>
      <x:c r="C220" t="n">
        <x:v>1264</x:v>
      </x:c>
      <x:c r="D220" t="n">
        <x:v>826</x:v>
      </x:c>
      <x:c r="E220" t="n">
        <x:f>SUM(H220:O220)</x:f>
        <x:v>820</x:v>
      </x:c>
      <x:c r="F220" t="n">
        <x:v>6</x:v>
      </x:c>
      <x:c r="G220" s="50" t="n">
        <x:f>IF(C220="","",IFERROR(D220/C220,0))</x:f>
        <x:v>0.6534810126582279</x:v>
      </x:c>
      <x:c r="H220" s="36" t="n">
        <x:v>13</x:v>
      </x:c>
      <x:c r="I220" t="n">
        <x:v>524</x:v>
      </x:c>
      <x:c r="J220" t="n">
        <x:v>155</x:v>
      </x:c>
      <x:c r="K220" t="n">
        <x:v>111</x:v>
      </x:c>
      <x:c r="L220" t="n">
        <x:v>3</x:v>
      </x:c>
      <x:c r="M220" t="n">
        <x:v>0</x:v>
      </x:c>
      <x:c r="N220" t="n">
        <x:v>4</x:v>
      </x:c>
      <x:c r="O220" t="n">
        <x:v>10</x:v>
      </x:c>
      <x:c r="P220" s="50" t="n">
        <x:f>IF(D220=0,"",H220/D220)</x:f>
        <x:v>0.015738498789346248</x:v>
      </x:c>
      <x:c r="Q220" t="n">
        <x:f>MAX(I220:O220)</x:f>
        <x:v>524</x:v>
      </x:c>
      <x:c r="R220" t="n">
        <x:f>H220-Q220</x:f>
        <x:v>-511</x:v>
      </x:c>
      <x:c r="S220" s="52" t="n">
        <x:f>IF(D220=0,"",(R220)/D220)</x:f>
        <x:v>-0.6186440677966102</x:v>
      </x:c>
      <x:c r="T220" t="str">
        <x:v>Dhirendra Singh</x:v>
      </x:c>
      <x:c r="U220" t="n">
        <x:f>D220-E220-F220</x:f>
        <x:v>0</x:v>
      </x:c>
    </x:row>
    <x:row r="221">
      <x:c r="A221" t="n">
        <x:v>213</x:v>
      </x:c>
      <x:c r="B221" t="str">
        <x:v>PRY. SCHOOL MUDRAH R.NO. 1</x:v>
      </x:c>
      <x:c r="C221" t="n">
        <x:v>680</x:v>
      </x:c>
      <x:c r="D221" t="n">
        <x:v>314</x:v>
      </x:c>
      <x:c r="E221" t="n">
        <x:f>SUM(H221:O221)</x:f>
        <x:v>310</x:v>
      </x:c>
      <x:c r="F221" t="n">
        <x:v>4</x:v>
      </x:c>
      <x:c r="G221" s="50" t="n">
        <x:f>IF(C221="","",IFERROR(D221/C221,0))</x:f>
        <x:v>0.46176470588235297</x:v>
      </x:c>
      <x:c r="H221" s="36" t="n">
        <x:v>39</x:v>
      </x:c>
      <x:c r="I221" t="n">
        <x:v>83</x:v>
      </x:c>
      <x:c r="J221" t="n">
        <x:v>140</x:v>
      </x:c>
      <x:c r="K221" t="n">
        <x:v>40</x:v>
      </x:c>
      <x:c r="L221" t="n">
        <x:v>0</x:v>
      </x:c>
      <x:c r="M221" t="n">
        <x:v>0</x:v>
      </x:c>
      <x:c r="N221" t="n">
        <x:v>3</x:v>
      </x:c>
      <x:c r="O221" t="n">
        <x:v>5</x:v>
      </x:c>
      <x:c r="P221" s="50" t="n">
        <x:f>IF(D221=0,"",H221/D221)</x:f>
        <x:v>0.12420382165605096</x:v>
      </x:c>
      <x:c r="Q221" t="n">
        <x:f>MAX(I221:O221)</x:f>
        <x:v>140</x:v>
      </x:c>
      <x:c r="R221" t="n">
        <x:f>H221-Q221</x:f>
        <x:v>-101</x:v>
      </x:c>
      <x:c r="S221" s="52" t="n">
        <x:f>IF(D221=0,"",(R221)/D221)</x:f>
        <x:v>-0.321656050955414</x:v>
      </x:c>
      <x:c r="T221" t="str">
        <x:v>Vedram Bhati</x:v>
      </x:c>
      <x:c r="U221" t="n">
        <x:f>D221-E221-F221</x:f>
        <x:v>0</x:v>
      </x:c>
    </x:row>
    <x:row r="222">
      <x:c r="A222" t="n">
        <x:v>214</x:v>
      </x:c>
      <x:c r="B222" t="str">
        <x:v>PRY. SCHOOL MUDRAH R.NO. 2</x:v>
      </x:c>
      <x:c r="C222" t="n">
        <x:v>1003</x:v>
      </x:c>
      <x:c r="D222" t="n">
        <x:v>548</x:v>
      </x:c>
      <x:c r="E222" t="n">
        <x:f>SUM(H222:O222)</x:f>
        <x:v>544</x:v>
      </x:c>
      <x:c r="F222" t="n">
        <x:v>4</x:v>
      </x:c>
      <x:c r="G222" s="50" t="n">
        <x:f>IF(C222="","",IFERROR(D222/C222,0))</x:f>
        <x:v>0.5463609172482552</x:v>
      </x:c>
      <x:c r="H222" s="36" t="n">
        <x:v>13</x:v>
      </x:c>
      <x:c r="I222" t="n">
        <x:v>302</x:v>
      </x:c>
      <x:c r="J222" t="n">
        <x:v>101</x:v>
      </x:c>
      <x:c r="K222" t="n">
        <x:v>120</x:v>
      </x:c>
      <x:c r="L222" t="n">
        <x:v>3</x:v>
      </x:c>
      <x:c r="M222" t="n">
        <x:v>3</x:v>
      </x:c>
      <x:c r="N222" t="n">
        <x:v>0</x:v>
      </x:c>
      <x:c r="O222" t="n">
        <x:v>2</x:v>
      </x:c>
      <x:c r="P222" s="50" t="n">
        <x:f>IF(D222=0,"",H222/D222)</x:f>
        <x:v>0.023722627737226276</x:v>
      </x:c>
      <x:c r="Q222" t="n">
        <x:f>MAX(I222:O222)</x:f>
        <x:v>302</x:v>
      </x:c>
      <x:c r="R222" t="n">
        <x:f>H222-Q222</x:f>
        <x:v>-289</x:v>
      </x:c>
      <x:c r="S222" s="52" t="n">
        <x:f>IF(D222=0,"",(R222)/D222)</x:f>
        <x:v>-0.5273722627737226</x:v>
      </x:c>
      <x:c r="T222" t="str">
        <x:v>Dhirendra Singh</x:v>
      </x:c>
      <x:c r="U222" t="n">
        <x:f>D222-E222-F222</x:f>
        <x:v>0</x:v>
      </x:c>
    </x:row>
    <x:row r="223">
      <x:c r="A223" t="n">
        <x:v>215</x:v>
      </x:c>
      <x:c r="B223" t="str">
        <x:v>PRY. SCHOOL ISMAILNAGAR URF BHOYRA R.NO. 1</x:v>
      </x:c>
      <x:c r="C223" t="n">
        <x:v>400</x:v>
      </x:c>
      <x:c r="D223" t="n">
        <x:v>331</x:v>
      </x:c>
      <x:c r="E223" t="n">
        <x:f>SUM(H223:O223)</x:f>
        <x:v>331</x:v>
      </x:c>
      <x:c r="F223" t="n">
        <x:v>0</x:v>
      </x:c>
      <x:c r="G223" s="50" t="n">
        <x:f>IF(C223="","",IFERROR(D223/C223,0))</x:f>
        <x:v>0.8275</x:v>
      </x:c>
      <x:c r="H223" s="36" t="n">
        <x:v>7</x:v>
      </x:c>
      <x:c r="I223" t="n">
        <x:v>288</x:v>
      </x:c>
      <x:c r="J223" t="n">
        <x:v>24</x:v>
      </x:c>
      <x:c r="K223" t="n">
        <x:v>11</x:v>
      </x:c>
      <x:c r="L223" t="n">
        <x:v>0</x:v>
      </x:c>
      <x:c r="M223" t="n">
        <x:v>0</x:v>
      </x:c>
      <x:c r="N223" t="n">
        <x:v>1</x:v>
      </x:c>
      <x:c r="O223" t="n">
        <x:v>0</x:v>
      </x:c>
      <x:c r="P223" s="50" t="n">
        <x:f>IF(D223=0,"",H223/D223)</x:f>
        <x:v>0.021148036253776436</x:v>
      </x:c>
      <x:c r="Q223" t="n">
        <x:f>MAX(I223:O223)</x:f>
        <x:v>288</x:v>
      </x:c>
      <x:c r="R223" t="n">
        <x:f>H223-Q223</x:f>
        <x:v>-281</x:v>
      </x:c>
      <x:c r="S223" s="52" t="n">
        <x:f>IF(D223=0,"",(R223)/D223)</x:f>
        <x:v>-0.8489425981873112</x:v>
      </x:c>
      <x:c r="T223" t="str">
        <x:v>Dhirendra Singh</x:v>
      </x:c>
      <x:c r="U223" t="n">
        <x:f>D223-E223-F223</x:f>
        <x:v>0</x:v>
      </x:c>
    </x:row>
    <x:row r="224">
      <x:c r="A224" t="n">
        <x:v>216</x:v>
      </x:c>
      <x:c r="B224" t="str">
        <x:v>PRY. SCHOOL KANPUR R.NO. 1</x:v>
      </x:c>
      <x:c r="C224" t="n">
        <x:v>1243</x:v>
      </x:c>
      <x:c r="D224" t="n">
        <x:v>822</x:v>
      </x:c>
      <x:c r="E224" t="n">
        <x:f>SUM(H224:O224)</x:f>
        <x:v>816</x:v>
      </x:c>
      <x:c r="F224" t="n">
        <x:v>6</x:v>
      </x:c>
      <x:c r="G224" s="50" t="n">
        <x:f>IF(C224="","",IFERROR(D224/C224,0))</x:f>
        <x:v>0.6613032984714401</x:v>
      </x:c>
      <x:c r="H224" s="36" t="n">
        <x:v>5</x:v>
      </x:c>
      <x:c r="I224" t="n">
        <x:v>370</x:v>
      </x:c>
      <x:c r="J224" t="n">
        <x:v>260</x:v>
      </x:c>
      <x:c r="K224" t="n">
        <x:v>168</x:v>
      </x:c>
      <x:c r="L224" t="n">
        <x:v>4</x:v>
      </x:c>
      <x:c r="M224" t="n">
        <x:v>2</x:v>
      </x:c>
      <x:c r="N224" t="n">
        <x:v>2</x:v>
      </x:c>
      <x:c r="O224" t="n">
        <x:v>5</x:v>
      </x:c>
      <x:c r="P224" s="50" t="n">
        <x:f>IF(D224=0,"",H224/D224)</x:f>
        <x:v>0.006082725060827251</x:v>
      </x:c>
      <x:c r="Q224" t="n">
        <x:f>MAX(I224:O224)</x:f>
        <x:v>370</x:v>
      </x:c>
      <x:c r="R224" t="n">
        <x:f>H224-Q224</x:f>
        <x:v>-365</x:v>
      </x:c>
      <x:c r="S224" s="52" t="n">
        <x:f>IF(D224=0,"",(R224)/D224)</x:f>
        <x:v>-0.4440389294403893</x:v>
      </x:c>
      <x:c r="T224" t="str">
        <x:v>Dhirendra Singh</x:v>
      </x:c>
      <x:c r="U224" t="n">
        <x:f>D224-E224-F224</x:f>
        <x:v>0</x:v>
      </x:c>
    </x:row>
    <x:row r="225">
      <x:c r="A225" t="n">
        <x:v>217</x:v>
      </x:c>
      <x:c r="B225" t="str">
        <x:v>PRY. SCHOOL NAGLA SHAHPUR R.NO. 1</x:v>
      </x:c>
      <x:c r="C225" t="n">
        <x:v>816</x:v>
      </x:c>
      <x:c r="D225" t="n">
        <x:v>501</x:v>
      </x:c>
      <x:c r="E225" t="n">
        <x:f>SUM(H225:O225)</x:f>
        <x:v>497</x:v>
      </x:c>
      <x:c r="F225" t="n">
        <x:v>4</x:v>
      </x:c>
      <x:c r="G225" s="50" t="n">
        <x:f>IF(C225="","",IFERROR(D225/C225,0))</x:f>
        <x:v>0.6139705882352942</x:v>
      </x:c>
      <x:c r="H225" s="36" t="n">
        <x:v>21</x:v>
      </x:c>
      <x:c r="I225" t="n">
        <x:v>273</x:v>
      </x:c>
      <x:c r="J225" t="n">
        <x:v>189</x:v>
      </x:c>
      <x:c r="K225" t="n">
        <x:v>6</x:v>
      </x:c>
      <x:c r="L225" t="n">
        <x:v>5</x:v>
      </x:c>
      <x:c r="M225" t="n">
        <x:v>2</x:v>
      </x:c>
      <x:c r="N225" t="n">
        <x:v>1</x:v>
      </x:c>
      <x:c r="O225" t="n">
        <x:v>0</x:v>
      </x:c>
      <x:c r="P225" s="50" t="n">
        <x:f>IF(D225=0,"",H225/D225)</x:f>
        <x:v>0.041916167664670656</x:v>
      </x:c>
      <x:c r="Q225" t="n">
        <x:f>MAX(I225:O225)</x:f>
        <x:v>273</x:v>
      </x:c>
      <x:c r="R225" t="n">
        <x:f>H225-Q225</x:f>
        <x:v>-252</x:v>
      </x:c>
      <x:c r="S225" s="52" t="n">
        <x:f>IF(D225=0,"",(R225)/D225)</x:f>
        <x:v>-0.5029940119760479</x:v>
      </x:c>
      <x:c r="T225" t="str">
        <x:v>Dhirendra Singh</x:v>
      </x:c>
      <x:c r="U225" t="n">
        <x:f>D225-E225-F225</x:f>
        <x:v>0</x:v>
      </x:c>
    </x:row>
    <x:row r="226">
      <x:c r="A226" t="n">
        <x:v>218</x:v>
      </x:c>
      <x:c r="B226" t="str">
        <x:v>PRY. SCHOOL BIRAMPUR R.NO. 1</x:v>
      </x:c>
      <x:c r="C226" t="n">
        <x:v>827</x:v>
      </x:c>
      <x:c r="D226" t="n">
        <x:v>566</x:v>
      </x:c>
      <x:c r="E226" t="n">
        <x:f>SUM(H226:O226)</x:f>
        <x:v>563</x:v>
      </x:c>
      <x:c r="F226" t="n">
        <x:v>3</x:v>
      </x:c>
      <x:c r="G226" s="50" t="n">
        <x:f>IF(C226="","",IFERROR(D226/C226,0))</x:f>
        <x:v>0.6844014510278114</x:v>
      </x:c>
      <x:c r="H226" s="36" t="n">
        <x:v>7</x:v>
      </x:c>
      <x:c r="I226" t="n">
        <x:v>173</x:v>
      </x:c>
      <x:c r="J226" t="n">
        <x:v>337</x:v>
      </x:c>
      <x:c r="K226" t="n">
        <x:v>33</x:v>
      </x:c>
      <x:c r="L226" t="n">
        <x:v>4</x:v>
      </x:c>
      <x:c r="M226" t="n">
        <x:v>5</x:v>
      </x:c>
      <x:c r="N226" t="n">
        <x:v>1</x:v>
      </x:c>
      <x:c r="O226" t="n">
        <x:v>3</x:v>
      </x:c>
      <x:c r="P226" s="50" t="n">
        <x:f>IF(D226=0,"",H226/D226)</x:f>
        <x:v>0.012367491166077738</x:v>
      </x:c>
      <x:c r="Q226" t="n">
        <x:f>MAX(I226:O226)</x:f>
        <x:v>337</x:v>
      </x:c>
      <x:c r="R226" t="n">
        <x:f>H226-Q226</x:f>
        <x:v>-330</x:v>
      </x:c>
      <x:c r="S226" s="52" t="n">
        <x:f>IF(D226=0,"",(R226)/D226)</x:f>
        <x:v>-0.5830388692579506</x:v>
      </x:c>
      <x:c r="T226" t="str">
        <x:v>Vedram Bhati</x:v>
      </x:c>
      <x:c r="U226" t="n">
        <x:f>D226-E226-F226</x:f>
        <x:v>0</x:v>
      </x:c>
    </x:row>
    <x:row r="227">
      <x:c r="A227" t="n">
        <x:v>219</x:v>
      </x:c>
      <x:c r="B227" t="str">
        <x:v>PRY. SCHOOL BIRAMPUR R.NO. 2</x:v>
      </x:c>
      <x:c r="C227" t="n">
        <x:v>734</x:v>
      </x:c>
      <x:c r="D227" t="n">
        <x:v>549</x:v>
      </x:c>
      <x:c r="E227" t="n">
        <x:f>SUM(H227:O227)</x:f>
        <x:v>545</x:v>
      </x:c>
      <x:c r="F227" t="n">
        <x:v>4</x:v>
      </x:c>
      <x:c r="G227" s="50" t="n">
        <x:f>IF(C227="","",IFERROR(D227/C227,0))</x:f>
        <x:v>0.7479564032697548</x:v>
      </x:c>
      <x:c r="H227" s="36" t="n">
        <x:v>4</x:v>
      </x:c>
      <x:c r="I227" t="n">
        <x:v>300</x:v>
      </x:c>
      <x:c r="J227" t="n">
        <x:v>212</x:v>
      </x:c>
      <x:c r="K227" t="n">
        <x:v>23</x:v>
      </x:c>
      <x:c r="L227" t="n">
        <x:v>2</x:v>
      </x:c>
      <x:c r="M227" t="n">
        <x:v>1</x:v>
      </x:c>
      <x:c r="N227" t="n">
        <x:v>0</x:v>
      </x:c>
      <x:c r="O227" t="n">
        <x:v>3</x:v>
      </x:c>
      <x:c r="P227" s="50" t="n">
        <x:f>IF(D227=0,"",H227/D227)</x:f>
        <x:v>0.007285974499089253</x:v>
      </x:c>
      <x:c r="Q227" t="n">
        <x:f>MAX(I227:O227)</x:f>
        <x:v>300</x:v>
      </x:c>
      <x:c r="R227" t="n">
        <x:f>H227-Q227</x:f>
        <x:v>-296</x:v>
      </x:c>
      <x:c r="S227" s="52" t="n">
        <x:f>IF(D227=0,"",(R227)/D227)</x:f>
        <x:v>-0.5391621129326047</x:v>
      </x:c>
      <x:c r="T227" t="str">
        <x:v>Dhirendra Singh</x:v>
      </x:c>
      <x:c r="U227" t="n">
        <x:f>D227-E227-F227</x:f>
        <x:v>0</x:v>
      </x:c>
    </x:row>
    <x:row r="228">
      <x:c r="A228" t="n">
        <x:v>220</x:v>
      </x:c>
      <x:c r="B228" t="str">
        <x:v>PRY. SCHOOL CHAKBIRAMPUR R.NO. 1</x:v>
      </x:c>
      <x:c r="C228" t="n">
        <x:v>1061</x:v>
      </x:c>
      <x:c r="D228" t="n">
        <x:v>793</x:v>
      </x:c>
      <x:c r="E228" t="n">
        <x:f>SUM(H228:O228)</x:f>
        <x:v>789</x:v>
      </x:c>
      <x:c r="F228" t="n">
        <x:v>4</x:v>
      </x:c>
      <x:c r="G228" s="50" t="n">
        <x:f>IF(C228="","",IFERROR(D228/C228,0))</x:f>
        <x:v>0.7474081055607917</x:v>
      </x:c>
      <x:c r="H228" s="36" t="n">
        <x:v>7</x:v>
      </x:c>
      <x:c r="I228" t="n">
        <x:v>469</x:v>
      </x:c>
      <x:c r="J228" t="n">
        <x:v>238</x:v>
      </x:c>
      <x:c r="K228" t="n">
        <x:v>68</x:v>
      </x:c>
      <x:c r="L228" t="n">
        <x:v>2</x:v>
      </x:c>
      <x:c r="M228" t="n">
        <x:v>2</x:v>
      </x:c>
      <x:c r="N228" t="n">
        <x:v>3</x:v>
      </x:c>
      <x:c r="O228" t="n">
        <x:v>0</x:v>
      </x:c>
      <x:c r="P228" s="50" t="n">
        <x:f>IF(D228=0,"",H228/D228)</x:f>
        <x:v>0.008827238335435058</x:v>
      </x:c>
      <x:c r="Q228" t="n">
        <x:f>MAX(I228:O228)</x:f>
        <x:v>469</x:v>
      </x:c>
      <x:c r="R228" t="n">
        <x:f>H228-Q228</x:f>
        <x:v>-462</x:v>
      </x:c>
      <x:c r="S228" s="52" t="n">
        <x:f>IF(D228=0,"",(R228)/D228)</x:f>
        <x:v>-0.5825977301387137</x:v>
      </x:c>
      <x:c r="T228" t="str">
        <x:v>Dhirendra Singh</x:v>
      </x:c>
      <x:c r="U228" t="n">
        <x:f>D228-E228-F228</x:f>
        <x:v>0</x:v>
      </x:c>
    </x:row>
    <x:row r="229">
      <x:c r="A229" t="n">
        <x:v>221</x:v>
      </x:c>
      <x:c r="B229" t="str">
        <x:v>PRY. SCHOOL MURADGARHI R.NO. 1</x:v>
      </x:c>
      <x:c r="C229" t="n">
        <x:v>1227</x:v>
      </x:c>
      <x:c r="D229" t="n">
        <x:v>998</x:v>
      </x:c>
      <x:c r="E229" t="n">
        <x:f>SUM(H229:O229)</x:f>
        <x:v>996</x:v>
      </x:c>
      <x:c r="F229" t="n">
        <x:v>2</x:v>
      </x:c>
      <x:c r="G229" s="50" t="n">
        <x:f>IF(C229="","",IFERROR(D229/C229,0))</x:f>
        <x:v>0.8133659331703341</x:v>
      </x:c>
      <x:c r="H229" s="36" t="n">
        <x:v>7</x:v>
      </x:c>
      <x:c r="I229" t="n">
        <x:v>958</x:v>
      </x:c>
      <x:c r="J229" t="n">
        <x:v>15</x:v>
      </x:c>
      <x:c r="K229" t="n">
        <x:v>8</x:v>
      </x:c>
      <x:c r="L229" t="n">
        <x:v>1</x:v>
      </x:c>
      <x:c r="M229" t="n">
        <x:v>1</x:v>
      </x:c>
      <x:c r="N229" t="n">
        <x:v>2</x:v>
      </x:c>
      <x:c r="O229" t="n">
        <x:v>4</x:v>
      </x:c>
      <x:c r="P229" s="50" t="n">
        <x:f>IF(D229=0,"",H229/D229)</x:f>
        <x:v>0.0070140280561122245</x:v>
      </x:c>
      <x:c r="Q229" t="n">
        <x:f>MAX(I229:O229)</x:f>
        <x:v>958</x:v>
      </x:c>
      <x:c r="R229" t="n">
        <x:f>H229-Q229</x:f>
        <x:v>-951</x:v>
      </x:c>
      <x:c r="S229" s="52" t="n">
        <x:f>IF(D229=0,"",(R229)/D229)</x:f>
        <x:v>-0.9529058116232465</x:v>
      </x:c>
      <x:c r="T229" t="str">
        <x:v>Dhirendra Singh</x:v>
      </x:c>
      <x:c r="U229" t="n">
        <x:f>D229-E229-F229</x:f>
        <x:v>0</x:v>
      </x:c>
    </x:row>
    <x:row r="230">
      <x:c r="A230" t="n">
        <x:v>222</x:v>
      </x:c>
      <x:c r="B230" t="str">
        <x:v>PRY. SCHOOL NAGLA BHATONA MAZRA KARAULI BANGAR R.NO. 1</x:v>
      </x:c>
      <x:c r="C230" t="n">
        <x:v>768</x:v>
      </x:c>
      <x:c r="D230" t="n">
        <x:v>580</x:v>
      </x:c>
      <x:c r="E230" t="n">
        <x:f>SUM(H230:O230)</x:f>
        <x:v>578</x:v>
      </x:c>
      <x:c r="F230" t="n">
        <x:v>2</x:v>
      </x:c>
      <x:c r="G230" s="50" t="n">
        <x:f>IF(C230="","",IFERROR(D230/C230,0))</x:f>
        <x:v>0.7552083333333334</x:v>
      </x:c>
      <x:c r="H230" s="36" t="n">
        <x:v>5</x:v>
      </x:c>
      <x:c r="I230" t="n">
        <x:v>469</x:v>
      </x:c>
      <x:c r="J230" t="n">
        <x:v>61</x:v>
      </x:c>
      <x:c r="K230" t="n">
        <x:v>40</x:v>
      </x:c>
      <x:c r="L230" t="n">
        <x:v>0</x:v>
      </x:c>
      <x:c r="M230" t="n">
        <x:v>0</x:v>
      </x:c>
      <x:c r="N230" t="n">
        <x:v>2</x:v>
      </x:c>
      <x:c r="O230" t="n">
        <x:v>1</x:v>
      </x:c>
      <x:c r="P230" s="50" t="n">
        <x:f>IF(D230=0,"",H230/D230)</x:f>
        <x:v>0.008620689655172414</x:v>
      </x:c>
      <x:c r="Q230" t="n">
        <x:f>MAX(I230:O230)</x:f>
        <x:v>469</x:v>
      </x:c>
      <x:c r="R230" t="n">
        <x:f>H230-Q230</x:f>
        <x:v>-464</x:v>
      </x:c>
      <x:c r="S230" s="52" t="n">
        <x:f>IF(D230=0,"",(R230)/D230)</x:f>
        <x:v>-0.8</x:v>
      </x:c>
      <x:c r="T230" t="str">
        <x:v>Dhirendra Singh</x:v>
      </x:c>
      <x:c r="U230" t="n">
        <x:f>D230-E230-F230</x:f>
        <x:v>0</x:v>
      </x:c>
    </x:row>
    <x:row r="231">
      <x:c r="A231" t="n">
        <x:v>223</x:v>
      </x:c>
      <x:c r="B231" t="str">
        <x:v>PRY. SCHOOL NAGLA HUKAM SINGH MAZRA KARAULI BANGAR R.NO. 1</x:v>
      </x:c>
      <x:c r="C231" t="n">
        <x:v>1068</x:v>
      </x:c>
      <x:c r="D231" t="n">
        <x:v>645</x:v>
      </x:c>
      <x:c r="E231" t="n">
        <x:f>SUM(H231:O231)</x:f>
        <x:v>645</x:v>
      </x:c>
      <x:c r="F231" t="n">
        <x:v>0</x:v>
      </x:c>
      <x:c r="G231" s="50" t="n">
        <x:f>IF(C231="","",IFERROR(D231/C231,0))</x:f>
        <x:v>0.6039325842696629</x:v>
      </x:c>
      <x:c r="H231" s="36" t="n">
        <x:v>15</x:v>
      </x:c>
      <x:c r="I231" t="n">
        <x:v>520</x:v>
      </x:c>
      <x:c r="J231" t="n">
        <x:v>70</x:v>
      </x:c>
      <x:c r="K231" t="n">
        <x:v>34</x:v>
      </x:c>
      <x:c r="L231" t="n">
        <x:v>0</x:v>
      </x:c>
      <x:c r="M231" t="n">
        <x:v>0</x:v>
      </x:c>
      <x:c r="N231" t="n">
        <x:v>2</x:v>
      </x:c>
      <x:c r="O231" t="n">
        <x:v>4</x:v>
      </x:c>
      <x:c r="P231" s="50" t="n">
        <x:f>IF(D231=0,"",H231/D231)</x:f>
        <x:v>0.023255813953488372</x:v>
      </x:c>
      <x:c r="Q231" t="n">
        <x:f>MAX(I231:O231)</x:f>
        <x:v>520</x:v>
      </x:c>
      <x:c r="R231" t="n">
        <x:f>H231-Q231</x:f>
        <x:v>-505</x:v>
      </x:c>
      <x:c r="S231" s="52" t="n">
        <x:f>IF(D231=0,"",(R231)/D231)</x:f>
        <x:v>-0.7829457364341085</x:v>
      </x:c>
      <x:c r="T231" t="str">
        <x:v>Dhirendra Singh</x:v>
      </x:c>
      <x:c r="U231" t="n">
        <x:f>D231-E231-F231</x:f>
        <x:v>0</x:v>
      </x:c>
    </x:row>
    <x:row r="232">
      <x:c r="A232" t="n">
        <x:v>224</x:v>
      </x:c>
      <x:c r="B232" t="str">
        <x:v>PRY. SCHOOL NAGLA HUKAM SINGH MAZRA KARAULI BANGAR R.NO. 2</x:v>
      </x:c>
      <x:c r="C232" t="n">
        <x:v>682</x:v>
      </x:c>
      <x:c r="D232" t="n">
        <x:v>466</x:v>
      </x:c>
      <x:c r="E232" t="n">
        <x:f>SUM(H232:O232)</x:f>
        <x:v>464</x:v>
      </x:c>
      <x:c r="F232" t="n">
        <x:v>2</x:v>
      </x:c>
      <x:c r="G232" s="50" t="n">
        <x:f>IF(C232="","",IFERROR(D232/C232,0))</x:f>
        <x:v>0.6832844574780058</x:v>
      </x:c>
      <x:c r="H232" s="36" t="n">
        <x:v>1</x:v>
      </x:c>
      <x:c r="I232" t="n">
        <x:v>100</x:v>
      </x:c>
      <x:c r="J232" t="n">
        <x:v>347</x:v>
      </x:c>
      <x:c r="K232" t="n">
        <x:v>2</x:v>
      </x:c>
      <x:c r="L232" t="n">
        <x:v>7</x:v>
      </x:c>
      <x:c r="M232" t="n">
        <x:v>3</x:v>
      </x:c>
      <x:c r="N232" t="n">
        <x:v>2</x:v>
      </x:c>
      <x:c r="O232" t="n">
        <x:v>2</x:v>
      </x:c>
      <x:c r="P232" s="50" t="n">
        <x:f>IF(D232=0,"",H232/D232)</x:f>
        <x:v>0.002145922746781116</x:v>
      </x:c>
      <x:c r="Q232" t="n">
        <x:f>MAX(I232:O232)</x:f>
        <x:v>347</x:v>
      </x:c>
      <x:c r="R232" t="n">
        <x:f>H232-Q232</x:f>
        <x:v>-346</x:v>
      </x:c>
      <x:c r="S232" s="52" t="n">
        <x:f>IF(D232=0,"",(R232)/D232)</x:f>
        <x:v>-0.7424892703862661</x:v>
      </x:c>
      <x:c r="T232" t="str">
        <x:v>Vedram Bhati</x:v>
      </x:c>
      <x:c r="U232" t="n">
        <x:f>D232-E232-F232</x:f>
        <x:v>0</x:v>
      </x:c>
    </x:row>
    <x:row r="233">
      <x:c r="A233" t="n">
        <x:v>225</x:v>
      </x:c>
      <x:c r="B233" t="str">
        <x:v>PRY. SCHOOL NAGLA KANCHAN MAZRA KARAULI BANGAR R.NO. 1</x:v>
      </x:c>
      <x:c r="C233" t="n">
        <x:v>794</x:v>
      </x:c>
      <x:c r="D233" t="n">
        <x:v>605</x:v>
      </x:c>
      <x:c r="E233" t="n">
        <x:f>SUM(H233:O233)</x:f>
        <x:v>604</x:v>
      </x:c>
      <x:c r="F233" t="n">
        <x:v>1</x:v>
      </x:c>
      <x:c r="G233" s="50" t="n">
        <x:f>IF(C233="","",IFERROR(D233/C233,0))</x:f>
        <x:v>0.7619647355163728</x:v>
      </x:c>
      <x:c r="H233" s="36" t="n">
        <x:v>14</x:v>
      </x:c>
      <x:c r="I233" t="n">
        <x:v>499</x:v>
      </x:c>
      <x:c r="J233" t="n">
        <x:v>76</x:v>
      </x:c>
      <x:c r="K233" t="n">
        <x:v>10</x:v>
      </x:c>
      <x:c r="L233" t="n">
        <x:v>2</x:v>
      </x:c>
      <x:c r="M233" t="n">
        <x:v>0</x:v>
      </x:c>
      <x:c r="N233" t="n">
        <x:v>2</x:v>
      </x:c>
      <x:c r="O233" t="n">
        <x:v>1</x:v>
      </x:c>
      <x:c r="P233" s="50" t="n">
        <x:f>IF(D233=0,"",H233/D233)</x:f>
        <x:v>0.023140495867768594</x:v>
      </x:c>
      <x:c r="Q233" t="n">
        <x:f>MAX(I233:O233)</x:f>
        <x:v>499</x:v>
      </x:c>
      <x:c r="R233" t="n">
        <x:f>H233-Q233</x:f>
        <x:v>-485</x:v>
      </x:c>
      <x:c r="S233" s="52" t="n">
        <x:f>IF(D233=0,"",(R233)/D233)</x:f>
        <x:v>-0.8016528925619835</x:v>
      </x:c>
      <x:c r="T233" t="str">
        <x:v>Dhirendra Singh</x:v>
      </x:c>
      <x:c r="U233" t="n">
        <x:f>D233-E233-F233</x:f>
        <x:v>0</x:v>
      </x:c>
    </x:row>
    <x:row r="234">
      <x:c r="A234" t="n">
        <x:v>226</x:v>
      </x:c>
      <x:c r="B234" t="str">
        <x:v>PRY. SCHOOL NAGLA CHANDAN MAZRA KARAULI BANGAR R.NO. 1</x:v>
      </x:c>
      <x:c r="C234" t="n">
        <x:v>562</x:v>
      </x:c>
      <x:c r="D234" t="n">
        <x:v>432</x:v>
      </x:c>
      <x:c r="E234" t="n">
        <x:f>SUM(H234:O234)</x:f>
        <x:v>427</x:v>
      </x:c>
      <x:c r="F234" t="n">
        <x:v>5</x:v>
      </x:c>
      <x:c r="G234" s="50" t="n">
        <x:f>IF(C234="","",IFERROR(D234/C234,0))</x:f>
        <x:v>0.7686832740213523</x:v>
      </x:c>
      <x:c r="H234" s="36" t="n">
        <x:v>5</x:v>
      </x:c>
      <x:c r="I234" t="n">
        <x:v>335</x:v>
      </x:c>
      <x:c r="J234" t="n">
        <x:v>67</x:v>
      </x:c>
      <x:c r="K234" t="n">
        <x:v>12</x:v>
      </x:c>
      <x:c r="L234" t="n">
        <x:v>1</x:v>
      </x:c>
      <x:c r="M234" t="n">
        <x:v>1</x:v>
      </x:c>
      <x:c r="N234" t="n">
        <x:v>3</x:v>
      </x:c>
      <x:c r="O234" t="n">
        <x:v>3</x:v>
      </x:c>
      <x:c r="P234" s="50" t="n">
        <x:f>IF(D234=0,"",H234/D234)</x:f>
        <x:v>0.011574074074074073</x:v>
      </x:c>
      <x:c r="Q234" t="n">
        <x:f>MAX(I234:O234)</x:f>
        <x:v>335</x:v>
      </x:c>
      <x:c r="R234" t="n">
        <x:f>H234-Q234</x:f>
        <x:v>-330</x:v>
      </x:c>
      <x:c r="S234" s="52" t="n">
        <x:f>IF(D234=0,"",(R234)/D234)</x:f>
        <x:v>-0.7638888888888888</x:v>
      </x:c>
      <x:c r="T234" t="str">
        <x:v>Dhirendra Singh</x:v>
      </x:c>
      <x:c r="U234" t="n">
        <x:f>D234-E234-F234</x:f>
        <x:v>0</x:v>
      </x:c>
    </x:row>
    <x:row r="235">
      <x:c r="A235" t="n">
        <x:v>227</x:v>
      </x:c>
      <x:c r="B235" t="str">
        <x:v>J. H. SCHOOL FALAINDA BANGAR R.NO. 1</x:v>
      </x:c>
      <x:c r="C235" t="n">
        <x:v>845</x:v>
      </x:c>
      <x:c r="D235" t="n">
        <x:v>666</x:v>
      </x:c>
      <x:c r="E235" t="n">
        <x:f>SUM(H235:O235)</x:f>
        <x:v>666</x:v>
      </x:c>
      <x:c r="F235" t="n">
        <x:v>0</x:v>
      </x:c>
      <x:c r="G235" s="50" t="n">
        <x:f>IF(C235="","",IFERROR(D235/C235,0))</x:f>
        <x:v>0.7881656804733728</x:v>
      </x:c>
      <x:c r="H235" s="36" t="n">
        <x:v>2</x:v>
      </x:c>
      <x:c r="I235" t="n">
        <x:v>271</x:v>
      </x:c>
      <x:c r="J235" t="n">
        <x:v>378</x:v>
      </x:c>
      <x:c r="K235" t="n">
        <x:v>5</x:v>
      </x:c>
      <x:c r="L235" t="n">
        <x:v>3</x:v>
      </x:c>
      <x:c r="M235" t="n">
        <x:v>4</x:v>
      </x:c>
      <x:c r="N235" t="n">
        <x:v>2</x:v>
      </x:c>
      <x:c r="O235" t="n">
        <x:v>1</x:v>
      </x:c>
      <x:c r="P235" s="50" t="n">
        <x:f>IF(D235=0,"",H235/D235)</x:f>
        <x:v>0.003003003003003003</x:v>
      </x:c>
      <x:c r="Q235" t="n">
        <x:f>MAX(I235:O235)</x:f>
        <x:v>378</x:v>
      </x:c>
      <x:c r="R235" t="n">
        <x:f>H235-Q235</x:f>
        <x:v>-376</x:v>
      </x:c>
      <x:c r="S235" s="52" t="n">
        <x:f>IF(D235=0,"",(R235)/D235)</x:f>
        <x:v>-0.5645645645645646</x:v>
      </x:c>
      <x:c r="T235" t="str">
        <x:v>Vedram Bhati</x:v>
      </x:c>
      <x:c r="U235" t="n">
        <x:f>D235-E235-F235</x:f>
        <x:v>0</x:v>
      </x:c>
    </x:row>
    <x:row r="236">
      <x:c r="A236" t="n">
        <x:v>228</x:v>
      </x:c>
      <x:c r="B236" t="str">
        <x:v>J. H. SCHOOL FALAINDA BANGAR R.NO. 2</x:v>
      </x:c>
      <x:c r="C236" t="n">
        <x:v>762</x:v>
      </x:c>
      <x:c r="D236" t="n">
        <x:v>582</x:v>
      </x:c>
      <x:c r="E236" t="n">
        <x:f>SUM(H236:O236)</x:f>
        <x:v>579</x:v>
      </x:c>
      <x:c r="F236" t="n">
        <x:v>3</x:v>
      </x:c>
      <x:c r="G236" s="50" t="n">
        <x:f>IF(C236="","",IFERROR(D236/C236,0))</x:f>
        <x:v>0.7637795275590551</x:v>
      </x:c>
      <x:c r="H236" s="36" t="n">
        <x:v>5</x:v>
      </x:c>
      <x:c r="I236" t="n">
        <x:v>503</x:v>
      </x:c>
      <x:c r="J236" t="n">
        <x:v>66</x:v>
      </x:c>
      <x:c r="K236" t="n">
        <x:v>3</x:v>
      </x:c>
      <x:c r="L236" t="n">
        <x:v>1</x:v>
      </x:c>
      <x:c r="M236" t="n">
        <x:v>0</x:v>
      </x:c>
      <x:c r="N236" t="n">
        <x:v>1</x:v>
      </x:c>
      <x:c r="O236" t="n">
        <x:v>0</x:v>
      </x:c>
      <x:c r="P236" s="50" t="n">
        <x:f>IF(D236=0,"",H236/D236)</x:f>
        <x:v>0.00859106529209622</x:v>
      </x:c>
      <x:c r="Q236" t="n">
        <x:f>MAX(I236:O236)</x:f>
        <x:v>503</x:v>
      </x:c>
      <x:c r="R236" t="n">
        <x:f>H236-Q236</x:f>
        <x:v>-498</x:v>
      </x:c>
      <x:c r="S236" s="52" t="n">
        <x:f>IF(D236=0,"",(R236)/D236)</x:f>
        <x:v>-0.8556701030927835</x:v>
      </x:c>
      <x:c r="T236" t="str">
        <x:v>Dhirendra Singh</x:v>
      </x:c>
      <x:c r="U236" t="n">
        <x:f>D236-E236-F236</x:f>
        <x:v>0</x:v>
      </x:c>
    </x:row>
    <x:row r="237">
      <x:c r="A237" t="n">
        <x:v>229</x:v>
      </x:c>
      <x:c r="B237" t="str">
        <x:v>J. H. SCHOOL FALAINDA BANGAR R.NO. 3</x:v>
      </x:c>
      <x:c r="C237" t="n">
        <x:v>734</x:v>
      </x:c>
      <x:c r="D237" t="n">
        <x:v>544</x:v>
      </x:c>
      <x:c r="E237" t="n">
        <x:f>SUM(H237:O237)</x:f>
        <x:v>542</x:v>
      </x:c>
      <x:c r="F237" t="n">
        <x:v>2</x:v>
      </x:c>
      <x:c r="G237" s="50" t="n">
        <x:f>IF(C237="","",IFERROR(D237/C237,0))</x:f>
        <x:v>0.7411444141689373</x:v>
      </x:c>
      <x:c r="H237" s="36" t="n">
        <x:v>3</x:v>
      </x:c>
      <x:c r="I237" t="n">
        <x:v>310</x:v>
      </x:c>
      <x:c r="J237" t="n">
        <x:v>208</x:v>
      </x:c>
      <x:c r="K237" t="n">
        <x:v>14</x:v>
      </x:c>
      <x:c r="L237" t="n">
        <x:v>2</x:v>
      </x:c>
      <x:c r="M237" t="n">
        <x:v>1</x:v>
      </x:c>
      <x:c r="N237" t="n">
        <x:v>2</x:v>
      </x:c>
      <x:c r="O237" t="n">
        <x:v>2</x:v>
      </x:c>
      <x:c r="P237" s="50" t="n">
        <x:f>IF(D237=0,"",H237/D237)</x:f>
        <x:v>0.0055147058823529415</x:v>
      </x:c>
      <x:c r="Q237" t="n">
        <x:f>MAX(I237:O237)</x:f>
        <x:v>310</x:v>
      </x:c>
      <x:c r="R237" t="n">
        <x:f>H237-Q237</x:f>
        <x:v>-307</x:v>
      </x:c>
      <x:c r="S237" s="52" t="n">
        <x:f>IF(D237=0,"",(R237)/D237)</x:f>
        <x:v>-0.5643382352941176</x:v>
      </x:c>
      <x:c r="T237" t="str">
        <x:v>Dhirendra Singh</x:v>
      </x:c>
      <x:c r="U237" t="n">
        <x:f>D237-E237-F237</x:f>
        <x:v>0</x:v>
      </x:c>
    </x:row>
    <x:row r="238">
      <x:c r="A238" t="n">
        <x:v>230</x:v>
      </x:c>
      <x:c r="B238" t="str">
        <x:v>J. H. SCHOOL FALAINDA BANGAR R.NO. 4</x:v>
      </x:c>
      <x:c r="C238" t="n">
        <x:v>756</x:v>
      </x:c>
      <x:c r="D238" t="n">
        <x:v>561</x:v>
      </x:c>
      <x:c r="E238" t="n">
        <x:f>SUM(H238:O238)</x:f>
        <x:v>559</x:v>
      </x:c>
      <x:c r="F238" t="n">
        <x:v>2</x:v>
      </x:c>
      <x:c r="G238" s="50" t="n">
        <x:f>IF(C238="","",IFERROR(D238/C238,0))</x:f>
        <x:v>0.7420634920634921</x:v>
      </x:c>
      <x:c r="H238" s="36" t="n">
        <x:v>7</x:v>
      </x:c>
      <x:c r="I238" t="n">
        <x:v>494</x:v>
      </x:c>
      <x:c r="J238" t="n">
        <x:v>10</x:v>
      </x:c>
      <x:c r="K238" t="n">
        <x:v>43</x:v>
      </x:c>
      <x:c r="L238" t="n">
        <x:v>0</x:v>
      </x:c>
      <x:c r="M238" t="n">
        <x:v>1</x:v>
      </x:c>
      <x:c r="N238" t="n">
        <x:v>0</x:v>
      </x:c>
      <x:c r="O238" t="n">
        <x:v>4</x:v>
      </x:c>
      <x:c r="P238" s="50" t="n">
        <x:f>IF(D238=0,"",H238/D238)</x:f>
        <x:v>0.012477718360071301</x:v>
      </x:c>
      <x:c r="Q238" t="n">
        <x:f>MAX(I238:O238)</x:f>
        <x:v>494</x:v>
      </x:c>
      <x:c r="R238" t="n">
        <x:f>H238-Q238</x:f>
        <x:v>-487</x:v>
      </x:c>
      <x:c r="S238" s="52" t="n">
        <x:f>IF(D238=0,"",(R238)/D238)</x:f>
        <x:v>-0.8680926916221033</x:v>
      </x:c>
      <x:c r="T238" t="str">
        <x:v>Dhirendra Singh</x:v>
      </x:c>
      <x:c r="U238" t="n">
        <x:f>D238-E238-F238</x:f>
        <x:v>0</x:v>
      </x:c>
    </x:row>
    <x:row r="239">
      <x:c r="A239" t="n">
        <x:v>231</x:v>
      </x:c>
      <x:c r="B239" t="str">
        <x:v>J. H. SCHOOL FALAINDA BANGAR R.NO. 5</x:v>
      </x:c>
      <x:c r="C239" t="n">
        <x:v>1396</x:v>
      </x:c>
      <x:c r="D239" t="n">
        <x:v>976</x:v>
      </x:c>
      <x:c r="E239" t="n">
        <x:f>SUM(H239:O239)</x:f>
        <x:v>974</x:v>
      </x:c>
      <x:c r="F239" t="n">
        <x:v>2</x:v>
      </x:c>
      <x:c r="G239" s="50" t="n">
        <x:f>IF(C239="","",IFERROR(D239/C239,0))</x:f>
        <x:v>0.6991404011461319</x:v>
      </x:c>
      <x:c r="H239" s="36" t="n">
        <x:v>20</x:v>
      </x:c>
      <x:c r="I239" t="n">
        <x:v>788</x:v>
      </x:c>
      <x:c r="J239" t="n">
        <x:v>109</x:v>
      </x:c>
      <x:c r="K239" t="n">
        <x:v>51</x:v>
      </x:c>
      <x:c r="L239" t="n">
        <x:v>1</x:v>
      </x:c>
      <x:c r="M239" t="n">
        <x:v>1</x:v>
      </x:c>
      <x:c r="N239" t="n">
        <x:v>1</x:v>
      </x:c>
      <x:c r="O239" t="n">
        <x:v>3</x:v>
      </x:c>
      <x:c r="P239" s="50" t="n">
        <x:f>IF(D239=0,"",H239/D239)</x:f>
        <x:v>0.020491803278688523</x:v>
      </x:c>
      <x:c r="Q239" t="n">
        <x:f>MAX(I239:O239)</x:f>
        <x:v>788</x:v>
      </x:c>
      <x:c r="R239" t="n">
        <x:f>H239-Q239</x:f>
        <x:v>-768</x:v>
      </x:c>
      <x:c r="S239" s="52" t="n">
        <x:f>IF(D239=0,"",(R239)/D239)</x:f>
        <x:v>-0.7868852459016393</x:v>
      </x:c>
      <x:c r="T239" t="str">
        <x:v>Dhirendra Singh</x:v>
      </x:c>
      <x:c r="U239" t="n">
        <x:f>D239-E239-F239</x:f>
        <x:v>0</x:v>
      </x:c>
    </x:row>
    <x:row r="240">
      <x:c r="A240" t="n">
        <x:v>232</x:v>
      </x:c>
      <x:c r="B240" t="str">
        <x:v>PRY. SCHOOL NAGLA HANDA MAZRA KURAIB R.NO. 1</x:v>
      </x:c>
      <x:c r="C240" t="n">
        <x:v>694</x:v>
      </x:c>
      <x:c r="D240" t="n">
        <x:v>515</x:v>
      </x:c>
      <x:c r="E240" t="n">
        <x:f>SUM(H240:O240)</x:f>
        <x:v>508</x:v>
      </x:c>
      <x:c r="F240" t="n">
        <x:v>7</x:v>
      </x:c>
      <x:c r="G240" s="50" t="n">
        <x:f>IF(C240="","",IFERROR(D240/C240,0))</x:f>
        <x:v>0.7420749279538905</x:v>
      </x:c>
      <x:c r="H240" s="36" t="n">
        <x:v>76</x:v>
      </x:c>
      <x:c r="I240" t="n">
        <x:v>134</x:v>
      </x:c>
      <x:c r="J240" t="n">
        <x:v>238</x:v>
      </x:c>
      <x:c r="K240" t="n">
        <x:v>46</x:v>
      </x:c>
      <x:c r="L240" t="n">
        <x:v>5</x:v>
      </x:c>
      <x:c r="M240" t="n">
        <x:v>4</x:v>
      </x:c>
      <x:c r="N240" t="n">
        <x:v>2</x:v>
      </x:c>
      <x:c r="O240" t="n">
        <x:v>3</x:v>
      </x:c>
      <x:c r="P240" s="50" t="n">
        <x:f>IF(D240=0,"",H240/D240)</x:f>
        <x:v>0.14757281553398058</x:v>
      </x:c>
      <x:c r="Q240" t="n">
        <x:f>MAX(I240:O240)</x:f>
        <x:v>238</x:v>
      </x:c>
      <x:c r="R240" t="n">
        <x:f>H240-Q240</x:f>
        <x:v>-162</x:v>
      </x:c>
      <x:c r="S240" s="52" t="n">
        <x:f>IF(D240=0,"",(R240)/D240)</x:f>
        <x:v>-0.3145631067961165</x:v>
      </x:c>
      <x:c r="T240" t="str">
        <x:v>Vedram Bhati</x:v>
      </x:c>
      <x:c r="U240" t="n">
        <x:f>D240-E240-F240</x:f>
        <x:v>0</x:v>
      </x:c>
    </x:row>
    <x:row r="241">
      <x:c r="A241" t="n">
        <x:v>233</x:v>
      </x:c>
      <x:c r="B241" t="str">
        <x:v>PRY. SCHOOL KURAIB R.NO. 1</x:v>
      </x:c>
      <x:c r="C241" t="n">
        <x:v>945</x:v>
      </x:c>
      <x:c r="D241" t="n">
        <x:v>588</x:v>
      </x:c>
      <x:c r="E241" t="n">
        <x:f>SUM(H241:O241)</x:f>
        <x:v>587</x:v>
      </x:c>
      <x:c r="F241" t="n">
        <x:v>1</x:v>
      </x:c>
      <x:c r="G241" s="50" t="n">
        <x:f>IF(C241="","",IFERROR(D241/C241,0))</x:f>
        <x:v>0.6222222222222222</x:v>
      </x:c>
      <x:c r="H241" s="36" t="n">
        <x:v>129</x:v>
      </x:c>
      <x:c r="I241" t="n">
        <x:v>98</x:v>
      </x:c>
      <x:c r="J241" t="n">
        <x:v>338</x:v>
      </x:c>
      <x:c r="K241" t="n">
        <x:v>12</x:v>
      </x:c>
      <x:c r="L241" t="n">
        <x:v>7</x:v>
      </x:c>
      <x:c r="M241" t="n">
        <x:v>0</x:v>
      </x:c>
      <x:c r="N241" t="n">
        <x:v>2</x:v>
      </x:c>
      <x:c r="O241" t="n">
        <x:v>1</x:v>
      </x:c>
      <x:c r="P241" s="50" t="n">
        <x:f>IF(D241=0,"",H241/D241)</x:f>
        <x:v>0.2193877551020408</x:v>
      </x:c>
      <x:c r="Q241" t="n">
        <x:f>MAX(I241:O241)</x:f>
        <x:v>338</x:v>
      </x:c>
      <x:c r="R241" t="n">
        <x:f>H241-Q241</x:f>
        <x:v>-209</x:v>
      </x:c>
      <x:c r="S241" s="52" t="n">
        <x:f>IF(D241=0,"",(R241)/D241)</x:f>
        <x:v>-0.3554421768707483</x:v>
      </x:c>
      <x:c r="T241" t="str">
        <x:v>Vedram Bhati</x:v>
      </x:c>
      <x:c r="U241" t="n">
        <x:f>D241-E241-F241</x:f>
        <x:v>0</x:v>
      </x:c>
    </x:row>
    <x:row r="242">
      <x:c r="A242" t="n">
        <x:v>234</x:v>
      </x:c>
      <x:c r="B242" t="str">
        <x:v>J. H. S. KURAIB R.N. 1</x:v>
      </x:c>
      <x:c r="C242" t="n">
        <x:v>810</x:v>
      </x:c>
      <x:c r="D242" t="n">
        <x:v>476</x:v>
      </x:c>
      <x:c r="E242" t="n">
        <x:f>SUM(H242:O242)</x:f>
        <x:v>469</x:v>
      </x:c>
      <x:c r="F242" t="n">
        <x:v>7</x:v>
      </x:c>
      <x:c r="G242" s="50" t="n">
        <x:f>IF(C242="","",IFERROR(D242/C242,0))</x:f>
        <x:v>0.5876543209876544</x:v>
      </x:c>
      <x:c r="H242" s="36" t="n">
        <x:v>121</x:v>
      </x:c>
      <x:c r="I242" t="n">
        <x:v>66</x:v>
      </x:c>
      <x:c r="J242" t="n">
        <x:v>267</x:v>
      </x:c>
      <x:c r="K242" t="n">
        <x:v>5</x:v>
      </x:c>
      <x:c r="L242" t="n">
        <x:v>3</x:v>
      </x:c>
      <x:c r="M242" t="n">
        <x:v>0</x:v>
      </x:c>
      <x:c r="N242" t="n">
        <x:v>4</x:v>
      </x:c>
      <x:c r="O242" t="n">
        <x:v>3</x:v>
      </x:c>
      <x:c r="P242" s="50" t="n">
        <x:f>IF(D242=0,"",H242/D242)</x:f>
        <x:v>0.2542016806722689</x:v>
      </x:c>
      <x:c r="Q242" t="n">
        <x:f>MAX(I242:O242)</x:f>
        <x:v>267</x:v>
      </x:c>
      <x:c r="R242" t="n">
        <x:f>H242-Q242</x:f>
        <x:v>-146</x:v>
      </x:c>
      <x:c r="S242" s="52" t="n">
        <x:f>IF(D242=0,"",(R242)/D242)</x:f>
        <x:v>-0.3067226890756303</x:v>
      </x:c>
      <x:c r="T242" t="str">
        <x:v>Vedram Bhati</x:v>
      </x:c>
      <x:c r="U242" t="n">
        <x:f>D242-E242-F242</x:f>
        <x:v>0</x:v>
      </x:c>
    </x:row>
    <x:row r="243">
      <x:c r="A243" t="n">
        <x:v>235</x:v>
      </x:c>
      <x:c r="B243" t="str">
        <x:v>J. H. S. KURAIB R.N. 2</x:v>
      </x:c>
      <x:c r="C243" t="n">
        <x:v>1420</x:v>
      </x:c>
      <x:c r="D243" t="n">
        <x:v>917</x:v>
      </x:c>
      <x:c r="E243" t="n">
        <x:f>SUM(H243:O243)</x:f>
        <x:v>912</x:v>
      </x:c>
      <x:c r="F243" t="n">
        <x:v>5</x:v>
      </x:c>
      <x:c r="G243" s="50" t="n">
        <x:f>IF(C243="","",IFERROR(D243/C243,0))</x:f>
        <x:v>0.645774647887324</x:v>
      </x:c>
      <x:c r="H243" s="36" t="n">
        <x:v>9</x:v>
      </x:c>
      <x:c r="I243" t="n">
        <x:v>607</x:v>
      </x:c>
      <x:c r="J243" t="n">
        <x:v>235</x:v>
      </x:c>
      <x:c r="K243" t="n">
        <x:v>51</x:v>
      </x:c>
      <x:c r="L243" t="n">
        <x:v>0</x:v>
      </x:c>
      <x:c r="M243" t="n">
        <x:v>3</x:v>
      </x:c>
      <x:c r="N243" t="n">
        <x:v>4</x:v>
      </x:c>
      <x:c r="O243" t="n">
        <x:v>3</x:v>
      </x:c>
      <x:c r="P243" s="50" t="n">
        <x:f>IF(D243=0,"",H243/D243)</x:f>
        <x:v>0.009814612868047983</x:v>
      </x:c>
      <x:c r="Q243" t="n">
        <x:f>MAX(I243:O243)</x:f>
        <x:v>607</x:v>
      </x:c>
      <x:c r="R243" t="n">
        <x:f>H243-Q243</x:f>
        <x:v>-598</x:v>
      </x:c>
      <x:c r="S243" s="52" t="n">
        <x:f>IF(D243=0,"",(R243)/D243)</x:f>
        <x:v>-0.6521264994547438</x:v>
      </x:c>
      <x:c r="T243" t="str">
        <x:v>Dhirendra Singh</x:v>
      </x:c>
      <x:c r="U243" t="n">
        <x:f>D243-E243-F243</x:f>
        <x:v>0</x:v>
      </x:c>
    </x:row>
    <x:row r="244">
      <x:c r="A244" t="n">
        <x:v>236</x:v>
      </x:c>
      <x:c r="B244" t="str">
        <x:v>PRY. SCHOOL RANHAIRA R.NO. 1</x:v>
      </x:c>
      <x:c r="C244" t="n">
        <x:v>702</x:v>
      </x:c>
      <x:c r="D244" t="n">
        <x:v>419</x:v>
      </x:c>
      <x:c r="E244" t="n">
        <x:f>SUM(H244:O244)</x:f>
        <x:v>418</x:v>
      </x:c>
      <x:c r="F244" t="n">
        <x:v>1</x:v>
      </x:c>
      <x:c r="G244" s="50" t="n">
        <x:f>IF(C244="","",IFERROR(D244/C244,0))</x:f>
        <x:v>0.5968660968660968</x:v>
      </x:c>
      <x:c r="H244" s="36" t="n">
        <x:v>1</x:v>
      </x:c>
      <x:c r="I244" t="n">
        <x:v>210</x:v>
      </x:c>
      <x:c r="J244" t="n">
        <x:v>191</x:v>
      </x:c>
      <x:c r="K244" t="n">
        <x:v>10</x:v>
      </x:c>
      <x:c r="L244" t="n">
        <x:v>0</x:v>
      </x:c>
      <x:c r="M244" t="n">
        <x:v>1</x:v>
      </x:c>
      <x:c r="N244" t="n">
        <x:v>2</x:v>
      </x:c>
      <x:c r="O244" t="n">
        <x:v>3</x:v>
      </x:c>
      <x:c r="P244" s="50" t="n">
        <x:f>IF(D244=0,"",H244/D244)</x:f>
        <x:v>0.002386634844868735</x:v>
      </x:c>
      <x:c r="Q244" t="n">
        <x:f>MAX(I244:O244)</x:f>
        <x:v>210</x:v>
      </x:c>
      <x:c r="R244" t="n">
        <x:f>H244-Q244</x:f>
        <x:v>-209</x:v>
      </x:c>
      <x:c r="S244" s="52" t="n">
        <x:f>IF(D244=0,"",(R244)/D244)</x:f>
        <x:v>-0.4988066825775656</x:v>
      </x:c>
      <x:c r="T244" t="str">
        <x:v>Dhirendra Singh</x:v>
      </x:c>
      <x:c r="U244" t="n">
        <x:f>D244-E244-F244</x:f>
        <x:v>0</x:v>
      </x:c>
    </x:row>
    <x:row r="245">
      <x:c r="A245" t="n">
        <x:v>237</x:v>
      </x:c>
      <x:c r="B245" t="str">
        <x:v>PRY. SCHOOL RANHAIRA R.NO. 2</x:v>
      </x:c>
      <x:c r="C245" t="n">
        <x:v>730</x:v>
      </x:c>
      <x:c r="D245" t="n">
        <x:v>434</x:v>
      </x:c>
      <x:c r="E245" t="n">
        <x:f>SUM(H245:O245)</x:f>
        <x:v>434</x:v>
      </x:c>
      <x:c r="F245" t="n">
        <x:v>0</x:v>
      </x:c>
      <x:c r="G245" s="50" t="n">
        <x:f>IF(C245="","",IFERROR(D245/C245,0))</x:f>
        <x:v>0.5945205479452055</x:v>
      </x:c>
      <x:c r="H245" s="36" t="n">
        <x:v>4</x:v>
      </x:c>
      <x:c r="I245" t="n">
        <x:v>296</x:v>
      </x:c>
      <x:c r="J245" t="n">
        <x:v>78</x:v>
      </x:c>
      <x:c r="K245" t="n">
        <x:v>52</x:v>
      </x:c>
      <x:c r="L245" t="n">
        <x:v>1</x:v>
      </x:c>
      <x:c r="M245" t="n">
        <x:v>1</x:v>
      </x:c>
      <x:c r="N245" t="n">
        <x:v>1</x:v>
      </x:c>
      <x:c r="O245" t="n">
        <x:v>1</x:v>
      </x:c>
      <x:c r="P245" s="50" t="n">
        <x:f>IF(D245=0,"",H245/D245)</x:f>
        <x:v>0.009216589861751152</x:v>
      </x:c>
      <x:c r="Q245" t="n">
        <x:f>MAX(I245:O245)</x:f>
        <x:v>296</x:v>
      </x:c>
      <x:c r="R245" t="n">
        <x:f>H245-Q245</x:f>
        <x:v>-292</x:v>
      </x:c>
      <x:c r="S245" s="52" t="n">
        <x:f>IF(D245=0,"",(R245)/D245)</x:f>
        <x:v>-0.6728110599078341</x:v>
      </x:c>
      <x:c r="T245" t="str">
        <x:v>Dhirendra Singh</x:v>
      </x:c>
      <x:c r="U245" t="n">
        <x:f>D245-E245-F245</x:f>
        <x:v>0</x:v>
      </x:c>
    </x:row>
    <x:row r="246">
      <x:c r="A246" t="n">
        <x:v>238</x:v>
      </x:c>
      <x:c r="B246" t="str">
        <x:v>PRY. SCHOOL RANHAIRA R.NO. 3</x:v>
      </x:c>
      <x:c r="C246" t="n">
        <x:v>928</x:v>
      </x:c>
      <x:c r="D246" t="n">
        <x:v>553</x:v>
      </x:c>
      <x:c r="E246" t="n">
        <x:f>SUM(H246:O246)</x:f>
        <x:v>552</x:v>
      </x:c>
      <x:c r="F246" t="n">
        <x:v>1</x:v>
      </x:c>
      <x:c r="G246" s="50" t="n">
        <x:f>IF(C246="","",IFERROR(D246/C246,0))</x:f>
        <x:v>0.5959051724137931</x:v>
      </x:c>
      <x:c r="H246" s="36" t="n">
        <x:v>10</x:v>
      </x:c>
      <x:c r="I246" t="n">
        <x:v>409</x:v>
      </x:c>
      <x:c r="J246" t="n">
        <x:v>118</x:v>
      </x:c>
      <x:c r="K246" t="n">
        <x:v>10</x:v>
      </x:c>
      <x:c r="L246" t="n">
        <x:v>1</x:v>
      </x:c>
      <x:c r="M246" t="n">
        <x:v>1</x:v>
      </x:c>
      <x:c r="N246" t="n">
        <x:v>3</x:v>
      </x:c>
      <x:c r="O246" t="n">
        <x:v>0</x:v>
      </x:c>
      <x:c r="P246" s="50" t="n">
        <x:f>IF(D246=0,"",H246/D246)</x:f>
        <x:v>0.018083182640144666</x:v>
      </x:c>
      <x:c r="Q246" t="n">
        <x:f>MAX(I246:O246)</x:f>
        <x:v>409</x:v>
      </x:c>
      <x:c r="R246" t="n">
        <x:f>H246-Q246</x:f>
        <x:v>-399</x:v>
      </x:c>
      <x:c r="S246" s="52" t="n">
        <x:f>IF(D246=0,"",(R246)/D246)</x:f>
        <x:v>-0.7215189873417721</x:v>
      </x:c>
      <x:c r="T246" t="str">
        <x:v>Dhirendra Singh</x:v>
      </x:c>
      <x:c r="U246" t="n">
        <x:f>D246-E246-F246</x:f>
        <x:v>0</x:v>
      </x:c>
    </x:row>
    <x:row r="247">
      <x:c r="A247" t="n">
        <x:v>239</x:v>
      </x:c>
      <x:c r="B247" t="str">
        <x:v>PRY. SCHOOL RANHAIRA R.NO. 4</x:v>
      </x:c>
      <x:c r="C247" t="n">
        <x:v>807</x:v>
      </x:c>
      <x:c r="D247" t="n">
        <x:v>454</x:v>
      </x:c>
      <x:c r="E247" t="n">
        <x:f>SUM(H247:O247)</x:f>
        <x:v>454</x:v>
      </x:c>
      <x:c r="F247" t="n">
        <x:v>0</x:v>
      </x:c>
      <x:c r="G247" s="50" t="n">
        <x:f>IF(C247="","",IFERROR(D247/C247,0))</x:f>
        <x:v>0.5625774473358116</x:v>
      </x:c>
      <x:c r="H247" s="36" t="n">
        <x:v>11</x:v>
      </x:c>
      <x:c r="I247" t="n">
        <x:v>372</x:v>
      </x:c>
      <x:c r="J247" t="n">
        <x:v>63</x:v>
      </x:c>
      <x:c r="K247" t="n">
        <x:v>6</x:v>
      </x:c>
      <x:c r="L247" t="n">
        <x:v>2</x:v>
      </x:c>
      <x:c r="M247" t="n">
        <x:v>0</x:v>
      </x:c>
      <x:c r="N247" t="n">
        <x:v>0</x:v>
      </x:c>
      <x:c r="O247" t="n">
        <x:v>0</x:v>
      </x:c>
      <x:c r="P247" s="50" t="n">
        <x:f>IF(D247=0,"",H247/D247)</x:f>
        <x:v>0.024229074889867842</x:v>
      </x:c>
      <x:c r="Q247" t="n">
        <x:f>MAX(I247:O247)</x:f>
        <x:v>372</x:v>
      </x:c>
      <x:c r="R247" t="n">
        <x:f>H247-Q247</x:f>
        <x:v>-361</x:v>
      </x:c>
      <x:c r="S247" s="52" t="n">
        <x:f>IF(D247=0,"",(R247)/D247)</x:f>
        <x:v>-0.7951541850220264</x:v>
      </x:c>
      <x:c r="T247" t="str">
        <x:v>Dhirendra Singh</x:v>
      </x:c>
      <x:c r="U247" t="n">
        <x:f>D247-E247-F247</x:f>
        <x:v>0</x:v>
      </x:c>
    </x:row>
    <x:row r="248">
      <x:c r="A248" t="n">
        <x:v>240</x:v>
      </x:c>
      <x:c r="B248" t="str">
        <x:v>PRY. SCHOOL DAYANATPUR R.NO. 1</x:v>
      </x:c>
      <x:c r="C248" t="n">
        <x:v>902</x:v>
      </x:c>
      <x:c r="D248" t="n">
        <x:v>474</x:v>
      </x:c>
      <x:c r="E248" t="n">
        <x:f>SUM(H248:O248)</x:f>
        <x:v>471</x:v>
      </x:c>
      <x:c r="F248" t="n">
        <x:v>3</x:v>
      </x:c>
      <x:c r="G248" s="50" t="n">
        <x:f>IF(C248="","",IFERROR(D248/C248,0))</x:f>
        <x:v>0.5254988913525499</x:v>
      </x:c>
      <x:c r="H248" s="36" t="n">
        <x:v>4</x:v>
      </x:c>
      <x:c r="I248" t="n">
        <x:v>340</x:v>
      </x:c>
      <x:c r="J248" t="n">
        <x:v>66</x:v>
      </x:c>
      <x:c r="K248" t="n">
        <x:v>51</x:v>
      </x:c>
      <x:c r="L248" t="n">
        <x:v>1</x:v>
      </x:c>
      <x:c r="M248" t="n">
        <x:v>2</x:v>
      </x:c>
      <x:c r="N248" t="n">
        <x:v>3</x:v>
      </x:c>
      <x:c r="O248" t="n">
        <x:v>4</x:v>
      </x:c>
      <x:c r="P248" s="50" t="n">
        <x:f>IF(D248=0,"",H248/D248)</x:f>
        <x:v>0.008438818565400843</x:v>
      </x:c>
      <x:c r="Q248" t="n">
        <x:f>MAX(I248:O248)</x:f>
        <x:v>340</x:v>
      </x:c>
      <x:c r="R248" t="n">
        <x:f>H248-Q248</x:f>
        <x:v>-336</x:v>
      </x:c>
      <x:c r="S248" s="52" t="n">
        <x:f>IF(D248=0,"",(R248)/D248)</x:f>
        <x:v>-0.7088607594936709</x:v>
      </x:c>
      <x:c r="T248" t="str">
        <x:v>Dhirendra Singh</x:v>
      </x:c>
      <x:c r="U248" t="n">
        <x:f>D248-E248-F248</x:f>
        <x:v>0</x:v>
      </x:c>
    </x:row>
    <x:row r="249">
      <x:c r="A249" t="n">
        <x:v>241</x:v>
      </x:c>
      <x:c r="B249" t="str">
        <x:v>PRY. SCHOOL DAYANATPUR R.NO. 2</x:v>
      </x:c>
      <x:c r="C249" t="n">
        <x:v>1205</x:v>
      </x:c>
      <x:c r="D249" t="n">
        <x:v>766</x:v>
      </x:c>
      <x:c r="E249" t="n">
        <x:f>SUM(H249:O249)</x:f>
        <x:v>761</x:v>
      </x:c>
      <x:c r="F249" t="n">
        <x:v>5</x:v>
      </x:c>
      <x:c r="G249" s="50" t="n">
        <x:f>IF(C249="","",IFERROR(D249/C249,0))</x:f>
        <x:v>0.6356846473029045</x:v>
      </x:c>
      <x:c r="H249" s="36" t="n">
        <x:v>15</x:v>
      </x:c>
      <x:c r="I249" t="n">
        <x:v>644</x:v>
      </x:c>
      <x:c r="J249" t="n">
        <x:v>38</x:v>
      </x:c>
      <x:c r="K249" t="n">
        <x:v>56</x:v>
      </x:c>
      <x:c r="L249" t="n">
        <x:v>1</x:v>
      </x:c>
      <x:c r="M249" t="n">
        <x:v>1</x:v>
      </x:c>
      <x:c r="N249" t="n">
        <x:v>1</x:v>
      </x:c>
      <x:c r="O249" t="n">
        <x:v>5</x:v>
      </x:c>
      <x:c r="P249" s="50" t="n">
        <x:f>IF(D249=0,"",H249/D249)</x:f>
        <x:v>0.0195822454308094</x:v>
      </x:c>
      <x:c r="Q249" t="n">
        <x:f>MAX(I249:O249)</x:f>
        <x:v>644</x:v>
      </x:c>
      <x:c r="R249" t="n">
        <x:f>H249-Q249</x:f>
        <x:v>-629</x:v>
      </x:c>
      <x:c r="S249" s="52" t="n">
        <x:f>IF(D249=0,"",(R249)/D249)</x:f>
        <x:v>-0.8211488250652742</x:v>
      </x:c>
      <x:c r="T249" t="str">
        <x:v>Dhirendra Singh</x:v>
      </x:c>
      <x:c r="U249" t="n">
        <x:f>D249-E249-F249</x:f>
        <x:v>0</x:v>
      </x:c>
    </x:row>
    <x:row r="250">
      <x:c r="A250" t="n">
        <x:v>242</x:v>
      </x:c>
      <x:c r="B250" t="str">
        <x:v>INTER COLLEGE DAYANATPUR R.NO. 1</x:v>
      </x:c>
      <x:c r="C250" t="n">
        <x:v>1002</x:v>
      </x:c>
      <x:c r="D250" t="n">
        <x:v>716</x:v>
      </x:c>
      <x:c r="E250" t="n">
        <x:f>SUM(H250:O250)</x:f>
        <x:v>713</x:v>
      </x:c>
      <x:c r="F250" t="n">
        <x:v>3</x:v>
      </x:c>
      <x:c r="G250" s="50" t="n">
        <x:f>IF(C250="","",IFERROR(D250/C250,0))</x:f>
        <x:v>0.7145708582834331</x:v>
      </x:c>
      <x:c r="H250" s="36" t="n">
        <x:v>1</x:v>
      </x:c>
      <x:c r="I250" t="n">
        <x:v>24</x:v>
      </x:c>
      <x:c r="J250" t="n">
        <x:v>680</x:v>
      </x:c>
      <x:c r="K250" t="n">
        <x:v>1</x:v>
      </x:c>
      <x:c r="L250" t="n">
        <x:v>4</x:v>
      </x:c>
      <x:c r="M250" t="n">
        <x:v>2</x:v>
      </x:c>
      <x:c r="N250" t="n">
        <x:v>1</x:v>
      </x:c>
      <x:c r="O250" t="n">
        <x:v>0</x:v>
      </x:c>
      <x:c r="P250" s="50" t="n">
        <x:f>IF(D250=0,"",H250/D250)</x:f>
        <x:v>0.0013966480446927375</x:v>
      </x:c>
      <x:c r="Q250" t="n">
        <x:f>MAX(I250:O250)</x:f>
        <x:v>680</x:v>
      </x:c>
      <x:c r="R250" t="n">
        <x:f>H250-Q250</x:f>
        <x:v>-679</x:v>
      </x:c>
      <x:c r="S250" s="52" t="n">
        <x:f>IF(D250=0,"",(R250)/D250)</x:f>
        <x:v>-0.9483240223463687</x:v>
      </x:c>
      <x:c r="T250" t="str">
        <x:v>Vedram Bhati</x:v>
      </x:c>
      <x:c r="U250" t="n">
        <x:f>D250-E250-F250</x:f>
        <x:v>0</x:v>
      </x:c>
    </x:row>
    <x:row r="251">
      <x:c r="A251" t="n">
        <x:v>243</x:v>
      </x:c>
      <x:c r="B251" t="str">
        <x:v>INTER COLLEGE DAYANATPUR R.NO. 2</x:v>
      </x:c>
      <x:c r="C251" t="n">
        <x:v>1347</x:v>
      </x:c>
      <x:c r="D251" t="n">
        <x:v>860</x:v>
      </x:c>
      <x:c r="E251" t="n">
        <x:f>SUM(H251:O251)</x:f>
        <x:v>851</x:v>
      </x:c>
      <x:c r="F251" t="n">
        <x:v>9</x:v>
      </x:c>
      <x:c r="G251" s="50" t="n">
        <x:f>IF(C251="","",IFERROR(D251/C251,0))</x:f>
        <x:v>0.6384558277654045</x:v>
      </x:c>
      <x:c r="H251" s="36" t="n">
        <x:v>5</x:v>
      </x:c>
      <x:c r="I251" t="n">
        <x:v>485</x:v>
      </x:c>
      <x:c r="J251" t="n">
        <x:v>348</x:v>
      </x:c>
      <x:c r="K251" t="n">
        <x:v>3</x:v>
      </x:c>
      <x:c r="L251" t="n">
        <x:v>4</x:v>
      </x:c>
      <x:c r="M251" t="n">
        <x:v>3</x:v>
      </x:c>
      <x:c r="N251" t="n">
        <x:v>1</x:v>
      </x:c>
      <x:c r="O251" t="n">
        <x:v>2</x:v>
      </x:c>
      <x:c r="P251" s="50" t="n">
        <x:f>IF(D251=0,"",H251/D251)</x:f>
        <x:v>0.005813953488372093</x:v>
      </x:c>
      <x:c r="Q251" t="n">
        <x:f>MAX(I251:O251)</x:f>
        <x:v>485</x:v>
      </x:c>
      <x:c r="R251" t="n">
        <x:f>H251-Q251</x:f>
        <x:v>-480</x:v>
      </x:c>
      <x:c r="S251" s="52" t="n">
        <x:f>IF(D251=0,"",(R251)/D251)</x:f>
        <x:v>-0.5581395348837209</x:v>
      </x:c>
      <x:c r="T251" t="str">
        <x:v>Dhirendra Singh</x:v>
      </x:c>
      <x:c r="U251" t="n">
        <x:f>D251-E251-F251</x:f>
        <x:v>0</x:v>
      </x:c>
    </x:row>
    <x:row r="252">
      <x:c r="A252" t="n">
        <x:v>244</x:v>
      </x:c>
      <x:c r="B252" t="str">
        <x:v>PRY. SCHOOL BEGMABAD MAZRA DAYANATPUR R.NO. 1</x:v>
      </x:c>
      <x:c r="C252" t="n">
        <x:v>517</x:v>
      </x:c>
      <x:c r="D252" t="n">
        <x:v>422</x:v>
      </x:c>
      <x:c r="E252" t="n">
        <x:f>SUM(H252:O252)</x:f>
        <x:v>420</x:v>
      </x:c>
      <x:c r="F252" t="n">
        <x:v>2</x:v>
      </x:c>
      <x:c r="G252" s="50" t="n">
        <x:f>IF(C252="","",IFERROR(D252/C252,0))</x:f>
        <x:v>0.816247582205029</x:v>
      </x:c>
      <x:c r="H252" s="36" t="n">
        <x:v>6</x:v>
      </x:c>
      <x:c r="I252" t="n">
        <x:v>402</x:v>
      </x:c>
      <x:c r="J252" t="n">
        <x:v>6</x:v>
      </x:c>
      <x:c r="K252" t="n">
        <x:v>3</x:v>
      </x:c>
      <x:c r="L252" t="n">
        <x:v>0</x:v>
      </x:c>
      <x:c r="M252" t="n">
        <x:v>0</x:v>
      </x:c>
      <x:c r="N252" t="n">
        <x:v>0</x:v>
      </x:c>
      <x:c r="O252" t="n">
        <x:v>3</x:v>
      </x:c>
      <x:c r="P252" s="50" t="n">
        <x:f>IF(D252=0,"",H252/D252)</x:f>
        <x:v>0.014218009478672985</x:v>
      </x:c>
      <x:c r="Q252" t="n">
        <x:f>MAX(I252:O252)</x:f>
        <x:v>402</x:v>
      </x:c>
      <x:c r="R252" t="n">
        <x:f>H252-Q252</x:f>
        <x:v>-396</x:v>
      </x:c>
      <x:c r="S252" s="52" t="n">
        <x:f>IF(D252=0,"",(R252)/D252)</x:f>
        <x:v>-0.9383886255924171</x:v>
      </x:c>
      <x:c r="T252" t="str">
        <x:v>Dhirendra Singh</x:v>
      </x:c>
      <x:c r="U252" t="n">
        <x:f>D252-E252-F252</x:f>
        <x:v>0</x:v>
      </x:c>
    </x:row>
    <x:row r="253">
      <x:c r="A253" t="n">
        <x:v>245</x:v>
      </x:c>
      <x:c r="B253" t="str">
        <x:v>J.H. SCHOOL NAGLA SHAREEF KHAN MAJRA DAYANATPUR R.NO. 1</x:v>
      </x:c>
      <x:c r="C253" t="n">
        <x:v>824</x:v>
      </x:c>
      <x:c r="D253" t="n">
        <x:v>606</x:v>
      </x:c>
      <x:c r="E253" t="n">
        <x:f>SUM(H253:O253)</x:f>
        <x:v>602</x:v>
      </x:c>
      <x:c r="F253" t="n">
        <x:v>4</x:v>
      </x:c>
      <x:c r="G253" s="50" t="n">
        <x:f>IF(C253="","",IFERROR(D253/C253,0))</x:f>
        <x:v>0.7354368932038835</x:v>
      </x:c>
      <x:c r="H253" s="36" t="n">
        <x:v>18</x:v>
      </x:c>
      <x:c r="I253" t="n">
        <x:v>15</x:v>
      </x:c>
      <x:c r="J253" t="n">
        <x:v>536</x:v>
      </x:c>
      <x:c r="K253" t="n">
        <x:v>4</x:v>
      </x:c>
      <x:c r="L253" t="n">
        <x:v>8</x:v>
      </x:c>
      <x:c r="M253" t="n">
        <x:v>12</x:v>
      </x:c>
      <x:c r="N253" t="n">
        <x:v>6</x:v>
      </x:c>
      <x:c r="O253" t="n">
        <x:v>3</x:v>
      </x:c>
      <x:c r="P253" s="50" t="n">
        <x:f>IF(D253=0,"",H253/D253)</x:f>
        <x:v>0.0297029702970297</x:v>
      </x:c>
      <x:c r="Q253" t="n">
        <x:f>MAX(I253:O253)</x:f>
        <x:v>536</x:v>
      </x:c>
      <x:c r="R253" t="n">
        <x:f>H253-Q253</x:f>
        <x:v>-518</x:v>
      </x:c>
      <x:c r="S253" s="52" t="n">
        <x:f>IF(D253=0,"",(R253)/D253)</x:f>
        <x:v>-0.8547854785478548</x:v>
      </x:c>
      <x:c r="T253" t="str">
        <x:v>Vedram Bhati</x:v>
      </x:c>
      <x:c r="U253" t="n">
        <x:f>D253-E253-F253</x:f>
        <x:v>0</x:v>
      </x:c>
    </x:row>
    <x:row r="254">
      <x:c r="A254" t="n">
        <x:v>246</x:v>
      </x:c>
      <x:c r="B254" t="str">
        <x:v>PRY SCHOOL NAGLA SHAREEF KHAN MAJRA DAYANATPUR R.N. 1</x:v>
      </x:c>
      <x:c r="C254" t="n">
        <x:v>818</x:v>
      </x:c>
      <x:c r="D254" t="n">
        <x:v>571</x:v>
      </x:c>
      <x:c r="E254" t="n">
        <x:f>SUM(H254:O254)</x:f>
        <x:v>569</x:v>
      </x:c>
      <x:c r="F254" t="n">
        <x:v>2</x:v>
      </x:c>
      <x:c r="G254" s="50" t="n">
        <x:f>IF(C254="","",IFERROR(D254/C254,0))</x:f>
        <x:v>0.6980440097799511</x:v>
      </x:c>
      <x:c r="H254" s="36" t="n">
        <x:v>47</x:v>
      </x:c>
      <x:c r="I254" t="n">
        <x:v>76</x:v>
      </x:c>
      <x:c r="J254" t="n">
        <x:v>434</x:v>
      </x:c>
      <x:c r="K254" t="n">
        <x:v>2</x:v>
      </x:c>
      <x:c r="L254" t="n">
        <x:v>2</x:v>
      </x:c>
      <x:c r="M254" t="n">
        <x:v>1</x:v>
      </x:c>
      <x:c r="N254" t="n">
        <x:v>5</x:v>
      </x:c>
      <x:c r="O254" t="n">
        <x:v>2</x:v>
      </x:c>
      <x:c r="P254" s="50" t="n">
        <x:f>IF(D254=0,"",H254/D254)</x:f>
        <x:v>0.08231173380035026</x:v>
      </x:c>
      <x:c r="Q254" t="n">
        <x:f>MAX(I254:O254)</x:f>
        <x:v>434</x:v>
      </x:c>
      <x:c r="R254" t="n">
        <x:f>H254-Q254</x:f>
        <x:v>-387</x:v>
      </x:c>
      <x:c r="S254" s="52" t="n">
        <x:f>IF(D254=0,"",(R254)/D254)</x:f>
        <x:v>-0.6777583187390543</x:v>
      </x:c>
      <x:c r="T254" t="str">
        <x:v>Vedram Bhati</x:v>
      </x:c>
      <x:c r="U254" t="n">
        <x:f>D254-E254-F254</x:f>
        <x:v>0</x:v>
      </x:c>
    </x:row>
    <x:row r="255">
      <x:c r="A255" t="n">
        <x:v>247</x:v>
      </x:c>
      <x:c r="B255" t="str">
        <x:v>PRY. SCHOOL RAMPUR BANGAR R.NO. 1</x:v>
      </x:c>
      <x:c r="C255" t="n">
        <x:v>1214</x:v>
      </x:c>
      <x:c r="D255" t="n">
        <x:v>796</x:v>
      </x:c>
      <x:c r="E255" t="n">
        <x:f>SUM(H255:O255)</x:f>
        <x:v>793</x:v>
      </x:c>
      <x:c r="F255" t="n">
        <x:v>3</x:v>
      </x:c>
      <x:c r="G255" s="50" t="n">
        <x:f>IF(C255="","",IFERROR(D255/C255,0))</x:f>
        <x:v>0.6556836902800659</x:v>
      </x:c>
      <x:c r="H255" s="36" t="n">
        <x:v>31</x:v>
      </x:c>
      <x:c r="I255" t="n">
        <x:v>555</x:v>
      </x:c>
      <x:c r="J255" t="n">
        <x:v>98</x:v>
      </x:c>
      <x:c r="K255" t="n">
        <x:v>99</x:v>
      </x:c>
      <x:c r="L255" t="n">
        <x:v>3</x:v>
      </x:c>
      <x:c r="M255" t="n">
        <x:v>2</x:v>
      </x:c>
      <x:c r="N255" t="n">
        <x:v>2</x:v>
      </x:c>
      <x:c r="O255" t="n">
        <x:v>3</x:v>
      </x:c>
      <x:c r="P255" s="50" t="n">
        <x:f>IF(D255=0,"",H255/D255)</x:f>
        <x:v>0.038944723618090454</x:v>
      </x:c>
      <x:c r="Q255" t="n">
        <x:f>MAX(I255:O255)</x:f>
        <x:v>555</x:v>
      </x:c>
      <x:c r="R255" t="n">
        <x:f>H255-Q255</x:f>
        <x:v>-524</x:v>
      </x:c>
      <x:c r="S255" s="52" t="n">
        <x:f>IF(D255=0,"",(R255)/D255)</x:f>
        <x:v>-0.6582914572864321</x:v>
      </x:c>
      <x:c r="T255" t="str">
        <x:v>Dhirendra Singh</x:v>
      </x:c>
      <x:c r="U255" t="n">
        <x:f>D255-E255-F255</x:f>
        <x:v>0</x:v>
      </x:c>
    </x:row>
    <x:row r="256">
      <x:c r="A256" t="n">
        <x:v>248</x:v>
      </x:c>
      <x:c r="B256" t="str">
        <x:v>PRY. SCHOOL RAMPUR BANGAR R.NO. 2</x:v>
      </x:c>
      <x:c r="C256" t="n">
        <x:v>531</x:v>
      </x:c>
      <x:c r="D256" t="n">
        <x:v>379</x:v>
      </x:c>
      <x:c r="E256" t="n">
        <x:f>SUM(H256:O256)</x:f>
        <x:v>379</x:v>
      </x:c>
      <x:c r="F256" t="n">
        <x:v>0</x:v>
      </x:c>
      <x:c r="G256" s="50" t="n">
        <x:f>IF(C256="","",IFERROR(D256/C256,0))</x:f>
        <x:v>0.7137476459510358</x:v>
      </x:c>
      <x:c r="H256" s="36" t="n">
        <x:v>1</x:v>
      </x:c>
      <x:c r="I256" t="n">
        <x:v>84</x:v>
      </x:c>
      <x:c r="J256" t="n">
        <x:v>284</x:v>
      </x:c>
      <x:c r="K256" t="n">
        <x:v>0</x:v>
      </x:c>
      <x:c r="L256" t="n">
        <x:v>0</x:v>
      </x:c>
      <x:c r="M256" t="n">
        <x:v>7</x:v>
      </x:c>
      <x:c r="N256" t="n">
        <x:v>2</x:v>
      </x:c>
      <x:c r="O256" t="n">
        <x:v>1</x:v>
      </x:c>
      <x:c r="P256" s="50" t="n">
        <x:f>IF(D256=0,"",H256/D256)</x:f>
        <x:v>0.002638522427440633</x:v>
      </x:c>
      <x:c r="Q256" t="n">
        <x:f>MAX(I256:O256)</x:f>
        <x:v>284</x:v>
      </x:c>
      <x:c r="R256" t="n">
        <x:f>H256-Q256</x:f>
        <x:v>-283</x:v>
      </x:c>
      <x:c r="S256" s="52" t="n">
        <x:f>IF(D256=0,"",(R256)/D256)</x:f>
        <x:v>-0.7467018469656992</x:v>
      </x:c>
      <x:c r="T256" t="str">
        <x:v>Vedram Bhati</x:v>
      </x:c>
      <x:c r="U256" t="n">
        <x:f>D256-E256-F256</x:f>
        <x:v>0</x:v>
      </x:c>
    </x:row>
    <x:row r="257">
      <x:c r="A257" t="n">
        <x:v>249</x:v>
      </x:c>
      <x:c r="B257" t="str">
        <x:v>PRY. SCHOOL BALLABHNAGAR URF KARROL BANGAR R.NO. 1</x:v>
      </x:c>
      <x:c r="C257" t="n">
        <x:v>1041</x:v>
      </x:c>
      <x:c r="D257" t="n">
        <x:v>826</x:v>
      </x:c>
      <x:c r="E257" t="n">
        <x:f>SUM(H257:O257)</x:f>
        <x:v>820</x:v>
      </x:c>
      <x:c r="F257" t="n">
        <x:v>6</x:v>
      </x:c>
      <x:c r="G257" s="50" t="n">
        <x:f>IF(C257="","",IFERROR(D257/C257,0))</x:f>
        <x:v>0.7934678194044188</x:v>
      </x:c>
      <x:c r="H257" s="36" t="n">
        <x:v>25</x:v>
      </x:c>
      <x:c r="I257" t="n">
        <x:v>596</x:v>
      </x:c>
      <x:c r="J257" t="n">
        <x:v>176</x:v>
      </x:c>
      <x:c r="K257" t="n">
        <x:v>5</x:v>
      </x:c>
      <x:c r="L257" t="n">
        <x:v>4</x:v>
      </x:c>
      <x:c r="M257" t="n">
        <x:v>3</x:v>
      </x:c>
      <x:c r="N257" t="n">
        <x:v>3</x:v>
      </x:c>
      <x:c r="O257" t="n">
        <x:v>8</x:v>
      </x:c>
      <x:c r="P257" s="50" t="n">
        <x:f>IF(D257=0,"",H257/D257)</x:f>
        <x:v>0.03026634382566586</x:v>
      </x:c>
      <x:c r="Q257" t="n">
        <x:f>MAX(I257:O257)</x:f>
        <x:v>596</x:v>
      </x:c>
      <x:c r="R257" t="n">
        <x:f>H257-Q257</x:f>
        <x:v>-571</x:v>
      </x:c>
      <x:c r="S257" s="52" t="n">
        <x:f>IF(D257=0,"",(R257)/D257)</x:f>
        <x:v>-0.6912832929782082</x:v>
      </x:c>
      <x:c r="T257" t="str">
        <x:v>Dhirendra Singh</x:v>
      </x:c>
      <x:c r="U257" t="n">
        <x:f>D257-E257-F257</x:f>
        <x:v>0</x:v>
      </x:c>
    </x:row>
    <x:row r="258">
      <x:c r="A258" t="n">
        <x:v>250</x:v>
      </x:c>
      <x:c r="B258" t="str">
        <x:v>PRY. SCHOOL MACHHIPUR R.NO. 1</x:v>
      </x:c>
      <x:c r="C258" t="n">
        <x:v>1367</x:v>
      </x:c>
      <x:c r="D258" t="n">
        <x:v>884</x:v>
      </x:c>
      <x:c r="E258" t="n">
        <x:f>SUM(H258:O258)</x:f>
        <x:v>869</x:v>
      </x:c>
      <x:c r="F258" t="n">
        <x:v>15</x:v>
      </x:c>
      <x:c r="G258" s="50" t="n">
        <x:f>IF(C258="","",IFERROR(D258/C258,0))</x:f>
        <x:v>0.6466715435259692</x:v>
      </x:c>
      <x:c r="H258" s="36" t="n">
        <x:v>51</x:v>
      </x:c>
      <x:c r="I258" t="n">
        <x:v>548</x:v>
      </x:c>
      <x:c r="J258" t="n">
        <x:v>198</x:v>
      </x:c>
      <x:c r="K258" t="n">
        <x:v>43</x:v>
      </x:c>
      <x:c r="L258" t="n">
        <x:v>5</x:v>
      </x:c>
      <x:c r="M258" t="n">
        <x:v>3</x:v>
      </x:c>
      <x:c r="N258" t="n">
        <x:v>16</x:v>
      </x:c>
      <x:c r="O258" t="n">
        <x:v>5</x:v>
      </x:c>
      <x:c r="P258" s="50" t="n">
        <x:f>IF(D258=0,"",H258/D258)</x:f>
        <x:v>0.057692307692307696</x:v>
      </x:c>
      <x:c r="Q258" t="n">
        <x:f>MAX(I258:O258)</x:f>
        <x:v>548</x:v>
      </x:c>
      <x:c r="R258" t="n">
        <x:f>H258-Q258</x:f>
        <x:v>-497</x:v>
      </x:c>
      <x:c r="S258" s="52" t="n">
        <x:f>IF(D258=0,"",(R258)/D258)</x:f>
        <x:v>-0.5622171945701357</x:v>
      </x:c>
      <x:c r="T258" t="str">
        <x:v>Dhirendra Singh</x:v>
      </x:c>
      <x:c r="U258" t="n">
        <x:f>D258-E258-F258</x:f>
        <x:v>0</x:v>
      </x:c>
    </x:row>
    <x:row r="259">
      <x:c r="A259" t="n">
        <x:v>251</x:v>
      </x:c>
      <x:c r="B259" t="str">
        <x:v>PRY. SCHOOL KISHORPUR R.NO. 1</x:v>
      </x:c>
      <x:c r="C259" t="n">
        <x:v>1276</x:v>
      </x:c>
      <x:c r="D259" t="n">
        <x:v>867</x:v>
      </x:c>
      <x:c r="E259" t="n">
        <x:f>SUM(H259:O259)</x:f>
        <x:v>865</x:v>
      </x:c>
      <x:c r="F259" t="n">
        <x:v>2</x:v>
      </x:c>
      <x:c r="G259" s="50" t="n">
        <x:f>IF(C259="","",IFERROR(D259/C259,0))</x:f>
        <x:v>0.6794670846394985</x:v>
      </x:c>
      <x:c r="H259" s="36" t="n">
        <x:v>143</x:v>
      </x:c>
      <x:c r="I259" t="n">
        <x:v>371</x:v>
      </x:c>
      <x:c r="J259" t="n">
        <x:v>331</x:v>
      </x:c>
      <x:c r="K259" t="n">
        <x:v>5</x:v>
      </x:c>
      <x:c r="L259" t="n">
        <x:v>6</x:v>
      </x:c>
      <x:c r="M259" t="n">
        <x:v>4</x:v>
      </x:c>
      <x:c r="N259" t="n">
        <x:v>1</x:v>
      </x:c>
      <x:c r="O259" t="n">
        <x:v>4</x:v>
      </x:c>
      <x:c r="P259" s="50" t="n">
        <x:f>IF(D259=0,"",H259/D259)</x:f>
        <x:v>0.16493656286043828</x:v>
      </x:c>
      <x:c r="Q259" t="n">
        <x:f>MAX(I259:O259)</x:f>
        <x:v>371</x:v>
      </x:c>
      <x:c r="R259" t="n">
        <x:f>H259-Q259</x:f>
        <x:v>-228</x:v>
      </x:c>
      <x:c r="S259" s="52" t="n">
        <x:f>IF(D259=0,"",(R259)/D259)</x:f>
        <x:v>-0.2629757785467128</x:v>
      </x:c>
      <x:c r="T259" t="str">
        <x:v>Dhirendra Singh</x:v>
      </x:c>
      <x:c r="U259" t="n">
        <x:f>D259-E259-F259</x:f>
        <x:v>0</x:v>
      </x:c>
    </x:row>
    <x:row r="260">
      <x:c r="A260" t="n">
        <x:v>252</x:v>
      </x:c>
      <x:c r="B260" t="str">
        <x:v>PRY. SCHOOL SABAUTA MUSTFABAD R.NO. 1</x:v>
      </x:c>
      <x:c r="C260" t="n">
        <x:v>1176</x:v>
      </x:c>
      <x:c r="D260" t="n">
        <x:v>756</x:v>
      </x:c>
      <x:c r="E260" t="n">
        <x:f>SUM(H260:O260)</x:f>
        <x:v>753</x:v>
      </x:c>
      <x:c r="F260" t="n">
        <x:v>3</x:v>
      </x:c>
      <x:c r="G260" s="50" t="n">
        <x:f>IF(C260="","",IFERROR(D260/C260,0))</x:f>
        <x:v>0.6428571428571429</x:v>
      </x:c>
      <x:c r="H260" s="36" t="n">
        <x:v>48</x:v>
      </x:c>
      <x:c r="I260" t="n">
        <x:v>521</x:v>
      </x:c>
      <x:c r="J260" t="n">
        <x:v>148</x:v>
      </x:c>
      <x:c r="K260" t="n">
        <x:v>28</x:v>
      </x:c>
      <x:c r="L260" t="n">
        <x:v>2</x:v>
      </x:c>
      <x:c r="M260" t="n">
        <x:v>1</x:v>
      </x:c>
      <x:c r="N260" t="n">
        <x:v>4</x:v>
      </x:c>
      <x:c r="O260" t="n">
        <x:v>1</x:v>
      </x:c>
      <x:c r="P260" s="50" t="n">
        <x:f>IF(D260=0,"",H260/D260)</x:f>
        <x:v>0.06349206349206349</x:v>
      </x:c>
      <x:c r="Q260" t="n">
        <x:f>MAX(I260:O260)</x:f>
        <x:v>521</x:v>
      </x:c>
      <x:c r="R260" t="n">
        <x:f>H260-Q260</x:f>
        <x:v>-473</x:v>
      </x:c>
      <x:c r="S260" s="52" t="n">
        <x:f>IF(D260=0,"",(R260)/D260)</x:f>
        <x:v>-0.6256613756613757</x:v>
      </x:c>
      <x:c r="T260" t="str">
        <x:v>Dhirendra Singh</x:v>
      </x:c>
      <x:c r="U260" t="n">
        <x:f>D260-E260-F260</x:f>
        <x:v>0</x:v>
      </x:c>
    </x:row>
    <x:row r="261">
      <x:c r="A261" t="n">
        <x:v>253</x:v>
      </x:c>
      <x:c r="B261" t="str">
        <x:v>PRY. SCHOOL SABAUTA MUSTFABAD R.NO. 2</x:v>
      </x:c>
      <x:c r="C261" t="n">
        <x:v>1405</x:v>
      </x:c>
      <x:c r="D261" t="n">
        <x:v>931</x:v>
      </x:c>
      <x:c r="E261" t="n">
        <x:f>SUM(H261:O261)</x:f>
        <x:v>930</x:v>
      </x:c>
      <x:c r="F261" t="n">
        <x:v>1</x:v>
      </x:c>
      <x:c r="G261" s="50" t="n">
        <x:f>IF(C261="","",IFERROR(D261/C261,0))</x:f>
        <x:v>0.6626334519572954</x:v>
      </x:c>
      <x:c r="H261" s="36" t="n">
        <x:v>19</x:v>
      </x:c>
      <x:c r="I261" t="n">
        <x:v>280</x:v>
      </x:c>
      <x:c r="J261" t="n">
        <x:v>602</x:v>
      </x:c>
      <x:c r="K261" t="n">
        <x:v>9</x:v>
      </x:c>
      <x:c r="L261" t="n">
        <x:v>9</x:v>
      </x:c>
      <x:c r="M261" t="n">
        <x:v>6</x:v>
      </x:c>
      <x:c r="N261" t="n">
        <x:v>5</x:v>
      </x:c>
      <x:c r="O261" t="n">
        <x:v>0</x:v>
      </x:c>
      <x:c r="P261" s="50" t="n">
        <x:f>IF(D261=0,"",H261/D261)</x:f>
        <x:v>0.02040816326530612</x:v>
      </x:c>
      <x:c r="Q261" t="n">
        <x:f>MAX(I261:O261)</x:f>
        <x:v>602</x:v>
      </x:c>
      <x:c r="R261" t="n">
        <x:f>H261-Q261</x:f>
        <x:v>-583</x:v>
      </x:c>
      <x:c r="S261" s="52" t="n">
        <x:f>IF(D261=0,"",(R261)/D261)</x:f>
        <x:v>-0.6262083780880774</x:v>
      </x:c>
      <x:c r="T261" t="str">
        <x:v>Vedram Bhati</x:v>
      </x:c>
      <x:c r="U261" t="n">
        <x:f>D261-E261-F261</x:f>
        <x:v>0</x:v>
      </x:c>
    </x:row>
    <x:row r="262">
      <x:c r="A262" t="n">
        <x:v>254</x:v>
      </x:c>
      <x:c r="B262" t="str">
        <x:v>PRY. SCHOOL MUKIMPUR SHIVARA R.NO. 1</x:v>
      </x:c>
      <x:c r="C262" t="n">
        <x:v>828</x:v>
      </x:c>
      <x:c r="D262" t="n">
        <x:v>608</x:v>
      </x:c>
      <x:c r="E262" t="n">
        <x:f>SUM(H262:O262)</x:f>
        <x:v>604</x:v>
      </x:c>
      <x:c r="F262" t="n">
        <x:v>4</x:v>
      </x:c>
      <x:c r="G262" s="50" t="n">
        <x:f>IF(C262="","",IFERROR(D262/C262,0))</x:f>
        <x:v>0.7342995169082126</x:v>
      </x:c>
      <x:c r="H262" s="36" t="n">
        <x:v>1</x:v>
      </x:c>
      <x:c r="I262" t="n">
        <x:v>573</x:v>
      </x:c>
      <x:c r="J262" t="n">
        <x:v>18</x:v>
      </x:c>
      <x:c r="K262" t="n">
        <x:v>5</x:v>
      </x:c>
      <x:c r="L262" t="n">
        <x:v>1</x:v>
      </x:c>
      <x:c r="M262" t="n">
        <x:v>1</x:v>
      </x:c>
      <x:c r="N262" t="n">
        <x:v>1</x:v>
      </x:c>
      <x:c r="O262" t="n">
        <x:v>4</x:v>
      </x:c>
      <x:c r="P262" s="50" t="n">
        <x:f>IF(D262=0,"",H262/D262)</x:f>
        <x:v>0.001644736842105263</x:v>
      </x:c>
      <x:c r="Q262" t="n">
        <x:f>MAX(I262:O262)</x:f>
        <x:v>573</x:v>
      </x:c>
      <x:c r="R262" t="n">
        <x:f>H262-Q262</x:f>
        <x:v>-572</x:v>
      </x:c>
      <x:c r="S262" s="52" t="n">
        <x:f>IF(D262=0,"",(R262)/D262)</x:f>
        <x:v>-0.9407894736842105</x:v>
      </x:c>
      <x:c r="T262" t="str">
        <x:v>Dhirendra Singh</x:v>
      </x:c>
      <x:c r="U262" t="n">
        <x:f>D262-E262-F262</x:f>
        <x:v>0</x:v>
      </x:c>
    </x:row>
    <x:row r="263">
      <x:c r="A263" t="n">
        <x:v>255</x:v>
      </x:c>
      <x:c r="B263" t="str">
        <x:v>PRY. SCHOOL ALAUDDINNAGAR URF DURHERA R.NO. 1</x:v>
      </x:c>
      <x:c r="C263" t="n">
        <x:v>663</x:v>
      </x:c>
      <x:c r="D263" t="n">
        <x:v>451</x:v>
      </x:c>
      <x:c r="E263" t="n">
        <x:f>SUM(H263:O263)</x:f>
        <x:v>449</x:v>
      </x:c>
      <x:c r="F263" t="n">
        <x:v>2</x:v>
      </x:c>
      <x:c r="G263" s="50" t="n">
        <x:f>IF(C263="","",IFERROR(D263/C263,0))</x:f>
        <x:v>0.6802413273001509</x:v>
      </x:c>
      <x:c r="H263" s="36" t="n">
        <x:v>8</x:v>
      </x:c>
      <x:c r="I263" t="n">
        <x:v>332</x:v>
      </x:c>
      <x:c r="J263" t="n">
        <x:v>82</x:v>
      </x:c>
      <x:c r="K263" t="n">
        <x:v>19</x:v>
      </x:c>
      <x:c r="L263" t="n">
        <x:v>2</x:v>
      </x:c>
      <x:c r="M263" t="n">
        <x:v>0</x:v>
      </x:c>
      <x:c r="N263" t="n">
        <x:v>0</x:v>
      </x:c>
      <x:c r="O263" t="n">
        <x:v>6</x:v>
      </x:c>
      <x:c r="P263" s="50" t="n">
        <x:f>IF(D263=0,"",H263/D263)</x:f>
        <x:v>0.017738359201773836</x:v>
      </x:c>
      <x:c r="Q263" t="n">
        <x:f>MAX(I263:O263)</x:f>
        <x:v>332</x:v>
      </x:c>
      <x:c r="R263" t="n">
        <x:f>H263-Q263</x:f>
        <x:v>-324</x:v>
      </x:c>
      <x:c r="S263" s="52" t="n">
        <x:f>IF(D263=0,"",(R263)/D263)</x:f>
        <x:v>-0.7184035476718403</x:v>
      </x:c>
      <x:c r="T263" t="str">
        <x:v>Dhirendra Singh</x:v>
      </x:c>
      <x:c r="U263" t="n">
        <x:f>D263-E263-F263</x:f>
        <x:v>0</x:v>
      </x:c>
    </x:row>
    <x:row r="264">
      <x:c r="A264" t="n">
        <x:v>256</x:v>
      </x:c>
      <x:c r="B264" t="str">
        <x:v>PRY. SCHOOL ALAUDDINNAGAR URF DURHERA R.NO. 2</x:v>
      </x:c>
      <x:c r="C264" t="n">
        <x:v>636</x:v>
      </x:c>
      <x:c r="D264" t="n">
        <x:v>491</x:v>
      </x:c>
      <x:c r="E264" t="n">
        <x:f>SUM(H264:O264)</x:f>
        <x:v>490</x:v>
      </x:c>
      <x:c r="F264" t="n">
        <x:v>1</x:v>
      </x:c>
      <x:c r="G264" s="50" t="n">
        <x:f>IF(C264="","",IFERROR(D264/C264,0))</x:f>
        <x:v>0.7720125786163522</x:v>
      </x:c>
      <x:c r="H264" s="36" t="n">
        <x:v>19</x:v>
      </x:c>
      <x:c r="I264" t="n">
        <x:v>82</x:v>
      </x:c>
      <x:c r="J264" t="n">
        <x:v>378</x:v>
      </x:c>
      <x:c r="K264" t="n">
        <x:v>6</x:v>
      </x:c>
      <x:c r="L264" t="n">
        <x:v>1</x:v>
      </x:c>
      <x:c r="M264" t="n">
        <x:v>3</x:v>
      </x:c>
      <x:c r="N264" t="n">
        <x:v>0</x:v>
      </x:c>
      <x:c r="O264" t="n">
        <x:v>1</x:v>
      </x:c>
      <x:c r="P264" s="50" t="n">
        <x:f>IF(D264=0,"",H264/D264)</x:f>
        <x:v>0.038696537678207736</x:v>
      </x:c>
      <x:c r="Q264" t="n">
        <x:f>MAX(I264:O264)</x:f>
        <x:v>378</x:v>
      </x:c>
      <x:c r="R264" t="n">
        <x:f>H264-Q264</x:f>
        <x:v>-359</x:v>
      </x:c>
      <x:c r="S264" s="52" t="n">
        <x:f>IF(D264=0,"",(R264)/D264)</x:f>
        <x:v>-0.7311608961303462</x:v>
      </x:c>
      <x:c r="T264" t="str">
        <x:v>Vedram Bhati</x:v>
      </x:c>
      <x:c r="U264" t="n">
        <x:f>D264-E264-F264</x:f>
        <x:v>0</x:v>
      </x:c>
    </x:row>
    <x:row r="265">
      <x:c r="A265" t="n">
        <x:v>257</x:v>
      </x:c>
      <x:c r="B265" t="str">
        <x:v>PRY. SCHOOL ROHI R.NO. 1</x:v>
      </x:c>
      <x:c r="C265" t="n">
        <x:v>637</x:v>
      </x:c>
      <x:c r="D265" t="n">
        <x:v>313</x:v>
      </x:c>
      <x:c r="E265" t="n">
        <x:f>SUM(H265:O265)</x:f>
        <x:v>313</x:v>
      </x:c>
      <x:c r="F265" t="n">
        <x:v>0</x:v>
      </x:c>
      <x:c r="G265" s="50" t="n">
        <x:f>IF(C265="","",IFERROR(D265/C265,0))</x:f>
        <x:v>0.4913657770800628</x:v>
      </x:c>
      <x:c r="H265" s="36" t="n">
        <x:v>6</x:v>
      </x:c>
      <x:c r="I265" t="n">
        <x:v>261</x:v>
      </x:c>
      <x:c r="J265" t="n">
        <x:v>41</x:v>
      </x:c>
      <x:c r="K265" t="n">
        <x:v>0</x:v>
      </x:c>
      <x:c r="L265" t="n">
        <x:v>0</x:v>
      </x:c>
      <x:c r="M265" t="n">
        <x:v>1</x:v>
      </x:c>
      <x:c r="N265" t="n">
        <x:v>4</x:v>
      </x:c>
      <x:c r="O265" t="n">
        <x:v>0</x:v>
      </x:c>
      <x:c r="P265" s="50" t="n">
        <x:f>IF(D265=0,"",H265/D265)</x:f>
        <x:v>0.019169329073482427</x:v>
      </x:c>
      <x:c r="Q265" t="n">
        <x:f>MAX(I265:O265)</x:f>
        <x:v>261</x:v>
      </x:c>
      <x:c r="R265" t="n">
        <x:f>H265-Q265</x:f>
        <x:v>-255</x:v>
      </x:c>
      <x:c r="S265" s="52" t="n">
        <x:f>IF(D265=0,"",(R265)/D265)</x:f>
        <x:v>-0.8146964856230032</x:v>
      </x:c>
      <x:c r="T265" t="str">
        <x:v>Dhirendra Singh</x:v>
      </x:c>
      <x:c r="U265" t="n">
        <x:f>D265-E265-F265</x:f>
        <x:v>0</x:v>
      </x:c>
    </x:row>
    <x:row r="266">
      <x:c r="A266" t="n">
        <x:v>258</x:v>
      </x:c>
      <x:c r="B266" t="str">
        <x:v>PRY. SCHOOL ROHI R.NO. 2</x:v>
      </x:c>
      <x:c r="C266" t="n">
        <x:v>962</x:v>
      </x:c>
      <x:c r="D266" t="n">
        <x:v>586</x:v>
      </x:c>
      <x:c r="E266" t="n">
        <x:f>SUM(H266:O266)</x:f>
        <x:v>584</x:v>
      </x:c>
      <x:c r="F266" t="n">
        <x:v>2</x:v>
      </x:c>
      <x:c r="G266" s="50" t="n">
        <x:f>IF(C266="","",IFERROR(D266/C266,0))</x:f>
        <x:v>0.6091476091476091</x:v>
      </x:c>
      <x:c r="H266" s="36" t="n">
        <x:v>8</x:v>
      </x:c>
      <x:c r="I266" t="n">
        <x:v>411</x:v>
      </x:c>
      <x:c r="J266" t="n">
        <x:v>144</x:v>
      </x:c>
      <x:c r="K266" t="n">
        <x:v>10</x:v>
      </x:c>
      <x:c r="L266" t="n">
        <x:v>2</x:v>
      </x:c>
      <x:c r="M266" t="n">
        <x:v>3</x:v>
      </x:c>
      <x:c r="N266" t="n">
        <x:v>3</x:v>
      </x:c>
      <x:c r="O266" t="n">
        <x:v>3</x:v>
      </x:c>
      <x:c r="P266" s="50" t="n">
        <x:f>IF(D266=0,"",H266/D266)</x:f>
        <x:v>0.013651877133105802</x:v>
      </x:c>
      <x:c r="Q266" t="n">
        <x:f>MAX(I266:O266)</x:f>
        <x:v>411</x:v>
      </x:c>
      <x:c r="R266" t="n">
        <x:f>H266-Q266</x:f>
        <x:v>-403</x:v>
      </x:c>
      <x:c r="S266" s="52" t="n">
        <x:f>IF(D266=0,"",(R266)/D266)</x:f>
        <x:v>-0.6877133105802048</x:v>
      </x:c>
      <x:c r="T266" t="str">
        <x:v>Dhirendra Singh</x:v>
      </x:c>
      <x:c r="U266" t="n">
        <x:f>D266-E266-F266</x:f>
        <x:v>0</x:v>
      </x:c>
    </x:row>
    <x:row r="267">
      <x:c r="A267" t="n">
        <x:v>259</x:v>
      </x:c>
      <x:c r="B267" t="str">
        <x:v>PRY. SCHOOL NAGLA GANESHI MAZRA ROHI R.NO. 1</x:v>
      </x:c>
      <x:c r="C267" t="n">
        <x:v>589</x:v>
      </x:c>
      <x:c r="D267" t="n">
        <x:v>456</x:v>
      </x:c>
      <x:c r="E267" t="n">
        <x:f>SUM(H267:O267)</x:f>
        <x:v>455</x:v>
      </x:c>
      <x:c r="F267" t="n">
        <x:v>1</x:v>
      </x:c>
      <x:c r="G267" s="50" t="n">
        <x:f>IF(C267="","",IFERROR(D267/C267,0))</x:f>
        <x:v>0.7741935483870968</x:v>
      </x:c>
      <x:c r="H267" s="36" t="n">
        <x:v>42</x:v>
      </x:c>
      <x:c r="I267" t="n">
        <x:v>251</x:v>
      </x:c>
      <x:c r="J267" t="n">
        <x:v>143</x:v>
      </x:c>
      <x:c r="K267" t="n">
        <x:v>2</x:v>
      </x:c>
      <x:c r="L267" t="n">
        <x:v>4</x:v>
      </x:c>
      <x:c r="M267" t="n">
        <x:v>7</x:v>
      </x:c>
      <x:c r="N267" t="n">
        <x:v>3</x:v>
      </x:c>
      <x:c r="O267" t="n">
        <x:v>3</x:v>
      </x:c>
      <x:c r="P267" s="50" t="n">
        <x:f>IF(D267=0,"",H267/D267)</x:f>
        <x:v>0.09210526315789473</x:v>
      </x:c>
      <x:c r="Q267" t="n">
        <x:f>MAX(I267:O267)</x:f>
        <x:v>251</x:v>
      </x:c>
      <x:c r="R267" t="n">
        <x:f>H267-Q267</x:f>
        <x:v>-209</x:v>
      </x:c>
      <x:c r="S267" s="52" t="n">
        <x:f>IF(D267=0,"",(R267)/D267)</x:f>
        <x:v>-0.4583333333333333</x:v>
      </x:c>
      <x:c r="T267" t="str">
        <x:v>Dhirendra Singh</x:v>
      </x:c>
      <x:c r="U267" t="n">
        <x:f>D267-E267-F267</x:f>
        <x:v>0</x:v>
      </x:c>
    </x:row>
    <x:row r="268">
      <x:c r="A268" t="n">
        <x:v>260</x:v>
      </x:c>
      <x:c r="B268" t="str">
        <x:v>PRY. SCHOOL PAROHI R.NO. 1</x:v>
      </x:c>
      <x:c r="C268" t="n">
        <x:v>338</x:v>
      </x:c>
      <x:c r="D268" t="n">
        <x:v>215</x:v>
      </x:c>
      <x:c r="E268" t="n">
        <x:f>SUM(H268:O268)</x:f>
        <x:v>215</x:v>
      </x:c>
      <x:c r="F268" t="n">
        <x:v>0</x:v>
      </x:c>
      <x:c r="G268" s="50" t="n">
        <x:f>IF(C268="","",IFERROR(D268/C268,0))</x:f>
        <x:v>0.636094674556213</x:v>
      </x:c>
      <x:c r="H268" s="36" t="n">
        <x:v>3</x:v>
      </x:c>
      <x:c r="I268" t="n">
        <x:v>86</x:v>
      </x:c>
      <x:c r="J268" t="n">
        <x:v>121</x:v>
      </x:c>
      <x:c r="K268" t="n">
        <x:v>0</x:v>
      </x:c>
      <x:c r="L268" t="n">
        <x:v>0</x:v>
      </x:c>
      <x:c r="M268" t="n">
        <x:v>4</x:v>
      </x:c>
      <x:c r="N268" t="n">
        <x:v>1</x:v>
      </x:c>
      <x:c r="O268" t="n">
        <x:v>0</x:v>
      </x:c>
      <x:c r="P268" s="50" t="n">
        <x:f>IF(D268=0,"",H268/D268)</x:f>
        <x:v>0.013953488372093023</x:v>
      </x:c>
      <x:c r="Q268" t="n">
        <x:f>MAX(I268:O268)</x:f>
        <x:v>121</x:v>
      </x:c>
      <x:c r="R268" t="n">
        <x:f>H268-Q268</x:f>
        <x:v>-118</x:v>
      </x:c>
      <x:c r="S268" s="52" t="n">
        <x:f>IF(D268=0,"",(R268)/D268)</x:f>
        <x:v>-0.5488372093023256</x:v>
      </x:c>
      <x:c r="T268" t="str">
        <x:v>Vedram Bhati</x:v>
      </x:c>
      <x:c r="U268" t="n">
        <x:f>D268-E268-F268</x:f>
        <x:v>0</x:v>
      </x:c>
    </x:row>
    <x:row r="269">
      <x:c r="A269" t="n">
        <x:v>261</x:v>
      </x:c>
      <x:c r="B269" t="str">
        <x:v>PRY. SCHOOL BANVARIVAS R.NO. 1</x:v>
      </x:c>
      <x:c r="C269" t="n">
        <x:v>1296</x:v>
      </x:c>
      <x:c r="D269" t="n">
        <x:v>754</x:v>
      </x:c>
      <x:c r="E269" t="n">
        <x:f>SUM(H269:O269)</x:f>
        <x:v>751</x:v>
      </x:c>
      <x:c r="F269" t="n">
        <x:v>3</x:v>
      </x:c>
      <x:c r="G269" s="50" t="n">
        <x:f>IF(C269="","",IFERROR(D269/C269,0))</x:f>
        <x:v>0.5817901234567902</x:v>
      </x:c>
      <x:c r="H269" s="36" t="n">
        <x:v>27</x:v>
      </x:c>
      <x:c r="I269" t="n">
        <x:v>529</x:v>
      </x:c>
      <x:c r="J269" t="n">
        <x:v>101</x:v>
      </x:c>
      <x:c r="K269" t="n">
        <x:v>84</x:v>
      </x:c>
      <x:c r="L269" t="n">
        <x:v>3</x:v>
      </x:c>
      <x:c r="M269" t="n">
        <x:v>2</x:v>
      </x:c>
      <x:c r="N269" t="n">
        <x:v>3</x:v>
      </x:c>
      <x:c r="O269" t="n">
        <x:v>2</x:v>
      </x:c>
      <x:c r="P269" s="50" t="n">
        <x:f>IF(D269=0,"",H269/D269)</x:f>
        <x:v>0.03580901856763926</x:v>
      </x:c>
      <x:c r="Q269" t="n">
        <x:f>MAX(I269:O269)</x:f>
        <x:v>529</x:v>
      </x:c>
      <x:c r="R269" t="n">
        <x:f>H269-Q269</x:f>
        <x:v>-502</x:v>
      </x:c>
      <x:c r="S269" s="52" t="n">
        <x:f>IF(D269=0,"",(R269)/D269)</x:f>
        <x:v>-0.6657824933687002</x:v>
      </x:c>
      <x:c r="T269" t="str">
        <x:v>Dhirendra Singh</x:v>
      </x:c>
      <x:c r="U269" t="n">
        <x:f>D269-E269-F269</x:f>
        <x:v>0</x:v>
      </x:c>
    </x:row>
    <x:row r="270">
      <x:c r="A270" t="n">
        <x:v>262</x:v>
      </x:c>
      <x:c r="B270" t="str">
        <x:v>PRY. SCHOOL RAMNER R.NO. 1</x:v>
      </x:c>
      <x:c r="C270" t="n">
        <x:v>1193</x:v>
      </x:c>
      <x:c r="D270" t="n">
        <x:v>890</x:v>
      </x:c>
      <x:c r="E270" t="n">
        <x:f>SUM(H270:O270)</x:f>
        <x:v>888</x:v>
      </x:c>
      <x:c r="F270" t="n">
        <x:v>2</x:v>
      </x:c>
      <x:c r="G270" s="50" t="n">
        <x:f>IF(C270="","",IFERROR(D270/C270,0))</x:f>
        <x:v>0.7460184409052808</x:v>
      </x:c>
      <x:c r="H270" s="36" t="n">
        <x:v>6</x:v>
      </x:c>
      <x:c r="I270" t="n">
        <x:v>258</x:v>
      </x:c>
      <x:c r="J270" t="n">
        <x:v>587</x:v>
      </x:c>
      <x:c r="K270" t="n">
        <x:v>24</x:v>
      </x:c>
      <x:c r="L270" t="n">
        <x:v>2</x:v>
      </x:c>
      <x:c r="M270" t="n">
        <x:v>3</x:v>
      </x:c>
      <x:c r="N270" t="n">
        <x:v>6</x:v>
      </x:c>
      <x:c r="O270" t="n">
        <x:v>2</x:v>
      </x:c>
      <x:c r="P270" s="50" t="n">
        <x:f>IF(D270=0,"",H270/D270)</x:f>
        <x:v>0.006741573033707865</x:v>
      </x:c>
      <x:c r="Q270" t="n">
        <x:f>MAX(I270:O270)</x:f>
        <x:v>587</x:v>
      </x:c>
      <x:c r="R270" t="n">
        <x:f>H270-Q270</x:f>
        <x:v>-581</x:v>
      </x:c>
      <x:c r="S270" s="52" t="n">
        <x:f>IF(D270=0,"",(R270)/D270)</x:f>
        <x:v>-0.6528089887640449</x:v>
      </x:c>
      <x:c r="T270" t="str">
        <x:v>Vedram Bhati</x:v>
      </x:c>
      <x:c r="U270" t="n">
        <x:f>D270-E270-F270</x:f>
        <x:v>0</x:v>
      </x:c>
    </x:row>
    <x:row r="271">
      <x:c r="A271" t="n">
        <x:v>263</x:v>
      </x:c>
      <x:c r="B271" t="str">
        <x:v>PRY. SCHOOL DHANSIYA R.NO. 1</x:v>
      </x:c>
      <x:c r="C271" t="n">
        <x:v>738</x:v>
      </x:c>
      <x:c r="D271" t="n">
        <x:v>524</x:v>
      </x:c>
      <x:c r="E271" t="n">
        <x:f>SUM(H271:O271)</x:f>
        <x:v>516</x:v>
      </x:c>
      <x:c r="F271" t="n">
        <x:v>8</x:v>
      </x:c>
      <x:c r="G271" s="50" t="n">
        <x:f>IF(C271="","",IFERROR(D271/C271,0))</x:f>
        <x:v>0.7100271002710027</x:v>
      </x:c>
      <x:c r="H271" s="36" t="n">
        <x:v>2</x:v>
      </x:c>
      <x:c r="I271" t="n">
        <x:v>212</x:v>
      </x:c>
      <x:c r="J271" t="n">
        <x:v>268</x:v>
      </x:c>
      <x:c r="K271" t="n">
        <x:v>25</x:v>
      </x:c>
      <x:c r="L271" t="n">
        <x:v>0</x:v>
      </x:c>
      <x:c r="M271" t="n">
        <x:v>5</x:v>
      </x:c>
      <x:c r="N271" t="n">
        <x:v>3</x:v>
      </x:c>
      <x:c r="O271" t="n">
        <x:v>1</x:v>
      </x:c>
      <x:c r="P271" s="50" t="n">
        <x:f>IF(D271=0,"",H271/D271)</x:f>
        <x:v>0.003816793893129771</x:v>
      </x:c>
      <x:c r="Q271" t="n">
        <x:f>MAX(I271:O271)</x:f>
        <x:v>268</x:v>
      </x:c>
      <x:c r="R271" t="n">
        <x:f>H271-Q271</x:f>
        <x:v>-266</x:v>
      </x:c>
      <x:c r="S271" s="52" t="n">
        <x:f>IF(D271=0,"",(R271)/D271)</x:f>
        <x:v>-0.5076335877862596</x:v>
      </x:c>
      <x:c r="T271" t="str">
        <x:v>Vedram Bhati</x:v>
      </x:c>
      <x:c r="U271" t="n">
        <x:f>D271-E271-F271</x:f>
        <x:v>0</x:v>
      </x:c>
    </x:row>
    <x:row r="272">
      <x:c r="A272" t="n">
        <x:v>264</x:v>
      </x:c>
      <x:c r="B272" t="str">
        <x:v>PRY. SCHOOL DASTAMPUR R.NO. 1</x:v>
      </x:c>
      <x:c r="C272" t="n">
        <x:v>649</x:v>
      </x:c>
      <x:c r="D272" t="n">
        <x:v>479</x:v>
      </x:c>
      <x:c r="E272" t="n">
        <x:f>SUM(H272:O272)</x:f>
        <x:v>477</x:v>
      </x:c>
      <x:c r="F272" t="n">
        <x:v>2</x:v>
      </x:c>
      <x:c r="G272" s="50" t="n">
        <x:f>IF(C272="","",IFERROR(D272/C272,0))</x:f>
        <x:v>0.7380585516178737</x:v>
      </x:c>
      <x:c r="H272" s="36" t="n">
        <x:v>5</x:v>
      </x:c>
      <x:c r="I272" t="n">
        <x:v>183</x:v>
      </x:c>
      <x:c r="J272" t="n">
        <x:v>249</x:v>
      </x:c>
      <x:c r="K272" t="n">
        <x:v>32</x:v>
      </x:c>
      <x:c r="L272" t="n">
        <x:v>5</x:v>
      </x:c>
      <x:c r="M272" t="n">
        <x:v>2</x:v>
      </x:c>
      <x:c r="N272" t="n">
        <x:v>1</x:v>
      </x:c>
      <x:c r="O272" t="n">
        <x:v>0</x:v>
      </x:c>
      <x:c r="P272" s="50" t="n">
        <x:f>IF(D272=0,"",H272/D272)</x:f>
        <x:v>0.010438413361169102</x:v>
      </x:c>
      <x:c r="Q272" t="n">
        <x:f>MAX(I272:O272)</x:f>
        <x:v>249</x:v>
      </x:c>
      <x:c r="R272" t="n">
        <x:f>H272-Q272</x:f>
        <x:v>-244</x:v>
      </x:c>
      <x:c r="S272" s="52" t="n">
        <x:f>IF(D272=0,"",(R272)/D272)</x:f>
        <x:v>-0.5093945720250522</x:v>
      </x:c>
      <x:c r="T272" t="str">
        <x:v>Vedram Bhati</x:v>
      </x:c>
      <x:c r="U272" t="n">
        <x:f>D272-E272-F272</x:f>
        <x:v>0</x:v>
      </x:c>
    </x:row>
    <x:row r="273">
      <x:c r="A273" t="n">
        <x:v>265</x:v>
      </x:c>
      <x:c r="B273" t="str">
        <x:v>PRY. SCHOOL DASTAMPUR R.NO. 2</x:v>
      </x:c>
      <x:c r="C273" t="n">
        <x:v>679</x:v>
      </x:c>
      <x:c r="D273" t="n">
        <x:v>474</x:v>
      </x:c>
      <x:c r="E273" t="n">
        <x:f>SUM(H273:O273)</x:f>
        <x:v>472</x:v>
      </x:c>
      <x:c r="F273" t="n">
        <x:v>2</x:v>
      </x:c>
      <x:c r="G273" s="50" t="n">
        <x:f>IF(C273="","",IFERROR(D273/C273,0))</x:f>
        <x:v>0.6980854197349042</x:v>
      </x:c>
      <x:c r="H273" s="36" t="n">
        <x:v>7</x:v>
      </x:c>
      <x:c r="I273" t="n">
        <x:v>258</x:v>
      </x:c>
      <x:c r="J273" t="n">
        <x:v>165</x:v>
      </x:c>
      <x:c r="K273" t="n">
        <x:v>36</x:v>
      </x:c>
      <x:c r="L273" t="n">
        <x:v>3</x:v>
      </x:c>
      <x:c r="M273" t="n">
        <x:v>0</x:v>
      </x:c>
      <x:c r="N273" t="n">
        <x:v>0</x:v>
      </x:c>
      <x:c r="O273" t="n">
        <x:v>3</x:v>
      </x:c>
      <x:c r="P273" s="50" t="n">
        <x:f>IF(D273=0,"",H273/D273)</x:f>
        <x:v>0.014767932489451477</x:v>
      </x:c>
      <x:c r="Q273" t="n">
        <x:f>MAX(I273:O273)</x:f>
        <x:v>258</x:v>
      </x:c>
      <x:c r="R273" t="n">
        <x:f>H273-Q273</x:f>
        <x:v>-251</x:v>
      </x:c>
      <x:c r="S273" s="52" t="n">
        <x:f>IF(D273=0,"",(R273)/D273)</x:f>
        <x:v>-0.5295358649789029</x:v>
      </x:c>
      <x:c r="T273" t="str">
        <x:v>Dhirendra Singh</x:v>
      </x:c>
      <x:c r="U273" t="n">
        <x:f>D273-E273-F273</x:f>
        <x:v>0</x:v>
      </x:c>
    </x:row>
    <x:row r="274">
      <x:c r="A274" t="n">
        <x:v>266</x:v>
      </x:c>
      <x:c r="B274" t="str">
        <x:v>PRY. SCHOOL MOHBALIPUR R.NO. 1</x:v>
      </x:c>
      <x:c r="C274" t="n">
        <x:v>1174</x:v>
      </x:c>
      <x:c r="D274" t="n">
        <x:v>879</x:v>
      </x:c>
      <x:c r="E274" t="n">
        <x:f>SUM(H274:O274)</x:f>
        <x:v>867</x:v>
      </x:c>
      <x:c r="F274" t="n">
        <x:v>12</x:v>
      </x:c>
      <x:c r="G274" s="50" t="n">
        <x:f>IF(C274="","",IFERROR(D274/C274,0))</x:f>
        <x:v>0.7487223168654173</x:v>
      </x:c>
      <x:c r="H274" s="36" t="n">
        <x:v>19</x:v>
      </x:c>
      <x:c r="I274" t="n">
        <x:v>735</x:v>
      </x:c>
      <x:c r="J274" t="n">
        <x:v>90</x:v>
      </x:c>
      <x:c r="K274" t="n">
        <x:v>14</x:v>
      </x:c>
      <x:c r="L274" t="n">
        <x:v>1</x:v>
      </x:c>
      <x:c r="M274" t="n">
        <x:v>1</x:v>
      </x:c>
      <x:c r="N274" t="n">
        <x:v>4</x:v>
      </x:c>
      <x:c r="O274" t="n">
        <x:v>3</x:v>
      </x:c>
      <x:c r="P274" s="50" t="n">
        <x:f>IF(D274=0,"",H274/D274)</x:f>
        <x:v>0.02161547212741752</x:v>
      </x:c>
      <x:c r="Q274" t="n">
        <x:f>MAX(I274:O274)</x:f>
        <x:v>735</x:v>
      </x:c>
      <x:c r="R274" t="n">
        <x:f>H274-Q274</x:f>
        <x:v>-716</x:v>
      </x:c>
      <x:c r="S274" s="52" t="n">
        <x:f>IF(D274=0,"",(R274)/D274)</x:f>
        <x:v>-0.8145620022753128</x:v>
      </x:c>
      <x:c r="T274" t="str">
        <x:v>Dhirendra Singh</x:v>
      </x:c>
      <x:c r="U274" t="n">
        <x:f>D274-E274-F274</x:f>
        <x:v>0</x:v>
      </x:c>
    </x:row>
    <x:row r="275">
      <x:c r="A275" t="n">
        <x:v>267</x:v>
      </x:c>
      <x:c r="B275" t="str">
        <x:v>PRY. SCHOOL MILK KARIMABAD R.NO. 1</x:v>
      </x:c>
      <x:c r="C275" t="n">
        <x:v>233</x:v>
      </x:c>
      <x:c r="D275" t="n">
        <x:v>173</x:v>
      </x:c>
      <x:c r="E275" t="n">
        <x:f>SUM(H275:O275)</x:f>
        <x:v>173</x:v>
      </x:c>
      <x:c r="F275" t="n">
        <x:v>0</x:v>
      </x:c>
      <x:c r="G275" s="50" t="n">
        <x:f>IF(C275="","",IFERROR(D275/C275,0))</x:f>
        <x:v>0.7424892703862661</x:v>
      </x:c>
      <x:c r="H275" s="36" t="n">
        <x:v>11</x:v>
      </x:c>
      <x:c r="I275" t="n">
        <x:v>84</x:v>
      </x:c>
      <x:c r="J275" t="n">
        <x:v>64</x:v>
      </x:c>
      <x:c r="K275" t="n">
        <x:v>9</x:v>
      </x:c>
      <x:c r="L275" t="n">
        <x:v>0</x:v>
      </x:c>
      <x:c r="M275" t="n">
        <x:v>1</x:v>
      </x:c>
      <x:c r="N275" t="n">
        <x:v>2</x:v>
      </x:c>
      <x:c r="O275" t="n">
        <x:v>2</x:v>
      </x:c>
      <x:c r="P275" s="50" t="n">
        <x:f>IF(D275=0,"",H275/D275)</x:f>
        <x:v>0.06358381502890173</x:v>
      </x:c>
      <x:c r="Q275" t="n">
        <x:f>MAX(I275:O275)</x:f>
        <x:v>84</x:v>
      </x:c>
      <x:c r="R275" t="n">
        <x:f>H275-Q275</x:f>
        <x:v>-73</x:v>
      </x:c>
      <x:c r="S275" s="52" t="n">
        <x:f>IF(D275=0,"",(R275)/D275)</x:f>
        <x:v>-0.42196531791907516</x:v>
      </x:c>
      <x:c r="T275" t="str">
        <x:v>Dhirendra Singh</x:v>
      </x:c>
      <x:c r="U275" t="n">
        <x:f>D275-E275-F275</x:f>
        <x:v>0</x:v>
      </x:c>
    </x:row>
    <x:row r="276">
      <x:c r="A276" t="n">
        <x:v>268</x:v>
      </x:c>
      <x:c r="B276" t="str">
        <x:v>PRY. SCHOOL ALI AHMADPUR URF GARHI R.NO. 1</x:v>
      </x:c>
      <x:c r="C276" t="n">
        <x:v>998</x:v>
      </x:c>
      <x:c r="D276" t="n">
        <x:v>636</x:v>
      </x:c>
      <x:c r="E276" t="n">
        <x:f>SUM(H276:O276)</x:f>
        <x:v>636</x:v>
      </x:c>
      <x:c r="F276" t="n">
        <x:v>0</x:v>
      </x:c>
      <x:c r="G276" s="50" t="n">
        <x:f>IF(C276="","",IFERROR(D276/C276,0))</x:f>
        <x:v>0.6372745490981964</x:v>
      </x:c>
      <x:c r="H276" s="36" t="n">
        <x:v>14</x:v>
      </x:c>
      <x:c r="I276" t="n">
        <x:v>416</x:v>
      </x:c>
      <x:c r="J276" t="n">
        <x:v>203</x:v>
      </x:c>
      <x:c r="K276" t="n">
        <x:v>1</x:v>
      </x:c>
      <x:c r="L276" t="n">
        <x:v>1</x:v>
      </x:c>
      <x:c r="M276" t="n">
        <x:v>1</x:v>
      </x:c>
      <x:c r="N276" t="n">
        <x:v>0</x:v>
      </x:c>
      <x:c r="O276" t="n">
        <x:v>0</x:v>
      </x:c>
      <x:c r="P276" s="50" t="n">
        <x:f>IF(D276=0,"",H276/D276)</x:f>
        <x:v>0.0220125786163522</x:v>
      </x:c>
      <x:c r="Q276" t="n">
        <x:f>MAX(I276:O276)</x:f>
        <x:v>416</x:v>
      </x:c>
      <x:c r="R276" t="n">
        <x:f>H276-Q276</x:f>
        <x:v>-402</x:v>
      </x:c>
      <x:c r="S276" s="52" t="n">
        <x:f>IF(D276=0,"",(R276)/D276)</x:f>
        <x:v>-0.6320754716981132</x:v>
      </x:c>
      <x:c r="T276" t="str">
        <x:v>Dhirendra Singh</x:v>
      </x:c>
      <x:c r="U276" t="n">
        <x:f>D276-E276-F276</x:f>
        <x:v>0</x:v>
      </x:c>
    </x:row>
    <x:row r="277">
      <x:c r="A277" t="n">
        <x:v>269</x:v>
      </x:c>
      <x:c r="B277" t="str">
        <x:v>PRY. SCHOOL NO. 1 THAURA R.NO. 1</x:v>
      </x:c>
      <x:c r="C277" t="n">
        <x:v>1012</x:v>
      </x:c>
      <x:c r="D277" t="n">
        <x:v>785</x:v>
      </x:c>
      <x:c r="E277" t="n">
        <x:f>SUM(H277:O277)</x:f>
        <x:v>782</x:v>
      </x:c>
      <x:c r="F277" t="n">
        <x:v>3</x:v>
      </x:c>
      <x:c r="G277" s="50" t="n">
        <x:f>IF(C277="","",IFERROR(D277/C277,0))</x:f>
        <x:v>0.775691699604743</x:v>
      </x:c>
      <x:c r="H277" s="36" t="n">
        <x:v>13</x:v>
      </x:c>
      <x:c r="I277" t="n">
        <x:v>642</x:v>
      </x:c>
      <x:c r="J277" t="n">
        <x:v>104</x:v>
      </x:c>
      <x:c r="K277" t="n">
        <x:v>8</x:v>
      </x:c>
      <x:c r="L277" t="n">
        <x:v>2</x:v>
      </x:c>
      <x:c r="M277" t="n">
        <x:v>6</x:v>
      </x:c>
      <x:c r="N277" t="n">
        <x:v>2</x:v>
      </x:c>
      <x:c r="O277" t="n">
        <x:v>5</x:v>
      </x:c>
      <x:c r="P277" s="50" t="n">
        <x:f>IF(D277=0,"",H277/D277)</x:f>
        <x:v>0.016560509554140127</x:v>
      </x:c>
      <x:c r="Q277" t="n">
        <x:f>MAX(I277:O277)</x:f>
        <x:v>642</x:v>
      </x:c>
      <x:c r="R277" t="n">
        <x:f>H277-Q277</x:f>
        <x:v>-629</x:v>
      </x:c>
      <x:c r="S277" s="52" t="n">
        <x:f>IF(D277=0,"",(R277)/D277)</x:f>
        <x:v>-0.8012738853503185</x:v>
      </x:c>
      <x:c r="T277" t="str">
        <x:v>Dhirendra Singh</x:v>
      </x:c>
      <x:c r="U277" t="n">
        <x:f>D277-E277-F277</x:f>
        <x:v>0</x:v>
      </x:c>
    </x:row>
    <x:row r="278">
      <x:c r="A278" t="n">
        <x:v>270</x:v>
      </x:c>
      <x:c r="B278" t="str">
        <x:v>PRY. SCHOOL NO. 1 THAURA R.NO. 2</x:v>
      </x:c>
      <x:c r="C278" t="n">
        <x:v>874</x:v>
      </x:c>
      <x:c r="D278" t="n">
        <x:v>617</x:v>
      </x:c>
      <x:c r="E278" t="n">
        <x:f>SUM(H278:O278)</x:f>
        <x:v>616</x:v>
      </x:c>
      <x:c r="F278" t="n">
        <x:v>1</x:v>
      </x:c>
      <x:c r="G278" s="50" t="n">
        <x:f>IF(C278="","",IFERROR(D278/C278,0))</x:f>
        <x:v>0.7059496567505721</x:v>
      </x:c>
      <x:c r="H278" s="36" t="n">
        <x:v>9</x:v>
      </x:c>
      <x:c r="I278" t="n">
        <x:v>504</x:v>
      </x:c>
      <x:c r="J278" t="n">
        <x:v>64</x:v>
      </x:c>
      <x:c r="K278" t="n">
        <x:v>34</x:v>
      </x:c>
      <x:c r="L278" t="n">
        <x:v>0</x:v>
      </x:c>
      <x:c r="M278" t="n">
        <x:v>0</x:v>
      </x:c>
      <x:c r="N278" t="n">
        <x:v>3</x:v>
      </x:c>
      <x:c r="O278" t="n">
        <x:v>2</x:v>
      </x:c>
      <x:c r="P278" s="50" t="n">
        <x:f>IF(D278=0,"",H278/D278)</x:f>
        <x:v>0.014586709886547812</x:v>
      </x:c>
      <x:c r="Q278" t="n">
        <x:f>MAX(I278:O278)</x:f>
        <x:v>504</x:v>
      </x:c>
      <x:c r="R278" t="n">
        <x:f>H278-Q278</x:f>
        <x:v>-495</x:v>
      </x:c>
      <x:c r="S278" s="52" t="n">
        <x:f>IF(D278=0,"",(R278)/D278)</x:f>
        <x:v>-0.8022690437601296</x:v>
      </x:c>
      <x:c r="T278" t="str">
        <x:v>Dhirendra Singh</x:v>
      </x:c>
      <x:c r="U278" t="n">
        <x:f>D278-E278-F278</x:f>
        <x:v>0</x:v>
      </x:c>
    </x:row>
    <x:row r="279">
      <x:c r="A279" t="n">
        <x:v>271</x:v>
      </x:c>
      <x:c r="B279" t="str">
        <x:v>PRY. SCHOOL NO. 2 THAURA R.NO. 1</x:v>
      </x:c>
      <x:c r="C279" t="n">
        <x:v>1230</x:v>
      </x:c>
      <x:c r="D279" t="n">
        <x:v>835</x:v>
      </x:c>
      <x:c r="E279" t="n">
        <x:f>SUM(H279:O279)</x:f>
        <x:v>834</x:v>
      </x:c>
      <x:c r="F279" t="n">
        <x:v>1</x:v>
      </x:c>
      <x:c r="G279" s="50" t="n">
        <x:f>IF(C279="","",IFERROR(D279/C279,0))</x:f>
        <x:v>0.6788617886178862</x:v>
      </x:c>
      <x:c r="H279" s="36" t="n">
        <x:v>16</x:v>
      </x:c>
      <x:c r="I279" t="n">
        <x:v>497</x:v>
      </x:c>
      <x:c r="J279" t="n">
        <x:v>289</x:v>
      </x:c>
      <x:c r="K279" t="n">
        <x:v>18</x:v>
      </x:c>
      <x:c r="L279" t="n">
        <x:v>6</x:v>
      </x:c>
      <x:c r="M279" t="n">
        <x:v>1</x:v>
      </x:c>
      <x:c r="N279" t="n">
        <x:v>4</x:v>
      </x:c>
      <x:c r="O279" t="n">
        <x:v>3</x:v>
      </x:c>
      <x:c r="P279" s="50" t="n">
        <x:f>IF(D279=0,"",H279/D279)</x:f>
        <x:v>0.019161676646706587</x:v>
      </x:c>
      <x:c r="Q279" t="n">
        <x:f>MAX(I279:O279)</x:f>
        <x:v>497</x:v>
      </x:c>
      <x:c r="R279" t="n">
        <x:f>H279-Q279</x:f>
        <x:v>-481</x:v>
      </x:c>
      <x:c r="S279" s="52" t="n">
        <x:f>IF(D279=0,"",(R279)/D279)</x:f>
        <x:v>-0.5760479041916168</x:v>
      </x:c>
      <x:c r="T279" t="str">
        <x:v>Dhirendra Singh</x:v>
      </x:c>
      <x:c r="U279" t="n">
        <x:f>D279-E279-F279</x:f>
        <x:v>0</x:v>
      </x:c>
    </x:row>
    <x:row r="280">
      <x:c r="A280" t="n">
        <x:v>272</x:v>
      </x:c>
      <x:c r="B280" t="str">
        <x:v>PRY. SCHOOL NO. 2 THAURA R.NO. 2</x:v>
      </x:c>
      <x:c r="C280" t="n">
        <x:v>1120</x:v>
      </x:c>
      <x:c r="D280" t="n">
        <x:v>743</x:v>
      </x:c>
      <x:c r="E280" t="n">
        <x:f>SUM(H280:O280)</x:f>
        <x:v>739</x:v>
      </x:c>
      <x:c r="F280" t="n">
        <x:v>4</x:v>
      </x:c>
      <x:c r="G280" s="50" t="n">
        <x:f>IF(C280="","",IFERROR(D280/C280,0))</x:f>
        <x:v>0.6633928571428571</x:v>
      </x:c>
      <x:c r="H280" s="36" t="n">
        <x:v>37</x:v>
      </x:c>
      <x:c r="I280" t="n">
        <x:v>327</x:v>
      </x:c>
      <x:c r="J280" t="n">
        <x:v>290</x:v>
      </x:c>
      <x:c r="K280" t="n">
        <x:v>63</x:v>
      </x:c>
      <x:c r="L280" t="n">
        <x:v>10</x:v>
      </x:c>
      <x:c r="M280" t="n">
        <x:v>3</x:v>
      </x:c>
      <x:c r="N280" t="n">
        <x:v>5</x:v>
      </x:c>
      <x:c r="O280" t="n">
        <x:v>4</x:v>
      </x:c>
      <x:c r="P280" s="50" t="n">
        <x:f>IF(D280=0,"",H280/D280)</x:f>
        <x:v>0.04979811574697174</x:v>
      </x:c>
      <x:c r="Q280" t="n">
        <x:f>MAX(I280:O280)</x:f>
        <x:v>327</x:v>
      </x:c>
      <x:c r="R280" t="n">
        <x:f>H280-Q280</x:f>
        <x:v>-290</x:v>
      </x:c>
      <x:c r="S280" s="52" t="n">
        <x:f>IF(D280=0,"",(R280)/D280)</x:f>
        <x:v>-0.39030955585464333</x:v>
      </x:c>
      <x:c r="T280" t="str">
        <x:v>Dhirendra Singh</x:v>
      </x:c>
      <x:c r="U280" t="n">
        <x:f>D280-E280-F280</x:f>
        <x:v>0</x:v>
      </x:c>
    </x:row>
    <x:row r="281">
      <x:c r="A281" t="n">
        <x:v>273</x:v>
      </x:c>
      <x:c r="B281" t="str">
        <x:v>PRY. SCHOOL BANKAPUR R.NO. 1</x:v>
      </x:c>
      <x:c r="C281" t="n">
        <x:v>1280</x:v>
      </x:c>
      <x:c r="D281" t="n">
        <x:v>841</x:v>
      </x:c>
      <x:c r="E281" t="n">
        <x:f>SUM(H281:O281)</x:f>
        <x:v>839</x:v>
      </x:c>
      <x:c r="F281" t="n">
        <x:v>2</x:v>
      </x:c>
      <x:c r="G281" s="50" t="n">
        <x:f>IF(C281="","",IFERROR(D281/C281,0))</x:f>
        <x:v>0.65703125</x:v>
      </x:c>
      <x:c r="H281" s="36" t="n">
        <x:v>21</x:v>
      </x:c>
      <x:c r="I281" t="n">
        <x:v>603</x:v>
      </x:c>
      <x:c r="J281" t="n">
        <x:v>169</x:v>
      </x:c>
      <x:c r="K281" t="n">
        <x:v>36</x:v>
      </x:c>
      <x:c r="L281" t="n">
        <x:v>2</x:v>
      </x:c>
      <x:c r="M281" t="n">
        <x:v>0</x:v>
      </x:c>
      <x:c r="N281" t="n">
        <x:v>0</x:v>
      </x:c>
      <x:c r="O281" t="n">
        <x:v>8</x:v>
      </x:c>
      <x:c r="P281" s="50" t="n">
        <x:f>IF(D281=0,"",H281/D281)</x:f>
        <x:v>0.02497027348394768</x:v>
      </x:c>
      <x:c r="Q281" t="n">
        <x:f>MAX(I281:O281)</x:f>
        <x:v>603</x:v>
      </x:c>
      <x:c r="R281" t="n">
        <x:f>H281-Q281</x:f>
        <x:v>-582</x:v>
      </x:c>
      <x:c r="S281" s="52" t="n">
        <x:f>IF(D281=0,"",(R281)/D281)</x:f>
        <x:v>-0.6920332936979786</x:v>
      </x:c>
      <x:c r="T281" t="str">
        <x:v>Dhirendra Singh</x:v>
      </x:c>
      <x:c r="U281" t="n">
        <x:f>D281-E281-F281</x:f>
        <x:v>0</x:v>
      </x:c>
    </x:row>
    <x:row r="282">
      <x:c r="A282" t="n">
        <x:v>274</x:v>
      </x:c>
      <x:c r="B282" t="str">
        <x:v>PRY. SCHOOL NEEMKA SHAHJAHANPUR R.NO. 1</x:v>
      </x:c>
      <x:c r="C282" t="n">
        <x:v>762</x:v>
      </x:c>
      <x:c r="D282" t="n">
        <x:v>534</x:v>
      </x:c>
      <x:c r="E282" t="n">
        <x:f>SUM(H282:O282)</x:f>
        <x:v>531</x:v>
      </x:c>
      <x:c r="F282" t="n">
        <x:v>3</x:v>
      </x:c>
      <x:c r="G282" s="50" t="n">
        <x:f>IF(C282="","",IFERROR(D282/C282,0))</x:f>
        <x:v>0.7007874015748031</x:v>
      </x:c>
      <x:c r="H282" s="36" t="n">
        <x:v>23</x:v>
      </x:c>
      <x:c r="I282" t="n">
        <x:v>107</x:v>
      </x:c>
      <x:c r="J282" t="n">
        <x:v>382</x:v>
      </x:c>
      <x:c r="K282" t="n">
        <x:v>8</x:v>
      </x:c>
      <x:c r="L282" t="n">
        <x:v>3</x:v>
      </x:c>
      <x:c r="M282" t="n">
        <x:v>6</x:v>
      </x:c>
      <x:c r="N282" t="n">
        <x:v>2</x:v>
      </x:c>
      <x:c r="O282" t="n">
        <x:v>0</x:v>
      </x:c>
      <x:c r="P282" s="50" t="n">
        <x:f>IF(D282=0,"",H282/D282)</x:f>
        <x:v>0.04307116104868914</x:v>
      </x:c>
      <x:c r="Q282" t="n">
        <x:f>MAX(I282:O282)</x:f>
        <x:v>382</x:v>
      </x:c>
      <x:c r="R282" t="n">
        <x:f>H282-Q282</x:f>
        <x:v>-359</x:v>
      </x:c>
      <x:c r="S282" s="52" t="n">
        <x:f>IF(D282=0,"",(R282)/D282)</x:f>
        <x:v>-0.6722846441947565</x:v>
      </x:c>
      <x:c r="T282" t="str">
        <x:v>Vedram Bhati</x:v>
      </x:c>
      <x:c r="U282" t="n">
        <x:f>D282-E282-F282</x:f>
        <x:v>0</x:v>
      </x:c>
    </x:row>
    <x:row r="283">
      <x:c r="A283" t="n">
        <x:v>275</x:v>
      </x:c>
      <x:c r="B283" t="str">
        <x:v>PRY. SCHOOL NEEMKA SHAHJAHANPUR R.NO. 2</x:v>
      </x:c>
      <x:c r="C283" t="n">
        <x:v>1247</x:v>
      </x:c>
      <x:c r="D283" t="n">
        <x:v>840</x:v>
      </x:c>
      <x:c r="E283" t="n">
        <x:f>SUM(H283:O283)</x:f>
        <x:v>839</x:v>
      </x:c>
      <x:c r="F283" t="n">
        <x:v>1</x:v>
      </x:c>
      <x:c r="G283" s="50" t="n">
        <x:f>IF(C283="","",IFERROR(D283/C283,0))</x:f>
        <x:v>0.673616680032077</x:v>
      </x:c>
      <x:c r="H283" s="36" t="n">
        <x:v>61</x:v>
      </x:c>
      <x:c r="I283" t="n">
        <x:v>630</x:v>
      </x:c>
      <x:c r="J283" t="n">
        <x:v>88</x:v>
      </x:c>
      <x:c r="K283" t="n">
        <x:v>55</x:v>
      </x:c>
      <x:c r="L283" t="n">
        <x:v>1</x:v>
      </x:c>
      <x:c r="M283" t="n">
        <x:v>0</x:v>
      </x:c>
      <x:c r="N283" t="n">
        <x:v>1</x:v>
      </x:c>
      <x:c r="O283" t="n">
        <x:v>3</x:v>
      </x:c>
      <x:c r="P283" s="50" t="n">
        <x:f>IF(D283=0,"",H283/D283)</x:f>
        <x:v>0.07261904761904762</x:v>
      </x:c>
      <x:c r="Q283" t="n">
        <x:f>MAX(I283:O283)</x:f>
        <x:v>630</x:v>
      </x:c>
      <x:c r="R283" t="n">
        <x:f>H283-Q283</x:f>
        <x:v>-569</x:v>
      </x:c>
      <x:c r="S283" s="52" t="n">
        <x:f>IF(D283=0,"",(R283)/D283)</x:f>
        <x:v>-0.6773809523809524</x:v>
      </x:c>
      <x:c r="T283" t="str">
        <x:v>Dhirendra Singh</x:v>
      </x:c>
      <x:c r="U283" t="n">
        <x:f>D283-E283-F283</x:f>
        <x:v>0</x:v>
      </x:c>
    </x:row>
    <x:row r="284">
      <x:c r="A284" t="n">
        <x:v>276</x:v>
      </x:c>
      <x:c r="B284" t="str">
        <x:v>J. H. SCHOOL NEEMKA SHAHJAHANPUR R.NO. 1</x:v>
      </x:c>
      <x:c r="C284" t="n">
        <x:v>632</x:v>
      </x:c>
      <x:c r="D284" t="n">
        <x:v>438</x:v>
      </x:c>
      <x:c r="E284" t="n">
        <x:f>SUM(H284:O284)</x:f>
        <x:v>435</x:v>
      </x:c>
      <x:c r="F284" t="n">
        <x:v>3</x:v>
      </x:c>
      <x:c r="G284" s="50" t="n">
        <x:f>IF(C284="","",IFERROR(D284/C284,0))</x:f>
        <x:v>0.6930379746835443</x:v>
      </x:c>
      <x:c r="H284" s="36" t="n">
        <x:v>28</x:v>
      </x:c>
      <x:c r="I284" t="n">
        <x:v>238</x:v>
      </x:c>
      <x:c r="J284" t="n">
        <x:v>120</x:v>
      </x:c>
      <x:c r="K284" t="n">
        <x:v>44</x:v>
      </x:c>
      <x:c r="L284" t="n">
        <x:v>2</x:v>
      </x:c>
      <x:c r="M284" t="n">
        <x:v>1</x:v>
      </x:c>
      <x:c r="N284" t="n">
        <x:v>1</x:v>
      </x:c>
      <x:c r="O284" t="n">
        <x:v>1</x:v>
      </x:c>
      <x:c r="P284" s="50" t="n">
        <x:f>IF(D284=0,"",H284/D284)</x:f>
        <x:v>0.0639269406392694</x:v>
      </x:c>
      <x:c r="Q284" t="n">
        <x:f>MAX(I284:O284)</x:f>
        <x:v>238</x:v>
      </x:c>
      <x:c r="R284" t="n">
        <x:f>H284-Q284</x:f>
        <x:v>-210</x:v>
      </x:c>
      <x:c r="S284" s="52" t="n">
        <x:f>IF(D284=0,"",(R284)/D284)</x:f>
        <x:v>-0.4794520547945205</x:v>
      </x:c>
      <x:c r="T284" t="str">
        <x:v>Dhirendra Singh</x:v>
      </x:c>
      <x:c r="U284" t="n">
        <x:f>D284-E284-F284</x:f>
        <x:v>0</x:v>
      </x:c>
    </x:row>
    <x:row r="285">
      <x:c r="A285" t="n">
        <x:v>277</x:v>
      </x:c>
      <x:c r="B285" t="str">
        <x:v>PRY. SCHOOL SADULLAPUR URF MODELPUR R.NO. 1</x:v>
      </x:c>
      <x:c r="C285" t="n">
        <x:v>864</x:v>
      </x:c>
      <x:c r="D285" t="n">
        <x:v>483</x:v>
      </x:c>
      <x:c r="E285" t="n">
        <x:f>SUM(H285:O285)</x:f>
        <x:v>480</x:v>
      </x:c>
      <x:c r="F285" t="n">
        <x:v>3</x:v>
      </x:c>
      <x:c r="G285" s="50" t="n">
        <x:f>IF(C285="","",IFERROR(D285/C285,0))</x:f>
        <x:v>0.5590277777777778</x:v>
      </x:c>
      <x:c r="H285" s="36" t="n">
        <x:v>11</x:v>
      </x:c>
      <x:c r="I285" t="n">
        <x:v>340</x:v>
      </x:c>
      <x:c r="J285" t="n">
        <x:v>67</x:v>
      </x:c>
      <x:c r="K285" t="n">
        <x:v>52</x:v>
      </x:c>
      <x:c r="L285" t="n">
        <x:v>4</x:v>
      </x:c>
      <x:c r="M285" t="n">
        <x:v>0</x:v>
      </x:c>
      <x:c r="N285" t="n">
        <x:v>4</x:v>
      </x:c>
      <x:c r="O285" t="n">
        <x:v>2</x:v>
      </x:c>
      <x:c r="P285" s="50" t="n">
        <x:f>IF(D285=0,"",H285/D285)</x:f>
        <x:v>0.022774327122153208</x:v>
      </x:c>
      <x:c r="Q285" t="n">
        <x:f>MAX(I285:O285)</x:f>
        <x:v>340</x:v>
      </x:c>
      <x:c r="R285" t="n">
        <x:f>H285-Q285</x:f>
        <x:v>-329</x:v>
      </x:c>
      <x:c r="S285" s="52" t="n">
        <x:f>IF(D285=0,"",(R285)/D285)</x:f>
        <x:v>-0.6811594202898551</x:v>
      </x:c>
      <x:c r="T285" t="str">
        <x:v>Dhirendra Singh</x:v>
      </x:c>
      <x:c r="U285" t="n">
        <x:f>D285-E285-F285</x:f>
        <x:v>0</x:v>
      </x:c>
    </x:row>
    <x:row r="286">
      <x:c r="A286" t="n">
        <x:v>278</x:v>
      </x:c>
      <x:c r="B286" t="str">
        <x:v>PRY. SCHOOL KHWAJPUR R.NO. 1</x:v>
      </x:c>
      <x:c r="C286" t="n">
        <x:v>853</x:v>
      </x:c>
      <x:c r="D286" t="n">
        <x:v>561</x:v>
      </x:c>
      <x:c r="E286" t="n">
        <x:f>SUM(H286:O286)</x:f>
        <x:v>560</x:v>
      </x:c>
      <x:c r="F286" t="n">
        <x:v>1</x:v>
      </x:c>
      <x:c r="G286" s="50" t="n">
        <x:f>IF(C286="","",IFERROR(D286/C286,0))</x:f>
        <x:v>0.6576787807737398</x:v>
      </x:c>
      <x:c r="H286" s="36" t="n">
        <x:v>75</x:v>
      </x:c>
      <x:c r="I286" t="n">
        <x:v>347</x:v>
      </x:c>
      <x:c r="J286" t="n">
        <x:v>117</x:v>
      </x:c>
      <x:c r="K286" t="n">
        <x:v>16</x:v>
      </x:c>
      <x:c r="L286" t="n">
        <x:v>0</x:v>
      </x:c>
      <x:c r="M286" t="n">
        <x:v>1</x:v>
      </x:c>
      <x:c r="N286" t="n">
        <x:v>3</x:v>
      </x:c>
      <x:c r="O286" t="n">
        <x:v>1</x:v>
      </x:c>
      <x:c r="P286" s="50" t="n">
        <x:f>IF(D286=0,"",H286/D286)</x:f>
        <x:v>0.13368983957219252</x:v>
      </x:c>
      <x:c r="Q286" t="n">
        <x:f>MAX(I286:O286)</x:f>
        <x:v>347</x:v>
      </x:c>
      <x:c r="R286" t="n">
        <x:f>H286-Q286</x:f>
        <x:v>-272</x:v>
      </x:c>
      <x:c r="S286" s="52" t="n">
        <x:f>IF(D286=0,"",(R286)/D286)</x:f>
        <x:v>-0.48484848484848486</x:v>
      </x:c>
      <x:c r="T286" t="str">
        <x:v>Dhirendra Singh</x:v>
      </x:c>
      <x:c r="U286" t="n">
        <x:f>D286-E286-F286</x:f>
        <x:v>0</x:v>
      </x:c>
    </x:row>
    <x:row r="287">
      <x:c r="A287" t="n">
        <x:v>279</x:v>
      </x:c>
      <x:c r="B287" t="str">
        <x:v>PRY. SCHOOL KHWAJPUR R.NO. 2</x:v>
      </x:c>
      <x:c r="C287" t="n">
        <x:v>759</x:v>
      </x:c>
      <x:c r="D287" t="n">
        <x:v>548</x:v>
      </x:c>
      <x:c r="E287" t="n">
        <x:f>SUM(H287:O287)</x:f>
        <x:v>542</x:v>
      </x:c>
      <x:c r="F287" t="n">
        <x:v>6</x:v>
      </x:c>
      <x:c r="G287" s="50" t="n">
        <x:f>IF(C287="","",IFERROR(D287/C287,0))</x:f>
        <x:v>0.7220026350461133</x:v>
      </x:c>
      <x:c r="H287" s="36" t="n">
        <x:v>23</x:v>
      </x:c>
      <x:c r="I287" t="n">
        <x:v>100</x:v>
      </x:c>
      <x:c r="J287" t="n">
        <x:v>403</x:v>
      </x:c>
      <x:c r="K287" t="n">
        <x:v>4</x:v>
      </x:c>
      <x:c r="L287" t="n">
        <x:v>3</x:v>
      </x:c>
      <x:c r="M287" t="n">
        <x:v>6</x:v>
      </x:c>
      <x:c r="N287" t="n">
        <x:v>1</x:v>
      </x:c>
      <x:c r="O287" t="n">
        <x:v>2</x:v>
      </x:c>
      <x:c r="P287" s="50" t="n">
        <x:f>IF(D287=0,"",H287/D287)</x:f>
        <x:v>0.041970802919708027</x:v>
      </x:c>
      <x:c r="Q287" t="n">
        <x:f>MAX(I287:O287)</x:f>
        <x:v>403</x:v>
      </x:c>
      <x:c r="R287" t="n">
        <x:f>H287-Q287</x:f>
        <x:v>-380</x:v>
      </x:c>
      <x:c r="S287" s="52" t="n">
        <x:f>IF(D287=0,"",(R287)/D287)</x:f>
        <x:v>-0.6934306569343066</x:v>
      </x:c>
      <x:c r="T287" t="str">
        <x:v>Vedram Bhati</x:v>
      </x:c>
      <x:c r="U287" t="n">
        <x:f>D287-E287-F287</x:f>
        <x:v>0</x:v>
      </x:c>
    </x:row>
    <x:row r="288">
      <x:c r="A288" t="n">
        <x:v>280</x:v>
      </x:c>
      <x:c r="B288" t="str">
        <x:v>PRY. SCHOOL JEWAR KHADAR R.NO. 1</x:v>
      </x:c>
      <x:c r="C288" t="n">
        <x:v>1203</x:v>
      </x:c>
      <x:c r="D288" t="n">
        <x:v>865</x:v>
      </x:c>
      <x:c r="E288" t="n">
        <x:f>SUM(H288:O288)</x:f>
        <x:v>859</x:v>
      </x:c>
      <x:c r="F288" t="n">
        <x:v>6</x:v>
      </x:c>
      <x:c r="G288" s="50" t="n">
        <x:f>IF(C288="","",IFERROR(D288/C288,0))</x:f>
        <x:v>0.7190357439733999</x:v>
      </x:c>
      <x:c r="H288" s="36" t="n">
        <x:v>11</x:v>
      </x:c>
      <x:c r="I288" t="n">
        <x:v>653</x:v>
      </x:c>
      <x:c r="J288" t="n">
        <x:v>129</x:v>
      </x:c>
      <x:c r="K288" t="n">
        <x:v>40</x:v>
      </x:c>
      <x:c r="L288" t="n">
        <x:v>2</x:v>
      </x:c>
      <x:c r="M288" t="n">
        <x:v>5</x:v>
      </x:c>
      <x:c r="N288" t="n">
        <x:v>13</x:v>
      </x:c>
      <x:c r="O288" t="n">
        <x:v>6</x:v>
      </x:c>
      <x:c r="P288" s="50" t="n">
        <x:f>IF(D288=0,"",H288/D288)</x:f>
        <x:v>0.012716763005780347</x:v>
      </x:c>
      <x:c r="Q288" t="n">
        <x:f>MAX(I288:O288)</x:f>
        <x:v>653</x:v>
      </x:c>
      <x:c r="R288" t="n">
        <x:f>H288-Q288</x:f>
        <x:v>-642</x:v>
      </x:c>
      <x:c r="S288" s="52" t="n">
        <x:f>IF(D288=0,"",(R288)/D288)</x:f>
        <x:v>-0.7421965317919075</x:v>
      </x:c>
      <x:c r="T288" t="str">
        <x:v>Dhirendra Singh</x:v>
      </x:c>
      <x:c r="U288" t="n">
        <x:f>D288-E288-F288</x:f>
        <x:v>0</x:v>
      </x:c>
    </x:row>
    <x:row r="289">
      <x:c r="A289" t="n">
        <x:v>281</x:v>
      </x:c>
      <x:c r="B289" t="str">
        <x:v>SARSWATI SHISHU MANDIR T.A. JEWAR R.NO. 1</x:v>
      </x:c>
      <x:c r="C289" t="n">
        <x:v>1041</x:v>
      </x:c>
      <x:c r="D289" t="n">
        <x:v>760</x:v>
      </x:c>
      <x:c r="E289" t="n">
        <x:f>SUM(H289:O289)</x:f>
        <x:v>759</x:v>
      </x:c>
      <x:c r="F289" t="n">
        <x:v>1</x:v>
      </x:c>
      <x:c r="G289" s="50" t="n">
        <x:f>IF(C289="","",IFERROR(D289/C289,0))</x:f>
        <x:v>0.7300672430355427</x:v>
      </x:c>
      <x:c r="H289" s="36" t="n">
        <x:v>5</x:v>
      </x:c>
      <x:c r="I289" t="n">
        <x:v>197</x:v>
      </x:c>
      <x:c r="J289" t="n">
        <x:v>521</x:v>
      </x:c>
      <x:c r="K289" t="n">
        <x:v>8</x:v>
      </x:c>
      <x:c r="L289" t="n">
        <x:v>8</x:v>
      </x:c>
      <x:c r="M289" t="n">
        <x:v>6</x:v>
      </x:c>
      <x:c r="N289" t="n">
        <x:v>9</x:v>
      </x:c>
      <x:c r="O289" t="n">
        <x:v>5</x:v>
      </x:c>
      <x:c r="P289" s="50" t="n">
        <x:f>IF(D289=0,"",H289/D289)</x:f>
        <x:v>0.006578947368421052</x:v>
      </x:c>
      <x:c r="Q289" t="n">
        <x:f>MAX(I289:O289)</x:f>
        <x:v>521</x:v>
      </x:c>
      <x:c r="R289" t="n">
        <x:f>H289-Q289</x:f>
        <x:v>-516</x:v>
      </x:c>
      <x:c r="S289" s="52" t="n">
        <x:f>IF(D289=0,"",(R289)/D289)</x:f>
        <x:v>-0.6789473684210526</x:v>
      </x:c>
      <x:c r="T289" t="str">
        <x:v>Vedram Bhati</x:v>
      </x:c>
      <x:c r="U289" t="n">
        <x:f>D289-E289-F289</x:f>
        <x:v>0</x:v>
      </x:c>
    </x:row>
    <x:row r="290">
      <x:c r="A290" t="n">
        <x:v>282</x:v>
      </x:c>
      <x:c r="B290" t="str">
        <x:v>SARSWATI SHISHU MANDIR T.A. JEWAR R.NO. 2</x:v>
      </x:c>
      <x:c r="C290" t="n">
        <x:v>1053</x:v>
      </x:c>
      <x:c r="D290" t="n">
        <x:v>682</x:v>
      </x:c>
      <x:c r="E290" t="n">
        <x:f>SUM(H290:O290)</x:f>
        <x:v>675</x:v>
      </x:c>
      <x:c r="F290" t="n">
        <x:v>7</x:v>
      </x:c>
      <x:c r="G290" s="50" t="n">
        <x:f>IF(C290="","",IFERROR(D290/C290,0))</x:f>
        <x:v>0.647673314339981</x:v>
      </x:c>
      <x:c r="H290" s="36" t="n">
        <x:v>37</x:v>
      </x:c>
      <x:c r="I290" t="n">
        <x:v>378</x:v>
      </x:c>
      <x:c r="J290" t="n">
        <x:v>222</x:v>
      </x:c>
      <x:c r="K290" t="n">
        <x:v>18</x:v>
      </x:c>
      <x:c r="L290" t="n">
        <x:v>1</x:v>
      </x:c>
      <x:c r="M290" t="n">
        <x:v>3</x:v>
      </x:c>
      <x:c r="N290" t="n">
        <x:v>10</x:v>
      </x:c>
      <x:c r="O290" t="n">
        <x:v>6</x:v>
      </x:c>
      <x:c r="P290" s="50" t="n">
        <x:f>IF(D290=0,"",H290/D290)</x:f>
        <x:v>0.054252199413489736</x:v>
      </x:c>
      <x:c r="Q290" t="n">
        <x:f>MAX(I290:O290)</x:f>
        <x:v>378</x:v>
      </x:c>
      <x:c r="R290" t="n">
        <x:f>H290-Q290</x:f>
        <x:v>-341</x:v>
      </x:c>
      <x:c r="S290" s="52" t="n">
        <x:f>IF(D290=0,"",(R290)/D290)</x:f>
        <x:v>-0.5</x:v>
      </x:c>
      <x:c r="T290" t="str">
        <x:v>Dhirendra Singh</x:v>
      </x:c>
      <x:c r="U290" t="n">
        <x:f>D290-E290-F290</x:f>
        <x:v>0</x:v>
      </x:c>
    </x:row>
    <x:row r="291">
      <x:c r="A291" t="n">
        <x:v>283</x:v>
      </x:c>
      <x:c r="B291" t="str">
        <x:v>SARSWATI SHISHU MANDIR T.A. JEWAR R.NO. 3</x:v>
      </x:c>
      <x:c r="C291" t="n">
        <x:v>747</x:v>
      </x:c>
      <x:c r="D291" t="n">
        <x:v>503</x:v>
      </x:c>
      <x:c r="E291" t="n">
        <x:f>SUM(H291:O291)</x:f>
        <x:v>496</x:v>
      </x:c>
      <x:c r="F291" t="n">
        <x:v>7</x:v>
      </x:c>
      <x:c r="G291" s="50" t="n">
        <x:f>IF(C291="","",IFERROR(D291/C291,0))</x:f>
        <x:v>0.6733601070950469</x:v>
      </x:c>
      <x:c r="H291" s="36" t="n">
        <x:v>50</x:v>
      </x:c>
      <x:c r="I291" t="n">
        <x:v>196</x:v>
      </x:c>
      <x:c r="J291" t="n">
        <x:v>235</x:v>
      </x:c>
      <x:c r="K291" t="n">
        <x:v>5</x:v>
      </x:c>
      <x:c r="L291" t="n">
        <x:v>2</x:v>
      </x:c>
      <x:c r="M291" t="n">
        <x:v>5</x:v>
      </x:c>
      <x:c r="N291" t="n">
        <x:v>1</x:v>
      </x:c>
      <x:c r="O291" t="n">
        <x:v>2</x:v>
      </x:c>
      <x:c r="P291" s="50" t="n">
        <x:f>IF(D291=0,"",H291/D291)</x:f>
        <x:v>0.09940357852882704</x:v>
      </x:c>
      <x:c r="Q291" t="n">
        <x:f>MAX(I291:O291)</x:f>
        <x:v>235</x:v>
      </x:c>
      <x:c r="R291" t="n">
        <x:f>H291-Q291</x:f>
        <x:v>-185</x:v>
      </x:c>
      <x:c r="S291" s="52" t="n">
        <x:f>IF(D291=0,"",(R291)/D291)</x:f>
        <x:v>-0.36779324055666</x:v>
      </x:c>
      <x:c r="T291" t="str">
        <x:v>Vedram Bhati</x:v>
      </x:c>
      <x:c r="U291" t="n">
        <x:f>D291-E291-F291</x:f>
        <x:v>0</x:v>
      </x:c>
    </x:row>
    <x:row r="292">
      <x:c r="A292" t="n">
        <x:v>284</x:v>
      </x:c>
      <x:c r="B292" t="str">
        <x:v>SARSWATI SHISHU MANDIR T.A. JEWAR R.NO. 4</x:v>
      </x:c>
      <x:c r="C292" t="n">
        <x:v>1353</x:v>
      </x:c>
      <x:c r="D292" t="n">
        <x:v>919</x:v>
      </x:c>
      <x:c r="E292" t="n">
        <x:f>SUM(H292:O292)</x:f>
        <x:v>911</x:v>
      </x:c>
      <x:c r="F292" t="n">
        <x:v>8</x:v>
      </x:c>
      <x:c r="G292" s="50" t="n">
        <x:f>IF(C292="","",IFERROR(D292/C292,0))</x:f>
        <x:v>0.6792313377679231</x:v>
      </x:c>
      <x:c r="H292" s="36" t="n">
        <x:v>177</x:v>
      </x:c>
      <x:c r="I292" t="n">
        <x:v>298</x:v>
      </x:c>
      <x:c r="J292" t="n">
        <x:v>402</x:v>
      </x:c>
      <x:c r="K292" t="n">
        <x:v>16</x:v>
      </x:c>
      <x:c r="L292" t="n">
        <x:v>5</x:v>
      </x:c>
      <x:c r="M292" t="n">
        <x:v>4</x:v>
      </x:c>
      <x:c r="N292" t="n">
        <x:v>5</x:v>
      </x:c>
      <x:c r="O292" t="n">
        <x:v>4</x:v>
      </x:c>
      <x:c r="P292" s="50" t="n">
        <x:f>IF(D292=0,"",H292/D292)</x:f>
        <x:v>0.1926006528835691</x:v>
      </x:c>
      <x:c r="Q292" t="n">
        <x:f>MAX(I292:O292)</x:f>
        <x:v>402</x:v>
      </x:c>
      <x:c r="R292" t="n">
        <x:f>H292-Q292</x:f>
        <x:v>-225</x:v>
      </x:c>
      <x:c r="S292" s="52" t="n">
        <x:f>IF(D292=0,"",(R292)/D292)</x:f>
        <x:v>-0.24483133841131666</x:v>
      </x:c>
      <x:c r="T292" t="str">
        <x:v>Vedram Bhati</x:v>
      </x:c>
      <x:c r="U292" t="n">
        <x:f>D292-E292-F292</x:f>
        <x:v>0</x:v>
      </x:c>
    </x:row>
    <x:row r="293">
      <x:c r="A293" t="n">
        <x:v>285</x:v>
      </x:c>
      <x:c r="B293" t="str">
        <x:v>SARSWATI SHISHU MANDIR T.A. JEWAR R.NO. 5</x:v>
      </x:c>
      <x:c r="C293" t="n">
        <x:v>1308</x:v>
      </x:c>
      <x:c r="D293" t="n">
        <x:v>797</x:v>
      </x:c>
      <x:c r="E293" t="n">
        <x:f>SUM(H293:O293)</x:f>
        <x:v>794</x:v>
      </x:c>
      <x:c r="F293" t="n">
        <x:v>3</x:v>
      </x:c>
      <x:c r="G293" s="50" t="n">
        <x:f>IF(C293="","",IFERROR(D293/C293,0))</x:f>
        <x:v>0.6093272171253823</x:v>
      </x:c>
      <x:c r="H293" s="36" t="n">
        <x:v>35</x:v>
      </x:c>
      <x:c r="I293" t="n">
        <x:v>581</x:v>
      </x:c>
      <x:c r="J293" t="n">
        <x:v>156</x:v>
      </x:c>
      <x:c r="K293" t="n">
        <x:v>15</x:v>
      </x:c>
      <x:c r="L293" t="n">
        <x:v>2</x:v>
      </x:c>
      <x:c r="M293" t="n">
        <x:v>2</x:v>
      </x:c>
      <x:c r="N293" t="n">
        <x:v>2</x:v>
      </x:c>
      <x:c r="O293" t="n">
        <x:v>1</x:v>
      </x:c>
      <x:c r="P293" s="50" t="n">
        <x:f>IF(D293=0,"",H293/D293)</x:f>
        <x:v>0.043914680050188205</x:v>
      </x:c>
      <x:c r="Q293" t="n">
        <x:f>MAX(I293:O293)</x:f>
        <x:v>581</x:v>
      </x:c>
      <x:c r="R293" t="n">
        <x:f>H293-Q293</x:f>
        <x:v>-546</x:v>
      </x:c>
      <x:c r="S293" s="52" t="n">
        <x:f>IF(D293=0,"",(R293)/D293)</x:f>
        <x:v>-0.685069008782936</x:v>
      </x:c>
      <x:c r="T293" t="str">
        <x:v>Dhirendra Singh</x:v>
      </x:c>
      <x:c r="U293" t="n">
        <x:f>D293-E293-F293</x:f>
        <x:v>0</x:v>
      </x:c>
    </x:row>
    <x:row r="294">
      <x:c r="A294" t="n">
        <x:v>286</x:v>
      </x:c>
      <x:c r="B294" t="str">
        <x:v>PRY. SCHOOL JAFRABAD R.NO. 1</x:v>
      </x:c>
      <x:c r="C294" t="n">
        <x:v>590</x:v>
      </x:c>
      <x:c r="D294" t="n">
        <x:v>309</x:v>
      </x:c>
      <x:c r="E294" t="n">
        <x:f>SUM(H294:O294)</x:f>
        <x:v>307</x:v>
      </x:c>
      <x:c r="F294" t="n">
        <x:v>2</x:v>
      </x:c>
      <x:c r="G294" s="50" t="n">
        <x:f>IF(C294="","",IFERROR(D294/C294,0))</x:f>
        <x:v>0.523728813559322</x:v>
      </x:c>
      <x:c r="H294" s="36" t="n">
        <x:v>18</x:v>
      </x:c>
      <x:c r="I294" t="n">
        <x:v>177</x:v>
      </x:c>
      <x:c r="J294" t="n">
        <x:v>82</x:v>
      </x:c>
      <x:c r="K294" t="n">
        <x:v>5</x:v>
      </x:c>
      <x:c r="L294" t="n">
        <x:v>4</x:v>
      </x:c>
      <x:c r="M294" t="n">
        <x:v>9</x:v>
      </x:c>
      <x:c r="N294" t="n">
        <x:v>3</x:v>
      </x:c>
      <x:c r="O294" t="n">
        <x:v>9</x:v>
      </x:c>
      <x:c r="P294" s="50" t="n">
        <x:f>IF(D294=0,"",H294/D294)</x:f>
        <x:v>0.05825242718446602</x:v>
      </x:c>
      <x:c r="Q294" t="n">
        <x:f>MAX(I294:O294)</x:f>
        <x:v>177</x:v>
      </x:c>
      <x:c r="R294" t="n">
        <x:f>H294-Q294</x:f>
        <x:v>-159</x:v>
      </x:c>
      <x:c r="S294" s="52" t="n">
        <x:f>IF(D294=0,"",(R294)/D294)</x:f>
        <x:v>-0.5145631067961165</x:v>
      </x:c>
      <x:c r="T294" t="str">
        <x:v>Dhirendra Singh</x:v>
      </x:c>
      <x:c r="U294" t="n">
        <x:f>D294-E294-F294</x:f>
        <x:v>0</x:v>
      </x:c>
    </x:row>
    <x:row r="295">
      <x:c r="A295" t="n">
        <x:v>287</x:v>
      </x:c>
      <x:c r="B295" t="str">
        <x:v>PRY. SCHOOL SAHABNAGAR R.NO. 1</x:v>
      </x:c>
      <x:c r="C295" t="n">
        <x:v>653</x:v>
      </x:c>
      <x:c r="D295" t="n">
        <x:v>511</x:v>
      </x:c>
      <x:c r="E295" t="n">
        <x:f>SUM(H295:O295)</x:f>
        <x:v>504</x:v>
      </x:c>
      <x:c r="F295" t="n">
        <x:v>7</x:v>
      </x:c>
      <x:c r="G295" s="50" t="n">
        <x:f>IF(C295="","",IFERROR(D295/C295,0))</x:f>
        <x:v>0.7825421133231241</x:v>
      </x:c>
      <x:c r="H295" s="36" t="n">
        <x:v>7</x:v>
      </x:c>
      <x:c r="I295" t="n">
        <x:v>392</x:v>
      </x:c>
      <x:c r="J295" t="n">
        <x:v>78</x:v>
      </x:c>
      <x:c r="K295" t="n">
        <x:v>10</x:v>
      </x:c>
      <x:c r="L295" t="n">
        <x:v>0</x:v>
      </x:c>
      <x:c r="M295" t="n">
        <x:v>2</x:v>
      </x:c>
      <x:c r="N295" t="n">
        <x:v>8</x:v>
      </x:c>
      <x:c r="O295" t="n">
        <x:v>7</x:v>
      </x:c>
      <x:c r="P295" s="50" t="n">
        <x:f>IF(D295=0,"",H295/D295)</x:f>
        <x:v>0.0136986301369863</x:v>
      </x:c>
      <x:c r="Q295" t="n">
        <x:f>MAX(I295:O295)</x:f>
        <x:v>392</x:v>
      </x:c>
      <x:c r="R295" t="n">
        <x:f>H295-Q295</x:f>
        <x:v>-385</x:v>
      </x:c>
      <x:c r="S295" s="52" t="n">
        <x:f>IF(D295=0,"",(R295)/D295)</x:f>
        <x:v>-0.7534246575342466</x:v>
      </x:c>
      <x:c r="T295" t="str">
        <x:v>Dhirendra Singh</x:v>
      </x:c>
      <x:c r="U295" t="n">
        <x:f>D295-E295-F295</x:f>
        <x:v>0</x:v>
      </x:c>
    </x:row>
    <x:row r="296">
      <x:c r="A296" t="n">
        <x:v>288</x:v>
      </x:c>
      <x:c r="B296" t="str">
        <x:v>ADARSH KANYA I. C. T.A. JEWAR R.NO. 1</x:v>
      </x:c>
      <x:c r="C296" t="n">
        <x:v>1180</x:v>
      </x:c>
      <x:c r="D296" t="n">
        <x:v>608</x:v>
      </x:c>
      <x:c r="E296" t="n">
        <x:f>SUM(H296:O296)</x:f>
        <x:v>604</x:v>
      </x:c>
      <x:c r="F296" t="n">
        <x:v>4</x:v>
      </x:c>
      <x:c r="G296" s="50" t="n">
        <x:f>IF(C296="","",IFERROR(D296/C296,0))</x:f>
        <x:v>0.5152542372881356</x:v>
      </x:c>
      <x:c r="H296" s="36" t="n">
        <x:v>43</x:v>
      </x:c>
      <x:c r="I296" t="n">
        <x:v>37</x:v>
      </x:c>
      <x:c r="J296" t="n">
        <x:v>503</x:v>
      </x:c>
      <x:c r="K296" t="n">
        <x:v>13</x:v>
      </x:c>
      <x:c r="L296" t="n">
        <x:v>4</x:v>
      </x:c>
      <x:c r="M296" t="n">
        <x:v>1</x:v>
      </x:c>
      <x:c r="N296" t="n">
        <x:v>3</x:v>
      </x:c>
      <x:c r="O296" t="n">
        <x:v>0</x:v>
      </x:c>
      <x:c r="P296" s="50" t="n">
        <x:f>IF(D296=0,"",H296/D296)</x:f>
        <x:v>0.07072368421052631</x:v>
      </x:c>
      <x:c r="Q296" t="n">
        <x:f>MAX(I296:O296)</x:f>
        <x:v>503</x:v>
      </x:c>
      <x:c r="R296" t="n">
        <x:f>H296-Q296</x:f>
        <x:v>-460</x:v>
      </x:c>
      <x:c r="S296" s="52" t="n">
        <x:f>IF(D296=0,"",(R296)/D296)</x:f>
        <x:v>-0.756578947368421</x:v>
      </x:c>
      <x:c r="T296" t="str">
        <x:v>Vedram Bhati</x:v>
      </x:c>
      <x:c r="U296" t="n">
        <x:f>D296-E296-F296</x:f>
        <x:v>0</x:v>
      </x:c>
    </x:row>
    <x:row r="297">
      <x:c r="A297" t="n">
        <x:v>289</x:v>
      </x:c>
      <x:c r="B297" t="str">
        <x:v>ADARSH KANYA I. C. T.A. JEWAR R.NO. 2</x:v>
      </x:c>
      <x:c r="C297" t="n">
        <x:v>1029</x:v>
      </x:c>
      <x:c r="D297" t="n">
        <x:v>643</x:v>
      </x:c>
      <x:c r="E297" t="n">
        <x:f>SUM(H297:O297)</x:f>
        <x:v>642</x:v>
      </x:c>
      <x:c r="F297" t="n">
        <x:v>1</x:v>
      </x:c>
      <x:c r="G297" s="50" t="n">
        <x:f>IF(C297="","",IFERROR(D297/C297,0))</x:f>
        <x:v>0.6248785228377065</x:v>
      </x:c>
      <x:c r="H297" s="36" t="n">
        <x:v>21</x:v>
      </x:c>
      <x:c r="I297" t="n">
        <x:v>519</x:v>
      </x:c>
      <x:c r="J297" t="n">
        <x:v>57</x:v>
      </x:c>
      <x:c r="K297" t="n">
        <x:v>33</x:v>
      </x:c>
      <x:c r="L297" t="n">
        <x:v>4</x:v>
      </x:c>
      <x:c r="M297" t="n">
        <x:v>3</x:v>
      </x:c>
      <x:c r="N297" t="n">
        <x:v>2</x:v>
      </x:c>
      <x:c r="O297" t="n">
        <x:v>3</x:v>
      </x:c>
      <x:c r="P297" s="50" t="n">
        <x:f>IF(D297=0,"",H297/D297)</x:f>
        <x:v>0.03265940902021773</x:v>
      </x:c>
      <x:c r="Q297" t="n">
        <x:f>MAX(I297:O297)</x:f>
        <x:v>519</x:v>
      </x:c>
      <x:c r="R297" t="n">
        <x:f>H297-Q297</x:f>
        <x:v>-498</x:v>
      </x:c>
      <x:c r="S297" s="52" t="n">
        <x:f>IF(D297=0,"",(R297)/D297)</x:f>
        <x:v>-0.7744945567651633</x:v>
      </x:c>
      <x:c r="T297" t="str">
        <x:v>Dhirendra Singh</x:v>
      </x:c>
      <x:c r="U297" t="n">
        <x:f>D297-E297-F297</x:f>
        <x:v>0</x:v>
      </x:c>
    </x:row>
    <x:row r="298">
      <x:c r="A298" t="n">
        <x:v>290</x:v>
      </x:c>
      <x:c r="B298" t="str">
        <x:v>ADARSH KANYA I. C. T.A. JEWAR R.NO. 3</x:v>
      </x:c>
      <x:c r="C298" t="n">
        <x:v>1010</x:v>
      </x:c>
      <x:c r="D298" t="n">
        <x:v>656</x:v>
      </x:c>
      <x:c r="E298" t="n">
        <x:f>SUM(H298:O298)</x:f>
        <x:v>653</x:v>
      </x:c>
      <x:c r="F298" t="n">
        <x:v>3</x:v>
      </x:c>
      <x:c r="G298" s="50" t="n">
        <x:f>IF(C298="","",IFERROR(D298/C298,0))</x:f>
        <x:v>0.6495049504950495</x:v>
      </x:c>
      <x:c r="H298" s="36" t="n">
        <x:v>48</x:v>
      </x:c>
      <x:c r="I298" t="n">
        <x:v>422</x:v>
      </x:c>
      <x:c r="J298" t="n">
        <x:v>132</x:v>
      </x:c>
      <x:c r="K298" t="n">
        <x:v>46</x:v>
      </x:c>
      <x:c r="L298" t="n">
        <x:v>0</x:v>
      </x:c>
      <x:c r="M298" t="n">
        <x:v>1</x:v>
      </x:c>
      <x:c r="N298" t="n">
        <x:v>2</x:v>
      </x:c>
      <x:c r="O298" t="n">
        <x:v>2</x:v>
      </x:c>
      <x:c r="P298" s="50" t="n">
        <x:f>IF(D298=0,"",H298/D298)</x:f>
        <x:v>0.07317073170731707</x:v>
      </x:c>
      <x:c r="Q298" t="n">
        <x:f>MAX(I298:O298)</x:f>
        <x:v>422</x:v>
      </x:c>
      <x:c r="R298" t="n">
        <x:f>H298-Q298</x:f>
        <x:v>-374</x:v>
      </x:c>
      <x:c r="S298" s="52" t="n">
        <x:f>IF(D298=0,"",(R298)/D298)</x:f>
        <x:v>-0.5701219512195121</x:v>
      </x:c>
      <x:c r="T298" t="str">
        <x:v>Dhirendra Singh</x:v>
      </x:c>
      <x:c r="U298" t="n">
        <x:f>D298-E298-F298</x:f>
        <x:v>0</x:v>
      </x:c>
    </x:row>
    <x:row r="299">
      <x:c r="A299" t="n">
        <x:v>291</x:v>
      </x:c>
      <x:c r="B299" t="str">
        <x:v>ADARSH KANYA I. C. T.A. JEWAR R.NO. 4</x:v>
      </x:c>
      <x:c r="C299" t="n">
        <x:v>912</x:v>
      </x:c>
      <x:c r="D299" t="n">
        <x:v>511</x:v>
      </x:c>
      <x:c r="E299" t="n">
        <x:f>SUM(H299:O299)</x:f>
        <x:v>505</x:v>
      </x:c>
      <x:c r="F299" t="n">
        <x:v>6</x:v>
      </x:c>
      <x:c r="G299" s="50" t="n">
        <x:f>IF(C299="","",IFERROR(D299/C299,0))</x:f>
        <x:v>0.5603070175438597</x:v>
      </x:c>
      <x:c r="H299" s="36" t="n">
        <x:v>21</x:v>
      </x:c>
      <x:c r="I299" t="n">
        <x:v>220</x:v>
      </x:c>
      <x:c r="J299" t="n">
        <x:v>237</x:v>
      </x:c>
      <x:c r="K299" t="n">
        <x:v>14</x:v>
      </x:c>
      <x:c r="L299" t="n">
        <x:v>2</x:v>
      </x:c>
      <x:c r="M299" t="n">
        <x:v>4</x:v>
      </x:c>
      <x:c r="N299" t="n">
        <x:v>2</x:v>
      </x:c>
      <x:c r="O299" t="n">
        <x:v>5</x:v>
      </x:c>
      <x:c r="P299" s="50" t="n">
        <x:f>IF(D299=0,"",H299/D299)</x:f>
        <x:v>0.0410958904109589</x:v>
      </x:c>
      <x:c r="Q299" t="n">
        <x:f>MAX(I299:O299)</x:f>
        <x:v>237</x:v>
      </x:c>
      <x:c r="R299" t="n">
        <x:f>H299-Q299</x:f>
        <x:v>-216</x:v>
      </x:c>
      <x:c r="S299" s="52" t="n">
        <x:f>IF(D299=0,"",(R299)/D299)</x:f>
        <x:v>-0.4227005870841487</x:v>
      </x:c>
      <x:c r="T299" t="str">
        <x:v>Vedram Bhati</x:v>
      </x:c>
      <x:c r="U299" t="n">
        <x:f>D299-E299-F299</x:f>
        <x:v>0</x:v>
      </x:c>
    </x:row>
    <x:row r="300">
      <x:c r="A300" t="n">
        <x:v>292</x:v>
      </x:c>
      <x:c r="B300" t="str">
        <x:v>ADARSH KANYA I. C. T.A. JEWAR R.NO. 5</x:v>
      </x:c>
      <x:c r="C300" t="n">
        <x:v>1401</x:v>
      </x:c>
      <x:c r="D300" t="n">
        <x:v>821</x:v>
      </x:c>
      <x:c r="E300" t="n">
        <x:f>SUM(H300:O300)</x:f>
        <x:v>819</x:v>
      </x:c>
      <x:c r="F300" t="n">
        <x:v>2</x:v>
      </x:c>
      <x:c r="G300" s="50" t="n">
        <x:f>IF(C300="","",IFERROR(D300/C300,0))</x:f>
        <x:v>0.5860099928622412</x:v>
      </x:c>
      <x:c r="H300" s="36" t="n">
        <x:v>22</x:v>
      </x:c>
      <x:c r="I300" t="n">
        <x:v>106</x:v>
      </x:c>
      <x:c r="J300" t="n">
        <x:v>669</x:v>
      </x:c>
      <x:c r="K300" t="n">
        <x:v>8</x:v>
      </x:c>
      <x:c r="L300" t="n">
        <x:v>1</x:v>
      </x:c>
      <x:c r="M300" t="n">
        <x:v>7</x:v>
      </x:c>
      <x:c r="N300" t="n">
        <x:v>1</x:v>
      </x:c>
      <x:c r="O300" t="n">
        <x:v>5</x:v>
      </x:c>
      <x:c r="P300" s="50" t="n">
        <x:f>IF(D300=0,"",H300/D300)</x:f>
        <x:v>0.02679658952496955</x:v>
      </x:c>
      <x:c r="Q300" t="n">
        <x:f>MAX(I300:O300)</x:f>
        <x:v>669</x:v>
      </x:c>
      <x:c r="R300" t="n">
        <x:f>H300-Q300</x:f>
        <x:v>-647</x:v>
      </x:c>
      <x:c r="S300" s="52" t="n">
        <x:f>IF(D300=0,"",(R300)/D300)</x:f>
        <x:v>-0.7880633373934226</x:v>
      </x:c>
      <x:c r="T300" t="str">
        <x:v>Vedram Bhati</x:v>
      </x:c>
      <x:c r="U300" t="n">
        <x:f>D300-E300-F300</x:f>
        <x:v>0</x:v>
      </x:c>
    </x:row>
    <x:row r="301">
      <x:c r="A301" t="n">
        <x:v>293</x:v>
      </x:c>
      <x:c r="B301" t="str">
        <x:v>PRY. SCHOOL T.A. JEWAR R.NO. 1</x:v>
      </x:c>
      <x:c r="C301" t="n">
        <x:v>776</x:v>
      </x:c>
      <x:c r="D301" t="n">
        <x:v>433</x:v>
      </x:c>
      <x:c r="E301" t="n">
        <x:f>SUM(H301:O301)</x:f>
        <x:v>423</x:v>
      </x:c>
      <x:c r="F301" t="n">
        <x:v>10</x:v>
      </x:c>
      <x:c r="G301" s="50" t="n">
        <x:f>IF(C301="","",IFERROR(D301/C301,0))</x:f>
        <x:v>0.5579896907216495</x:v>
      </x:c>
      <x:c r="H301" s="36" t="n">
        <x:v>12</x:v>
      </x:c>
      <x:c r="I301" t="n">
        <x:v>278</x:v>
      </x:c>
      <x:c r="J301" t="n">
        <x:v>84</x:v>
      </x:c>
      <x:c r="K301" t="n">
        <x:v>26</x:v>
      </x:c>
      <x:c r="L301" t="n">
        <x:v>1</x:v>
      </x:c>
      <x:c r="M301" t="n">
        <x:v>4</x:v>
      </x:c>
      <x:c r="N301" t="n">
        <x:v>8</x:v>
      </x:c>
      <x:c r="O301" t="n">
        <x:v>10</x:v>
      </x:c>
      <x:c r="P301" s="50" t="n">
        <x:f>IF(D301=0,"",H301/D301)</x:f>
        <x:v>0.02771362586605081</x:v>
      </x:c>
      <x:c r="Q301" t="n">
        <x:f>MAX(I301:O301)</x:f>
        <x:v>278</x:v>
      </x:c>
      <x:c r="R301" t="n">
        <x:f>H301-Q301</x:f>
        <x:v>-266</x:v>
      </x:c>
      <x:c r="S301" s="52" t="n">
        <x:f>IF(D301=0,"",(R301)/D301)</x:f>
        <x:v>-0.6143187066974596</x:v>
      </x:c>
      <x:c r="T301" t="str">
        <x:v>Dhirendra Singh</x:v>
      </x:c>
      <x:c r="U301" t="n">
        <x:f>D301-E301-F301</x:f>
        <x:v>0</x:v>
      </x:c>
    </x:row>
    <x:row r="302">
      <x:c r="A302" t="n">
        <x:v>294</x:v>
      </x:c>
      <x:c r="B302" t="str">
        <x:v>PRY. SCHOOL T.A. JEWAR R.NO. 2</x:v>
      </x:c>
      <x:c r="C302" t="n">
        <x:v>1112</x:v>
      </x:c>
      <x:c r="D302" t="n">
        <x:v>746</x:v>
      </x:c>
      <x:c r="E302" t="n">
        <x:f>SUM(H302:O302)</x:f>
        <x:v>745</x:v>
      </x:c>
      <x:c r="F302" t="n">
        <x:v>1</x:v>
      </x:c>
      <x:c r="G302" s="50" t="n">
        <x:f>IF(C302="","",IFERROR(D302/C302,0))</x:f>
        <x:v>0.670863309352518</x:v>
      </x:c>
      <x:c r="H302" s="36" t="n">
        <x:v>24</x:v>
      </x:c>
      <x:c r="I302" t="n">
        <x:v>134</x:v>
      </x:c>
      <x:c r="J302" t="n">
        <x:v>573</x:v>
      </x:c>
      <x:c r="K302" t="n">
        <x:v>8</x:v>
      </x:c>
      <x:c r="L302" t="n">
        <x:v>2</x:v>
      </x:c>
      <x:c r="M302" t="n">
        <x:v>0</x:v>
      </x:c>
      <x:c r="N302" t="n">
        <x:v>4</x:v>
      </x:c>
      <x:c r="O302" t="n">
        <x:v>0</x:v>
      </x:c>
      <x:c r="P302" s="50" t="n">
        <x:f>IF(D302=0,"",H302/D302)</x:f>
        <x:v>0.032171581769437</x:v>
      </x:c>
      <x:c r="Q302" t="n">
        <x:f>MAX(I302:O302)</x:f>
        <x:v>573</x:v>
      </x:c>
      <x:c r="R302" t="n">
        <x:f>H302-Q302</x:f>
        <x:v>-549</x:v>
      </x:c>
      <x:c r="S302" s="52" t="n">
        <x:f>IF(D302=0,"",(R302)/D302)</x:f>
        <x:v>-0.7359249329758714</x:v>
      </x:c>
      <x:c r="T302" t="str">
        <x:v>Vedram Bhati</x:v>
      </x:c>
      <x:c r="U302" t="n">
        <x:f>D302-E302-F302</x:f>
        <x:v>0</x:v>
      </x:c>
    </x:row>
    <x:row r="303">
      <x:c r="A303" t="n">
        <x:v>295</x:v>
      </x:c>
      <x:c r="B303" t="str">
        <x:v>JANTA I. C. T. A. JEWAR R.NO. 1</x:v>
      </x:c>
      <x:c r="C303" t="n">
        <x:v>908</x:v>
      </x:c>
      <x:c r="D303" t="n">
        <x:v>582</x:v>
      </x:c>
      <x:c r="E303" t="n">
        <x:f>SUM(H303:O303)</x:f>
        <x:v>577</x:v>
      </x:c>
      <x:c r="F303" t="n">
        <x:v>5</x:v>
      </x:c>
      <x:c r="G303" s="50" t="n">
        <x:f>IF(C303="","",IFERROR(D303/C303,0))</x:f>
        <x:v>0.6409691629955947</x:v>
      </x:c>
      <x:c r="H303" s="36" t="n">
        <x:v>110</x:v>
      </x:c>
      <x:c r="I303" t="n">
        <x:v>279</x:v>
      </x:c>
      <x:c r="J303" t="n">
        <x:v>159</x:v>
      </x:c>
      <x:c r="K303" t="n">
        <x:v>9</x:v>
      </x:c>
      <x:c r="L303" t="n">
        <x:v>8</x:v>
      </x:c>
      <x:c r="M303" t="n">
        <x:v>6</x:v>
      </x:c>
      <x:c r="N303" t="n">
        <x:v>3</x:v>
      </x:c>
      <x:c r="O303" t="n">
        <x:v>3</x:v>
      </x:c>
      <x:c r="P303" s="50" t="n">
        <x:f>IF(D303=0,"",H303/D303)</x:f>
        <x:v>0.18900343642611683</x:v>
      </x:c>
      <x:c r="Q303" t="n">
        <x:f>MAX(I303:O303)</x:f>
        <x:v>279</x:v>
      </x:c>
      <x:c r="R303" t="n">
        <x:f>H303-Q303</x:f>
        <x:v>-169</x:v>
      </x:c>
      <x:c r="S303" s="52" t="n">
        <x:f>IF(D303=0,"",(R303)/D303)</x:f>
        <x:v>-0.29037800687285226</x:v>
      </x:c>
      <x:c r="T303" t="str">
        <x:v>Dhirendra Singh</x:v>
      </x:c>
      <x:c r="U303" t="n">
        <x:f>D303-E303-F303</x:f>
        <x:v>0</x:v>
      </x:c>
    </x:row>
    <x:row r="304">
      <x:c r="A304" t="n">
        <x:v>296</x:v>
      </x:c>
      <x:c r="B304" t="str">
        <x:v>JANTA I. C. T. A. JEWAR R.NO. 2</x:v>
      </x:c>
      <x:c r="C304" t="n">
        <x:v>907</x:v>
      </x:c>
      <x:c r="D304" t="n">
        <x:v>470</x:v>
      </x:c>
      <x:c r="E304" t="n">
        <x:f>SUM(H304:O304)</x:f>
        <x:v>466</x:v>
      </x:c>
      <x:c r="F304" t="n">
        <x:v>4</x:v>
      </x:c>
      <x:c r="G304" s="50" t="n">
        <x:f>IF(C304="","",IFERROR(D304/C304,0))</x:f>
        <x:v>0.5181918412348401</x:v>
      </x:c>
      <x:c r="H304" s="36" t="n">
        <x:v>79</x:v>
      </x:c>
      <x:c r="I304" t="n">
        <x:v>159</x:v>
      </x:c>
      <x:c r="J304" t="n">
        <x:v>202</x:v>
      </x:c>
      <x:c r="K304" t="n">
        <x:v>18</x:v>
      </x:c>
      <x:c r="L304" t="n">
        <x:v>4</x:v>
      </x:c>
      <x:c r="M304" t="n">
        <x:v>0</x:v>
      </x:c>
      <x:c r="N304" t="n">
        <x:v>3</x:v>
      </x:c>
      <x:c r="O304" t="n">
        <x:v>1</x:v>
      </x:c>
      <x:c r="P304" s="50" t="n">
        <x:f>IF(D304=0,"",H304/D304)</x:f>
        <x:v>0.16808510638297872</x:v>
      </x:c>
      <x:c r="Q304" t="n">
        <x:f>MAX(I304:O304)</x:f>
        <x:v>202</x:v>
      </x:c>
      <x:c r="R304" t="n">
        <x:f>H304-Q304</x:f>
        <x:v>-123</x:v>
      </x:c>
      <x:c r="S304" s="52" t="n">
        <x:f>IF(D304=0,"",(R304)/D304)</x:f>
        <x:v>-0.26170212765957446</x:v>
      </x:c>
      <x:c r="T304" t="str">
        <x:v>Vedram Bhati</x:v>
      </x:c>
      <x:c r="U304" t="n">
        <x:f>D304-E304-F304</x:f>
        <x:v>0</x:v>
      </x:c>
    </x:row>
    <x:row r="305">
      <x:c r="A305" t="n">
        <x:v>297</x:v>
      </x:c>
      <x:c r="B305" t="str">
        <x:v>JANTA I. C. T. A. JEWAR R.NO. 3</x:v>
      </x:c>
      <x:c r="C305" t="n">
        <x:v>739</x:v>
      </x:c>
      <x:c r="D305" t="n">
        <x:v>442</x:v>
      </x:c>
      <x:c r="E305" t="n">
        <x:f>SUM(H305:O305)</x:f>
        <x:v>440</x:v>
      </x:c>
      <x:c r="F305" t="n">
        <x:v>2</x:v>
      </x:c>
      <x:c r="G305" s="50" t="n">
        <x:f>IF(C305="","",IFERROR(D305/C305,0))</x:f>
        <x:v>0.5981055480378891</x:v>
      </x:c>
      <x:c r="H305" s="36" t="n">
        <x:v>44</x:v>
      </x:c>
      <x:c r="I305" t="n">
        <x:v>241</x:v>
      </x:c>
      <x:c r="J305" t="n">
        <x:v>138</x:v>
      </x:c>
      <x:c r="K305" t="n">
        <x:v>14</x:v>
      </x:c>
      <x:c r="L305" t="n">
        <x:v>1</x:v>
      </x:c>
      <x:c r="M305" t="n">
        <x:v>1</x:v>
      </x:c>
      <x:c r="N305" t="n">
        <x:v>1</x:v>
      </x:c>
      <x:c r="O305" t="n">
        <x:v>0</x:v>
      </x:c>
      <x:c r="P305" s="50" t="n">
        <x:f>IF(D305=0,"",H305/D305)</x:f>
        <x:v>0.09954751131221719</x:v>
      </x:c>
      <x:c r="Q305" t="n">
        <x:f>MAX(I305:O305)</x:f>
        <x:v>241</x:v>
      </x:c>
      <x:c r="R305" t="n">
        <x:f>H305-Q305</x:f>
        <x:v>-197</x:v>
      </x:c>
      <x:c r="S305" s="52" t="n">
        <x:f>IF(D305=0,"",(R305)/D305)</x:f>
        <x:v>-0.4457013574660634</x:v>
      </x:c>
      <x:c r="T305" t="str">
        <x:v>Dhirendra Singh</x:v>
      </x:c>
      <x:c r="U305" t="n">
        <x:f>D305-E305-F305</x:f>
        <x:v>0</x:v>
      </x:c>
    </x:row>
    <x:row r="306">
      <x:c r="A306" t="n">
        <x:v>298</x:v>
      </x:c>
      <x:c r="B306" t="str">
        <x:v>JANTA I. C. T. A. JEWAR R.NO. 4</x:v>
      </x:c>
      <x:c r="C306" t="n">
        <x:v>787</x:v>
      </x:c>
      <x:c r="D306" t="n">
        <x:v>375</x:v>
      </x:c>
      <x:c r="E306" t="n">
        <x:f>SUM(H306:O306)</x:f>
        <x:v>373</x:v>
      </x:c>
      <x:c r="F306" t="n">
        <x:v>2</x:v>
      </x:c>
      <x:c r="G306" s="50" t="n">
        <x:f>IF(C306="","",IFERROR(D306/C306,0))</x:f>
        <x:v>0.4764930114358323</x:v>
      </x:c>
      <x:c r="H306" s="36" t="n">
        <x:v>14</x:v>
      </x:c>
      <x:c r="I306" t="n">
        <x:v>262</x:v>
      </x:c>
      <x:c r="J306" t="n">
        <x:v>76</x:v>
      </x:c>
      <x:c r="K306" t="n">
        <x:v>19</x:v>
      </x:c>
      <x:c r="L306" t="n">
        <x:v>0</x:v>
      </x:c>
      <x:c r="M306" t="n">
        <x:v>1</x:v>
      </x:c>
      <x:c r="N306" t="n">
        <x:v>0</x:v>
      </x:c>
      <x:c r="O306" t="n">
        <x:v>1</x:v>
      </x:c>
      <x:c r="P306" s="50" t="n">
        <x:f>IF(D306=0,"",H306/D306)</x:f>
        <x:v>0.037333333333333336</x:v>
      </x:c>
      <x:c r="Q306" t="n">
        <x:f>MAX(I306:O306)</x:f>
        <x:v>262</x:v>
      </x:c>
      <x:c r="R306" t="n">
        <x:f>H306-Q306</x:f>
        <x:v>-248</x:v>
      </x:c>
      <x:c r="S306" s="52" t="n">
        <x:f>IF(D306=0,"",(R306)/D306)</x:f>
        <x:v>-0.6613333333333333</x:v>
      </x:c>
      <x:c r="T306" t="str">
        <x:v>Dhirendra Singh</x:v>
      </x:c>
      <x:c r="U306" t="n">
        <x:f>D306-E306-F306</x:f>
        <x:v>0</x:v>
      </x:c>
    </x:row>
    <x:row r="307">
      <x:c r="A307" t="n">
        <x:v>299</x:v>
      </x:c>
      <x:c r="B307" t="str">
        <x:v>JANTA I. C. T. A. JEWAR R.NO. 5</x:v>
      </x:c>
      <x:c r="C307" t="n">
        <x:v>1262</x:v>
      </x:c>
      <x:c r="D307" t="n">
        <x:v>642</x:v>
      </x:c>
      <x:c r="E307" t="n">
        <x:f>SUM(H307:O307)</x:f>
        <x:v>637</x:v>
      </x:c>
      <x:c r="F307" t="n">
        <x:v>5</x:v>
      </x:c>
      <x:c r="G307" s="50" t="n">
        <x:f>IF(C307="","",IFERROR(D307/C307,0))</x:f>
        <x:v>0.508716323296355</x:v>
      </x:c>
      <x:c r="H307" s="36" t="n">
        <x:v>17</x:v>
      </x:c>
      <x:c r="I307" t="n">
        <x:v>102</x:v>
      </x:c>
      <x:c r="J307" t="n">
        <x:v>493</x:v>
      </x:c>
      <x:c r="K307" t="n">
        <x:v>11</x:v>
      </x:c>
      <x:c r="L307" t="n">
        <x:v>5</x:v>
      </x:c>
      <x:c r="M307" t="n">
        <x:v>4</x:v>
      </x:c>
      <x:c r="N307" t="n">
        <x:v>1</x:v>
      </x:c>
      <x:c r="O307" t="n">
        <x:v>4</x:v>
      </x:c>
      <x:c r="P307" s="50" t="n">
        <x:f>IF(D307=0,"",H307/D307)</x:f>
        <x:v>0.0264797507788162</x:v>
      </x:c>
      <x:c r="Q307" t="n">
        <x:f>MAX(I307:O307)</x:f>
        <x:v>493</x:v>
      </x:c>
      <x:c r="R307" t="n">
        <x:f>H307-Q307</x:f>
        <x:v>-476</x:v>
      </x:c>
      <x:c r="S307" s="52" t="n">
        <x:f>IF(D307=0,"",(R307)/D307)</x:f>
        <x:v>-0.7414330218068536</x:v>
      </x:c>
      <x:c r="T307" t="str">
        <x:v>Vedram Bhati</x:v>
      </x:c>
      <x:c r="U307" t="n">
        <x:f>D307-E307-F307</x:f>
        <x:v>0</x:v>
      </x:c>
    </x:row>
    <x:row r="308">
      <x:c r="A308" t="n">
        <x:v>300</x:v>
      </x:c>
      <x:c r="B308" t="str">
        <x:v>JANTA I. C. T. A. JEWAR R.NO. 6</x:v>
      </x:c>
      <x:c r="C308" t="n">
        <x:v>553</x:v>
      </x:c>
      <x:c r="D308" t="n">
        <x:v>267</x:v>
      </x:c>
      <x:c r="E308" t="n">
        <x:f>SUM(H308:O308)</x:f>
        <x:v>267</x:v>
      </x:c>
      <x:c r="F308" t="n">
        <x:v>0</x:v>
      </x:c>
      <x:c r="G308" s="50" t="n">
        <x:f>IF(C308="","",IFERROR(D308/C308,0))</x:f>
        <x:v>0.48282097649186256</x:v>
      </x:c>
      <x:c r="H308" s="36" t="n">
        <x:v>13</x:v>
      </x:c>
      <x:c r="I308" t="n">
        <x:v>70</x:v>
      </x:c>
      <x:c r="J308" t="n">
        <x:v>166</x:v>
      </x:c>
      <x:c r="K308" t="n">
        <x:v>16</x:v>
      </x:c>
      <x:c r="L308" t="n">
        <x:v>0</x:v>
      </x:c>
      <x:c r="M308" t="n">
        <x:v>0</x:v>
      </x:c>
      <x:c r="N308" t="n">
        <x:v>2</x:v>
      </x:c>
      <x:c r="O308" t="n">
        <x:v>0</x:v>
      </x:c>
      <x:c r="P308" s="50" t="n">
        <x:f>IF(D308=0,"",H308/D308)</x:f>
        <x:v>0.04868913857677903</x:v>
      </x:c>
      <x:c r="Q308" t="n">
        <x:f>MAX(I308:O308)</x:f>
        <x:v>166</x:v>
      </x:c>
      <x:c r="R308" t="n">
        <x:f>H308-Q308</x:f>
        <x:v>-153</x:v>
      </x:c>
      <x:c r="S308" s="52" t="n">
        <x:f>IF(D308=0,"",(R308)/D308)</x:f>
        <x:v>-0.5730337078651685</x:v>
      </x:c>
      <x:c r="T308" t="str">
        <x:v>Vedram Bhati</x:v>
      </x:c>
      <x:c r="U308" t="n">
        <x:f>D308-E308-F308</x:f>
        <x:v>0</x:v>
      </x:c>
    </x:row>
    <x:row r="309">
      <x:c r="A309" t="n">
        <x:v>301</x:v>
      </x:c>
      <x:c r="B309" t="str">
        <x:v>PRY. SCHOOL VENA ROAD JEWAR R.NO. 1</x:v>
      </x:c>
      <x:c r="C309" t="n">
        <x:v>571</x:v>
      </x:c>
      <x:c r="D309" t="n">
        <x:v>407</x:v>
      </x:c>
      <x:c r="E309" t="n">
        <x:f>SUM(H309:O309)</x:f>
        <x:v>406</x:v>
      </x:c>
      <x:c r="F309" t="n">
        <x:v>1</x:v>
      </x:c>
      <x:c r="G309" s="50" t="n">
        <x:f>IF(C309="","",IFERROR(D309/C309,0))</x:f>
        <x:v>0.712784588441331</x:v>
      </x:c>
      <x:c r="H309" s="36" t="n">
        <x:v>1</x:v>
      </x:c>
      <x:c r="I309" t="n">
        <x:v>21</x:v>
      </x:c>
      <x:c r="J309" t="n">
        <x:v>370</x:v>
      </x:c>
      <x:c r="K309" t="n">
        <x:v>7</x:v>
      </x:c>
      <x:c r="L309" t="n">
        <x:v>1</x:v>
      </x:c>
      <x:c r="M309" t="n">
        <x:v>3</x:v>
      </x:c>
      <x:c r="N309" t="n">
        <x:v>0</x:v>
      </x:c>
      <x:c r="O309" t="n">
        <x:v>3</x:v>
      </x:c>
      <x:c r="P309" s="50" t="n">
        <x:f>IF(D309=0,"",H309/D309)</x:f>
        <x:v>0.002457002457002457</x:v>
      </x:c>
      <x:c r="Q309" t="n">
        <x:f>MAX(I309:O309)</x:f>
        <x:v>370</x:v>
      </x:c>
      <x:c r="R309" t="n">
        <x:f>H309-Q309</x:f>
        <x:v>-369</x:v>
      </x:c>
      <x:c r="S309" s="52" t="n">
        <x:f>IF(D309=0,"",(R309)/D309)</x:f>
        <x:v>-0.9066339066339066</x:v>
      </x:c>
      <x:c r="T309" t="str">
        <x:v>Vedram Bhati</x:v>
      </x:c>
      <x:c r="U309" t="n">
        <x:f>D309-E309-F309</x:f>
        <x:v>0</x:v>
      </x:c>
    </x:row>
    <x:row r="310">
      <x:c r="A310" t="n">
        <x:v>302</x:v>
      </x:c>
      <x:c r="B310" t="str">
        <x:v>PRY. SCHOOL VENA ROAD JEWAR R.NO. 2</x:v>
      </x:c>
      <x:c r="C310" t="n">
        <x:v>947</x:v>
      </x:c>
      <x:c r="D310" t="n">
        <x:v>529</x:v>
      </x:c>
      <x:c r="E310" t="n">
        <x:f>SUM(H310:O310)</x:f>
        <x:v>521</x:v>
      </x:c>
      <x:c r="F310" t="n">
        <x:v>8</x:v>
      </x:c>
      <x:c r="G310" s="50" t="n">
        <x:f>IF(C310="","",IFERROR(D310/C310,0))</x:f>
        <x:v>0.5586061246040127</x:v>
      </x:c>
      <x:c r="H310" s="36" t="n">
        <x:v>54</x:v>
      </x:c>
      <x:c r="I310" t="n">
        <x:v>295</x:v>
      </x:c>
      <x:c r="J310" t="n">
        <x:v>116</x:v>
      </x:c>
      <x:c r="K310" t="n">
        <x:v>45</x:v>
      </x:c>
      <x:c r="L310" t="n">
        <x:v>2</x:v>
      </x:c>
      <x:c r="M310" t="n">
        <x:v>3</x:v>
      </x:c>
      <x:c r="N310" t="n">
        <x:v>4</x:v>
      </x:c>
      <x:c r="O310" t="n">
        <x:v>2</x:v>
      </x:c>
      <x:c r="P310" s="50" t="n">
        <x:f>IF(D310=0,"",H310/D310)</x:f>
        <x:v>0.10207939508506617</x:v>
      </x:c>
      <x:c r="Q310" t="n">
        <x:f>MAX(I310:O310)</x:f>
        <x:v>295</x:v>
      </x:c>
      <x:c r="R310" t="n">
        <x:f>H310-Q310</x:f>
        <x:v>-241</x:v>
      </x:c>
      <x:c r="S310" s="52" t="n">
        <x:f>IF(D310=0,"",(R310)/D310)</x:f>
        <x:v>-0.4555765595463138</x:v>
      </x:c>
      <x:c r="T310" t="str">
        <x:v>Dhirendra Singh</x:v>
      </x:c>
      <x:c r="U310" t="n">
        <x:f>D310-E310-F310</x:f>
        <x:v>0</x:v>
      </x:c>
    </x:row>
    <x:row r="311">
      <x:c r="A311" t="n">
        <x:v>303</x:v>
      </x:c>
      <x:c r="B311" t="str">
        <x:v>PRY. SCHOOL VENA ROAD JEWAR R.NO. 3</x:v>
      </x:c>
      <x:c r="C311" t="n">
        <x:v>1009</x:v>
      </x:c>
      <x:c r="D311" t="n">
        <x:v>546</x:v>
      </x:c>
      <x:c r="E311" t="n">
        <x:f>SUM(H311:O311)</x:f>
        <x:v>534</x:v>
      </x:c>
      <x:c r="F311" t="n">
        <x:v>12</x:v>
      </x:c>
      <x:c r="G311" s="50" t="n">
        <x:f>IF(C311="","",IFERROR(D311/C311,0))</x:f>
        <x:v>0.5411298315163529</x:v>
      </x:c>
      <x:c r="H311" s="36" t="n">
        <x:v>59</x:v>
      </x:c>
      <x:c r="I311" t="n">
        <x:v>126</x:v>
      </x:c>
      <x:c r="J311" t="n">
        <x:v>314</x:v>
      </x:c>
      <x:c r="K311" t="n">
        <x:v>18</x:v>
      </x:c>
      <x:c r="L311" t="n">
        <x:v>6</x:v>
      </x:c>
      <x:c r="M311" t="n">
        <x:v>0</x:v>
      </x:c>
      <x:c r="N311" t="n">
        <x:v>5</x:v>
      </x:c>
      <x:c r="O311" t="n">
        <x:v>6</x:v>
      </x:c>
      <x:c r="P311" s="50" t="n">
        <x:f>IF(D311=0,"",H311/D311)</x:f>
        <x:v>0.10805860805860806</x:v>
      </x:c>
      <x:c r="Q311" t="n">
        <x:f>MAX(I311:O311)</x:f>
        <x:v>314</x:v>
      </x:c>
      <x:c r="R311" t="n">
        <x:f>H311-Q311</x:f>
        <x:v>-255</x:v>
      </x:c>
      <x:c r="S311" s="52" t="n">
        <x:f>IF(D311=0,"",(R311)/D311)</x:f>
        <x:v>-0.46703296703296704</x:v>
      </x:c>
      <x:c r="T311" t="str">
        <x:v>Vedram Bhati</x:v>
      </x:c>
      <x:c r="U311" t="n">
        <x:f>D311-E311-F311</x:f>
        <x:v>0</x:v>
      </x:c>
    </x:row>
    <x:row r="312">
      <x:c r="A312" t="n">
        <x:v>304</x:v>
      </x:c>
      <x:c r="B312" t="str">
        <x:v>KANWAR TECHNICAL I.C.T.A. JEWAR R.NO. 1</x:v>
      </x:c>
      <x:c r="C312" t="n">
        <x:v>966</x:v>
      </x:c>
      <x:c r="D312" t="n">
        <x:v>572</x:v>
      </x:c>
      <x:c r="E312" t="n">
        <x:f>SUM(H312:O312)</x:f>
        <x:v>570</x:v>
      </x:c>
      <x:c r="F312" t="n">
        <x:v>2</x:v>
      </x:c>
      <x:c r="G312" s="50" t="n">
        <x:f>IF(C312="","",IFERROR(D312/C312,0))</x:f>
        <x:v>0.5921325051759835</x:v>
      </x:c>
      <x:c r="H312" s="36" t="n">
        <x:v>23</x:v>
      </x:c>
      <x:c r="I312" t="n">
        <x:v>424</x:v>
      </x:c>
      <x:c r="J312" t="n">
        <x:v>93</x:v>
      </x:c>
      <x:c r="K312" t="n">
        <x:v>25</x:v>
      </x:c>
      <x:c r="L312" t="n">
        <x:v>0</x:v>
      </x:c>
      <x:c r="M312" t="n">
        <x:v>1</x:v>
      </x:c>
      <x:c r="N312" t="n">
        <x:v>3</x:v>
      </x:c>
      <x:c r="O312" t="n">
        <x:v>1</x:v>
      </x:c>
      <x:c r="P312" s="50" t="n">
        <x:f>IF(D312=0,"",H312/D312)</x:f>
        <x:v>0.04020979020979021</x:v>
      </x:c>
      <x:c r="Q312" t="n">
        <x:f>MAX(I312:O312)</x:f>
        <x:v>424</x:v>
      </x:c>
      <x:c r="R312" t="n">
        <x:f>H312-Q312</x:f>
        <x:v>-401</x:v>
      </x:c>
      <x:c r="S312" s="52" t="n">
        <x:f>IF(D312=0,"",(R312)/D312)</x:f>
        <x:v>-0.701048951048951</x:v>
      </x:c>
      <x:c r="T312" t="str">
        <x:v>Dhirendra Singh</x:v>
      </x:c>
      <x:c r="U312" t="n">
        <x:f>D312-E312-F312</x:f>
        <x:v>0</x:v>
      </x:c>
    </x:row>
    <x:row r="313">
      <x:c r="A313" t="n">
        <x:v>305</x:v>
      </x:c>
      <x:c r="B313" t="str">
        <x:v>KANWAR TECHNICAL I.C.T.A. JEWAR R.NO. 2</x:v>
      </x:c>
      <x:c r="C313" t="n">
        <x:v>654</x:v>
      </x:c>
      <x:c r="D313" t="n">
        <x:v>430</x:v>
      </x:c>
      <x:c r="E313" t="n">
        <x:f>SUM(H313:O313)</x:f>
        <x:v>428</x:v>
      </x:c>
      <x:c r="F313" t="n">
        <x:v>2</x:v>
      </x:c>
      <x:c r="G313" s="50" t="n">
        <x:f>IF(C313="","",IFERROR(D313/C313,0))</x:f>
        <x:v>0.6574923547400612</x:v>
      </x:c>
      <x:c r="H313" s="36" t="n">
        <x:v>37</x:v>
      </x:c>
      <x:c r="I313" t="n">
        <x:v>199</x:v>
      </x:c>
      <x:c r="J313" t="n">
        <x:v>183</x:v>
      </x:c>
      <x:c r="K313" t="n">
        <x:v>5</x:v>
      </x:c>
      <x:c r="L313" t="n">
        <x:v>1</x:v>
      </x:c>
      <x:c r="M313" t="n">
        <x:v>1</x:v>
      </x:c>
      <x:c r="N313" t="n">
        <x:v>2</x:v>
      </x:c>
      <x:c r="O313" t="n">
        <x:v>0</x:v>
      </x:c>
      <x:c r="P313" s="50" t="n">
        <x:f>IF(D313=0,"",H313/D313)</x:f>
        <x:v>0.08604651162790698</x:v>
      </x:c>
      <x:c r="Q313" t="n">
        <x:f>MAX(I313:O313)</x:f>
        <x:v>199</x:v>
      </x:c>
      <x:c r="R313" t="n">
        <x:f>H313-Q313</x:f>
        <x:v>-162</x:v>
      </x:c>
      <x:c r="S313" s="52" t="n">
        <x:f>IF(D313=0,"",(R313)/D313)</x:f>
        <x:v>-0.3767441860465116</x:v>
      </x:c>
      <x:c r="T313" t="str">
        <x:v>Dhirendra Singh</x:v>
      </x:c>
      <x:c r="U313" t="n">
        <x:f>D313-E313-F313</x:f>
        <x:v>0</x:v>
      </x:c>
    </x:row>
    <x:row r="314">
      <x:c r="A314" t="n">
        <x:v>306</x:v>
      </x:c>
      <x:c r="B314" t="str">
        <x:v>KANWAR TECHNICAL I.C.T.A. JEWAR R.NO. 3</x:v>
      </x:c>
      <x:c r="C314" t="n">
        <x:v>1053</x:v>
      </x:c>
      <x:c r="D314" t="n">
        <x:v>655</x:v>
      </x:c>
      <x:c r="E314" t="n">
        <x:f>SUM(H314:O314)</x:f>
        <x:v>649</x:v>
      </x:c>
      <x:c r="F314" t="n">
        <x:v>6</x:v>
      </x:c>
      <x:c r="G314" s="50" t="n">
        <x:f>IF(C314="","",IFERROR(D314/C314,0))</x:f>
        <x:v>0.6220322886989553</x:v>
      </x:c>
      <x:c r="H314" s="36" t="n">
        <x:v>58</x:v>
      </x:c>
      <x:c r="I314" t="n">
        <x:v>180</x:v>
      </x:c>
      <x:c r="J314" t="n">
        <x:v>395</x:v>
      </x:c>
      <x:c r="K314" t="n">
        <x:v>4</x:v>
      </x:c>
      <x:c r="L314" t="n">
        <x:v>3</x:v>
      </x:c>
      <x:c r="M314" t="n">
        <x:v>2</x:v>
      </x:c>
      <x:c r="N314" t="n">
        <x:v>3</x:v>
      </x:c>
      <x:c r="O314" t="n">
        <x:v>4</x:v>
      </x:c>
      <x:c r="P314" s="50" t="n">
        <x:f>IF(D314=0,"",H314/D314)</x:f>
        <x:v>0.08854961832061069</x:v>
      </x:c>
      <x:c r="Q314" t="n">
        <x:f>MAX(I314:O314)</x:f>
        <x:v>395</x:v>
      </x:c>
      <x:c r="R314" t="n">
        <x:f>H314-Q314</x:f>
        <x:v>-337</x:v>
      </x:c>
      <x:c r="S314" s="52" t="n">
        <x:f>IF(D314=0,"",(R314)/D314)</x:f>
        <x:v>-0.5145038167938931</x:v>
      </x:c>
      <x:c r="T314" t="str">
        <x:v>Vedram Bhati</x:v>
      </x:c>
      <x:c r="U314" t="n">
        <x:f>D314-E314-F314</x:f>
        <x:v>0</x:v>
      </x:c>
    </x:row>
    <x:row r="315">
      <x:c r="A315" t="n">
        <x:v>307</x:v>
      </x:c>
      <x:c r="B315" t="str">
        <x:v>PRY. SCHOOL MIRPUR KACHCHH URF KANIGARHI R.NO. 1</x:v>
      </x:c>
      <x:c r="C315" t="n">
        <x:v>1280</x:v>
      </x:c>
      <x:c r="D315" t="n">
        <x:v>890</x:v>
      </x:c>
      <x:c r="E315" t="n">
        <x:f>SUM(H315:O315)</x:f>
        <x:v>882</x:v>
      </x:c>
      <x:c r="F315" t="n">
        <x:v>8</x:v>
      </x:c>
      <x:c r="G315" s="50" t="n">
        <x:f>IF(C315="","",IFERROR(D315/C315,0))</x:f>
        <x:v>0.6953125</x:v>
      </x:c>
      <x:c r="H315" s="36" t="n">
        <x:v>18</x:v>
      </x:c>
      <x:c r="I315" t="n">
        <x:v>785</x:v>
      </x:c>
      <x:c r="J315" t="n">
        <x:v>31</x:v>
      </x:c>
      <x:c r="K315" t="n">
        <x:v>43</x:v>
      </x:c>
      <x:c r="L315" t="n">
        <x:v>0</x:v>
      </x:c>
      <x:c r="M315" t="n">
        <x:v>1</x:v>
      </x:c>
      <x:c r="N315" t="n">
        <x:v>1</x:v>
      </x:c>
      <x:c r="O315" t="n">
        <x:v>3</x:v>
      </x:c>
      <x:c r="P315" s="50" t="n">
        <x:f>IF(D315=0,"",H315/D315)</x:f>
        <x:v>0.020224719101123594</x:v>
      </x:c>
      <x:c r="Q315" t="n">
        <x:f>MAX(I315:O315)</x:f>
        <x:v>785</x:v>
      </x:c>
      <x:c r="R315" t="n">
        <x:f>H315-Q315</x:f>
        <x:v>-767</x:v>
      </x:c>
      <x:c r="S315" s="52" t="n">
        <x:f>IF(D315=0,"",(R315)/D315)</x:f>
        <x:v>-0.8617977528089887</x:v>
      </x:c>
      <x:c r="T315" t="str">
        <x:v>Dhirendra Singh</x:v>
      </x:c>
      <x:c r="U315" t="n">
        <x:f>D315-E315-F315</x:f>
        <x:v>0</x:v>
      </x:c>
    </x:row>
    <x:row r="316">
      <x:c r="A316" t="n">
        <x:v>308</x:v>
      </x:c>
      <x:c r="B316" t="str">
        <x:v>PRY. SCHOOL MIRPUR KACHCHH URF KANIGARHI R.NO. 2</x:v>
      </x:c>
      <x:c r="C316" t="n">
        <x:v>755</x:v>
      </x:c>
      <x:c r="D316" t="n">
        <x:v>535</x:v>
      </x:c>
      <x:c r="E316" t="n">
        <x:f>SUM(H316:O316)</x:f>
        <x:v>523</x:v>
      </x:c>
      <x:c r="F316" t="n">
        <x:v>12</x:v>
      </x:c>
      <x:c r="G316" s="50" t="n">
        <x:f>IF(C316="","",IFERROR(D316/C316,0))</x:f>
        <x:v>0.7086092715231788</x:v>
      </x:c>
      <x:c r="H316" s="36" t="n">
        <x:v>8</x:v>
      </x:c>
      <x:c r="I316" t="n">
        <x:v>267</x:v>
      </x:c>
      <x:c r="J316" t="n">
        <x:v>173</x:v>
      </x:c>
      <x:c r="K316" t="n">
        <x:v>63</x:v>
      </x:c>
      <x:c r="L316" t="n">
        <x:v>2</x:v>
      </x:c>
      <x:c r="M316" t="n">
        <x:v>4</x:v>
      </x:c>
      <x:c r="N316" t="n">
        <x:v>3</x:v>
      </x:c>
      <x:c r="O316" t="n">
        <x:v>3</x:v>
      </x:c>
      <x:c r="P316" s="50" t="n">
        <x:f>IF(D316=0,"",H316/D316)</x:f>
        <x:v>0.014953271028037384</x:v>
      </x:c>
      <x:c r="Q316" t="n">
        <x:f>MAX(I316:O316)</x:f>
        <x:v>267</x:v>
      </x:c>
      <x:c r="R316" t="n">
        <x:f>H316-Q316</x:f>
        <x:v>-259</x:v>
      </x:c>
      <x:c r="S316" s="52" t="n">
        <x:f>IF(D316=0,"",(R316)/D316)</x:f>
        <x:v>-0.48411214953271026</x:v>
      </x:c>
      <x:c r="T316" t="str">
        <x:v>Dhirendra Singh</x:v>
      </x:c>
      <x:c r="U316" t="n">
        <x:f>D316-E316-F316</x:f>
        <x:v>0</x:v>
      </x:c>
    </x:row>
    <x:row r="317">
      <x:c r="A317" t="n">
        <x:v>309</x:v>
      </x:c>
      <x:c r="B317" t="str">
        <x:v>PRY. SCHOOL GOVINSGARH R.NO. 1</x:v>
      </x:c>
      <x:c r="C317" t="n">
        <x:v>728</x:v>
      </x:c>
      <x:c r="D317" t="n">
        <x:v>579</x:v>
      </x:c>
      <x:c r="E317" t="n">
        <x:f>SUM(H317:O317)</x:f>
        <x:v>574</x:v>
      </x:c>
      <x:c r="F317" t="n">
        <x:v>5</x:v>
      </x:c>
      <x:c r="G317" s="50" t="n">
        <x:f>IF(C317="","",IFERROR(D317/C317,0))</x:f>
        <x:v>0.7953296703296703</x:v>
      </x:c>
      <x:c r="H317" s="36" t="n">
        <x:v>0</x:v>
      </x:c>
      <x:c r="I317" t="n">
        <x:v>487</x:v>
      </x:c>
      <x:c r="J317" t="n">
        <x:v>40</x:v>
      </x:c>
      <x:c r="K317" t="n">
        <x:v>33</x:v>
      </x:c>
      <x:c r="L317" t="n">
        <x:v>2</x:v>
      </x:c>
      <x:c r="M317" t="n">
        <x:v>2</x:v>
      </x:c>
      <x:c r="N317" t="n">
        <x:v>4</x:v>
      </x:c>
      <x:c r="O317" t="n">
        <x:v>6</x:v>
      </x:c>
      <x:c r="P317" s="50" t="n">
        <x:f>IF(D317=0,"",H317/D317)</x:f>
        <x:v>0</x:v>
      </x:c>
      <x:c r="Q317" t="n">
        <x:f>MAX(I317:O317)</x:f>
        <x:v>487</x:v>
      </x:c>
      <x:c r="R317" t="n">
        <x:f>H317-Q317</x:f>
        <x:v>-487</x:v>
      </x:c>
      <x:c r="S317" s="52" t="n">
        <x:f>IF(D317=0,"",(R317)/D317)</x:f>
        <x:v>-0.8411053540587219</x:v>
      </x:c>
      <x:c r="T317" t="str">
        <x:v>Dhirendra Singh</x:v>
      </x:c>
      <x:c r="U317" t="n">
        <x:f>D317-E317-F317</x:f>
        <x:v>0</x:v>
      </x:c>
    </x:row>
    <x:row r="318">
      <x:c r="A318" t="n">
        <x:v>310</x:v>
      </x:c>
      <x:c r="B318" t="str">
        <x:v>PRY SCHOOL SHAMSHAMNAGAR R.NO. 1</x:v>
      </x:c>
      <x:c r="C318" t="n">
        <x:v>782</x:v>
      </x:c>
      <x:c r="D318" t="n">
        <x:v>498</x:v>
      </x:c>
      <x:c r="E318" t="n">
        <x:f>SUM(H318:O318)</x:f>
        <x:v>494</x:v>
      </x:c>
      <x:c r="F318" t="n">
        <x:v>4</x:v>
      </x:c>
      <x:c r="G318" s="50" t="n">
        <x:f>IF(C318="","",IFERROR(D318/C318,0))</x:f>
        <x:v>0.6368286445012787</x:v>
      </x:c>
      <x:c r="H318" s="36" t="n">
        <x:v>7</x:v>
      </x:c>
      <x:c r="I318" t="n">
        <x:v>233</x:v>
      </x:c>
      <x:c r="J318" t="n">
        <x:v>115</x:v>
      </x:c>
      <x:c r="K318" t="n">
        <x:v>127</x:v>
      </x:c>
      <x:c r="L318" t="n">
        <x:v>1</x:v>
      </x:c>
      <x:c r="M318" t="n">
        <x:v>3</x:v>
      </x:c>
      <x:c r="N318" t="n">
        <x:v>4</x:v>
      </x:c>
      <x:c r="O318" t="n">
        <x:v>4</x:v>
      </x:c>
      <x:c r="P318" s="50" t="n">
        <x:f>IF(D318=0,"",H318/D318)</x:f>
        <x:v>0.014056224899598393</x:v>
      </x:c>
      <x:c r="Q318" t="n">
        <x:f>MAX(I318:O318)</x:f>
        <x:v>233</x:v>
      </x:c>
      <x:c r="R318" t="n">
        <x:f>H318-Q318</x:f>
        <x:v>-226</x:v>
      </x:c>
      <x:c r="S318" s="52" t="n">
        <x:f>IF(D318=0,"",(R318)/D318)</x:f>
        <x:v>-0.4538152610441767</x:v>
      </x:c>
      <x:c r="T318" t="str">
        <x:v>Dhirendra Singh</x:v>
      </x:c>
      <x:c r="U318" t="n">
        <x:f>D318-E318-F318</x:f>
        <x:v>0</x:v>
      </x:c>
    </x:row>
    <x:row r="319">
      <x:c r="A319" t="n">
        <x:v>311</x:v>
      </x:c>
      <x:c r="B319" t="str">
        <x:v>PRY. SCHOOL BHAGVANTPUR CHHANTAGA R.NO. 1</x:v>
      </x:c>
      <x:c r="C319" t="n">
        <x:v>855</x:v>
      </x:c>
      <x:c r="D319" t="n">
        <x:v>656</x:v>
      </x:c>
      <x:c r="E319" t="n">
        <x:f>SUM(H319:O319)</x:f>
        <x:v>654</x:v>
      </x:c>
      <x:c r="F319" t="n">
        <x:v>2</x:v>
      </x:c>
      <x:c r="G319" s="50" t="n">
        <x:f>IF(C319="","",IFERROR(D319/C319,0))</x:f>
        <x:v>0.7672514619883041</x:v>
      </x:c>
      <x:c r="H319" s="36" t="n">
        <x:v>6</x:v>
      </x:c>
      <x:c r="I319" t="n">
        <x:v>365</x:v>
      </x:c>
      <x:c r="J319" t="n">
        <x:v>232</x:v>
      </x:c>
      <x:c r="K319" t="n">
        <x:v>32</x:v>
      </x:c>
      <x:c r="L319" t="n">
        <x:v>6</x:v>
      </x:c>
      <x:c r="M319" t="n">
        <x:v>4</x:v>
      </x:c>
      <x:c r="N319" t="n">
        <x:v>8</x:v>
      </x:c>
      <x:c r="O319" t="n">
        <x:v>1</x:v>
      </x:c>
      <x:c r="P319" s="50" t="n">
        <x:f>IF(D319=0,"",H319/D319)</x:f>
        <x:v>0.009146341463414634</x:v>
      </x:c>
      <x:c r="Q319" t="n">
        <x:f>MAX(I319:O319)</x:f>
        <x:v>365</x:v>
      </x:c>
      <x:c r="R319" t="n">
        <x:f>H319-Q319</x:f>
        <x:v>-359</x:v>
      </x:c>
      <x:c r="S319" s="52" t="n">
        <x:f>IF(D319=0,"",(R319)/D319)</x:f>
        <x:v>-0.5472560975609756</x:v>
      </x:c>
      <x:c r="T319" t="str">
        <x:v>Dhirendra Singh</x:v>
      </x:c>
      <x:c r="U319" t="n">
        <x:f>D319-E319-F319</x:f>
        <x:v>0</x:v>
      </x:c>
    </x:row>
    <x:row r="320">
      <x:c r="A320" t="n">
        <x:v>312</x:v>
      </x:c>
      <x:c r="B320" t="str">
        <x:v>PRY. SCHOOL CHHATANGA KHURD R.NO. 1</x:v>
      </x:c>
      <x:c r="C320" t="n">
        <x:v>682</x:v>
      </x:c>
      <x:c r="D320" t="n">
        <x:v>452</x:v>
      </x:c>
      <x:c r="E320" t="n">
        <x:f>SUM(H320:O320)</x:f>
        <x:v>450</x:v>
      </x:c>
      <x:c r="F320" t="n">
        <x:v>2</x:v>
      </x:c>
      <x:c r="G320" s="50" t="n">
        <x:f>IF(C320="","",IFERROR(D320/C320,0))</x:f>
        <x:v>0.6627565982404692</x:v>
      </x:c>
      <x:c r="H320" s="36" t="n">
        <x:v>46</x:v>
      </x:c>
      <x:c r="I320" t="n">
        <x:v>201</x:v>
      </x:c>
      <x:c r="J320" t="n">
        <x:v>188</x:v>
      </x:c>
      <x:c r="K320" t="n">
        <x:v>7</x:v>
      </x:c>
      <x:c r="L320" t="n">
        <x:v>3</x:v>
      </x:c>
      <x:c r="M320" t="n">
        <x:v>1</x:v>
      </x:c>
      <x:c r="N320" t="n">
        <x:v>4</x:v>
      </x:c>
      <x:c r="O320" t="n">
        <x:v>0</x:v>
      </x:c>
      <x:c r="P320" s="50" t="n">
        <x:f>IF(D320=0,"",H320/D320)</x:f>
        <x:v>0.10176991150442478</x:v>
      </x:c>
      <x:c r="Q320" t="n">
        <x:f>MAX(I320:O320)</x:f>
        <x:v>201</x:v>
      </x:c>
      <x:c r="R320" t="n">
        <x:f>H320-Q320</x:f>
        <x:v>-155</x:v>
      </x:c>
      <x:c r="S320" s="52" t="n">
        <x:f>IF(D320=0,"",(R320)/D320)</x:f>
        <x:v>-0.34292035398230086</x:v>
      </x:c>
      <x:c r="T320" t="str">
        <x:v>Dhirendra Singh</x:v>
      </x:c>
      <x:c r="U320" t="n">
        <x:f>D320-E320-F320</x:f>
        <x:v>0</x:v>
      </x:c>
    </x:row>
    <x:row r="321">
      <x:c r="A321" t="n">
        <x:v>313</x:v>
      </x:c>
      <x:c r="B321" t="str">
        <x:v>PRY. SCHOOL JHUPPA NARAYAN SINGH R.NO. 1</x:v>
      </x:c>
      <x:c r="C321" t="n">
        <x:v>956</x:v>
      </x:c>
      <x:c r="D321" t="n">
        <x:v>678</x:v>
      </x:c>
      <x:c r="E321" t="n">
        <x:f>SUM(H321:O321)</x:f>
        <x:v>676</x:v>
      </x:c>
      <x:c r="F321" t="n">
        <x:v>2</x:v>
      </x:c>
      <x:c r="G321" s="50" t="n">
        <x:f>IF(C321="","",IFERROR(D321/C321,0))</x:f>
        <x:v>0.7092050209205021</x:v>
      </x:c>
      <x:c r="H321" s="36" t="n">
        <x:v>24</x:v>
      </x:c>
      <x:c r="I321" t="n">
        <x:v>147</x:v>
      </x:c>
      <x:c r="J321" t="n">
        <x:v>480</x:v>
      </x:c>
      <x:c r="K321" t="n">
        <x:v>12</x:v>
      </x:c>
      <x:c r="L321" t="n">
        <x:v>3</x:v>
      </x:c>
      <x:c r="M321" t="n">
        <x:v>4</x:v>
      </x:c>
      <x:c r="N321" t="n">
        <x:v>5</x:v>
      </x:c>
      <x:c r="O321" t="n">
        <x:v>1</x:v>
      </x:c>
      <x:c r="P321" s="50" t="n">
        <x:f>IF(D321=0,"",H321/D321)</x:f>
        <x:v>0.035398230088495575</x:v>
      </x:c>
      <x:c r="Q321" t="n">
        <x:f>MAX(I321:O321)</x:f>
        <x:v>480</x:v>
      </x:c>
      <x:c r="R321" t="n">
        <x:f>H321-Q321</x:f>
        <x:v>-456</x:v>
      </x:c>
      <x:c r="S321" s="52" t="n">
        <x:f>IF(D321=0,"",(R321)/D321)</x:f>
        <x:v>-0.672566371681416</x:v>
      </x:c>
      <x:c r="T321" t="str">
        <x:v>Vedram Bhati</x:v>
      </x:c>
      <x:c r="U321" t="n">
        <x:f>D321-E321-F321</x:f>
        <x:v>0</x:v>
      </x:c>
    </x:row>
    <x:row r="322">
      <x:c r="A322" t="n">
        <x:v>314</x:v>
      </x:c>
      <x:c r="B322" t="str">
        <x:v>PRY. SCHOOL JHUPPA KALAN R.NO. 1</x:v>
      </x:c>
      <x:c r="C322" t="n">
        <x:v>459</x:v>
      </x:c>
      <x:c r="D322" t="n">
        <x:v>358</x:v>
      </x:c>
      <x:c r="E322" t="n">
        <x:f>SUM(H322:O322)</x:f>
        <x:v>356</x:v>
      </x:c>
      <x:c r="F322" t="n">
        <x:v>2</x:v>
      </x:c>
      <x:c r="G322" s="50" t="n">
        <x:f>IF(C322="","",IFERROR(D322/C322,0))</x:f>
        <x:v>0.7799564270152506</x:v>
      </x:c>
      <x:c r="H322" s="36" t="n">
        <x:v>33</x:v>
      </x:c>
      <x:c r="I322" t="n">
        <x:v>39</x:v>
      </x:c>
      <x:c r="J322" t="n">
        <x:v>272</x:v>
      </x:c>
      <x:c r="K322" t="n">
        <x:v>4</x:v>
      </x:c>
      <x:c r="L322" t="n">
        <x:v>3</x:v>
      </x:c>
      <x:c r="M322" t="n">
        <x:v>4</x:v>
      </x:c>
      <x:c r="N322" t="n">
        <x:v>1</x:v>
      </x:c>
      <x:c r="O322" t="n">
        <x:v>0</x:v>
      </x:c>
      <x:c r="P322" s="50" t="n">
        <x:f>IF(D322=0,"",H322/D322)</x:f>
        <x:v>0.09217877094972067</x:v>
      </x:c>
      <x:c r="Q322" t="n">
        <x:f>MAX(I322:O322)</x:f>
        <x:v>272</x:v>
      </x:c>
      <x:c r="R322" t="n">
        <x:f>H322-Q322</x:f>
        <x:v>-239</x:v>
      </x:c>
      <x:c r="S322" s="52" t="n">
        <x:f>IF(D322=0,"",(R322)/D322)</x:f>
        <x:v>-0.6675977653631285</x:v>
      </x:c>
      <x:c r="T322" t="str">
        <x:v>Vedram Bhati</x:v>
      </x:c>
      <x:c r="U322" t="n">
        <x:f>D322-E322-F322</x:f>
        <x:v>0</x:v>
      </x:c>
    </x:row>
    <x:row r="323">
      <x:c r="A323" t="n">
        <x:v>315</x:v>
      </x:c>
      <x:c r="B323" t="str">
        <x:v>PRY. SCHOOL MEVLA GOPALGARH R.NO. 1</x:v>
      </x:c>
      <x:c r="C323" t="n">
        <x:v>954</x:v>
      </x:c>
      <x:c r="D323" t="n">
        <x:v>584</x:v>
      </x:c>
      <x:c r="E323" t="n">
        <x:f>SUM(H323:O323)</x:f>
        <x:v>582</x:v>
      </x:c>
      <x:c r="F323" t="n">
        <x:v>2</x:v>
      </x:c>
      <x:c r="G323" s="50" t="n">
        <x:f>IF(C323="","",IFERROR(D323/C323,0))</x:f>
        <x:v>0.6121593291404612</x:v>
      </x:c>
      <x:c r="H323" s="36" t="n">
        <x:v>10</x:v>
      </x:c>
      <x:c r="I323" t="n">
        <x:v>354</x:v>
      </x:c>
      <x:c r="J323" t="n">
        <x:v>200</x:v>
      </x:c>
      <x:c r="K323" t="n">
        <x:v>10</x:v>
      </x:c>
      <x:c r="L323" t="n">
        <x:v>2</x:v>
      </x:c>
      <x:c r="M323" t="n">
        <x:v>0</x:v>
      </x:c>
      <x:c r="N323" t="n">
        <x:v>3</x:v>
      </x:c>
      <x:c r="O323" t="n">
        <x:v>3</x:v>
      </x:c>
      <x:c r="P323" s="50" t="n">
        <x:f>IF(D323=0,"",H323/D323)</x:f>
        <x:v>0.017123287671232876</x:v>
      </x:c>
      <x:c r="Q323" t="n">
        <x:f>MAX(I323:O323)</x:f>
        <x:v>354</x:v>
      </x:c>
      <x:c r="R323" t="n">
        <x:f>H323-Q323</x:f>
        <x:v>-344</x:v>
      </x:c>
      <x:c r="S323" s="52" t="n">
        <x:f>IF(D323=0,"",(R323)/D323)</x:f>
        <x:v>-0.589041095890411</x:v>
      </x:c>
      <x:c r="T323" t="str">
        <x:v>Dhirendra Singh</x:v>
      </x:c>
      <x:c r="U323" t="n">
        <x:f>D323-E323-F323</x:f>
        <x:v>0</x:v>
      </x:c>
    </x:row>
    <x:row r="324">
      <x:c r="A324" t="n">
        <x:v>316</x:v>
      </x:c>
      <x:c r="B324" t="str">
        <x:v>PRY. SCHOOL MEVLA GOPALGARH R.NO. 2</x:v>
      </x:c>
      <x:c r="C324" t="n">
        <x:v>1043</x:v>
      </x:c>
      <x:c r="D324" t="n">
        <x:v>653</x:v>
      </x:c>
      <x:c r="E324" t="n">
        <x:f>SUM(H324:O324)</x:f>
        <x:v>651</x:v>
      </x:c>
      <x:c r="F324" t="n">
        <x:v>2</x:v>
      </x:c>
      <x:c r="G324" s="50" t="n">
        <x:f>IF(C324="","",IFERROR(D324/C324,0))</x:f>
        <x:v>0.62607861936721</x:v>
      </x:c>
      <x:c r="H324" s="36" t="n">
        <x:v>34</x:v>
      </x:c>
      <x:c r="I324" t="n">
        <x:v>483</x:v>
      </x:c>
      <x:c r="J324" t="n">
        <x:v>97</x:v>
      </x:c>
      <x:c r="K324" t="n">
        <x:v>31</x:v>
      </x:c>
      <x:c r="L324" t="n">
        <x:v>0</x:v>
      </x:c>
      <x:c r="M324" t="n">
        <x:v>1</x:v>
      </x:c>
      <x:c r="N324" t="n">
        <x:v>3</x:v>
      </x:c>
      <x:c r="O324" t="n">
        <x:v>2</x:v>
      </x:c>
      <x:c r="P324" s="50" t="n">
        <x:f>IF(D324=0,"",H324/D324)</x:f>
        <x:v>0.05206738131699847</x:v>
      </x:c>
      <x:c r="Q324" t="n">
        <x:f>MAX(I324:O324)</x:f>
        <x:v>483</x:v>
      </x:c>
      <x:c r="R324" t="n">
        <x:f>H324-Q324</x:f>
        <x:v>-449</x:v>
      </x:c>
      <x:c r="S324" s="52" t="n">
        <x:f>IF(D324=0,"",(R324)/D324)</x:f>
        <x:v>-0.6875957120980092</x:v>
      </x:c>
      <x:c r="T324" t="str">
        <x:v>Dhirendra Singh</x:v>
      </x:c>
      <x:c r="U324" t="n">
        <x:f>D324-E324-F324</x:f>
        <x:v>0</x:v>
      </x:c>
    </x:row>
    <x:row r="325">
      <x:c r="A325" t="n">
        <x:v>317</x:v>
      </x:c>
      <x:c r="B325" t="str">
        <x:v>PRY. SCHOOL ALIYABAD URF MENHADIPUR R.NO. 1</x:v>
      </x:c>
      <x:c r="C325" t="n">
        <x:v>816</x:v>
      </x:c>
      <x:c r="D325" t="n">
        <x:v>601</x:v>
      </x:c>
      <x:c r="E325" t="n">
        <x:f>SUM(H325:O325)</x:f>
        <x:v>600</x:v>
      </x:c>
      <x:c r="F325" t="n">
        <x:v>1</x:v>
      </x:c>
      <x:c r="G325" s="50" t="n">
        <x:f>IF(C325="","",IFERROR(D325/C325,0))</x:f>
        <x:v>0.7365196078431373</x:v>
      </x:c>
      <x:c r="H325" s="36" t="n">
        <x:v>165</x:v>
      </x:c>
      <x:c r="I325" t="n">
        <x:v>103</x:v>
      </x:c>
      <x:c r="J325" t="n">
        <x:v>288</x:v>
      </x:c>
      <x:c r="K325" t="n">
        <x:v>35</x:v>
      </x:c>
      <x:c r="L325" t="n">
        <x:v>4</x:v>
      </x:c>
      <x:c r="M325" t="n">
        <x:v>2</x:v>
      </x:c>
      <x:c r="N325" t="n">
        <x:v>2</x:v>
      </x:c>
      <x:c r="O325" t="n">
        <x:v>1</x:v>
      </x:c>
      <x:c r="P325" s="50" t="n">
        <x:f>IF(D325=0,"",H325/D325)</x:f>
        <x:v>0.27454242928452577</x:v>
      </x:c>
      <x:c r="Q325" t="n">
        <x:f>MAX(I325:O325)</x:f>
        <x:v>288</x:v>
      </x:c>
      <x:c r="R325" t="n">
        <x:f>H325-Q325</x:f>
        <x:v>-123</x:v>
      </x:c>
      <x:c r="S325" s="52" t="n">
        <x:f>IF(D325=0,"",(R325)/D325)</x:f>
        <x:v>-0.20465890183028287</x:v>
      </x:c>
      <x:c r="T325" t="str">
        <x:v>Vedram Bhati</x:v>
      </x:c>
      <x:c r="U325" t="n">
        <x:f>D325-E325-F325</x:f>
        <x:v>0</x:v>
      </x:c>
    </x:row>
    <x:row r="326">
      <x:c r="A326" t="n">
        <x:v>318</x:v>
      </x:c>
      <x:c r="B326" t="str">
        <x:v>PRY. SCHOOL MANGRAULI R.NO. 1</x:v>
      </x:c>
      <x:c r="C326" t="n">
        <x:v>1227</x:v>
      </x:c>
      <x:c r="D326" t="n">
        <x:v>609</x:v>
      </x:c>
      <x:c r="E326" t="n">
        <x:f>SUM(H326:O326)</x:f>
        <x:v>609</x:v>
      </x:c>
      <x:c r="F326" t="n">
        <x:v>0</x:v>
      </x:c>
      <x:c r="G326" s="50" t="n">
        <x:f>IF(C326="","",IFERROR(D326/C326,0))</x:f>
        <x:v>0.4963325183374083</x:v>
      </x:c>
      <x:c r="H326" s="36" t="n">
        <x:v>41</x:v>
      </x:c>
      <x:c r="I326" t="n">
        <x:v>415</x:v>
      </x:c>
      <x:c r="J326" t="n">
        <x:v>37</x:v>
      </x:c>
      <x:c r="K326" t="n">
        <x:v>91</x:v>
      </x:c>
      <x:c r="L326" t="n">
        <x:v>3</x:v>
      </x:c>
      <x:c r="M326" t="n">
        <x:v>19</x:v>
      </x:c>
      <x:c r="N326" t="n">
        <x:v>2</x:v>
      </x:c>
      <x:c r="O326" t="n">
        <x:v>1</x:v>
      </x:c>
      <x:c r="P326" s="50" t="n">
        <x:f>IF(D326=0,"",H326/D326)</x:f>
        <x:v>0.06732348111658457</x:v>
      </x:c>
      <x:c r="Q326" t="n">
        <x:f>MAX(I326:O326)</x:f>
        <x:v>415</x:v>
      </x:c>
      <x:c r="R326" t="n">
        <x:f>H326-Q326</x:f>
        <x:v>-374</x:v>
      </x:c>
      <x:c r="S326" s="52" t="n">
        <x:f>IF(D326=0,"",(R326)/D326)</x:f>
        <x:v>-0.6141215106732348</x:v>
      </x:c>
      <x:c r="T326" t="str">
        <x:v>Dhirendra Singh</x:v>
      </x:c>
      <x:c r="U326" t="n">
        <x:f>D326-E326-F326</x:f>
        <x:v>0</x:v>
      </x:c>
    </x:row>
    <x:row r="327">
      <x:c r="A327" t="n">
        <x:v>319</x:v>
      </x:c>
      <x:c r="B327" t="str">
        <x:v>PRY. SCHOOL MANGRAULI R.NO. 2</x:v>
      </x:c>
      <x:c r="C327" t="n">
        <x:v>626</x:v>
      </x:c>
      <x:c r="D327" t="n">
        <x:v>382</x:v>
      </x:c>
      <x:c r="E327" t="n">
        <x:f>SUM(H327:O327)</x:f>
        <x:v>381</x:v>
      </x:c>
      <x:c r="F327" t="n">
        <x:v>1</x:v>
      </x:c>
      <x:c r="G327" s="50" t="n">
        <x:f>IF(C327="","",IFERROR(D327/C327,0))</x:f>
        <x:v>0.610223642172524</x:v>
      </x:c>
      <x:c r="H327" s="36" t="n">
        <x:v>2</x:v>
      </x:c>
      <x:c r="I327" t="n">
        <x:v>6</x:v>
      </x:c>
      <x:c r="J327" t="n">
        <x:v>366</x:v>
      </x:c>
      <x:c r="K327" t="n">
        <x:v>3</x:v>
      </x:c>
      <x:c r="L327" t="n">
        <x:v>2</x:v>
      </x:c>
      <x:c r="M327" t="n">
        <x:v>2</x:v>
      </x:c>
      <x:c r="N327" t="n">
        <x:v>0</x:v>
      </x:c>
      <x:c r="O327" t="n">
        <x:v>0</x:v>
      </x:c>
      <x:c r="P327" s="50" t="n">
        <x:f>IF(D327=0,"",H327/D327)</x:f>
        <x:v>0.005235602094240838</x:v>
      </x:c>
      <x:c r="Q327" t="n">
        <x:f>MAX(I327:O327)</x:f>
        <x:v>366</x:v>
      </x:c>
      <x:c r="R327" t="n">
        <x:f>H327-Q327</x:f>
        <x:v>-364</x:v>
      </x:c>
      <x:c r="S327" s="52" t="n">
        <x:f>IF(D327=0,"",(R327)/D327)</x:f>
        <x:v>-0.9528795811518325</x:v>
      </x:c>
      <x:c r="T327" t="str">
        <x:v>Vedram Bhati</x:v>
      </x:c>
      <x:c r="U327" t="n">
        <x:f>D327-E327-F327</x:f>
        <x:v>0</x:v>
      </x:c>
    </x:row>
    <x:row r="328">
      <x:c r="A328" t="n">
        <x:v>320</x:v>
      </x:c>
      <x:c r="B328" t="str">
        <x:v>PRY. SCHOOL ALAWALPUR R.NO. 1</x:v>
      </x:c>
      <x:c r="C328" t="n">
        <x:v>597</x:v>
      </x:c>
      <x:c r="D328" t="n">
        <x:v>397</x:v>
      </x:c>
      <x:c r="E328" t="n">
        <x:f>SUM(H328:O328)</x:f>
        <x:v>397</x:v>
      </x:c>
      <x:c r="F328" t="n">
        <x:v>0</x:v>
      </x:c>
      <x:c r="G328" s="50" t="n">
        <x:f>IF(C328="","",IFERROR(D328/C328,0))</x:f>
        <x:v>0.6649916247906198</x:v>
      </x:c>
      <x:c r="H328" s="36" t="n">
        <x:v>3</x:v>
      </x:c>
      <x:c r="I328" t="n">
        <x:v>349</x:v>
      </x:c>
      <x:c r="J328" t="n">
        <x:v>36</x:v>
      </x:c>
      <x:c r="K328" t="n">
        <x:v>7</x:v>
      </x:c>
      <x:c r="L328" t="n">
        <x:v>0</x:v>
      </x:c>
      <x:c r="M328" t="n">
        <x:v>0</x:v>
      </x:c>
      <x:c r="N328" t="n">
        <x:v>2</x:v>
      </x:c>
      <x:c r="O328" t="n">
        <x:v>0</x:v>
      </x:c>
      <x:c r="P328" s="50" t="n">
        <x:f>IF(D328=0,"",H328/D328)</x:f>
        <x:v>0.007556675062972292</x:v>
      </x:c>
      <x:c r="Q328" t="n">
        <x:f>MAX(I328:O328)</x:f>
        <x:v>349</x:v>
      </x:c>
      <x:c r="R328" t="n">
        <x:f>H328-Q328</x:f>
        <x:v>-346</x:v>
      </x:c>
      <x:c r="S328" s="52" t="n">
        <x:f>IF(D328=0,"",(R328)/D328)</x:f>
        <x:v>-0.871536523929471</x:v>
      </x:c>
      <x:c r="T328" t="str">
        <x:v>Dhirendra Singh</x:v>
      </x:c>
      <x:c r="U328" t="n">
        <x:f>D328-E328-F328</x:f>
        <x:v>0</x:v>
      </x:c>
    </x:row>
    <x:row r="329">
      <x:c r="A329" t="n">
        <x:v>321</x:v>
      </x:c>
      <x:c r="B329" t="str">
        <x:v>PRY. SCHOOL AHMADPUR CHAURAULI R.NO. 1</x:v>
      </x:c>
      <x:c r="C329" t="n">
        <x:v>834</x:v>
      </x:c>
      <x:c r="D329" t="n">
        <x:v>526</x:v>
      </x:c>
      <x:c r="E329" t="n">
        <x:f>SUM(H329:O329)</x:f>
        <x:v>524</x:v>
      </x:c>
      <x:c r="F329" t="n">
        <x:v>2</x:v>
      </x:c>
      <x:c r="G329" s="50" t="n">
        <x:f>IF(C329="","",IFERROR(D329/C329,0))</x:f>
        <x:v>0.6306954436450839</x:v>
      </x:c>
      <x:c r="H329" s="36" t="n">
        <x:v>18</x:v>
      </x:c>
      <x:c r="I329" t="n">
        <x:v>180</x:v>
      </x:c>
      <x:c r="J329" t="n">
        <x:v>229</x:v>
      </x:c>
      <x:c r="K329" t="n">
        <x:v>81</x:v>
      </x:c>
      <x:c r="L329" t="n">
        <x:v>7</x:v>
      </x:c>
      <x:c r="M329" t="n">
        <x:v>3</x:v>
      </x:c>
      <x:c r="N329" t="n">
        <x:v>5</x:v>
      </x:c>
      <x:c r="O329" t="n">
        <x:v>1</x:v>
      </x:c>
      <x:c r="P329" s="50" t="n">
        <x:f>IF(D329=0,"",H329/D329)</x:f>
        <x:v>0.034220532319391636</x:v>
      </x:c>
      <x:c r="Q329" t="n">
        <x:f>MAX(I329:O329)</x:f>
        <x:v>229</x:v>
      </x:c>
      <x:c r="R329" t="n">
        <x:f>H329-Q329</x:f>
        <x:v>-211</x:v>
      </x:c>
      <x:c r="S329" s="52" t="n">
        <x:f>IF(D329=0,"",(R329)/D329)</x:f>
        <x:v>-0.4011406844106464</x:v>
      </x:c>
      <x:c r="T329" t="str">
        <x:v>Vedram Bhati</x:v>
      </x:c>
      <x:c r="U329" t="n">
        <x:f>D329-E329-F329</x:f>
        <x:v>0</x:v>
      </x:c>
    </x:row>
    <x:row r="330">
      <x:c r="A330" t="n">
        <x:v>322</x:v>
      </x:c>
      <x:c r="B330" t="str">
        <x:v>PRY. SCHOOL AHMADPUR CHAURAULI R.NO. 2</x:v>
      </x:c>
      <x:c r="C330" t="n">
        <x:v>764</x:v>
      </x:c>
      <x:c r="D330" t="n">
        <x:v>448</x:v>
      </x:c>
      <x:c r="E330" t="n">
        <x:f>SUM(H330:O330)</x:f>
        <x:v>447</x:v>
      </x:c>
      <x:c r="F330" t="n">
        <x:v>1</x:v>
      </x:c>
      <x:c r="G330" s="50" t="n">
        <x:f>IF(C330="","",IFERROR(D330/C330,0))</x:f>
        <x:v>0.5863874345549738</x:v>
      </x:c>
      <x:c r="H330" s="36" t="n">
        <x:v>14</x:v>
      </x:c>
      <x:c r="I330" t="n">
        <x:v>253</x:v>
      </x:c>
      <x:c r="J330" t="n">
        <x:v>47</x:v>
      </x:c>
      <x:c r="K330" t="n">
        <x:v>133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s="50" t="n">
        <x:f>IF(D330=0,"",H330/D330)</x:f>
        <x:v>0.03125</x:v>
      </x:c>
      <x:c r="Q330" t="n">
        <x:f>MAX(I330:O330)</x:f>
        <x:v>253</x:v>
      </x:c>
      <x:c r="R330" t="n">
        <x:f>H330-Q330</x:f>
        <x:v>-239</x:v>
      </x:c>
      <x:c r="S330" s="52" t="n">
        <x:f>IF(D330=0,"",(R330)/D330)</x:f>
        <x:v>-0.5334821428571429</x:v>
      </x:c>
      <x:c r="T330" t="str">
        <x:v>Dhirendra Singh</x:v>
      </x:c>
      <x:c r="U330" t="n">
        <x:f>D330-E330-F330</x:f>
        <x:v>0</x:v>
      </x:c>
    </x:row>
    <x:row r="331">
      <x:c r="A331" t="n">
        <x:v>323</x:v>
      </x:c>
      <x:c r="B331" t="str">
        <x:v>PRY. SCHOOL AHMADPUR CHAURAULI R.NO. 3</x:v>
      </x:c>
      <x:c r="C331" t="n">
        <x:v>1364</x:v>
      </x:c>
      <x:c r="D331" t="n">
        <x:v>777</x:v>
      </x:c>
      <x:c r="E331" t="n">
        <x:f>SUM(H331:O331)</x:f>
        <x:v>776</x:v>
      </x:c>
      <x:c r="F331" t="n">
        <x:v>1</x:v>
      </x:c>
      <x:c r="G331" s="50" t="n">
        <x:f>IF(C331="","",IFERROR(D331/C331,0))</x:f>
        <x:v>0.5696480938416423</x:v>
      </x:c>
      <x:c r="H331" s="36" t="n">
        <x:v>10</x:v>
      </x:c>
      <x:c r="I331" t="n">
        <x:v>354</x:v>
      </x:c>
      <x:c r="J331" t="n">
        <x:v>94</x:v>
      </x:c>
      <x:c r="K331" t="n">
        <x:v>311</x:v>
      </x:c>
      <x:c r="L331" t="n">
        <x:v>2</x:v>
      </x:c>
      <x:c r="M331" t="n">
        <x:v>0</x:v>
      </x:c>
      <x:c r="N331" t="n">
        <x:v>2</x:v>
      </x:c>
      <x:c r="O331" t="n">
        <x:v>3</x:v>
      </x:c>
      <x:c r="P331" s="50" t="n">
        <x:f>IF(D331=0,"",H331/D331)</x:f>
        <x:v>0.01287001287001287</x:v>
      </x:c>
      <x:c r="Q331" t="n">
        <x:f>MAX(I331:O331)</x:f>
        <x:v>354</x:v>
      </x:c>
      <x:c r="R331" t="n">
        <x:f>H331-Q331</x:f>
        <x:v>-344</x:v>
      </x:c>
      <x:c r="S331" s="52" t="n">
        <x:f>IF(D331=0,"",(R331)/D331)</x:f>
        <x:v>-0.44272844272844275</x:v>
      </x:c>
      <x:c r="T331" t="str">
        <x:v>Dhirendra Singh</x:v>
      </x:c>
      <x:c r="U331" t="n">
        <x:f>D331-E331-F331</x:f>
        <x:v>0</x:v>
      </x:c>
    </x:row>
    <x:row r="332">
      <x:c r="A332" t="n">
        <x:v>324</x:v>
      </x:c>
      <x:c r="B332" t="str">
        <x:v>J.H. SCHOOL AHMADPUR CHAURAULI R.NO. 1</x:v>
      </x:c>
      <x:c r="C332" t="n">
        <x:v>963</x:v>
      </x:c>
      <x:c r="D332" t="n">
        <x:v>529</x:v>
      </x:c>
      <x:c r="E332" t="n">
        <x:f>SUM(H332:O332)</x:f>
        <x:v>528</x:v>
      </x:c>
      <x:c r="F332" t="n">
        <x:v>1</x:v>
      </x:c>
      <x:c r="G332" s="50" t="n">
        <x:f>IF(C332="","",IFERROR(D332/C332,0))</x:f>
        <x:v>0.54932502596054</x:v>
      </x:c>
      <x:c r="H332" s="36" t="n">
        <x:v>3</x:v>
      </x:c>
      <x:c r="I332" t="n">
        <x:v>302</x:v>
      </x:c>
      <x:c r="J332" t="n">
        <x:v>116</x:v>
      </x:c>
      <x:c r="K332" t="n">
        <x:v>100</x:v>
      </x:c>
      <x:c r="L332" t="n">
        <x:v>2</x:v>
      </x:c>
      <x:c r="M332" t="n">
        <x:v>2</x:v>
      </x:c>
      <x:c r="N332" t="n">
        <x:v>2</x:v>
      </x:c>
      <x:c r="O332" t="n">
        <x:v>1</x:v>
      </x:c>
      <x:c r="P332" s="50" t="n">
        <x:f>IF(D332=0,"",H332/D332)</x:f>
        <x:v>0.005671077504725898</x:v>
      </x:c>
      <x:c r="Q332" t="n">
        <x:f>MAX(I332:O332)</x:f>
        <x:v>302</x:v>
      </x:c>
      <x:c r="R332" t="n">
        <x:f>H332-Q332</x:f>
        <x:v>-299</x:v>
      </x:c>
      <x:c r="S332" s="52" t="n">
        <x:f>IF(D332=0,"",(R332)/D332)</x:f>
        <x:v>-0.5652173913043478</x:v>
      </x:c>
      <x:c r="T332" t="str">
        <x:v>Dhirendra Singh</x:v>
      </x:c>
      <x:c r="U332" t="n">
        <x:f>D332-E332-F332</x:f>
        <x:v>0</x:v>
      </x:c>
    </x:row>
    <x:row r="333">
      <x:c r="A333" t="n">
        <x:v>325</x:v>
      </x:c>
      <x:c r="B333" t="str">
        <x:v>J.H. SCHOOL AHMADPUR CHAURAULI R.NO. 2</x:v>
      </x:c>
      <x:c r="C333" t="n">
        <x:v>805</x:v>
      </x:c>
      <x:c r="D333" t="n">
        <x:v>448</x:v>
      </x:c>
      <x:c r="E333" t="n">
        <x:f>SUM(H333:O333)</x:f>
        <x:v>448</x:v>
      </x:c>
      <x:c r="F333" t="n">
        <x:v>0</x:v>
      </x:c>
      <x:c r="G333" s="50" t="n">
        <x:f>IF(C333="","",IFERROR(D333/C333,0))</x:f>
        <x:v>0.5565217391304348</x:v>
      </x:c>
      <x:c r="H333" s="36" t="n">
        <x:v>14</x:v>
      </x:c>
      <x:c r="I333" t="n">
        <x:v>194</x:v>
      </x:c>
      <x:c r="J333" t="n">
        <x:v>195</x:v>
      </x:c>
      <x:c r="K333" t="n">
        <x:v>42</x:v>
      </x:c>
      <x:c r="L333" t="n">
        <x:v>0</x:v>
      </x:c>
      <x:c r="M333" t="n">
        <x:v>2</x:v>
      </x:c>
      <x:c r="N333" t="n">
        <x:v>1</x:v>
      </x:c>
      <x:c r="O333" t="n">
        <x:v>0</x:v>
      </x:c>
      <x:c r="P333" s="50" t="n">
        <x:f>IF(D333=0,"",H333/D333)</x:f>
        <x:v>0.03125</x:v>
      </x:c>
      <x:c r="Q333" t="n">
        <x:f>MAX(I333:O333)</x:f>
        <x:v>195</x:v>
      </x:c>
      <x:c r="R333" t="n">
        <x:f>H333-Q333</x:f>
        <x:v>-181</x:v>
      </x:c>
      <x:c r="S333" s="52" t="n">
        <x:f>IF(D333=0,"",(R333)/D333)</x:f>
        <x:v>-0.40401785714285715</x:v>
      </x:c>
      <x:c r="T333" t="str">
        <x:v>Vedram Bhati</x:v>
      </x:c>
      <x:c r="U333" t="n">
        <x:f>D333-E333-F333</x:f>
        <x:v>0</x:v>
      </x:c>
    </x:row>
    <x:row r="334">
      <x:c r="A334" t="n">
        <x:v>326</x:v>
      </x:c>
      <x:c r="B334" t="str">
        <x:v>PRY. SCHOOL BHAVOKRA R.NO. 1</x:v>
      </x:c>
      <x:c r="C334" t="n">
        <x:v>1195</x:v>
      </x:c>
      <x:c r="D334" t="n">
        <x:v>845</x:v>
      </x:c>
      <x:c r="E334" t="n">
        <x:f>SUM(H334:O334)</x:f>
        <x:v>841</x:v>
      </x:c>
      <x:c r="F334" t="n">
        <x:v>4</x:v>
      </x:c>
      <x:c r="G334" s="50" t="n">
        <x:f>IF(C334="","",IFERROR(D334/C334,0))</x:f>
        <x:v>0.7071129707112971</x:v>
      </x:c>
      <x:c r="H334" s="36" t="n">
        <x:v>98</x:v>
      </x:c>
      <x:c r="I334" t="n">
        <x:v>375</x:v>
      </x:c>
      <x:c r="J334" t="n">
        <x:v>134</x:v>
      </x:c>
      <x:c r="K334" t="n">
        <x:v>223</x:v>
      </x:c>
      <x:c r="L334" t="n">
        <x:v>5</x:v>
      </x:c>
      <x:c r="M334" t="n">
        <x:v>0</x:v>
      </x:c>
      <x:c r="N334" t="n">
        <x:v>2</x:v>
      </x:c>
      <x:c r="O334" t="n">
        <x:v>4</x:v>
      </x:c>
      <x:c r="P334" s="50" t="n">
        <x:f>IF(D334=0,"",H334/D334)</x:f>
        <x:v>0.11597633136094675</x:v>
      </x:c>
      <x:c r="Q334" t="n">
        <x:f>MAX(I334:O334)</x:f>
        <x:v>375</x:v>
      </x:c>
      <x:c r="R334" t="n">
        <x:f>H334-Q334</x:f>
        <x:v>-277</x:v>
      </x:c>
      <x:c r="S334" s="52" t="n">
        <x:f>IF(D334=0,"",(R334)/D334)</x:f>
        <x:v>-0.32781065088757394</x:v>
      </x:c>
      <x:c r="T334" t="str">
        <x:v>Dhirendra Singh</x:v>
      </x:c>
      <x:c r="U334" t="n">
        <x:f>D334-E334-F334</x:f>
        <x:v>0</x:v>
      </x:c>
    </x:row>
    <x:row r="335">
      <x:c r="A335" t="n">
        <x:v>327</x:v>
      </x:c>
      <x:c r="B335" t="str">
        <x:v>PRY. SCHOOL DYORAR R.NO. 1</x:v>
      </x:c>
      <x:c r="C335" t="n">
        <x:v>929</x:v>
      </x:c>
      <x:c r="D335" t="n">
        <x:v>692</x:v>
      </x:c>
      <x:c r="E335" t="n">
        <x:f>SUM(H335:O335)</x:f>
        <x:v>689</x:v>
      </x:c>
      <x:c r="F335" t="n">
        <x:v>3</x:v>
      </x:c>
      <x:c r="G335" s="50" t="n">
        <x:f>IF(C335="","",IFERROR(D335/C335,0))</x:f>
        <x:v>0.7448869752421959</x:v>
      </x:c>
      <x:c r="H335" s="36" t="n">
        <x:v>11</x:v>
      </x:c>
      <x:c r="I335" t="n">
        <x:v>453</x:v>
      </x:c>
      <x:c r="J335" t="n">
        <x:v>150</x:v>
      </x:c>
      <x:c r="K335" t="n">
        <x:v>64</x:v>
      </x:c>
      <x:c r="L335" t="n">
        <x:v>1</x:v>
      </x:c>
      <x:c r="M335" t="n">
        <x:v>3</x:v>
      </x:c>
      <x:c r="N335" t="n">
        <x:v>3</x:v>
      </x:c>
      <x:c r="O335" t="n">
        <x:v>4</x:v>
      </x:c>
      <x:c r="P335" s="50" t="n">
        <x:f>IF(D335=0,"",H335/D335)</x:f>
        <x:v>0.015895953757225433</x:v>
      </x:c>
      <x:c r="Q335" t="n">
        <x:f>MAX(I335:O335)</x:f>
        <x:v>453</x:v>
      </x:c>
      <x:c r="R335" t="n">
        <x:f>H335-Q335</x:f>
        <x:v>-442</x:v>
      </x:c>
      <x:c r="S335" s="52" t="n">
        <x:f>IF(D335=0,"",(R335)/D335)</x:f>
        <x:v>-0.638728323699422</x:v>
      </x:c>
      <x:c r="T335" t="str">
        <x:v>Dhirendra Singh</x:v>
      </x:c>
      <x:c r="U335" t="n">
        <x:f>D335-E335-F335</x:f>
        <x:v>0</x:v>
      </x:c>
    </x:row>
    <x:row r="336">
      <x:c r="A336" t="n">
        <x:v>328</x:v>
      </x:c>
      <x:c r="B336" t="str">
        <x:v>J.H. SCHOOL CHANCHALI R.NO. 1</x:v>
      </x:c>
      <x:c r="C336" t="n">
        <x:v>1139</x:v>
      </x:c>
      <x:c r="D336" t="n">
        <x:v>784</x:v>
      </x:c>
      <x:c r="E336" t="n">
        <x:f>SUM(H336:O336)</x:f>
        <x:v>783</x:v>
      </x:c>
      <x:c r="F336" t="n">
        <x:v>1</x:v>
      </x:c>
      <x:c r="G336" s="50" t="n">
        <x:f>IF(C336="","",IFERROR(D336/C336,0))</x:f>
        <x:v>0.6883230904302019</x:v>
      </x:c>
      <x:c r="H336" s="36" t="n">
        <x:v>13</x:v>
      </x:c>
      <x:c r="I336" t="n">
        <x:v>643</x:v>
      </x:c>
      <x:c r="J336" t="n">
        <x:v>85</x:v>
      </x:c>
      <x:c r="K336" t="n">
        <x:v>28</x:v>
      </x:c>
      <x:c r="L336" t="n">
        <x:v>0</x:v>
      </x:c>
      <x:c r="M336" t="n">
        <x:v>4</x:v>
      </x:c>
      <x:c r="N336" t="n">
        <x:v>6</x:v>
      </x:c>
      <x:c r="O336" t="n">
        <x:v>4</x:v>
      </x:c>
      <x:c r="P336" s="50" t="n">
        <x:f>IF(D336=0,"",H336/D336)</x:f>
        <x:v>0.016581632653061226</x:v>
      </x:c>
      <x:c r="Q336" t="n">
        <x:f>MAX(I336:O336)</x:f>
        <x:v>643</x:v>
      </x:c>
      <x:c r="R336" t="n">
        <x:f>H336-Q336</x:f>
        <x:v>-630</x:v>
      </x:c>
      <x:c r="S336" s="52" t="n">
        <x:f>IF(D336=0,"",(R336)/D336)</x:f>
        <x:v>-0.8035714285714286</x:v>
      </x:c>
      <x:c r="T336" t="str">
        <x:v>Dhirendra Singh</x:v>
      </x:c>
      <x:c r="U336" t="n">
        <x:f>D336-E336-F336</x:f>
        <x:v>0</x:v>
      </x:c>
    </x:row>
    <x:row r="337">
      <x:c r="A337" t="n">
        <x:v>329</x:v>
      </x:c>
      <x:c r="B337" t="str">
        <x:v>J.H. SCHOOL CHANCHALI R.NO. 2</x:v>
      </x:c>
      <x:c r="C337" t="n">
        <x:v>491</x:v>
      </x:c>
      <x:c r="D337" t="n">
        <x:v>344</x:v>
      </x:c>
      <x:c r="E337" t="n">
        <x:f>SUM(H337:O337)</x:f>
        <x:v>341</x:v>
      </x:c>
      <x:c r="F337" t="n">
        <x:v>3</x:v>
      </x:c>
      <x:c r="G337" s="50" t="n">
        <x:f>IF(C337="","",IFERROR(D337/C337,0))</x:f>
        <x:v>0.7006109979633401</x:v>
      </x:c>
      <x:c r="H337" s="36" t="n">
        <x:v>3</x:v>
      </x:c>
      <x:c r="I337" t="n">
        <x:v>41</x:v>
      </x:c>
      <x:c r="J337" t="n">
        <x:v>283</x:v>
      </x:c>
      <x:c r="K337" t="n">
        <x:v>4</x:v>
      </x:c>
      <x:c r="L337" t="n">
        <x:v>4</x:v>
      </x:c>
      <x:c r="M337" t="n">
        <x:v>3</x:v>
      </x:c>
      <x:c r="N337" t="n">
        <x:v>2</x:v>
      </x:c>
      <x:c r="O337" t="n">
        <x:v>1</x:v>
      </x:c>
      <x:c r="P337" s="50" t="n">
        <x:f>IF(D337=0,"",H337/D337)</x:f>
        <x:v>0.00872093023255814</x:v>
      </x:c>
      <x:c r="Q337" t="n">
        <x:f>MAX(I337:O337)</x:f>
        <x:v>283</x:v>
      </x:c>
      <x:c r="R337" t="n">
        <x:f>H337-Q337</x:f>
        <x:v>-280</x:v>
      </x:c>
      <x:c r="S337" s="52" t="n">
        <x:f>IF(D337=0,"",(R337)/D337)</x:f>
        <x:v>-0.813953488372093</x:v>
      </x:c>
      <x:c r="T337" t="str">
        <x:v>Vedram Bhati</x:v>
      </x:c>
      <x:c r="U337" t="n">
        <x:f>D337-E337-F337</x:f>
        <x:v>0</x:v>
      </x:c>
    </x:row>
    <x:row r="338">
      <x:c r="A338" t="n">
        <x:v>330</x:v>
      </x:c>
      <x:c r="B338" t="str">
        <x:v>PRY. SCHOOL ORANGABAD URF HIMAYUPUR R.NO. 1</x:v>
      </x:c>
      <x:c r="C338" t="n">
        <x:v>704</x:v>
      </x:c>
      <x:c r="D338" t="n">
        <x:v>405</x:v>
      </x:c>
      <x:c r="E338" t="n">
        <x:f>SUM(H338:O338)</x:f>
        <x:v>403</x:v>
      </x:c>
      <x:c r="F338" t="n">
        <x:v>2</x:v>
      </x:c>
      <x:c r="G338" s="50" t="n">
        <x:f>IF(C338="","",IFERROR(D338/C338,0))</x:f>
        <x:v>0.5752840909090909</x:v>
      </x:c>
      <x:c r="H338" s="36" t="n">
        <x:v>13</x:v>
      </x:c>
      <x:c r="I338" t="n">
        <x:v>151</x:v>
      </x:c>
      <x:c r="J338" t="n">
        <x:v>58</x:v>
      </x:c>
      <x:c r="K338" t="n">
        <x:v>180</x:v>
      </x:c>
      <x:c r="L338" t="n">
        <x:v>0</x:v>
      </x:c>
      <x:c r="M338" t="n">
        <x:v>0</x:v>
      </x:c>
      <x:c r="N338" t="n">
        <x:v>0</x:v>
      </x:c>
      <x:c r="O338" t="n">
        <x:v>1</x:v>
      </x:c>
      <x:c r="P338" s="50" t="n">
        <x:f>IF(D338=0,"",H338/D338)</x:f>
        <x:v>0.03209876543209877</x:v>
      </x:c>
      <x:c r="Q338" t="n">
        <x:f>MAX(I338:O338)</x:f>
        <x:v>180</x:v>
      </x:c>
      <x:c r="R338" t="n">
        <x:f>H338-Q338</x:f>
        <x:v>-167</x:v>
      </x:c>
      <x:c r="S338" s="52" t="n">
        <x:f>IF(D338=0,"",(R338)/D338)</x:f>
        <x:v>-0.4123456790123457</x:v>
      </x:c>
      <x:c r="T338" t="str">
        <x:v>Kamal Sharma</x:v>
      </x:c>
      <x:c r="U338" t="n">
        <x:f>D338-E338-F338</x:f>
        <x:v>0</x:v>
      </x:c>
    </x:row>
    <x:row r="339">
      <x:c r="A339" t="n">
        <x:v>331</x:v>
      </x:c>
      <x:c r="B339" t="str">
        <x:v>INTER COLLEG T.A. JAHANGIRPUR R.NO. 1</x:v>
      </x:c>
      <x:c r="C339" t="n">
        <x:v>780</x:v>
      </x:c>
      <x:c r="D339" t="n">
        <x:v>408</x:v>
      </x:c>
      <x:c r="E339" t="n">
        <x:f>SUM(H339:O339)</x:f>
        <x:v>404</x:v>
      </x:c>
      <x:c r="F339" t="n">
        <x:v>4</x:v>
      </x:c>
      <x:c r="G339" s="50" t="n">
        <x:f>IF(C339="","",IFERROR(D339/C339,0))</x:f>
        <x:v>0.5230769230769231</x:v>
      </x:c>
      <x:c r="H339" s="36" t="n">
        <x:v>74</x:v>
      </x:c>
      <x:c r="I339" t="n">
        <x:v>123</x:v>
      </x:c>
      <x:c r="J339" t="n">
        <x:v>176</x:v>
      </x:c>
      <x:c r="K339" t="n">
        <x:v>21</x:v>
      </x:c>
      <x:c r="L339" t="n">
        <x:v>6</x:v>
      </x:c>
      <x:c r="M339" t="n">
        <x:v>1</x:v>
      </x:c>
      <x:c r="N339" t="n">
        <x:v>2</x:v>
      </x:c>
      <x:c r="O339" t="n">
        <x:v>1</x:v>
      </x:c>
      <x:c r="P339" s="50" t="n">
        <x:f>IF(D339=0,"",H339/D339)</x:f>
        <x:v>0.18137254901960784</x:v>
      </x:c>
      <x:c r="Q339" t="n">
        <x:f>MAX(I339:O339)</x:f>
        <x:v>176</x:v>
      </x:c>
      <x:c r="R339" t="n">
        <x:f>H339-Q339</x:f>
        <x:v>-102</x:v>
      </x:c>
      <x:c r="S339" s="52" t="n">
        <x:f>IF(D339=0,"",(R339)/D339)</x:f>
        <x:v>-0.25</x:v>
      </x:c>
      <x:c r="T339" t="str">
        <x:v>Vedram Bhati</x:v>
      </x:c>
      <x:c r="U339" t="n">
        <x:f>D339-E339-F339</x:f>
        <x:v>0</x:v>
      </x:c>
    </x:row>
    <x:row r="340">
      <x:c r="A340" t="n">
        <x:v>332</x:v>
      </x:c>
      <x:c r="B340" t="str">
        <x:v>INTER COLLEG T.A. JAHANGIRPUR R.NO. 2</x:v>
      </x:c>
      <x:c r="C340" t="n">
        <x:v>838</x:v>
      </x:c>
      <x:c r="D340" t="n">
        <x:v>418</x:v>
      </x:c>
      <x:c r="E340" t="n">
        <x:f>SUM(H340:O340)</x:f>
        <x:v>417</x:v>
      </x:c>
      <x:c r="F340" t="n">
        <x:v>1</x:v>
      </x:c>
      <x:c r="G340" s="50" t="n">
        <x:f>IF(C340="","",IFERROR(D340/C340,0))</x:f>
        <x:v>0.4988066825775656</x:v>
      </x:c>
      <x:c r="H340" s="36" t="n">
        <x:v>62</x:v>
      </x:c>
      <x:c r="I340" t="n">
        <x:v>145</x:v>
      </x:c>
      <x:c r="J340" t="n">
        <x:v>180</x:v>
      </x:c>
      <x:c r="K340" t="n">
        <x:v>19</x:v>
      </x:c>
      <x:c r="L340" t="n">
        <x:v>2</x:v>
      </x:c>
      <x:c r="M340" t="n">
        <x:v>5</x:v>
      </x:c>
      <x:c r="N340" t="n">
        <x:v>3</x:v>
      </x:c>
      <x:c r="O340" t="n">
        <x:v>1</x:v>
      </x:c>
      <x:c r="P340" s="50" t="n">
        <x:f>IF(D340=0,"",H340/D340)</x:f>
        <x:v>0.14832535885167464</x:v>
      </x:c>
      <x:c r="Q340" t="n">
        <x:f>MAX(I340:O340)</x:f>
        <x:v>180</x:v>
      </x:c>
      <x:c r="R340" t="n">
        <x:f>H340-Q340</x:f>
        <x:v>-118</x:v>
      </x:c>
      <x:c r="S340" s="52" t="n">
        <x:f>IF(D340=0,"",(R340)/D340)</x:f>
        <x:v>-0.2822966507177033</x:v>
      </x:c>
      <x:c r="T340" t="str">
        <x:v>Vedram Bhati</x:v>
      </x:c>
      <x:c r="U340" t="n">
        <x:f>D340-E340-F340</x:f>
        <x:v>0</x:v>
      </x:c>
    </x:row>
    <x:row r="341">
      <x:c r="A341" t="n">
        <x:v>333</x:v>
      </x:c>
      <x:c r="B341" t="str">
        <x:v>INTER COLLEG T.A. JAHANGIRPUR R.NO. 3</x:v>
      </x:c>
      <x:c r="C341" t="n">
        <x:v>1389</x:v>
      </x:c>
      <x:c r="D341" t="n">
        <x:v>930</x:v>
      </x:c>
      <x:c r="E341" t="n">
        <x:f>SUM(H341:O341)</x:f>
        <x:v>923</x:v>
      </x:c>
      <x:c r="F341" t="n">
        <x:v>7</x:v>
      </x:c>
      <x:c r="G341" s="50" t="n">
        <x:f>IF(C341="","",IFERROR(D341/C341,0))</x:f>
        <x:v>0.6695464362850972</x:v>
      </x:c>
      <x:c r="H341" s="36" t="n">
        <x:v>39</x:v>
      </x:c>
      <x:c r="I341" t="n">
        <x:v>705</x:v>
      </x:c>
      <x:c r="J341" t="n">
        <x:v>124</x:v>
      </x:c>
      <x:c r="K341" t="n">
        <x:v>34</x:v>
      </x:c>
      <x:c r="L341" t="n">
        <x:v>6</x:v>
      </x:c>
      <x:c r="M341" t="n">
        <x:v>2</x:v>
      </x:c>
      <x:c r="N341" t="n">
        <x:v>9</x:v>
      </x:c>
      <x:c r="O341" t="n">
        <x:v>4</x:v>
      </x:c>
      <x:c r="P341" s="50" t="n">
        <x:f>IF(D341=0,"",H341/D341)</x:f>
        <x:v>0.041935483870967745</x:v>
      </x:c>
      <x:c r="Q341" t="n">
        <x:f>MAX(I341:O341)</x:f>
        <x:v>705</x:v>
      </x:c>
      <x:c r="R341" t="n">
        <x:f>H341-Q341</x:f>
        <x:v>-666</x:v>
      </x:c>
      <x:c r="S341" s="52" t="n">
        <x:f>IF(D341=0,"",(R341)/D341)</x:f>
        <x:v>-0.7161290322580646</x:v>
      </x:c>
      <x:c r="T341" t="str">
        <x:v>Dhirendra Singh</x:v>
      </x:c>
      <x:c r="U341" t="n">
        <x:f>D341-E341-F341</x:f>
        <x:v>0</x:v>
      </x:c>
    </x:row>
    <x:row r="342">
      <x:c r="A342" t="n">
        <x:v>334</x:v>
      </x:c>
      <x:c r="B342" t="str">
        <x:v>INTER COLLEG T.A. JAHANGIRPUR R.NO. 4</x:v>
      </x:c>
      <x:c r="C342" t="n">
        <x:v>832</x:v>
      </x:c>
      <x:c r="D342" t="n">
        <x:v>511</x:v>
      </x:c>
      <x:c r="E342" t="n">
        <x:f>SUM(H342:O342)</x:f>
        <x:v>507</x:v>
      </x:c>
      <x:c r="F342" t="n">
        <x:v>4</x:v>
      </x:c>
      <x:c r="G342" s="50" t="n">
        <x:f>IF(C342="","",IFERROR(D342/C342,0))</x:f>
        <x:v>0.6141826923076923</x:v>
      </x:c>
      <x:c r="H342" s="36" t="n">
        <x:v>15</x:v>
      </x:c>
      <x:c r="I342" t="n">
        <x:v>337</x:v>
      </x:c>
      <x:c r="J342" t="n">
        <x:v>48</x:v>
      </x:c>
      <x:c r="K342" t="n">
        <x:v>99</x:v>
      </x:c>
      <x:c r="L342" t="n">
        <x:v>2</x:v>
      </x:c>
      <x:c r="M342" t="n">
        <x:v>1</x:v>
      </x:c>
      <x:c r="N342" t="n">
        <x:v>3</x:v>
      </x:c>
      <x:c r="O342" t="n">
        <x:v>2</x:v>
      </x:c>
      <x:c r="P342" s="50" t="n">
        <x:f>IF(D342=0,"",H342/D342)</x:f>
        <x:v>0.029354207436399216</x:v>
      </x:c>
      <x:c r="Q342" t="n">
        <x:f>MAX(I342:O342)</x:f>
        <x:v>337</x:v>
      </x:c>
      <x:c r="R342" t="n">
        <x:f>H342-Q342</x:f>
        <x:v>-322</x:v>
      </x:c>
      <x:c r="S342" s="52" t="n">
        <x:f>IF(D342=0,"",(R342)/D342)</x:f>
        <x:v>-0.6301369863013698</x:v>
      </x:c>
      <x:c r="T342" t="str">
        <x:v>Dhirendra Singh</x:v>
      </x:c>
      <x:c r="U342" t="n">
        <x:f>D342-E342-F342</x:f>
        <x:v>0</x:v>
      </x:c>
    </x:row>
    <x:row r="343">
      <x:c r="A343" t="n">
        <x:v>335</x:v>
      </x:c>
      <x:c r="B343" t="str">
        <x:v>KANYA PATH. T.A. JAHANGIRPUR R.NO. 1</x:v>
      </x:c>
      <x:c r="C343" t="n">
        <x:v>1266</x:v>
      </x:c>
      <x:c r="D343" t="n">
        <x:v>908</x:v>
      </x:c>
      <x:c r="E343" t="n">
        <x:f>SUM(H343:O343)</x:f>
        <x:v>906</x:v>
      </x:c>
      <x:c r="F343" t="n">
        <x:v>2</x:v>
      </x:c>
      <x:c r="G343" s="50" t="n">
        <x:f>IF(C343="","",IFERROR(D343/C343,0))</x:f>
        <x:v>0.717219589257504</x:v>
      </x:c>
      <x:c r="H343" s="36" t="n">
        <x:v>202</x:v>
      </x:c>
      <x:c r="I343" t="n">
        <x:v>583</x:v>
      </x:c>
      <x:c r="J343" t="n">
        <x:v>76</x:v>
      </x:c>
      <x:c r="K343" t="n">
        <x:v>41</x:v>
      </x:c>
      <x:c r="L343" t="n">
        <x:v>1</x:v>
      </x:c>
      <x:c r="M343" t="n">
        <x:v>2</x:v>
      </x:c>
      <x:c r="N343" t="n">
        <x:v>0</x:v>
      </x:c>
      <x:c r="O343" t="n">
        <x:v>1</x:v>
      </x:c>
      <x:c r="P343" s="50" t="n">
        <x:f>IF(D343=0,"",H343/D343)</x:f>
        <x:v>0.22246696035242292</x:v>
      </x:c>
      <x:c r="Q343" t="n">
        <x:f>MAX(I343:O343)</x:f>
        <x:v>583</x:v>
      </x:c>
      <x:c r="R343" t="n">
        <x:f>H343-Q343</x:f>
        <x:v>-381</x:v>
      </x:c>
      <x:c r="S343" s="52" t="n">
        <x:f>IF(D343=0,"",(R343)/D343)</x:f>
        <x:v>-0.4196035242290749</x:v>
      </x:c>
      <x:c r="T343" t="str">
        <x:v>Dhirendra Singh</x:v>
      </x:c>
      <x:c r="U343" t="n">
        <x:f>D343-E343-F343</x:f>
        <x:v>0</x:v>
      </x:c>
    </x:row>
    <x:row r="344">
      <x:c r="A344" t="n">
        <x:v>336</x:v>
      </x:c>
      <x:c r="B344" t="str">
        <x:v>PRY. SCHOOL T.A. JAHANGIRPUR R.NO. 1</x:v>
      </x:c>
      <x:c r="C344" t="n">
        <x:v>972</x:v>
      </x:c>
      <x:c r="D344" t="n">
        <x:v>670</x:v>
      </x:c>
      <x:c r="E344" t="n">
        <x:f>SUM(H344:O344)</x:f>
        <x:v>661</x:v>
      </x:c>
      <x:c r="F344" t="n">
        <x:v>9</x:v>
      </x:c>
      <x:c r="G344" s="50" t="n">
        <x:f>IF(C344="","",IFERROR(D344/C344,0))</x:f>
        <x:v>0.6893004115226338</x:v>
      </x:c>
      <x:c r="H344" s="36" t="n">
        <x:v>92</x:v>
      </x:c>
      <x:c r="I344" t="n">
        <x:v>370</x:v>
      </x:c>
      <x:c r="J344" t="n">
        <x:v>153</x:v>
      </x:c>
      <x:c r="K344" t="n">
        <x:v>26</x:v>
      </x:c>
      <x:c r="L344" t="n">
        <x:v>4</x:v>
      </x:c>
      <x:c r="M344" t="n">
        <x:v>2</x:v>
      </x:c>
      <x:c r="N344" t="n">
        <x:v>6</x:v>
      </x:c>
      <x:c r="O344" t="n">
        <x:v>8</x:v>
      </x:c>
      <x:c r="P344" s="50" t="n">
        <x:f>IF(D344=0,"",H344/D344)</x:f>
        <x:v>0.1373134328358209</x:v>
      </x:c>
      <x:c r="Q344" t="n">
        <x:f>MAX(I344:O344)</x:f>
        <x:v>370</x:v>
      </x:c>
      <x:c r="R344" t="n">
        <x:f>H344-Q344</x:f>
        <x:v>-278</x:v>
      </x:c>
      <x:c r="S344" s="52" t="n">
        <x:f>IF(D344=0,"",(R344)/D344)</x:f>
        <x:v>-0.41492537313432837</x:v>
      </x:c>
      <x:c r="T344" t="str">
        <x:v>Dhirendra Singh</x:v>
      </x:c>
      <x:c r="U344" t="n">
        <x:f>D344-E344-F344</x:f>
        <x:v>0</x:v>
      </x:c>
    </x:row>
    <x:row r="345">
      <x:c r="A345" t="n">
        <x:v>337</x:v>
      </x:c>
      <x:c r="B345" t="str">
        <x:v>PRY. SCHOOL T.A. JAHANGIRPUR R.NO. 2</x:v>
      </x:c>
      <x:c r="C345" t="n">
        <x:v>612</x:v>
      </x:c>
      <x:c r="D345" t="n">
        <x:v>359</x:v>
      </x:c>
      <x:c r="E345" t="n">
        <x:f>SUM(H345:O345)</x:f>
        <x:v>358</x:v>
      </x:c>
      <x:c r="F345" t="n">
        <x:v>1</x:v>
      </x:c>
      <x:c r="G345" s="50" t="n">
        <x:f>IF(C345="","",IFERROR(D345/C345,0))</x:f>
        <x:v>0.5866013071895425</x:v>
      </x:c>
      <x:c r="H345" s="36" t="n">
        <x:v>243</x:v>
      </x:c>
      <x:c r="I345" t="n">
        <x:v>40</x:v>
      </x:c>
      <x:c r="J345" t="n">
        <x:v>52</x:v>
      </x:c>
      <x:c r="K345" t="n">
        <x:v>19</x:v>
      </x:c>
      <x:c r="L345" t="n">
        <x:v>0</x:v>
      </x:c>
      <x:c r="M345" t="n">
        <x:v>1</x:v>
      </x:c>
      <x:c r="N345" t="n">
        <x:v>2</x:v>
      </x:c>
      <x:c r="O345" t="n">
        <x:v>1</x:v>
      </x:c>
      <x:c r="P345" s="50" t="n">
        <x:f>IF(D345=0,"",H345/D345)</x:f>
        <x:v>0.6768802228412256</x:v>
      </x:c>
      <x:c r="Q345" t="n">
        <x:f>MAX(I345:O345)</x:f>
        <x:v>52</x:v>
      </x:c>
      <x:c r="R345" t="n">
        <x:f>H345-Q345</x:f>
        <x:v>191</x:v>
      </x:c>
      <x:c r="S345" s="52" t="n">
        <x:f>IF(D345=0,"",(R345)/D345)</x:f>
        <x:v>0.532033426183844</x:v>
      </x:c>
      <x:c r="T345" t="str">
        <x:v>Narender Nagar</x:v>
      </x:c>
      <x:c r="U345" t="n">
        <x:f>D345-E345-F345</x:f>
        <x:v>0</x:v>
      </x:c>
    </x:row>
    <x:row r="346">
      <x:c r="A346" t="n">
        <x:v>338</x:v>
      </x:c>
      <x:c r="B346" t="str">
        <x:v>PRY. SCHOOL T.A. JAHANGIRPUR R.NO. 3</x:v>
      </x:c>
      <x:c r="C346" t="n">
        <x:v>988</x:v>
      </x:c>
      <x:c r="D346" t="n">
        <x:v>586</x:v>
      </x:c>
      <x:c r="E346" t="n">
        <x:f>SUM(H346:O346)</x:f>
        <x:v>584</x:v>
      </x:c>
      <x:c r="F346" t="n">
        <x:v>2</x:v>
      </x:c>
      <x:c r="G346" s="50" t="n">
        <x:f>IF(C346="","",IFERROR(D346/C346,0))</x:f>
        <x:v>0.5931174089068826</x:v>
      </x:c>
      <x:c r="H346" s="36" t="n">
        <x:v>347</x:v>
      </x:c>
      <x:c r="I346" t="n">
        <x:v>38</x:v>
      </x:c>
      <x:c r="J346" t="n">
        <x:v>164</x:v>
      </x:c>
      <x:c r="K346" t="n">
        <x:v>23</x:v>
      </x:c>
      <x:c r="L346" t="n">
        <x:v>1</x:v>
      </x:c>
      <x:c r="M346" t="n">
        <x:v>5</x:v>
      </x:c>
      <x:c r="N346" t="n">
        <x:v>5</x:v>
      </x:c>
      <x:c r="O346" t="n">
        <x:v>1</x:v>
      </x:c>
      <x:c r="P346" s="50" t="n">
        <x:f>IF(D346=0,"",H346/D346)</x:f>
        <x:v>0.5921501706484642</x:v>
      </x:c>
      <x:c r="Q346" t="n">
        <x:f>MAX(I346:O346)</x:f>
        <x:v>164</x:v>
      </x:c>
      <x:c r="R346" t="n">
        <x:f>H346-Q346</x:f>
        <x:v>183</x:v>
      </x:c>
      <x:c r="S346" s="52" t="n">
        <x:f>IF(D346=0,"",(R346)/D346)</x:f>
        <x:v>0.3122866894197952</x:v>
      </x:c>
      <x:c r="T346" t="str">
        <x:v>Narender Nagar</x:v>
      </x:c>
      <x:c r="U346" t="n">
        <x:f>D346-E346-F346</x:f>
        <x:v>0</x:v>
      </x:c>
    </x:row>
    <x:row r="347">
      <x:c r="A347" t="n">
        <x:v>339</x:v>
      </x:c>
      <x:c r="B347" t="str">
        <x:v>PRY. SCHOOL CHAK JAHANGIRPUR R.NO. 1</x:v>
      </x:c>
      <x:c r="C347" t="n">
        <x:v>311</x:v>
      </x:c>
      <x:c r="D347" t="n">
        <x:v>272</x:v>
      </x:c>
      <x:c r="E347" t="n">
        <x:f>SUM(H347:O347)</x:f>
        <x:v>272</x:v>
      </x:c>
      <x:c r="F347" t="n">
        <x:v>0</x:v>
      </x:c>
      <x:c r="G347" s="50" t="n">
        <x:f>IF(C347="","",IFERROR(D347/C347,0))</x:f>
        <x:v>0.8745980707395499</x:v>
      </x:c>
      <x:c r="H347" s="36" t="n">
        <x:v>16</x:v>
      </x:c>
      <x:c r="I347" t="n">
        <x:v>65</x:v>
      </x:c>
      <x:c r="J347" t="n">
        <x:v>13</x:v>
      </x:c>
      <x:c r="K347" t="n">
        <x:v>178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s="50" t="n">
        <x:f>IF(D347=0,"",H347/D347)</x:f>
        <x:v>0.058823529411764705</x:v>
      </x:c>
      <x:c r="Q347" t="n">
        <x:f>MAX(I347:O347)</x:f>
        <x:v>178</x:v>
      </x:c>
      <x:c r="R347" t="n">
        <x:f>H347-Q347</x:f>
        <x:v>-162</x:v>
      </x:c>
      <x:c r="S347" s="52" t="n">
        <x:f>IF(D347=0,"",(R347)/D347)</x:f>
        <x:v>-0.5955882352941176</x:v>
      </x:c>
      <x:c r="T347" t="str">
        <x:v>Kamal Sharma</x:v>
      </x:c>
      <x:c r="U347" t="n">
        <x:f>D347-E347-F347</x:f>
        <x:v>0</x:v>
      </x:c>
    </x:row>
    <x:row r="348">
      <x:c r="A348" t="n">
        <x:v>340</x:v>
      </x:c>
      <x:c r="B348" t="str">
        <x:v>PRY. SCHOOL JAFARGHAR MAZRA JAHANGIRPUR R.NO. 1</x:v>
      </x:c>
      <x:c r="C348" t="n">
        <x:v>400</x:v>
      </x:c>
      <x:c r="D348" t="n">
        <x:v>356</x:v>
      </x:c>
      <x:c r="E348" t="n">
        <x:f>SUM(H348:O348)</x:f>
        <x:v>351</x:v>
      </x:c>
      <x:c r="F348" t="n">
        <x:v>5</x:v>
      </x:c>
      <x:c r="G348" s="50" t="n">
        <x:f>IF(C348="","",IFERROR(D348/C348,0))</x:f>
        <x:v>0.89</x:v>
      </x:c>
      <x:c r="H348" s="36" t="n">
        <x:v>2</x:v>
      </x:c>
      <x:c r="I348" t="n">
        <x:v>27</x:v>
      </x:c>
      <x:c r="J348" t="n">
        <x:v>313</x:v>
      </x:c>
      <x:c r="K348" t="n">
        <x:v>2</x:v>
      </x:c>
      <x:c r="L348" t="n">
        <x:v>3</x:v>
      </x:c>
      <x:c r="M348" t="n">
        <x:v>3</x:v>
      </x:c>
      <x:c r="N348" t="n">
        <x:v>1</x:v>
      </x:c>
      <x:c r="O348" t="n">
        <x:v>0</x:v>
      </x:c>
      <x:c r="P348" s="50" t="n">
        <x:f>IF(D348=0,"",H348/D348)</x:f>
        <x:v>0.0056179775280898875</x:v>
      </x:c>
      <x:c r="Q348" t="n">
        <x:f>MAX(I348:O348)</x:f>
        <x:v>313</x:v>
      </x:c>
      <x:c r="R348" t="n">
        <x:f>H348-Q348</x:f>
        <x:v>-311</x:v>
      </x:c>
      <x:c r="S348" s="52" t="n">
        <x:f>IF(D348=0,"",(R348)/D348)</x:f>
        <x:v>-0.8735955056179775</x:v>
      </x:c>
      <x:c r="T348" t="str">
        <x:v>Vedram Bhati</x:v>
      </x:c>
      <x:c r="U348" t="n">
        <x:f>D348-E348-F348</x:f>
        <x:v>0</x:v>
      </x:c>
    </x:row>
    <x:row r="349">
      <x:c r="A349" t="n">
        <x:v>341</x:v>
      </x:c>
      <x:c r="B349" t="str">
        <x:v>PRY. SCHOOL CHAK NAGALIYA R.NO. 1</x:v>
      </x:c>
      <x:c r="C349" t="n">
        <x:v>672</x:v>
      </x:c>
      <x:c r="D349" t="n">
        <x:v>462</x:v>
      </x:c>
      <x:c r="E349" t="n">
        <x:f>SUM(H349:O349)</x:f>
        <x:v>455</x:v>
      </x:c>
      <x:c r="F349" t="n">
        <x:v>7</x:v>
      </x:c>
      <x:c r="G349" s="50" t="n">
        <x:f>IF(C349="","",IFERROR(D349/C349,0))</x:f>
        <x:v>0.6875</x:v>
      </x:c>
      <x:c r="H349" s="36" t="n">
        <x:v>8</x:v>
      </x:c>
      <x:c r="I349" t="n">
        <x:v>375</x:v>
      </x:c>
      <x:c r="J349" t="n">
        <x:v>48</x:v>
      </x:c>
      <x:c r="K349" t="n">
        <x:v>7</x:v>
      </x:c>
      <x:c r="L349" t="n">
        <x:v>1</x:v>
      </x:c>
      <x:c r="M349" t="n">
        <x:v>1</x:v>
      </x:c>
      <x:c r="N349" t="n">
        <x:v>5</x:v>
      </x:c>
      <x:c r="O349" t="n">
        <x:v>10</x:v>
      </x:c>
      <x:c r="P349" s="50" t="n">
        <x:f>IF(D349=0,"",H349/D349)</x:f>
        <x:v>0.017316017316017316</x:v>
      </x:c>
      <x:c r="Q349" t="n">
        <x:f>MAX(I349:O349)</x:f>
        <x:v>375</x:v>
      </x:c>
      <x:c r="R349" t="n">
        <x:f>H349-Q349</x:f>
        <x:v>-367</x:v>
      </x:c>
      <x:c r="S349" s="52" t="n">
        <x:f>IF(D349=0,"",(R349)/D349)</x:f>
        <x:v>-0.7943722943722944</x:v>
      </x:c>
      <x:c r="T349" t="str">
        <x:v>Dhirendra Singh</x:v>
      </x:c>
      <x:c r="U349" t="n">
        <x:f>D349-E349-F349</x:f>
        <x:v>0</x:v>
      </x:c>
    </x:row>
    <x:row r="350">
      <x:c r="A350" t="n">
        <x:v>342</x:v>
      </x:c>
      <x:c r="B350" t="str">
        <x:v>PRY. SCHOOL ALAMPUR HATHLA URF LAUDONA R.NO. 1</x:v>
      </x:c>
      <x:c r="C350" t="n">
        <x:v>1111</x:v>
      </x:c>
      <x:c r="D350" t="n">
        <x:v>681</x:v>
      </x:c>
      <x:c r="E350" t="n">
        <x:f>SUM(H350:O350)</x:f>
        <x:v>680</x:v>
      </x:c>
      <x:c r="F350" t="n">
        <x:v>1</x:v>
      </x:c>
      <x:c r="G350" s="50" t="n">
        <x:f>IF(C350="","",IFERROR(D350/C350,0))</x:f>
        <x:v>0.6129612961296129</x:v>
      </x:c>
      <x:c r="H350" s="36" t="n">
        <x:v>11</x:v>
      </x:c>
      <x:c r="I350" t="n">
        <x:v>492</x:v>
      </x:c>
      <x:c r="J350" t="n">
        <x:v>143</x:v>
      </x:c>
      <x:c r="K350" t="n">
        <x:v>31</x:v>
      </x:c>
      <x:c r="L350" t="n">
        <x:v>1</x:v>
      </x:c>
      <x:c r="M350" t="n">
        <x:v>2</x:v>
      </x:c>
      <x:c r="N350" t="n">
        <x:v>0</x:v>
      </x:c>
      <x:c r="O350" t="n">
        <x:v>0</x:v>
      </x:c>
      <x:c r="P350" s="50" t="n">
        <x:f>IF(D350=0,"",H350/D350)</x:f>
        <x:v>0.016152716593245228</x:v>
      </x:c>
      <x:c r="Q350" t="n">
        <x:f>MAX(I350:O350)</x:f>
        <x:v>492</x:v>
      </x:c>
      <x:c r="R350" t="n">
        <x:f>H350-Q350</x:f>
        <x:v>-481</x:v>
      </x:c>
      <x:c r="S350" s="52" t="n">
        <x:f>IF(D350=0,"",(R350)/D350)</x:f>
        <x:v>-0.7063142437591777</x:v>
      </x:c>
      <x:c r="T350" t="str">
        <x:v>Dhirendra Singh</x:v>
      </x:c>
      <x:c r="U350" t="n">
        <x:f>D350-E350-F350</x:f>
        <x:v>0</x:v>
      </x:c>
    </x:row>
    <x:row r="351">
      <x:c r="A351" t="n">
        <x:v>343</x:v>
      </x:c>
      <x:c r="B351" t="str">
        <x:v>PRY. SCHOOL ALAMPUR HATHLA URF LAUDONA R.NO. 2</x:v>
      </x:c>
      <x:c r="C351" t="n">
        <x:v>961</x:v>
      </x:c>
      <x:c r="D351" t="n">
        <x:v>627</x:v>
      </x:c>
      <x:c r="E351" t="n">
        <x:f>SUM(H351:O351)</x:f>
        <x:v>627</x:v>
      </x:c>
      <x:c r="F351" t="n">
        <x:v>0</x:v>
      </x:c>
      <x:c r="G351" s="50" t="n">
        <x:f>IF(C351="","",IFERROR(D351/C351,0))</x:f>
        <x:v>0.6524453694068678</x:v>
      </x:c>
      <x:c r="H351" s="36" t="n">
        <x:v>10</x:v>
      </x:c>
      <x:c r="I351" t="n">
        <x:v>541</x:v>
      </x:c>
      <x:c r="J351" t="n">
        <x:v>62</x:v>
      </x:c>
      <x:c r="K351" t="n">
        <x:v>9</x:v>
      </x:c>
      <x:c r="L351" t="n">
        <x:v>1</x:v>
      </x:c>
      <x:c r="M351" t="n">
        <x:v>1</x:v>
      </x:c>
      <x:c r="N351" t="n">
        <x:v>2</x:v>
      </x:c>
      <x:c r="O351" t="n">
        <x:v>1</x:v>
      </x:c>
      <x:c r="P351" s="50" t="n">
        <x:f>IF(D351=0,"",H351/D351)</x:f>
        <x:v>0.01594896331738437</x:v>
      </x:c>
      <x:c r="Q351" t="n">
        <x:f>MAX(I351:O351)</x:f>
        <x:v>541</x:v>
      </x:c>
      <x:c r="R351" t="n">
        <x:f>H351-Q351</x:f>
        <x:v>-531</x:v>
      </x:c>
      <x:c r="S351" s="52" t="n">
        <x:f>IF(D351=0,"",(R351)/D351)</x:f>
        <x:v>-0.84688995215311</x:v>
      </x:c>
      <x:c r="T351" t="str">
        <x:v>Dhirendra Singh</x:v>
      </x:c>
      <x:c r="U351" t="n">
        <x:f>D351-E351-F351</x:f>
        <x:v>0</x:v>
      </x:c>
    </x:row>
  </x:sheetData>
  <x:mergeCells>
    <x:mergeCell ref="A1:U2"/>
    <x:mergeCell ref="A3:U3"/>
    <x:mergeCell ref="A5:U6"/>
  </x:mergeCells>
  <x:conditionalFormatting sqref="P9:P351">
    <x:cfRule type="dataBar" priority="1">
      <x:dataBar>
        <x:cfvo type="min"/>
        <x:cfvo type="max"/>
        <x:color rgb="FF48A899"/>
      </x:dataBar>
      <x:extLst>
        <x:ext xmlns:x14="http://schemas.microsoft.com/office/spreadsheetml/2009/9/main" uri="{B025F937-C7B1-47D3-B67F-A62EFF666E3E}">
          <x14:id>{D3AE41F6-977F-9FAA-176F-4EADA49013B7}</x14:id>
        </x:ext>
      </x:extLst>
    </x:cfRule>
  </x:conditionalFormatting>
  <x:conditionalFormatting sqref="S9:S351">
    <x:cfRule type="colorScale" priority="2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U9:U351">
    <x:cfRule type="cellIs" dxfId="0" priority="3" operator="notEqual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AE41F6-977F-9FAA-176F-4EADA49013B7}">
            <x14:dataBar gradient="1">
              <x14:cfvo type="min"/>
              <x14:cfvo type="max"/>
              <x14:fillColor rgb="FF48A899"/>
            </x14:dataBar>
          </x14:cfRule>
          <xm:sqref>P9:P351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</x:cols>
  <x:sheetData>
    <x:row r="1" ht="25" customHeight="1">
      <x:c r="A1" s="4" t="str">
        <x:v>2019 LOK SABHA FORM 20 | SATVEER (BSP, SP-ALLIED)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8" customHeight="1">
      <x:c r="A3" s="10" t="str">
        <x:v>JEWAR AC 63 • SOURCE: 63- 2019 form 20 data.xls • EVM STATION ROWS ONLY • Focal candidate shown first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5" ht="24" customHeight="1">
      <x:c r="A5" s="38" t="str">
        <x:v>BSP + SP + RLD Lok Sabha alliance; Satveer (BSP) contested Gautam Buddha Nagar. NO separate SP candidate in Jewar segment. INC separately contested.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24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8" ht="38" customHeight="1">
      <x:c r="A8" s="45" t="str">
        <x:v>PS #</x:v>
      </x:c>
      <x:c r="B8" s="45" t="str">
        <x:v>Polling station / location</x:v>
      </x:c>
      <x:c r="C8" s="45" t="str">
        <x:v>Electors</x:v>
      </x:c>
      <x:c r="D8" s="45" t="str">
        <x:v>EVM votes incl NOTA</x:v>
      </x:c>
      <x:c r="E8" s="45" t="str">
        <x:v>Candidate votes</x:v>
      </x:c>
      <x:c r="F8" s="45" t="str">
        <x:v>NOTA</x:v>
      </x:c>
      <x:c r="G8" s="45" t="str">
        <x:v>Turnout %</x:v>
      </x:c>
      <x:c r="H8" s="54" t="str">
        <x:v>SATVEER (BSP)</x:v>
      </x:c>
      <x:c r="I8" s="45" t="str">
        <x:v>DR. MAHESH SHARMA (BJP)</x:v>
      </x:c>
      <x:c r="J8" s="45" t="str">
        <x:v>DR. ARVIND KUMAR SINGH (INC)</x:v>
      </x:c>
      <x:c r="K8" s="45" t="str">
        <x:v>ASHOK KUMAR ADHANA (Independent)</x:v>
      </x:c>
      <x:c r="L8" s="45" t="str">
        <x:v>RODASH GUPTA (Independent)</x:v>
      </x:c>
      <x:c r="M8" s="45" t="str">
        <x:v>JAGDEEP SINGH (Loktantrik Janshakti Party)</x:v>
      </x:c>
      <x:c r="N8" s="45" t="str">
        <x:v>RAM PAL (Rashtriya Samaj Paksha)</x:v>
      </x:c>
      <x:c r="O8" s="45" t="str">
        <x:v>VINOD KUMAR NAGAR (Rashtriya Bhartiya Jan Jan Party)</x:v>
      </x:c>
      <x:c r="P8" s="45" t="str">
        <x:v>JITENDRA SINGH (Pragatishil Samajwadi Party (Lohia))</x:v>
      </x:c>
      <x:c r="Q8" s="45" t="str">
        <x:v>SHERSINGH UPADHYAY (Rashtriya Janta Party)</x:v>
      </x:c>
      <x:c r="R8" s="45" t="str">
        <x:v>VINOD SHARMA (All Indian Rajiv Congress Party)</x:v>
      </x:c>
      <x:c r="S8" s="45" t="str">
        <x:v>RAGHUVENDRA KUMAR (SBSP (Subhas Party))</x:v>
      </x:c>
      <x:c r="T8" s="45" t="str">
        <x:v>DAYARAM (Aapki Apni Party (Peoples))</x:v>
      </x:c>
      <x:c r="U8" s="45" t="str">
        <x:v>FOCUS share %</x:v>
      </x:c>
      <x:c r="V8" s="45" t="str">
        <x:v>Highest rival votes</x:v>
      </x:c>
      <x:c r="W8" s="45" t="str">
        <x:v>FOCUS lead vs rival</x:v>
      </x:c>
      <x:c r="X8" s="45" t="str">
        <x:v>Lead in pp</x:v>
      </x:c>
      <x:c r="Y8" s="45" t="str">
        <x:v>EVM station leader</x:v>
      </x:c>
      <x:c r="Z8" s="45" t="str">
        <x:v>QA difference</x:v>
      </x:c>
    </x:row>
    <x:row r="9">
      <x:c r="A9" t="n">
        <x:v>1</x:v>
      </x:c>
      <x:c r="B9" t="str">
        <x:v>AMICHAND I.C.KASNA K.N.1</x:v>
      </x:c>
      <x:c r="C9" t="n">
        <x:v>1075</x:v>
      </x:c>
      <x:c r="D9" t="n">
        <x:v>588</x:v>
      </x:c>
      <x:c r="E9" t="n">
        <x:f>SUM(H9:T9)</x:f>
        <x:v>585</x:v>
      </x:c>
      <x:c r="F9" t="n">
        <x:v>3</x:v>
      </x:c>
      <x:c r="G9" s="50" t="n">
        <x:f>IF(C9="","",IFERROR(D9/C9,0))</x:f>
        <x:v>0.5469767441860465</x:v>
      </x:c>
      <x:c r="H9" s="36" t="n">
        <x:v>181</x:v>
      </x:c>
      <x:c r="I9" t="n">
        <x:v>387</x:v>
      </x:c>
      <x:c r="J9" t="n">
        <x:v>5</x:v>
      </x:c>
      <x:c r="K9" t="n">
        <x:v>3</x:v>
      </x:c>
      <x:c r="L9" t="n">
        <x:v>3</x:v>
      </x:c>
      <x:c r="M9" t="n">
        <x:v>1</x:v>
      </x:c>
      <x:c r="N9" t="n">
        <x:v>0</x:v>
      </x:c>
      <x:c r="O9" t="n">
        <x:v>1</x:v>
      </x:c>
      <x:c r="P9" t="n">
        <x:v>0</x:v>
      </x:c>
      <x:c r="Q9" t="n">
        <x:v>0</x:v>
      </x:c>
      <x:c r="R9" t="n">
        <x:v>2</x:v>
      </x:c>
      <x:c r="S9" t="n">
        <x:v>2</x:v>
      </x:c>
      <x:c r="T9" t="n">
        <x:v>0</x:v>
      </x:c>
      <x:c r="U9" s="50" t="n">
        <x:f>IF(D9=0,"",H9/D9)</x:f>
        <x:v>0.3078231292517007</x:v>
      </x:c>
      <x:c r="V9" t="n">
        <x:f>MAX(I9:T9)</x:f>
        <x:v>387</x:v>
      </x:c>
      <x:c r="W9" t="n">
        <x:f>H9-V9</x:f>
        <x:v>-206</x:v>
      </x:c>
      <x:c r="X9" s="52" t="n">
        <x:f>IF(D9=0,"",(W9)/D9)</x:f>
        <x:v>-0.35034013605442177</x:v>
      </x:c>
      <x:c r="Y9" t="str">
        <x:v>DR. MAHESH SHARMA</x:v>
      </x:c>
      <x:c r="Z9" t="n">
        <x:f>D9-E9-F9</x:f>
        <x:v>0</x:v>
      </x:c>
    </x:row>
    <x:row r="10">
      <x:c r="A10" t="n">
        <x:v>2</x:v>
      </x:c>
      <x:c r="B10" t="str">
        <x:v>AMICHAND I.C.KASNA K.N.2</x:v>
      </x:c>
      <x:c r="C10" t="n">
        <x:v>988</x:v>
      </x:c>
      <x:c r="D10" t="n">
        <x:v>531</x:v>
      </x:c>
      <x:c r="E10" t="n">
        <x:f>SUM(H10:T10)</x:f>
        <x:v>526</x:v>
      </x:c>
      <x:c r="F10" t="n">
        <x:v>5</x:v>
      </x:c>
      <x:c r="G10" s="50" t="n">
        <x:f>IF(C10="","",IFERROR(D10/C10,0))</x:f>
        <x:v>0.5374493927125507</x:v>
      </x:c>
      <x:c r="H10" s="36" t="n">
        <x:v>182</x:v>
      </x:c>
      <x:c r="I10" t="n">
        <x:v>327</x:v>
      </x:c>
      <x:c r="J10" t="n">
        <x:v>9</x:v>
      </x:c>
      <x:c r="K10" t="n">
        <x:v>0</x:v>
      </x:c>
      <x:c r="L10" t="n">
        <x:v>2</x:v>
      </x:c>
      <x:c r="M10" t="n">
        <x:v>0</x:v>
      </x:c>
      <x:c r="N10" t="n">
        <x:v>3</x:v>
      </x:c>
      <x:c r="O10" t="n">
        <x:v>0</x:v>
      </x:c>
      <x:c r="P10" t="n">
        <x:v>2</x:v>
      </x:c>
      <x:c r="Q10" t="n">
        <x:v>0</x:v>
      </x:c>
      <x:c r="R10" t="n">
        <x:v>0</x:v>
      </x:c>
      <x:c r="S10" t="n">
        <x:v>1</x:v>
      </x:c>
      <x:c r="T10" t="n">
        <x:v>0</x:v>
      </x:c>
      <x:c r="U10" s="50" t="n">
        <x:f>IF(D10=0,"",H10/D10)</x:f>
        <x:v>0.3427495291902072</x:v>
      </x:c>
      <x:c r="V10" t="n">
        <x:f>MAX(I10:T10)</x:f>
        <x:v>327</x:v>
      </x:c>
      <x:c r="W10" t="n">
        <x:f>H10-V10</x:f>
        <x:v>-145</x:v>
      </x:c>
      <x:c r="X10" s="52" t="n">
        <x:f>IF(D10=0,"",(W10)/D10)</x:f>
        <x:v>-0.2730696798493409</x:v>
      </x:c>
      <x:c r="Y10" t="str">
        <x:v>DR. MAHESH SHARMA</x:v>
      </x:c>
      <x:c r="Z10" t="n">
        <x:f>D10-E10-F10</x:f>
        <x:v>0</x:v>
      </x:c>
    </x:row>
    <x:row r="11">
      <x:c r="A11" t="n">
        <x:v>3</x:v>
      </x:c>
      <x:c r="B11" t="str">
        <x:v>AMICHAND I.C.KASNA K.N. 3</x:v>
      </x:c>
      <x:c r="C11" t="n">
        <x:v>1049</x:v>
      </x:c>
      <x:c r="D11" t="n">
        <x:v>695</x:v>
      </x:c>
      <x:c r="E11" t="n">
        <x:f>SUM(H11:T11)</x:f>
        <x:v>695</x:v>
      </x:c>
      <x:c r="F11" t="n">
        <x:v>0</x:v>
      </x:c>
      <x:c r="G11" s="50" t="n">
        <x:f>IF(C11="","",IFERROR(D11/C11,0))</x:f>
        <x:v>0.6625357483317446</x:v>
      </x:c>
      <x:c r="H11" s="36" t="n">
        <x:v>536</x:v>
      </x:c>
      <x:c r="I11" t="n">
        <x:v>149</x:v>
      </x:c>
      <x:c r="J11" t="n">
        <x:v>4</x:v>
      </x:c>
      <x:c r="K11" t="n">
        <x:v>1</x:v>
      </x:c>
      <x:c r="L11" t="n">
        <x:v>0</x:v>
      </x:c>
      <x:c r="M11" t="n">
        <x:v>2</x:v>
      </x:c>
      <x:c r="N11" t="n">
        <x:v>0</x:v>
      </x:c>
      <x:c r="O11" t="n">
        <x:v>0</x:v>
      </x:c>
      <x:c r="P11" t="n">
        <x:v>1</x:v>
      </x:c>
      <x:c r="Q11" t="n">
        <x:v>1</x:v>
      </x:c>
      <x:c r="R11" t="n">
        <x:v>1</x:v>
      </x:c>
      <x:c r="S11" t="n">
        <x:v>0</x:v>
      </x:c>
      <x:c r="T11" t="n">
        <x:v>0</x:v>
      </x:c>
      <x:c r="U11" s="50" t="n">
        <x:f>IF(D11=0,"",H11/D11)</x:f>
        <x:v>0.7712230215827338</x:v>
      </x:c>
      <x:c r="V11" t="n">
        <x:f>MAX(I11:T11)</x:f>
        <x:v>149</x:v>
      </x:c>
      <x:c r="W11" t="n">
        <x:f>H11-V11</x:f>
        <x:v>387</x:v>
      </x:c>
      <x:c r="X11" s="52" t="n">
        <x:f>IF(D11=0,"",(W11)/D11)</x:f>
        <x:v>0.5568345323741007</x:v>
      </x:c>
      <x:c r="Y11" t="str">
        <x:v>SATVEER</x:v>
      </x:c>
      <x:c r="Z11" t="n">
        <x:f>D11-E11-F11</x:f>
        <x:v>0</x:v>
      </x:c>
    </x:row>
    <x:row r="12">
      <x:c r="A12" t="n">
        <x:v>4</x:v>
      </x:c>
      <x:c r="B12" t="str">
        <x:v>AMICHAND I.C.KASNA K.N. 4</x:v>
      </x:c>
      <x:c r="C12" t="n">
        <x:v>1090</x:v>
      </x:c>
      <x:c r="D12" t="n">
        <x:v>659</x:v>
      </x:c>
      <x:c r="E12" t="n">
        <x:f>SUM(H12:T12)</x:f>
        <x:v>652</x:v>
      </x:c>
      <x:c r="F12" t="n">
        <x:v>7</x:v>
      </x:c>
      <x:c r="G12" s="50" t="n">
        <x:f>IF(C12="","",IFERROR(D12/C12,0))</x:f>
        <x:v>0.6045871559633027</x:v>
      </x:c>
      <x:c r="H12" s="36" t="n">
        <x:v>281</x:v>
      </x:c>
      <x:c r="I12" t="n">
        <x:v>348</x:v>
      </x:c>
      <x:c r="J12" t="n">
        <x:v>5</x:v>
      </x:c>
      <x:c r="K12" t="n">
        <x:v>3</x:v>
      </x:c>
      <x:c r="L12" t="n">
        <x:v>4</x:v>
      </x:c>
      <x:c r="M12" t="n">
        <x:v>4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2</x:v>
      </x:c>
      <x:c r="S12" t="n">
        <x:v>1</x:v>
      </x:c>
      <x:c r="T12" t="n">
        <x:v>0</x:v>
      </x:c>
      <x:c r="U12" s="50" t="n">
        <x:f>IF(D12=0,"",H12/D12)</x:f>
        <x:v>0.4264036418816389</x:v>
      </x:c>
      <x:c r="V12" t="n">
        <x:f>MAX(I12:T12)</x:f>
        <x:v>348</x:v>
      </x:c>
      <x:c r="W12" t="n">
        <x:f>H12-V12</x:f>
        <x:v>-67</x:v>
      </x:c>
      <x:c r="X12" s="52" t="n">
        <x:f>IF(D12=0,"",(W12)/D12)</x:f>
        <x:v>-0.10166919575113809</x:v>
      </x:c>
      <x:c r="Y12" t="str">
        <x:v>DR. MAHESH SHARMA</x:v>
      </x:c>
      <x:c r="Z12" t="n">
        <x:f>D12-E12-F12</x:f>
        <x:v>0</x:v>
      </x:c>
    </x:row>
    <x:row r="13">
      <x:c r="A13" t="n">
        <x:v>5</x:v>
      </x:c>
      <x:c r="B13" t="str">
        <x:v>AMICHAND I.C.KASNA K.N. 5</x:v>
      </x:c>
      <x:c r="C13" t="n">
        <x:v>1130</x:v>
      </x:c>
      <x:c r="D13" t="n">
        <x:v>467</x:v>
      </x:c>
      <x:c r="E13" t="n">
        <x:f>SUM(H13:T13)</x:f>
        <x:v>465</x:v>
      </x:c>
      <x:c r="F13" t="n">
        <x:v>2</x:v>
      </x:c>
      <x:c r="G13" s="50" t="n">
        <x:f>IF(C13="","",IFERROR(D13/C13,0))</x:f>
        <x:v>0.41327433628318583</x:v>
      </x:c>
      <x:c r="H13" s="36" t="n">
        <x:v>130</x:v>
      </x:c>
      <x:c r="I13" t="n">
        <x:v>328</x:v>
      </x:c>
      <x:c r="J13" t="n">
        <x:v>4</x:v>
      </x:c>
      <x:c r="K13" t="n">
        <x:v>0</x:v>
      </x:c>
      <x:c r="L13" t="n">
        <x:v>1</x:v>
      </x:c>
      <x:c r="M13" t="n">
        <x:v>1</x:v>
      </x:c>
      <x:c r="N13" t="n">
        <x:v>0</x:v>
      </x:c>
      <x:c r="O13" t="n">
        <x:v>1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s="50" t="n">
        <x:f>IF(D13=0,"",H13/D13)</x:f>
        <x:v>0.278372591006424</x:v>
      </x:c>
      <x:c r="V13" t="n">
        <x:f>MAX(I13:T13)</x:f>
        <x:v>328</x:v>
      </x:c>
      <x:c r="W13" t="n">
        <x:f>H13-V13</x:f>
        <x:v>-198</x:v>
      </x:c>
      <x:c r="X13" s="52" t="n">
        <x:f>IF(D13=0,"",(W13)/D13)</x:f>
        <x:v>-0.42398286937901497</x:v>
      </x:c>
      <x:c r="Y13" t="str">
        <x:v>DR. MAHESH SHARMA</x:v>
      </x:c>
      <x:c r="Z13" t="n">
        <x:f>D13-E13-F13</x:f>
        <x:v>0</x:v>
      </x:c>
    </x:row>
    <x:row r="14">
      <x:c r="A14" t="n">
        <x:v>6</x:v>
      </x:c>
      <x:c r="B14" t="str">
        <x:v>KENDRYA VIDHYALAY SECTOR P-3 K.N. 1</x:v>
      </x:c>
      <x:c r="C14" t="n">
        <x:v>432</x:v>
      </x:c>
      <x:c r="D14" t="n">
        <x:v>190</x:v>
      </x:c>
      <x:c r="E14" t="n">
        <x:f>SUM(H14:T14)</x:f>
        <x:v>190</x:v>
      </x:c>
      <x:c r="F14" t="n">
        <x:v>0</x:v>
      </x:c>
      <x:c r="G14" s="50" t="n">
        <x:f>IF(C14="","",IFERROR(D14/C14,0))</x:f>
        <x:v>0.4398148148148148</x:v>
      </x:c>
      <x:c r="H14" s="36" t="n">
        <x:v>19</x:v>
      </x:c>
      <x:c r="I14" t="n">
        <x:v>169</x:v>
      </x:c>
      <x:c r="J14" t="n">
        <x:v>2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s="50" t="n">
        <x:f>IF(D14=0,"",H14/D14)</x:f>
        <x:v>0.1</x:v>
      </x:c>
      <x:c r="V14" t="n">
        <x:f>MAX(I14:T14)</x:f>
        <x:v>169</x:v>
      </x:c>
      <x:c r="W14" t="n">
        <x:f>H14-V14</x:f>
        <x:v>-150</x:v>
      </x:c>
      <x:c r="X14" s="52" t="n">
        <x:f>IF(D14=0,"",(W14)/D14)</x:f>
        <x:v>-0.7894736842105263</x:v>
      </x:c>
      <x:c r="Y14" t="str">
        <x:v>DR. MAHESH SHARMA</x:v>
      </x:c>
      <x:c r="Z14" t="n">
        <x:f>D14-E14-F14</x:f>
        <x:v>0</x:v>
      </x:c>
    </x:row>
    <x:row r="15">
      <x:c r="A15" t="n">
        <x:v>7</x:v>
      </x:c>
      <x:c r="B15" t="str">
        <x:v>KENDRYA VIDHYALAY SECTOR P-3 K.N. 2</x:v>
      </x:c>
      <x:c r="C15" t="n">
        <x:v>960</x:v>
      </x:c>
      <x:c r="D15" t="n">
        <x:v>399</x:v>
      </x:c>
      <x:c r="E15" t="n">
        <x:f>SUM(H15:T15)</x:f>
        <x:v>396</x:v>
      </x:c>
      <x:c r="F15" t="n">
        <x:v>3</x:v>
      </x:c>
      <x:c r="G15" s="50" t="n">
        <x:f>IF(C15="","",IFERROR(D15/C15,0))</x:f>
        <x:v>0.415625</x:v>
      </x:c>
      <x:c r="H15" s="36" t="n">
        <x:v>52</x:v>
      </x:c>
      <x:c r="I15" t="n">
        <x:v>338</x:v>
      </x:c>
      <x:c r="J15" t="n">
        <x:v>5</x:v>
      </x:c>
      <x:c r="K15" t="n">
        <x:v>1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s="50" t="n">
        <x:f>IF(D15=0,"",H15/D15)</x:f>
        <x:v>0.13032581453634084</x:v>
      </x:c>
      <x:c r="V15" t="n">
        <x:f>MAX(I15:T15)</x:f>
        <x:v>338</x:v>
      </x:c>
      <x:c r="W15" t="n">
        <x:f>H15-V15</x:f>
        <x:v>-286</x:v>
      </x:c>
      <x:c r="X15" s="52" t="n">
        <x:f>IF(D15=0,"",(W15)/D15)</x:f>
        <x:v>-0.7167919799498746</x:v>
      </x:c>
      <x:c r="Y15" t="str">
        <x:v>DR. MAHESH SHARMA</x:v>
      </x:c>
      <x:c r="Z15" t="n">
        <x:f>D15-E15-F15</x:f>
        <x:v>0</x:v>
      </x:c>
    </x:row>
    <x:row r="16">
      <x:c r="A16" t="n">
        <x:v>8</x:v>
      </x:c>
      <x:c r="B16" t="str">
        <x:v>KENDRYA VIDHYALAY SECTOR P-3 K.N. 3</x:v>
      </x:c>
      <x:c r="C16" t="n">
        <x:v>812</x:v>
      </x:c>
      <x:c r="D16" t="n">
        <x:v>479</x:v>
      </x:c>
      <x:c r="E16" t="n">
        <x:f>SUM(H16:T16)</x:f>
        <x:v>477</x:v>
      </x:c>
      <x:c r="F16" t="n">
        <x:v>2</x:v>
      </x:c>
      <x:c r="G16" s="50" t="n">
        <x:f>IF(C16="","",IFERROR(D16/C16,0))</x:f>
        <x:v>0.5899014778325123</x:v>
      </x:c>
      <x:c r="H16" s="36" t="n">
        <x:v>71</x:v>
      </x:c>
      <x:c r="I16" t="n">
        <x:v>392</x:v>
      </x:c>
      <x:c r="J16" t="n">
        <x:v>14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s="50" t="n">
        <x:f>IF(D16=0,"",H16/D16)</x:f>
        <x:v>0.14822546972860126</x:v>
      </x:c>
      <x:c r="V16" t="n">
        <x:f>MAX(I16:T16)</x:f>
        <x:v>392</x:v>
      </x:c>
      <x:c r="W16" t="n">
        <x:f>H16-V16</x:f>
        <x:v>-321</x:v>
      </x:c>
      <x:c r="X16" s="52" t="n">
        <x:f>IF(D16=0,"",(W16)/D16)</x:f>
        <x:v>-0.6701461377870563</x:v>
      </x:c>
      <x:c r="Y16" t="str">
        <x:v>DR. MAHESH SHARMA</x:v>
      </x:c>
      <x:c r="Z16" t="n">
        <x:f>D16-E16-F16</x:f>
        <x:v>0</x:v>
      </x:c>
    </x:row>
    <x:row r="17">
      <x:c r="A17" t="n">
        <x:v>9</x:v>
      </x:c>
      <x:c r="B17" t="str">
        <x:v>KENDRYA VIDHYALAY SECTOR P-3 K.N. 4</x:v>
      </x:c>
      <x:c r="C17" t="n">
        <x:v>768</x:v>
      </x:c>
      <x:c r="D17" t="n">
        <x:v>454</x:v>
      </x:c>
      <x:c r="E17" t="n">
        <x:f>SUM(H17:T17)</x:f>
        <x:v>451</x:v>
      </x:c>
      <x:c r="F17" t="n">
        <x:v>3</x:v>
      </x:c>
      <x:c r="G17" s="50" t="n">
        <x:f>IF(C17="","",IFERROR(D17/C17,0))</x:f>
        <x:v>0.5911458333333334</x:v>
      </x:c>
      <x:c r="H17" s="36" t="n">
        <x:v>53</x:v>
      </x:c>
      <x:c r="I17" t="n">
        <x:v>384</x:v>
      </x:c>
      <x:c r="J17" t="n">
        <x:v>14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s="50" t="n">
        <x:f>IF(D17=0,"",H17/D17)</x:f>
        <x:v>0.11674008810572688</x:v>
      </x:c>
      <x:c r="V17" t="n">
        <x:f>MAX(I17:T17)</x:f>
        <x:v>384</x:v>
      </x:c>
      <x:c r="W17" t="n">
        <x:f>H17-V17</x:f>
        <x:v>-331</x:v>
      </x:c>
      <x:c r="X17" s="52" t="n">
        <x:f>IF(D17=0,"",(W17)/D17)</x:f>
        <x:v>-0.7290748898678414</x:v>
      </x:c>
      <x:c r="Y17" t="str">
        <x:v>DR. MAHESH SHARMA</x:v>
      </x:c>
      <x:c r="Z17" t="n">
        <x:f>D17-E17-F17</x:f>
        <x:v>0</x:v>
      </x:c>
    </x:row>
    <x:row r="18">
      <x:c r="A18" t="n">
        <x:v>10</x:v>
      </x:c>
      <x:c r="B18" t="str">
        <x:v>ARSHLINE PUBLIC SCHOOL SEC.36 K.N. 1</x:v>
      </x:c>
      <x:c r="C18" t="n">
        <x:v>1237</x:v>
      </x:c>
      <x:c r="D18" t="n">
        <x:v>740</x:v>
      </x:c>
      <x:c r="E18" t="n">
        <x:f>SUM(H18:T18)</x:f>
        <x:v>738</x:v>
      </x:c>
      <x:c r="F18" t="n">
        <x:v>2</x:v>
      </x:c>
      <x:c r="G18" s="50" t="n">
        <x:f>IF(C18="","",IFERROR(D18/C18,0))</x:f>
        <x:v>0.5982215036378334</x:v>
      </x:c>
      <x:c r="H18" s="36" t="n">
        <x:v>364</x:v>
      </x:c>
      <x:c r="I18" t="n">
        <x:v>331</x:v>
      </x:c>
      <x:c r="J18" t="n">
        <x:v>19</x:v>
      </x:c>
      <x:c r="K18" t="n">
        <x:v>6</x:v>
      </x:c>
      <x:c r="L18" t="n">
        <x:v>1</x:v>
      </x:c>
      <x:c r="M18" t="n">
        <x:v>0</x:v>
      </x:c>
      <x:c r="N18" t="n">
        <x:v>2</x:v>
      </x:c>
      <x:c r="O18" t="n">
        <x:v>1</x:v>
      </x:c>
      <x:c r="P18" t="n">
        <x:v>12</x:v>
      </x:c>
      <x:c r="Q18" t="n">
        <x:v>0</x:v>
      </x:c>
      <x:c r="R18" t="n">
        <x:v>0</x:v>
      </x:c>
      <x:c r="S18" t="n">
        <x:v>2</x:v>
      </x:c>
      <x:c r="T18" t="n">
        <x:v>0</x:v>
      </x:c>
      <x:c r="U18" s="50" t="n">
        <x:f>IF(D18=0,"",H18/D18)</x:f>
        <x:v>0.4918918918918919</x:v>
      </x:c>
      <x:c r="V18" t="n">
        <x:f>MAX(I18:T18)</x:f>
        <x:v>331</x:v>
      </x:c>
      <x:c r="W18" t="n">
        <x:f>H18-V18</x:f>
        <x:v>33</x:v>
      </x:c>
      <x:c r="X18" s="52" t="n">
        <x:f>IF(D18=0,"",(W18)/D18)</x:f>
        <x:v>0.0445945945945946</x:v>
      </x:c>
      <x:c r="Y18" t="str">
        <x:v>SATVEER</x:v>
      </x:c>
      <x:c r="Z18" t="n">
        <x:f>D18-E18-F18</x:f>
        <x:v>0</x:v>
      </x:c>
    </x:row>
    <x:row r="19">
      <x:c r="A19" t="n">
        <x:v>11</x:v>
      </x:c>
      <x:c r="B19" t="str">
        <x:v>ARSHLINE PUBLIC SCHOOL SEC.36 K.N. 2</x:v>
      </x:c>
      <x:c r="C19" t="n">
        <x:v>919</x:v>
      </x:c>
      <x:c r="D19" t="n">
        <x:v>338</x:v>
      </x:c>
      <x:c r="E19" t="n">
        <x:f>SUM(H19:T19)</x:f>
        <x:v>333</x:v>
      </x:c>
      <x:c r="F19" t="n">
        <x:v>5</x:v>
      </x:c>
      <x:c r="G19" s="50" t="n">
        <x:f>IF(C19="","",IFERROR(D19/C19,0))</x:f>
        <x:v>0.367791077257889</x:v>
      </x:c>
      <x:c r="H19" s="36" t="n">
        <x:v>43</x:v>
      </x:c>
      <x:c r="I19" t="n">
        <x:v>275</x:v>
      </x:c>
      <x:c r="J19" t="n">
        <x:v>15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s="50" t="n">
        <x:f>IF(D19=0,"",H19/D19)</x:f>
        <x:v>0.12721893491124261</x:v>
      </x:c>
      <x:c r="V19" t="n">
        <x:f>MAX(I19:T19)</x:f>
        <x:v>275</x:v>
      </x:c>
      <x:c r="W19" t="n">
        <x:f>H19-V19</x:f>
        <x:v>-232</x:v>
      </x:c>
      <x:c r="X19" s="52" t="n">
        <x:f>IF(D19=0,"",(W19)/D19)</x:f>
        <x:v>-0.6863905325443787</x:v>
      </x:c>
      <x:c r="Y19" t="str">
        <x:v>DR. MAHESH SHARMA</x:v>
      </x:c>
      <x:c r="Z19" t="n">
        <x:f>D19-E19-F19</x:f>
        <x:v>0</x:v>
      </x:c>
    </x:row>
    <x:row r="20">
      <x:c r="A20" t="n">
        <x:v>12</x:v>
      </x:c>
      <x:c r="B20" t="str">
        <x:v>ARSHLINE PUBLIC SCHOOL SEC.36 K.N. 3</x:v>
      </x:c>
      <x:c r="C20" t="n">
        <x:v>1019</x:v>
      </x:c>
      <x:c r="D20" t="n">
        <x:v>560</x:v>
      </x:c>
      <x:c r="E20" t="n">
        <x:f>SUM(H20:T20)</x:f>
        <x:v>553</x:v>
      </x:c>
      <x:c r="F20" t="n">
        <x:v>7</x:v>
      </x:c>
      <x:c r="G20" s="50" t="n">
        <x:f>IF(C20="","",IFERROR(D20/C20,0))</x:f>
        <x:v>0.549558390578999</x:v>
      </x:c>
      <x:c r="H20" s="36" t="n">
        <x:v>88</x:v>
      </x:c>
      <x:c r="I20" t="n">
        <x:v>430</x:v>
      </x:c>
      <x:c r="J20" t="n">
        <x:v>34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</x:v>
      </x:c>
      <x:c r="R20" t="n">
        <x:v>0</x:v>
      </x:c>
      <x:c r="S20" t="n">
        <x:v>0</x:v>
      </x:c>
      <x:c r="T20" t="n">
        <x:v>0</x:v>
      </x:c>
      <x:c r="U20" s="50" t="n">
        <x:f>IF(D20=0,"",H20/D20)</x:f>
        <x:v>0.15714285714285714</x:v>
      </x:c>
      <x:c r="V20" t="n">
        <x:f>MAX(I20:T20)</x:f>
        <x:v>430</x:v>
      </x:c>
      <x:c r="W20" t="n">
        <x:f>H20-V20</x:f>
        <x:v>-342</x:v>
      </x:c>
      <x:c r="X20" s="52" t="n">
        <x:f>IF(D20=0,"",(W20)/D20)</x:f>
        <x:v>-0.6107142857142858</x:v>
      </x:c>
      <x:c r="Y20" t="str">
        <x:v>DR. MAHESH SHARMA</x:v>
      </x:c>
      <x:c r="Z20" t="n">
        <x:f>D20-E20-F20</x:f>
        <x:v>0</x:v>
      </x:c>
    </x:row>
    <x:row r="21">
      <x:c r="A21" t="n">
        <x:v>13</x:v>
      </x:c>
      <x:c r="B21" t="str">
        <x:v>ARSHLINE PUBLIC SCHOOL SEC.36 K.N. 4</x:v>
      </x:c>
      <x:c r="C21" t="n">
        <x:v>1340</x:v>
      </x:c>
      <x:c r="D21" t="n">
        <x:v>660</x:v>
      </x:c>
      <x:c r="E21" t="n">
        <x:f>SUM(H21:T21)</x:f>
        <x:v>654</x:v>
      </x:c>
      <x:c r="F21" t="n">
        <x:v>6</x:v>
      </x:c>
      <x:c r="G21" s="50" t="n">
        <x:f>IF(C21="","",IFERROR(D21/C21,0))</x:f>
        <x:v>0.4925373134328358</x:v>
      </x:c>
      <x:c r="H21" s="36" t="n">
        <x:v>73</x:v>
      </x:c>
      <x:c r="I21" t="n">
        <x:v>540</x:v>
      </x:c>
      <x:c r="J21" t="n">
        <x:v>38</x:v>
      </x:c>
      <x:c r="K21" t="n">
        <x:v>1</x:v>
      </x:c>
      <x:c r="L21" t="n">
        <x:v>1</x:v>
      </x:c>
      <x:c r="M21" t="n">
        <x:v>0</x:v>
      </x:c>
      <x:c r="N21" t="n">
        <x:v>1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s="50" t="n">
        <x:f>IF(D21=0,"",H21/D21)</x:f>
        <x:v>0.11060606060606061</x:v>
      </x:c>
      <x:c r="V21" t="n">
        <x:f>MAX(I21:T21)</x:f>
        <x:v>540</x:v>
      </x:c>
      <x:c r="W21" t="n">
        <x:f>H21-V21</x:f>
        <x:v>-467</x:v>
      </x:c>
      <x:c r="X21" s="52" t="n">
        <x:f>IF(D21=0,"",(W21)/D21)</x:f>
        <x:v>-0.7075757575757575</x:v>
      </x:c>
      <x:c r="Y21" t="str">
        <x:v>DR. MAHESH SHARMA</x:v>
      </x:c>
      <x:c r="Z21" t="n">
        <x:f>D21-E21-F21</x:f>
        <x:v>0</x:v>
      </x:c>
    </x:row>
    <x:row r="22">
      <x:c r="A22" t="n">
        <x:v>14</x:v>
      </x:c>
      <x:c r="B22" t="str">
        <x:v>ARSHLINE PUBLIC SCHOOL SEC.36 K.N. 5</x:v>
      </x:c>
      <x:c r="C22" t="n">
        <x:v>1259</x:v>
      </x:c>
      <x:c r="D22" t="n">
        <x:v>705</x:v>
      </x:c>
      <x:c r="E22" t="n">
        <x:f>SUM(H22:T22)</x:f>
        <x:v>700</x:v>
      </x:c>
      <x:c r="F22" t="n">
        <x:v>5</x:v>
      </x:c>
      <x:c r="G22" s="50" t="n">
        <x:f>IF(C22="","",IFERROR(D22/C22,0))</x:f>
        <x:v>0.5599682287529786</x:v>
      </x:c>
      <x:c r="H22" s="36" t="n">
        <x:v>133</x:v>
      </x:c>
      <x:c r="I22" t="n">
        <x:v>543</x:v>
      </x:c>
      <x:c r="J22" t="n">
        <x:v>23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1</x:v>
      </x:c>
      <x:c r="Q22" t="n">
        <x:v>0</x:v>
      </x:c>
      <x:c r="R22" t="n">
        <x:v>0</x:v>
      </x:c>
      <x:c r="S22" t="n">
        <x:v>0</x:v>
      </x:c>
      <x:c r="T22" t="n">
        <x:v>0</x:v>
      </x:c>
      <x:c r="U22" s="50" t="n">
        <x:f>IF(D22=0,"",H22/D22)</x:f>
        <x:v>0.18865248226950354</x:v>
      </x:c>
      <x:c r="V22" t="n">
        <x:f>MAX(I22:T22)</x:f>
        <x:v>543</x:v>
      </x:c>
      <x:c r="W22" t="n">
        <x:f>H22-V22</x:f>
        <x:v>-410</x:v>
      </x:c>
      <x:c r="X22" s="52" t="n">
        <x:f>IF(D22=0,"",(W22)/D22)</x:f>
        <x:v>-0.5815602836879432</x:v>
      </x:c>
      <x:c r="Y22" t="str">
        <x:v>DR. MAHESH SHARMA</x:v>
      </x:c>
      <x:c r="Z22" t="n">
        <x:f>D22-E22-F22</x:f>
        <x:v>0</x:v>
      </x:c>
    </x:row>
    <x:row r="23">
      <x:c r="A23" t="n">
        <x:v>15</x:v>
      </x:c>
      <x:c r="B23" t="str">
        <x:v>ARSHLINE PUBLIC SCHOOL SEC.36 K.N. 6</x:v>
      </x:c>
      <x:c r="C23" t="n">
        <x:v>793</x:v>
      </x:c>
      <x:c r="D23" t="n">
        <x:v>431</x:v>
      </x:c>
      <x:c r="E23" t="n">
        <x:f>SUM(H23:T23)</x:f>
        <x:v>429</x:v>
      </x:c>
      <x:c r="F23" t="n">
        <x:v>2</x:v>
      </x:c>
      <x:c r="G23" s="50" t="n">
        <x:f>IF(C23="","",IFERROR(D23/C23,0))</x:f>
        <x:v>0.5435056746532156</x:v>
      </x:c>
      <x:c r="H23" s="36" t="n">
        <x:v>60</x:v>
      </x:c>
      <x:c r="I23" t="n">
        <x:v>340</x:v>
      </x:c>
      <x:c r="J23" t="n">
        <x:v>29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s="50" t="n">
        <x:f>IF(D23=0,"",H23/D23)</x:f>
        <x:v>0.13921113689095127</x:v>
      </x:c>
      <x:c r="V23" t="n">
        <x:f>MAX(I23:T23)</x:f>
        <x:v>340</x:v>
      </x:c>
      <x:c r="W23" t="n">
        <x:f>H23-V23</x:f>
        <x:v>-280</x:v>
      </x:c>
      <x:c r="X23" s="52" t="n">
        <x:f>IF(D23=0,"",(W23)/D23)</x:f>
        <x:v>-0.6496519721577726</x:v>
      </x:c>
      <x:c r="Y23" t="str">
        <x:v>DR. MAHESH SHARMA</x:v>
      </x:c>
      <x:c r="Z23" t="n">
        <x:f>D23-E23-F23</x:f>
        <x:v>0</x:v>
      </x:c>
    </x:row>
    <x:row r="24">
      <x:c r="A24" t="n">
        <x:v>16</x:v>
      </x:c>
      <x:c r="B24" t="str">
        <x:v>PRY. SCHOOL BIRAUNDA R.NO. 1</x:v>
      </x:c>
      <x:c r="C24" t="n">
        <x:v>1198</x:v>
      </x:c>
      <x:c r="D24" t="n">
        <x:v>702</x:v>
      </x:c>
      <x:c r="E24" t="n">
        <x:f>SUM(H24:T24)</x:f>
        <x:v>697</x:v>
      </x:c>
      <x:c r="F24" t="n">
        <x:v>5</x:v>
      </x:c>
      <x:c r="G24" s="50" t="n">
        <x:f>IF(C24="","",IFERROR(D24/C24,0))</x:f>
        <x:v>0.5859766277128547</x:v>
      </x:c>
      <x:c r="H24" s="36" t="n">
        <x:v>275</x:v>
      </x:c>
      <x:c r="I24" t="n">
        <x:v>392</x:v>
      </x:c>
      <x:c r="J24" t="n">
        <x:v>18</x:v>
      </x:c>
      <x:c r="K24" t="n">
        <x:v>3</x:v>
      </x:c>
      <x:c r="L24" t="n">
        <x:v>1</x:v>
      </x:c>
      <x:c r="M24" t="n">
        <x:v>3</x:v>
      </x:c>
      <x:c r="N24" t="n">
        <x:v>0</x:v>
      </x:c>
      <x:c r="O24" t="n">
        <x:v>0</x:v>
      </x:c>
      <x:c r="P24" t="n">
        <x:v>3</x:v>
      </x:c>
      <x:c r="Q24" t="n">
        <x:v>0</x:v>
      </x:c>
      <x:c r="R24" t="n">
        <x:v>1</x:v>
      </x:c>
      <x:c r="S24" t="n">
        <x:v>1</x:v>
      </x:c>
      <x:c r="T24" t="n">
        <x:v>0</x:v>
      </x:c>
      <x:c r="U24" s="50" t="n">
        <x:f>IF(D24=0,"",H24/D24)</x:f>
        <x:v>0.39173789173789175</x:v>
      </x:c>
      <x:c r="V24" t="n">
        <x:f>MAX(I24:T24)</x:f>
        <x:v>392</x:v>
      </x:c>
      <x:c r="W24" t="n">
        <x:f>H24-V24</x:f>
        <x:v>-117</x:v>
      </x:c>
      <x:c r="X24" s="52" t="n">
        <x:f>IF(D24=0,"",(W24)/D24)</x:f>
        <x:v>-0.16666666666666666</x:v>
      </x:c>
      <x:c r="Y24" t="str">
        <x:v>DR. MAHESH SHARMA</x:v>
      </x:c>
      <x:c r="Z24" t="n">
        <x:f>D24-E24-F24</x:f>
        <x:v>0</x:v>
      </x:c>
    </x:row>
    <x:row r="25">
      <x:c r="A25" t="n">
        <x:v>17</x:v>
      </x:c>
      <x:c r="B25" t="str">
        <x:v>PRY. SCHOOL BIRAUNDA R.NO. 2</x:v>
      </x:c>
      <x:c r="C25" t="n">
        <x:v>1034</x:v>
      </x:c>
      <x:c r="D25" t="n">
        <x:v>423</x:v>
      </x:c>
      <x:c r="E25" t="n">
        <x:f>SUM(H25:T25)</x:f>
        <x:v>418</x:v>
      </x:c>
      <x:c r="F25" t="n">
        <x:v>5</x:v>
      </x:c>
      <x:c r="G25" s="50" t="n">
        <x:f>IF(C25="","",IFERROR(D25/C25,0))</x:f>
        <x:v>0.4090909090909091</x:v>
      </x:c>
      <x:c r="H25" s="36" t="n">
        <x:v>49</x:v>
      </x:c>
      <x:c r="I25" t="n">
        <x:v>341</x:v>
      </x:c>
      <x:c r="J25" t="n">
        <x:v>26</x:v>
      </x:c>
      <x:c r="K25" t="n">
        <x:v>1</x:v>
      </x:c>
      <x:c r="L25" t="n">
        <x:v>0</x:v>
      </x:c>
      <x:c r="M25" t="n">
        <x:v>1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s="50" t="n">
        <x:f>IF(D25=0,"",H25/D25)</x:f>
        <x:v>0.11583924349881797</x:v>
      </x:c>
      <x:c r="V25" t="n">
        <x:f>MAX(I25:T25)</x:f>
        <x:v>341</x:v>
      </x:c>
      <x:c r="W25" t="n">
        <x:f>H25-V25</x:f>
        <x:v>-292</x:v>
      </x:c>
      <x:c r="X25" s="52" t="n">
        <x:f>IF(D25=0,"",(W25)/D25)</x:f>
        <x:v>-0.6903073286052009</x:v>
      </x:c>
      <x:c r="Y25" t="str">
        <x:v>DR. MAHESH SHARMA</x:v>
      </x:c>
      <x:c r="Z25" t="n">
        <x:f>D25-E25-F25</x:f>
        <x:v>0</x:v>
      </x:c>
    </x:row>
    <x:row r="26">
      <x:c r="A26" t="n">
        <x:v>18</x:v>
      </x:c>
      <x:c r="B26" t="str">
        <x:v>PRY. SCHOOL BIRAUNDA R.NO. 3</x:v>
      </x:c>
      <x:c r="C26" t="n">
        <x:v>1416</x:v>
      </x:c>
      <x:c r="D26" t="n">
        <x:v>763</x:v>
      </x:c>
      <x:c r="E26" t="n">
        <x:f>SUM(H26:T26)</x:f>
        <x:v>754</x:v>
      </x:c>
      <x:c r="F26" t="n">
        <x:v>9</x:v>
      </x:c>
      <x:c r="G26" s="50" t="n">
        <x:f>IF(C26="","",IFERROR(D26/C26,0))</x:f>
        <x:v>0.5388418079096046</x:v>
      </x:c>
      <x:c r="H26" s="36" t="n">
        <x:v>76</x:v>
      </x:c>
      <x:c r="I26" t="n">
        <x:v>625</x:v>
      </x:c>
      <x:c r="J26" t="n">
        <x:v>51</x:v>
      </x:c>
      <x:c r="K26" t="n">
        <x:v>0</x:v>
      </x:c>
      <x:c r="L26" t="n">
        <x:v>0</x:v>
      </x:c>
      <x:c r="M26" t="n">
        <x:v>0</x:v>
      </x:c>
      <x:c r="N26" t="n">
        <x:v>1</x:v>
      </x:c>
      <x:c r="O26" t="n">
        <x:v>1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s="50" t="n">
        <x:f>IF(D26=0,"",H26/D26)</x:f>
        <x:v>0.09960681520314547</x:v>
      </x:c>
      <x:c r="V26" t="n">
        <x:f>MAX(I26:T26)</x:f>
        <x:v>625</x:v>
      </x:c>
      <x:c r="W26" t="n">
        <x:f>H26-V26</x:f>
        <x:v>-549</x:v>
      </x:c>
      <x:c r="X26" s="52" t="n">
        <x:f>IF(D26=0,"",(W26)/D26)</x:f>
        <x:v>-0.7195281782437746</x:v>
      </x:c>
      <x:c r="Y26" t="str">
        <x:v>DR. MAHESH SHARMA</x:v>
      </x:c>
      <x:c r="Z26" t="n">
        <x:f>D26-E26-F26</x:f>
        <x:v>0</x:v>
      </x:c>
    </x:row>
    <x:row r="27">
      <x:c r="A27" t="n">
        <x:v>19</x:v>
      </x:c>
      <x:c r="B27" t="str">
        <x:v>PRY. SCHOOL BIRAUNDA R.NO. 4</x:v>
      </x:c>
      <x:c r="C27" t="n">
        <x:v>1170</x:v>
      </x:c>
      <x:c r="D27" t="n">
        <x:v>574</x:v>
      </x:c>
      <x:c r="E27" t="n">
        <x:f>SUM(H27:T27)</x:f>
        <x:v>571</x:v>
      </x:c>
      <x:c r="F27" t="n">
        <x:v>3</x:v>
      </x:c>
      <x:c r="G27" s="50" t="n">
        <x:f>IF(C27="","",IFERROR(D27/C27,0))</x:f>
        <x:v>0.4905982905982906</x:v>
      </x:c>
      <x:c r="H27" s="36" t="n">
        <x:v>85</x:v>
      </x:c>
      <x:c r="I27" t="n">
        <x:v>454</x:v>
      </x:c>
      <x:c r="J27" t="n">
        <x:v>28</x:v>
      </x:c>
      <x:c r="K27" t="n">
        <x:v>3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1</x:v>
      </x:c>
      <x:c r="T27" t="n">
        <x:v>0</x:v>
      </x:c>
      <x:c r="U27" s="50" t="n">
        <x:f>IF(D27=0,"",H27/D27)</x:f>
        <x:v>0.1480836236933798</x:v>
      </x:c>
      <x:c r="V27" t="n">
        <x:f>MAX(I27:T27)</x:f>
        <x:v>454</x:v>
      </x:c>
      <x:c r="W27" t="n">
        <x:f>H27-V27</x:f>
        <x:v>-369</x:v>
      </x:c>
      <x:c r="X27" s="52" t="n">
        <x:f>IF(D27=0,"",(W27)/D27)</x:f>
        <x:v>-0.6428571428571429</x:v>
      </x:c>
      <x:c r="Y27" t="str">
        <x:v>DR. MAHESH SHARMA</x:v>
      </x:c>
      <x:c r="Z27" t="n">
        <x:f>D27-E27-F27</x:f>
        <x:v>0</x:v>
      </x:c>
    </x:row>
    <x:row r="28">
      <x:c r="A28" t="n">
        <x:v>20</x:v>
      </x:c>
      <x:c r="B28" t="str">
        <x:v>PRY. SCHOOL DADHA K.N. 1</x:v>
      </x:c>
      <x:c r="C28" t="n">
        <x:v>1187</x:v>
      </x:c>
      <x:c r="D28" t="n">
        <x:v>907</x:v>
      </x:c>
      <x:c r="E28" t="n">
        <x:f>SUM(H28:T28)</x:f>
        <x:v>907</x:v>
      </x:c>
      <x:c r="F28" t="n">
        <x:v>0</x:v>
      </x:c>
      <x:c r="G28" s="50" t="n">
        <x:f>IF(C28="","",IFERROR(D28/C28,0))</x:f>
        <x:v>0.7641112047177759</x:v>
      </x:c>
      <x:c r="H28" s="36" t="n">
        <x:v>427</x:v>
      </x:c>
      <x:c r="I28" t="n">
        <x:v>463</x:v>
      </x:c>
      <x:c r="J28" t="n">
        <x:v>4</x:v>
      </x:c>
      <x:c r="K28" t="n">
        <x:v>2</x:v>
      </x:c>
      <x:c r="L28" t="n">
        <x:v>2</x:v>
      </x:c>
      <x:c r="M28" t="n">
        <x:v>3</x:v>
      </x:c>
      <x:c r="N28" t="n">
        <x:v>0</x:v>
      </x:c>
      <x:c r="O28" t="n">
        <x:v>2</x:v>
      </x:c>
      <x:c r="P28" t="n">
        <x:v>3</x:v>
      </x:c>
      <x:c r="Q28" t="n">
        <x:v>0</x:v>
      </x:c>
      <x:c r="R28" t="n">
        <x:v>0</x:v>
      </x:c>
      <x:c r="S28" t="n">
        <x:v>0</x:v>
      </x:c>
      <x:c r="T28" t="n">
        <x:v>1</x:v>
      </x:c>
      <x:c r="U28" s="50" t="n">
        <x:f>IF(D28=0,"",H28/D28)</x:f>
        <x:v>0.47078280044101434</x:v>
      </x:c>
      <x:c r="V28" t="n">
        <x:f>MAX(I28:T28)</x:f>
        <x:v>463</x:v>
      </x:c>
      <x:c r="W28" t="n">
        <x:f>H28-V28</x:f>
        <x:v>-36</x:v>
      </x:c>
      <x:c r="X28" s="52" t="n">
        <x:f>IF(D28=0,"",(W28)/D28)</x:f>
        <x:v>-0.03969128996692393</x:v>
      </x:c>
      <x:c r="Y28" t="str">
        <x:v>DR. MAHESH SHARMA</x:v>
      </x:c>
      <x:c r="Z28" t="n">
        <x:f>D28-E28-F28</x:f>
        <x:v>0</x:v>
      </x:c>
    </x:row>
    <x:row r="29">
      <x:c r="A29" t="n">
        <x:v>21</x:v>
      </x:c>
      <x:c r="B29" t="str">
        <x:v>PRY. SCHOOL DADHA K.N. 2</x:v>
      </x:c>
      <x:c r="C29" t="n">
        <x:v>818</x:v>
      </x:c>
      <x:c r="D29" t="n">
        <x:v>653</x:v>
      </x:c>
      <x:c r="E29" t="n">
        <x:f>SUM(H29:T29)</x:f>
        <x:v>651</x:v>
      </x:c>
      <x:c r="F29" t="n">
        <x:v>2</x:v>
      </x:c>
      <x:c r="G29" s="50" t="n">
        <x:f>IF(C29="","",IFERROR(D29/C29,0))</x:f>
        <x:v>0.7982885085574573</x:v>
      </x:c>
      <x:c r="H29" s="36" t="n">
        <x:v>249</x:v>
      </x:c>
      <x:c r="I29" t="n">
        <x:v>388</x:v>
      </x:c>
      <x:c r="J29" t="n">
        <x:v>7</x:v>
      </x:c>
      <x:c r="K29" t="n">
        <x:v>2</x:v>
      </x:c>
      <x:c r="L29" t="n">
        <x:v>2</x:v>
      </x:c>
      <x:c r="M29" t="n">
        <x:v>1</x:v>
      </x:c>
      <x:c r="N29" t="n">
        <x:v>0</x:v>
      </x:c>
      <x:c r="O29" t="n">
        <x:v>0</x:v>
      </x:c>
      <x:c r="P29" t="n">
        <x:v>0</x:v>
      </x:c>
      <x:c r="Q29" t="n">
        <x:v>1</x:v>
      </x:c>
      <x:c r="R29" t="n">
        <x:v>1</x:v>
      </x:c>
      <x:c r="S29" t="n">
        <x:v>0</x:v>
      </x:c>
      <x:c r="T29" t="n">
        <x:v>0</x:v>
      </x:c>
      <x:c r="U29" s="50" t="n">
        <x:f>IF(D29=0,"",H29/D29)</x:f>
        <x:v>0.38131699846860645</x:v>
      </x:c>
      <x:c r="V29" t="n">
        <x:f>MAX(I29:T29)</x:f>
        <x:v>388</x:v>
      </x:c>
      <x:c r="W29" t="n">
        <x:f>H29-V29</x:f>
        <x:v>-139</x:v>
      </x:c>
      <x:c r="X29" s="52" t="n">
        <x:f>IF(D29=0,"",(W29)/D29)</x:f>
        <x:v>-0.21286370597243492</x:v>
      </x:c>
      <x:c r="Y29" t="str">
        <x:v>DR. MAHESH SHARMA</x:v>
      </x:c>
      <x:c r="Z29" t="n">
        <x:f>D29-E29-F29</x:f>
        <x:v>0</x:v>
      </x:c>
    </x:row>
    <x:row r="30">
      <x:c r="A30" t="n">
        <x:v>22</x:v>
      </x:c>
      <x:c r="B30" t="str">
        <x:v>PRY. SCHOOL SIRSA R.NO.1</x:v>
      </x:c>
      <x:c r="C30" t="n">
        <x:v>684</x:v>
      </x:c>
      <x:c r="D30" t="n">
        <x:v>527</x:v>
      </x:c>
      <x:c r="E30" t="n">
        <x:f>SUM(H30:T30)</x:f>
        <x:v>521</x:v>
      </x:c>
      <x:c r="F30" t="n">
        <x:v>6</x:v>
      </x:c>
      <x:c r="G30" s="50" t="n">
        <x:f>IF(C30="","",IFERROR(D30/C30,0))</x:f>
        <x:v>0.77046783625731</x:v>
      </x:c>
      <x:c r="H30" s="36" t="n">
        <x:v>199</x:v>
      </x:c>
      <x:c r="I30" t="n">
        <x:v>302</x:v>
      </x:c>
      <x:c r="J30" t="n">
        <x:v>10</x:v>
      </x:c>
      <x:c r="K30" t="n">
        <x:v>1</x:v>
      </x:c>
      <x:c r="L30" t="n">
        <x:v>3</x:v>
      </x:c>
      <x:c r="M30" t="n">
        <x:v>2</x:v>
      </x:c>
      <x:c r="N30" t="n">
        <x:v>0</x:v>
      </x:c>
      <x:c r="O30" t="n">
        <x:v>1</x:v>
      </x:c>
      <x:c r="P30" t="n">
        <x:v>1</x:v>
      </x:c>
      <x:c r="Q30" t="n">
        <x:v>0</x:v>
      </x:c>
      <x:c r="R30" t="n">
        <x:v>1</x:v>
      </x:c>
      <x:c r="S30" t="n">
        <x:v>1</x:v>
      </x:c>
      <x:c r="T30" t="n">
        <x:v>0</x:v>
      </x:c>
      <x:c r="U30" s="50" t="n">
        <x:f>IF(D30=0,"",H30/D30)</x:f>
        <x:v>0.3776091081593928</x:v>
      </x:c>
      <x:c r="V30" t="n">
        <x:f>MAX(I30:T30)</x:f>
        <x:v>302</x:v>
      </x:c>
      <x:c r="W30" t="n">
        <x:f>H30-V30</x:f>
        <x:v>-103</x:v>
      </x:c>
      <x:c r="X30" s="52" t="n">
        <x:f>IF(D30=0,"",(W30)/D30)</x:f>
        <x:v>-0.1954459203036053</x:v>
      </x:c>
      <x:c r="Y30" t="str">
        <x:v>DR. MAHESH SHARMA</x:v>
      </x:c>
      <x:c r="Z30" t="n">
        <x:f>D30-E30-F30</x:f>
        <x:v>0</x:v>
      </x:c>
    </x:row>
    <x:row r="31">
      <x:c r="A31" t="n">
        <x:v>23</x:v>
      </x:c>
      <x:c r="B31" t="str">
        <x:v>PRY. SCHOOL SIRSA R.NO.2</x:v>
      </x:c>
      <x:c r="C31" t="n">
        <x:v>836</x:v>
      </x:c>
      <x:c r="D31" t="n">
        <x:v>637</x:v>
      </x:c>
      <x:c r="E31" t="n">
        <x:f>SUM(H31:T31)</x:f>
        <x:v>631</x:v>
      </x:c>
      <x:c r="F31" t="n">
        <x:v>6</x:v>
      </x:c>
      <x:c r="G31" s="50" t="n">
        <x:f>IF(C31="","",IFERROR(D31/C31,0))</x:f>
        <x:v>0.7619617224880383</x:v>
      </x:c>
      <x:c r="H31" s="36" t="n">
        <x:v>244</x:v>
      </x:c>
      <x:c r="I31" t="n">
        <x:v>377</x:v>
      </x:c>
      <x:c r="J31" t="n">
        <x:v>1</x:v>
      </x:c>
      <x:c r="K31" t="n">
        <x:v>4</x:v>
      </x:c>
      <x:c r="L31" t="n">
        <x:v>1</x:v>
      </x:c>
      <x:c r="M31" t="n">
        <x:v>0</x:v>
      </x:c>
      <x:c r="N31" t="n">
        <x:v>1</x:v>
      </x:c>
      <x:c r="O31" t="n">
        <x:v>1</x:v>
      </x:c>
      <x:c r="P31" t="n">
        <x:v>0</x:v>
      </x:c>
      <x:c r="Q31" t="n">
        <x:v>1</x:v>
      </x:c>
      <x:c r="R31" t="n">
        <x:v>1</x:v>
      </x:c>
      <x:c r="S31" t="n">
        <x:v>0</x:v>
      </x:c>
      <x:c r="T31" t="n">
        <x:v>0</x:v>
      </x:c>
      <x:c r="U31" s="50" t="n">
        <x:f>IF(D31=0,"",H31/D31)</x:f>
        <x:v>0.38304552590266877</x:v>
      </x:c>
      <x:c r="V31" t="n">
        <x:f>MAX(I31:T31)</x:f>
        <x:v>377</x:v>
      </x:c>
      <x:c r="W31" t="n">
        <x:f>H31-V31</x:f>
        <x:v>-133</x:v>
      </x:c>
      <x:c r="X31" s="52" t="n">
        <x:f>IF(D31=0,"",(W31)/D31)</x:f>
        <x:v>-0.2087912087912088</x:v>
      </x:c>
      <x:c r="Y31" t="str">
        <x:v>DR. MAHESH SHARMA</x:v>
      </x:c>
      <x:c r="Z31" t="n">
        <x:f>D31-E31-F31</x:f>
        <x:v>0</x:v>
      </x:c>
    </x:row>
    <x:row r="32">
      <x:c r="A32" t="n">
        <x:v>24</x:v>
      </x:c>
      <x:c r="B32" t="str">
        <x:v>PRY. SCHOOL KHANPUR R.NO. 1</x:v>
      </x:c>
      <x:c r="C32" t="n">
        <x:v>814</x:v>
      </x:c>
      <x:c r="D32" t="n">
        <x:v>639</x:v>
      </x:c>
      <x:c r="E32" t="n">
        <x:f>SUM(H32:T32)</x:f>
        <x:v>634</x:v>
      </x:c>
      <x:c r="F32" t="n">
        <x:v>5</x:v>
      </x:c>
      <x:c r="G32" s="50" t="n">
        <x:f>IF(C32="","",IFERROR(D32/C32,0))</x:f>
        <x:v>0.785012285012285</x:v>
      </x:c>
      <x:c r="H32" s="36" t="n">
        <x:v>294</x:v>
      </x:c>
      <x:c r="I32" t="n">
        <x:v>323</x:v>
      </x:c>
      <x:c r="J32" t="n">
        <x:v>6</x:v>
      </x:c>
      <x:c r="K32" t="n">
        <x:v>0</x:v>
      </x:c>
      <x:c r="L32" t="n">
        <x:v>4</x:v>
      </x:c>
      <x:c r="M32" t="n">
        <x:v>1</x:v>
      </x:c>
      <x:c r="N32" t="n">
        <x:v>0</x:v>
      </x:c>
      <x:c r="O32" t="n">
        <x:v>2</x:v>
      </x:c>
      <x:c r="P32" t="n">
        <x:v>0</x:v>
      </x:c>
      <x:c r="Q32" t="n">
        <x:v>1</x:v>
      </x:c>
      <x:c r="R32" t="n">
        <x:v>0</x:v>
      </x:c>
      <x:c r="S32" t="n">
        <x:v>3</x:v>
      </x:c>
      <x:c r="T32" t="n">
        <x:v>0</x:v>
      </x:c>
      <x:c r="U32" s="50" t="n">
        <x:f>IF(D32=0,"",H32/D32)</x:f>
        <x:v>0.460093896713615</x:v>
      </x:c>
      <x:c r="V32" t="n">
        <x:f>MAX(I32:T32)</x:f>
        <x:v>323</x:v>
      </x:c>
      <x:c r="W32" t="n">
        <x:f>H32-V32</x:f>
        <x:v>-29</x:v>
      </x:c>
      <x:c r="X32" s="52" t="n">
        <x:f>IF(D32=0,"",(W32)/D32)</x:f>
        <x:v>-0.04538341158059468</x:v>
      </x:c>
      <x:c r="Y32" t="str">
        <x:v>DR. MAHESH SHARMA</x:v>
      </x:c>
      <x:c r="Z32" t="n">
        <x:f>D32-E32-F32</x:f>
        <x:v>0</x:v>
      </x:c>
    </x:row>
    <x:row r="33">
      <x:c r="A33" t="n">
        <x:v>25</x:v>
      </x:c>
      <x:c r="B33" t="str">
        <x:v>PRY. SCHOOL KHANPUR R.NO. 2</x:v>
      </x:c>
      <x:c r="C33" t="n">
        <x:v>1003</x:v>
      </x:c>
      <x:c r="D33" t="n">
        <x:v>762</x:v>
      </x:c>
      <x:c r="E33" t="n">
        <x:f>SUM(H33:T33)</x:f>
        <x:v>756</x:v>
      </x:c>
      <x:c r="F33" t="n">
        <x:v>6</x:v>
      </x:c>
      <x:c r="G33" s="50" t="n">
        <x:f>IF(C33="","",IFERROR(D33/C33,0))</x:f>
        <x:v>0.7597208374875374</x:v>
      </x:c>
      <x:c r="H33" s="36" t="n">
        <x:v>429</x:v>
      </x:c>
      <x:c r="I33" t="n">
        <x:v>307</x:v>
      </x:c>
      <x:c r="J33" t="n">
        <x:v>9</x:v>
      </x:c>
      <x:c r="K33" t="n">
        <x:v>9</x:v>
      </x:c>
      <x:c r="L33" t="n">
        <x:v>0</x:v>
      </x:c>
      <x:c r="M33" t="n">
        <x:v>0</x:v>
      </x:c>
      <x:c r="N33" t="n">
        <x:v>1</x:v>
      </x:c>
      <x:c r="O33" t="n">
        <x:v>0</x:v>
      </x:c>
      <x:c r="P33" t="n">
        <x:v>0</x:v>
      </x:c>
      <x:c r="Q33" t="n">
        <x:v>1</x:v>
      </x:c>
      <x:c r="R33" t="n">
        <x:v>0</x:v>
      </x:c>
      <x:c r="S33" t="n">
        <x:v>0</x:v>
      </x:c>
      <x:c r="T33" t="n">
        <x:v>0</x:v>
      </x:c>
      <x:c r="U33" s="50" t="n">
        <x:f>IF(D33=0,"",H33/D33)</x:f>
        <x:v>0.562992125984252</x:v>
      </x:c>
      <x:c r="V33" t="n">
        <x:f>MAX(I33:T33)</x:f>
        <x:v>307</x:v>
      </x:c>
      <x:c r="W33" t="n">
        <x:f>H33-V33</x:f>
        <x:v>122</x:v>
      </x:c>
      <x:c r="X33" s="52" t="n">
        <x:f>IF(D33=0,"",(W33)/D33)</x:f>
        <x:v>0.16010498687664043</x:v>
      </x:c>
      <x:c r="Y33" t="str">
        <x:v>SATVEER</x:v>
      </x:c>
      <x:c r="Z33" t="n">
        <x:f>D33-E33-F33</x:f>
        <x:v>0</x:v>
      </x:c>
    </x:row>
    <x:row r="34">
      <x:c r="A34" t="n">
        <x:v>26</x:v>
      </x:c>
      <x:c r="B34" t="str">
        <x:v>PRY. SCHOOL LUKSAR R.NO. 1</x:v>
      </x:c>
      <x:c r="C34" t="n">
        <x:v>1062</x:v>
      </x:c>
      <x:c r="D34" t="n">
        <x:v>764</x:v>
      </x:c>
      <x:c r="E34" t="n">
        <x:f>SUM(H34:T34)</x:f>
        <x:v>761</x:v>
      </x:c>
      <x:c r="F34" t="n">
        <x:v>3</x:v>
      </x:c>
      <x:c r="G34" s="50" t="n">
        <x:f>IF(C34="","",IFERROR(D34/C34,0))</x:f>
        <x:v>0.71939736346516</x:v>
      </x:c>
      <x:c r="H34" s="36" t="n">
        <x:v>285</x:v>
      </x:c>
      <x:c r="I34" t="n">
        <x:v>457</x:v>
      </x:c>
      <x:c r="J34" t="n">
        <x:v>5</x:v>
      </x:c>
      <x:c r="K34" t="n">
        <x:v>6</x:v>
      </x:c>
      <x:c r="L34" t="n">
        <x:v>2</x:v>
      </x:c>
      <x:c r="M34" t="n">
        <x:v>1</x:v>
      </x:c>
      <x:c r="N34" t="n">
        <x:v>2</x:v>
      </x:c>
      <x:c r="O34" t="n">
        <x:v>1</x:v>
      </x:c>
      <x:c r="P34" t="n">
        <x:v>1</x:v>
      </x:c>
      <x:c r="Q34" t="n">
        <x:v>1</x:v>
      </x:c>
      <x:c r="R34" t="n">
        <x:v>0</x:v>
      </x:c>
      <x:c r="S34" t="n">
        <x:v>0</x:v>
      </x:c>
      <x:c r="T34" t="n">
        <x:v>0</x:v>
      </x:c>
      <x:c r="U34" s="50" t="n">
        <x:f>IF(D34=0,"",H34/D34)</x:f>
        <x:v>0.3730366492146597</x:v>
      </x:c>
      <x:c r="V34" t="n">
        <x:f>MAX(I34:T34)</x:f>
        <x:v>457</x:v>
      </x:c>
      <x:c r="W34" t="n">
        <x:f>H34-V34</x:f>
        <x:v>-172</x:v>
      </x:c>
      <x:c r="X34" s="52" t="n">
        <x:f>IF(D34=0,"",(W34)/D34)</x:f>
        <x:v>-0.225130890052356</x:v>
      </x:c>
      <x:c r="Y34" t="str">
        <x:v>DR. MAHESH SHARMA</x:v>
      </x:c>
      <x:c r="Z34" t="n">
        <x:f>D34-E34-F34</x:f>
        <x:v>0</x:v>
      </x:c>
    </x:row>
    <x:row r="35">
      <x:c r="A35" t="n">
        <x:v>27</x:v>
      </x:c>
      <x:c r="B35" t="str">
        <x:v>PRY. SCHOOL MURSHADPUR R.NO.1</x:v>
      </x:c>
      <x:c r="C35" t="n">
        <x:v>758</x:v>
      </x:c>
      <x:c r="D35" t="n">
        <x:v>554</x:v>
      </x:c>
      <x:c r="E35" t="n">
        <x:f>SUM(H35:T35)</x:f>
        <x:v>552</x:v>
      </x:c>
      <x:c r="F35" t="n">
        <x:v>2</x:v>
      </x:c>
      <x:c r="G35" s="50" t="n">
        <x:f>IF(C35="","",IFERROR(D35/C35,0))</x:f>
        <x:v>0.7308707124010554</x:v>
      </x:c>
      <x:c r="H35" s="36" t="n">
        <x:v>318</x:v>
      </x:c>
      <x:c r="I35" t="n">
        <x:v>215</x:v>
      </x:c>
      <x:c r="J35" t="n">
        <x:v>1</x:v>
      </x:c>
      <x:c r="K35" t="n">
        <x:v>4</x:v>
      </x:c>
      <x:c r="L35" t="n">
        <x:v>2</x:v>
      </x:c>
      <x:c r="M35" t="n">
        <x:v>1</x:v>
      </x:c>
      <x:c r="N35" t="n">
        <x:v>3</x:v>
      </x:c>
      <x:c r="O35" t="n">
        <x:v>6</x:v>
      </x:c>
      <x:c r="P35" t="n">
        <x:v>0</x:v>
      </x:c>
      <x:c r="Q35" t="n">
        <x:v>1</x:v>
      </x:c>
      <x:c r="R35" t="n">
        <x:v>1</x:v>
      </x:c>
      <x:c r="S35" t="n">
        <x:v>0</x:v>
      </x:c>
      <x:c r="T35" t="n">
        <x:v>0</x:v>
      </x:c>
      <x:c r="U35" s="50" t="n">
        <x:f>IF(D35=0,"",H35/D35)</x:f>
        <x:v>0.5740072202166066</x:v>
      </x:c>
      <x:c r="V35" t="n">
        <x:f>MAX(I35:T35)</x:f>
        <x:v>215</x:v>
      </x:c>
      <x:c r="W35" t="n">
        <x:f>H35-V35</x:f>
        <x:v>103</x:v>
      </x:c>
      <x:c r="X35" s="52" t="n">
        <x:f>IF(D35=0,"",(W35)/D35)</x:f>
        <x:v>0.18592057761732853</x:v>
      </x:c>
      <x:c r="Y35" t="str">
        <x:v>SATVEER</x:v>
      </x:c>
      <x:c r="Z35" t="n">
        <x:f>D35-E35-F35</x:f>
        <x:v>0</x:v>
      </x:c>
    </x:row>
    <x:row r="36">
      <x:c r="A36" t="n">
        <x:v>28</x:v>
      </x:c>
      <x:c r="B36" t="str">
        <x:v>PRY. SCHOOL GHARBARA R. NO.1</x:v>
      </x:c>
      <x:c r="C36" t="n">
        <x:v>770</x:v>
      </x:c>
      <x:c r="D36" t="n">
        <x:v>623</x:v>
      </x:c>
      <x:c r="E36" t="n">
        <x:f>SUM(H36:T36)</x:f>
        <x:v>622</x:v>
      </x:c>
      <x:c r="F36" t="n">
        <x:v>1</x:v>
      </x:c>
      <x:c r="G36" s="50" t="n">
        <x:f>IF(C36="","",IFERROR(D36/C36,0))</x:f>
        <x:v>0.8090909090909091</x:v>
      </x:c>
      <x:c r="H36" s="36" t="n">
        <x:v>444</x:v>
      </x:c>
      <x:c r="I36" t="n">
        <x:v>168</x:v>
      </x:c>
      <x:c r="J36" t="n">
        <x:v>7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2</x:v>
      </x:c>
      <x:c r="Q36" t="n">
        <x:v>0</x:v>
      </x:c>
      <x:c r="R36" t="n">
        <x:v>1</x:v>
      </x:c>
      <x:c r="S36" t="n">
        <x:v>0</x:v>
      </x:c>
      <x:c r="T36" t="n">
        <x:v>0</x:v>
      </x:c>
      <x:c r="U36" s="50" t="n">
        <x:f>IF(D36=0,"",H36/D36)</x:f>
        <x:v>0.7126805778491172</x:v>
      </x:c>
      <x:c r="V36" t="n">
        <x:f>MAX(I36:T36)</x:f>
        <x:v>168</x:v>
      </x:c>
      <x:c r="W36" t="n">
        <x:f>H36-V36</x:f>
        <x:v>276</x:v>
      </x:c>
      <x:c r="X36" s="52" t="n">
        <x:f>IF(D36=0,"",(W36)/D36)</x:f>
        <x:v>0.44301765650080255</x:v>
      </x:c>
      <x:c r="Y36" t="str">
        <x:v>SATVEER</x:v>
      </x:c>
      <x:c r="Z36" t="n">
        <x:f>D36-E36-F36</x:f>
        <x:v>0</x:v>
      </x:c>
    </x:row>
    <x:row r="37">
      <x:c r="A37" t="n">
        <x:v>29</x:v>
      </x:c>
      <x:c r="B37" t="str">
        <x:v>PRY. SCHOOL GHARBARA R. NO.2</x:v>
      </x:c>
      <x:c r="C37" t="n">
        <x:v>738</x:v>
      </x:c>
      <x:c r="D37" t="n">
        <x:v>582</x:v>
      </x:c>
      <x:c r="E37" t="n">
        <x:f>SUM(H37:T37)</x:f>
        <x:v>580</x:v>
      </x:c>
      <x:c r="F37" t="n">
        <x:v>2</x:v>
      </x:c>
      <x:c r="G37" s="50" t="n">
        <x:f>IF(C37="","",IFERROR(D37/C37,0))</x:f>
        <x:v>0.7886178861788617</x:v>
      </x:c>
      <x:c r="H37" s="36" t="n">
        <x:v>372</x:v>
      </x:c>
      <x:c r="I37" t="n">
        <x:v>202</x:v>
      </x:c>
      <x:c r="J37" t="n">
        <x:v>1</x:v>
      </x:c>
      <x:c r="K37" t="n">
        <x:v>2</x:v>
      </x:c>
      <x:c r="L37" t="n">
        <x:v>1</x:v>
      </x:c>
      <x:c r="M37" t="n">
        <x:v>1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1</x:v>
      </x:c>
      <x:c r="T37" t="n">
        <x:v>0</x:v>
      </x:c>
      <x:c r="U37" s="50" t="n">
        <x:f>IF(D37=0,"",H37/D37)</x:f>
        <x:v>0.6391752577319587</x:v>
      </x:c>
      <x:c r="V37" t="n">
        <x:f>MAX(I37:T37)</x:f>
        <x:v>202</x:v>
      </x:c>
      <x:c r="W37" t="n">
        <x:f>H37-V37</x:f>
        <x:v>170</x:v>
      </x:c>
      <x:c r="X37" s="52" t="n">
        <x:f>IF(D37=0,"",(W37)/D37)</x:f>
        <x:v>0.2920962199312715</x:v>
      </x:c>
      <x:c r="Y37" t="str">
        <x:v>SATVEER</x:v>
      </x:c>
      <x:c r="Z37" t="n">
        <x:f>D37-E37-F37</x:f>
        <x:v>0</x:v>
      </x:c>
    </x:row>
    <x:row r="38">
      <x:c r="A38" t="n">
        <x:v>30</x:v>
      </x:c>
      <x:c r="B38" t="str">
        <x:v>J. H. SCHOOL ATAI MURADPUR R.NO.1</x:v>
      </x:c>
      <x:c r="C38" t="n">
        <x:v>568</x:v>
      </x:c>
      <x:c r="D38" t="n">
        <x:v>410</x:v>
      </x:c>
      <x:c r="E38" t="n">
        <x:f>SUM(H38:T38)</x:f>
        <x:v>407</x:v>
      </x:c>
      <x:c r="F38" t="n">
        <x:v>3</x:v>
      </x:c>
      <x:c r="G38" s="50" t="n">
        <x:f>IF(C38="","",IFERROR(D38/C38,0))</x:f>
        <x:v>0.721830985915493</x:v>
      </x:c>
      <x:c r="H38" s="36" t="n">
        <x:v>171</x:v>
      </x:c>
      <x:c r="I38" t="n">
        <x:v>226</x:v>
      </x:c>
      <x:c r="J38" t="n">
        <x:v>3</x:v>
      </x:c>
      <x:c r="K38" t="n">
        <x:v>2</x:v>
      </x:c>
      <x:c r="L38" t="n">
        <x:v>0</x:v>
      </x:c>
      <x:c r="M38" t="n">
        <x:v>1</x:v>
      </x:c>
      <x:c r="N38" t="n">
        <x:v>2</x:v>
      </x:c>
      <x:c r="O38" t="n">
        <x:v>2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s="50" t="n">
        <x:f>IF(D38=0,"",H38/D38)</x:f>
        <x:v>0.4170731707317073</x:v>
      </x:c>
      <x:c r="V38" t="n">
        <x:f>MAX(I38:T38)</x:f>
        <x:v>226</x:v>
      </x:c>
      <x:c r="W38" t="n">
        <x:f>H38-V38</x:f>
        <x:v>-55</x:v>
      </x:c>
      <x:c r="X38" s="52" t="n">
        <x:f>IF(D38=0,"",(W38)/D38)</x:f>
        <x:v>-0.13414634146341464</x:v>
      </x:c>
      <x:c r="Y38" t="str">
        <x:v>DR. MAHESH SHARMA</x:v>
      </x:c>
      <x:c r="Z38" t="n">
        <x:f>D38-E38-F38</x:f>
        <x:v>0</x:v>
      </x:c>
    </x:row>
    <x:row r="39">
      <x:c r="A39" t="n">
        <x:v>31</x:v>
      </x:c>
      <x:c r="B39" t="str">
        <x:v>PRY. SCHOOL IMALIYAKA R.NO.1</x:v>
      </x:c>
      <x:c r="C39" t="n">
        <x:v>1185</x:v>
      </x:c>
      <x:c r="D39" t="n">
        <x:v>751</x:v>
      </x:c>
      <x:c r="E39" t="n">
        <x:f>SUM(H39:T39)</x:f>
        <x:v>748</x:v>
      </x:c>
      <x:c r="F39" t="n">
        <x:v>3</x:v>
      </x:c>
      <x:c r="G39" s="50" t="n">
        <x:f>IF(C39="","",IFERROR(D39/C39,0))</x:f>
        <x:v>0.6337552742616034</x:v>
      </x:c>
      <x:c r="H39" s="36" t="n">
        <x:v>483</x:v>
      </x:c>
      <x:c r="I39" t="n">
        <x:v>251</x:v>
      </x:c>
      <x:c r="J39" t="n">
        <x:v>1</x:v>
      </x:c>
      <x:c r="K39" t="n">
        <x:v>7</x:v>
      </x:c>
      <x:c r="L39" t="n">
        <x:v>1</x:v>
      </x:c>
      <x:c r="M39" t="n">
        <x:v>2</x:v>
      </x:c>
      <x:c r="N39" t="n">
        <x:v>0</x:v>
      </x:c>
      <x:c r="O39" t="n">
        <x:v>2</x:v>
      </x:c>
      <x:c r="P39" t="n">
        <x:v>0</x:v>
      </x:c>
      <x:c r="Q39" t="n">
        <x:v>1</x:v>
      </x:c>
      <x:c r="R39" t="n">
        <x:v>0</x:v>
      </x:c>
      <x:c r="S39" t="n">
        <x:v>0</x:v>
      </x:c>
      <x:c r="T39" t="n">
        <x:v>0</x:v>
      </x:c>
      <x:c r="U39" s="50" t="n">
        <x:f>IF(D39=0,"",H39/D39)</x:f>
        <x:v>0.6431424766977364</x:v>
      </x:c>
      <x:c r="V39" t="n">
        <x:f>MAX(I39:T39)</x:f>
        <x:v>251</x:v>
      </x:c>
      <x:c r="W39" t="n">
        <x:f>H39-V39</x:f>
        <x:v>232</x:v>
      </x:c>
      <x:c r="X39" s="52" t="n">
        <x:f>IF(D39=0,"",(W39)/D39)</x:f>
        <x:v>0.30892143808255657</x:v>
      </x:c>
      <x:c r="Y39" t="str">
        <x:v>SATVEER</x:v>
      </x:c>
      <x:c r="Z39" t="n">
        <x:f>D39-E39-F39</x:f>
        <x:v>0</x:v>
      </x:c>
    </x:row>
    <x:row r="40">
      <x:c r="A40" t="n">
        <x:v>32</x:v>
      </x:c>
      <x:c r="B40" t="str">
        <x:v>PRY. SCHOOL IMALIYAKA R.NO.2</x:v>
      </x:c>
      <x:c r="C40" t="n">
        <x:v>803</x:v>
      </x:c>
      <x:c r="D40" t="n">
        <x:v>547</x:v>
      </x:c>
      <x:c r="E40" t="n">
        <x:f>SUM(H40:T40)</x:f>
        <x:v>546</x:v>
      </x:c>
      <x:c r="F40" t="n">
        <x:v>1</x:v>
      </x:c>
      <x:c r="G40" s="50" t="n">
        <x:f>IF(C40="","",IFERROR(D40/C40,0))</x:f>
        <x:v>0.6811955168119551</x:v>
      </x:c>
      <x:c r="H40" s="36" t="n">
        <x:v>348</x:v>
      </x:c>
      <x:c r="I40" t="n">
        <x:v>189</x:v>
      </x:c>
      <x:c r="J40" t="n">
        <x:v>1</x:v>
      </x:c>
      <x:c r="K40" t="n">
        <x:v>5</x:v>
      </x:c>
      <x:c r="L40" t="n">
        <x:v>1</x:v>
      </x:c>
      <x:c r="M40" t="n">
        <x:v>1</x:v>
      </x:c>
      <x:c r="N40" t="n">
        <x:v>1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s="50" t="n">
        <x:f>IF(D40=0,"",H40/D40)</x:f>
        <x:v>0.6361974405850092</x:v>
      </x:c>
      <x:c r="V40" t="n">
        <x:f>MAX(I40:T40)</x:f>
        <x:v>189</x:v>
      </x:c>
      <x:c r="W40" t="n">
        <x:f>H40-V40</x:f>
        <x:v>159</x:v>
      </x:c>
      <x:c r="X40" s="52" t="n">
        <x:f>IF(D40=0,"",(W40)/D40)</x:f>
        <x:v>0.2906764168190128</x:v>
      </x:c>
      <x:c r="Y40" t="str">
        <x:v>SATVEER</x:v>
      </x:c>
      <x:c r="Z40" t="n">
        <x:f>D40-E40-F40</x:f>
        <x:v>0</x:v>
      </x:c>
    </x:row>
    <x:row r="41">
      <x:c r="A41" t="n">
        <x:v>33</x:v>
      </x:c>
      <x:c r="B41" t="str">
        <x:v>PRY. SCHOOL LADPURA R.NO. 1</x:v>
      </x:c>
      <x:c r="C41" t="n">
        <x:v>1077</x:v>
      </x:c>
      <x:c r="D41" t="n">
        <x:v>790</x:v>
      </x:c>
      <x:c r="E41" t="n">
        <x:f>SUM(H41:T41)</x:f>
        <x:v>785</x:v>
      </x:c>
      <x:c r="F41" t="n">
        <x:v>5</x:v>
      </x:c>
      <x:c r="G41" s="50" t="n">
        <x:f>IF(C41="","",IFERROR(D41/C41,0))</x:f>
        <x:v>0.7335190343546889</x:v>
      </x:c>
      <x:c r="H41" s="36" t="n">
        <x:v>349</x:v>
      </x:c>
      <x:c r="I41" t="n">
        <x:v>423</x:v>
      </x:c>
      <x:c r="J41" t="n">
        <x:v>6</x:v>
      </x:c>
      <x:c r="K41" t="n">
        <x:v>2</x:v>
      </x:c>
      <x:c r="L41" t="n">
        <x:v>1</x:v>
      </x:c>
      <x:c r="M41" t="n">
        <x:v>1</x:v>
      </x:c>
      <x:c r="N41" t="n">
        <x:v>0</x:v>
      </x:c>
      <x:c r="O41" t="n">
        <x:v>3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s="50" t="n">
        <x:f>IF(D41=0,"",H41/D41)</x:f>
        <x:v>0.4417721518987342</x:v>
      </x:c>
      <x:c r="V41" t="n">
        <x:f>MAX(I41:T41)</x:f>
        <x:v>423</x:v>
      </x:c>
      <x:c r="W41" t="n">
        <x:f>H41-V41</x:f>
        <x:v>-74</x:v>
      </x:c>
      <x:c r="X41" s="52" t="n">
        <x:f>IF(D41=0,"",(W41)/D41)</x:f>
        <x:v>-0.09367088607594937</x:v>
      </x:c>
      <x:c r="Y41" t="str">
        <x:v>DR. MAHESH SHARMA</x:v>
      </x:c>
      <x:c r="Z41" t="n">
        <x:f>D41-E41-F41</x:f>
        <x:v>0</x:v>
      </x:c>
    </x:row>
    <x:row r="42">
      <x:c r="A42" t="n">
        <x:v>34</x:v>
      </x:c>
      <x:c r="B42" t="str">
        <x:v>PRY. SCHOOL LADPURA R.NO. 2</x:v>
      </x:c>
      <x:c r="C42" t="n">
        <x:v>1063</x:v>
      </x:c>
      <x:c r="D42" t="n">
        <x:v>735</x:v>
      </x:c>
      <x:c r="E42" t="n">
        <x:f>SUM(H42:T42)</x:f>
        <x:v>733</x:v>
      </x:c>
      <x:c r="F42" t="n">
        <x:v>2</x:v>
      </x:c>
      <x:c r="G42" s="50" t="n">
        <x:f>IF(C42="","",IFERROR(D42/C42,0))</x:f>
        <x:v>0.691439322671684</x:v>
      </x:c>
      <x:c r="H42" s="36" t="n">
        <x:v>443</x:v>
      </x:c>
      <x:c r="I42" t="n">
        <x:v>278</x:v>
      </x:c>
      <x:c r="J42" t="n">
        <x:v>3</x:v>
      </x:c>
      <x:c r="K42" t="n">
        <x:v>3</x:v>
      </x:c>
      <x:c r="L42" t="n">
        <x:v>2</x:v>
      </x:c>
      <x:c r="M42" t="n">
        <x:v>1</x:v>
      </x:c>
      <x:c r="N42" t="n">
        <x:v>1</x:v>
      </x:c>
      <x:c r="O42" t="n">
        <x:v>0</x:v>
      </x:c>
      <x:c r="P42" t="n">
        <x:v>1</x:v>
      </x:c>
      <x:c r="Q42" t="n">
        <x:v>1</x:v>
      </x:c>
      <x:c r="R42" t="n">
        <x:v>0</x:v>
      </x:c>
      <x:c r="S42" t="n">
        <x:v>0</x:v>
      </x:c>
      <x:c r="T42" t="n">
        <x:v>0</x:v>
      </x:c>
      <x:c r="U42" s="50" t="n">
        <x:f>IF(D42=0,"",H42/D42)</x:f>
        <x:v>0.6027210884353742</x:v>
      </x:c>
      <x:c r="V42" t="n">
        <x:f>MAX(I42:T42)</x:f>
        <x:v>278</x:v>
      </x:c>
      <x:c r="W42" t="n">
        <x:f>H42-V42</x:f>
        <x:v>165</x:v>
      </x:c>
      <x:c r="X42" s="52" t="n">
        <x:f>IF(D42=0,"",(W42)/D42)</x:f>
        <x:v>0.22448979591836735</x:v>
      </x:c>
      <x:c r="Y42" t="str">
        <x:v>SATVEER</x:v>
      </x:c>
      <x:c r="Z42" t="n">
        <x:f>D42-E42-F42</x:f>
        <x:v>0</x:v>
      </x:c>
    </x:row>
    <x:row r="43">
      <x:c r="A43" t="n">
        <x:v>35</x:v>
      </x:c>
      <x:c r="B43" t="str">
        <x:v>PRY. SCHOOL LADPURA R.NO. 3</x:v>
      </x:c>
      <x:c r="C43" t="n">
        <x:v>837</x:v>
      </x:c>
      <x:c r="D43" t="n">
        <x:v>628</x:v>
      </x:c>
      <x:c r="E43" t="n">
        <x:f>SUM(H43:T43)</x:f>
        <x:v>621</x:v>
      </x:c>
      <x:c r="F43" t="n">
        <x:v>7</x:v>
      </x:c>
      <x:c r="G43" s="50" t="n">
        <x:f>IF(C43="","",IFERROR(D43/C43,0))</x:f>
        <x:v>0.7502986857825568</x:v>
      </x:c>
      <x:c r="H43" s="36" t="n">
        <x:v>386</x:v>
      </x:c>
      <x:c r="I43" t="n">
        <x:v>227</x:v>
      </x:c>
      <x:c r="J43" t="n">
        <x:v>2</x:v>
      </x:c>
      <x:c r="K43" t="n">
        <x:v>3</x:v>
      </x:c>
      <x:c r="L43" t="n">
        <x:v>0</x:v>
      </x:c>
      <x:c r="M43" t="n">
        <x:v>2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s="50" t="n">
        <x:f>IF(D43=0,"",H43/D43)</x:f>
        <x:v>0.6146496815286624</x:v>
      </x:c>
      <x:c r="V43" t="n">
        <x:f>MAX(I43:T43)</x:f>
        <x:v>227</x:v>
      </x:c>
      <x:c r="W43" t="n">
        <x:f>H43-V43</x:f>
        <x:v>159</x:v>
      </x:c>
      <x:c r="X43" s="52" t="n">
        <x:f>IF(D43=0,"",(W43)/D43)</x:f>
        <x:v>0.2531847133757962</x:v>
      </x:c>
      <x:c r="Y43" t="str">
        <x:v>SATVEER</x:v>
      </x:c>
      <x:c r="Z43" t="n">
        <x:f>D43-E43-F43</x:f>
        <x:v>0</x:v>
      </x:c>
    </x:row>
    <x:row r="44">
      <x:c r="A44" t="n">
        <x:v>36</x:v>
      </x:c>
      <x:c r="B44" t="str">
        <x:v>PRY. SCHOOL GHAGHAULA R.NO. 1</x:v>
      </x:c>
      <x:c r="C44" t="n">
        <x:v>816</x:v>
      </x:c>
      <x:c r="D44" t="n">
        <x:v>476</x:v>
      </x:c>
      <x:c r="E44" t="n">
        <x:f>SUM(H44:T44)</x:f>
        <x:v>468</x:v>
      </x:c>
      <x:c r="F44" t="n">
        <x:v>8</x:v>
      </x:c>
      <x:c r="G44" s="50" t="n">
        <x:f>IF(C44="","",IFERROR(D44/C44,0))</x:f>
        <x:v>0.5833333333333334</x:v>
      </x:c>
      <x:c r="H44" s="36" t="n">
        <x:v>183</x:v>
      </x:c>
      <x:c r="I44" t="n">
        <x:v>265</x:v>
      </x:c>
      <x:c r="J44" t="n">
        <x:v>6</x:v>
      </x:c>
      <x:c r="K44" t="n">
        <x:v>2</x:v>
      </x:c>
      <x:c r="L44" t="n">
        <x:v>0</x:v>
      </x:c>
      <x:c r="M44" t="n">
        <x:v>1</x:v>
      </x:c>
      <x:c r="N44" t="n">
        <x:v>0</x:v>
      </x:c>
      <x:c r="O44" t="n">
        <x:v>8</x:v>
      </x:c>
      <x:c r="P44" t="n">
        <x:v>0</x:v>
      </x:c>
      <x:c r="Q44" t="n">
        <x:v>2</x:v>
      </x:c>
      <x:c r="R44" t="n">
        <x:v>0</x:v>
      </x:c>
      <x:c r="S44" t="n">
        <x:v>1</x:v>
      </x:c>
      <x:c r="T44" t="n">
        <x:v>0</x:v>
      </x:c>
      <x:c r="U44" s="50" t="n">
        <x:f>IF(D44=0,"",H44/D44)</x:f>
        <x:v>0.38445378151260506</x:v>
      </x:c>
      <x:c r="V44" t="n">
        <x:f>MAX(I44:T44)</x:f>
        <x:v>265</x:v>
      </x:c>
      <x:c r="W44" t="n">
        <x:f>H44-V44</x:f>
        <x:v>-82</x:v>
      </x:c>
      <x:c r="X44" s="52" t="n">
        <x:f>IF(D44=0,"",(W44)/D44)</x:f>
        <x:v>-0.1722689075630252</x:v>
      </x:c>
      <x:c r="Y44" t="str">
        <x:v>DR. MAHESH SHARMA</x:v>
      </x:c>
      <x:c r="Z44" t="n">
        <x:f>D44-E44-F44</x:f>
        <x:v>0</x:v>
      </x:c>
    </x:row>
    <x:row r="45">
      <x:c r="A45" t="n">
        <x:v>37</x:v>
      </x:c>
      <x:c r="B45" t="str">
        <x:v>PRY. SCHOOL GHAGHAULA R.NO. 2</x:v>
      </x:c>
      <x:c r="C45" t="n">
        <x:v>894</x:v>
      </x:c>
      <x:c r="D45" t="n">
        <x:v>508</x:v>
      </x:c>
      <x:c r="E45" t="n">
        <x:f>SUM(H45:T45)</x:f>
        <x:v>500</x:v>
      </x:c>
      <x:c r="F45" t="n">
        <x:v>8</x:v>
      </x:c>
      <x:c r="G45" s="50" t="n">
        <x:f>IF(C45="","",IFERROR(D45/C45,0))</x:f>
        <x:v>0.5682326621923938</x:v>
      </x:c>
      <x:c r="H45" s="36" t="n">
        <x:v>207</x:v>
      </x:c>
      <x:c r="I45" t="n">
        <x:v>277</x:v>
      </x:c>
      <x:c r="J45" t="n">
        <x:v>2</x:v>
      </x:c>
      <x:c r="K45" t="n">
        <x:v>3</x:v>
      </x:c>
      <x:c r="L45" t="n">
        <x:v>2</x:v>
      </x:c>
      <x:c r="M45" t="n">
        <x:v>0</x:v>
      </x:c>
      <x:c r="N45" t="n">
        <x:v>0</x:v>
      </x:c>
      <x:c r="O45" t="n">
        <x:v>7</x:v>
      </x:c>
      <x:c r="P45" t="n">
        <x:v>0</x:v>
      </x:c>
      <x:c r="Q45" t="n">
        <x:v>0</x:v>
      </x:c>
      <x:c r="R45" t="n">
        <x:v>0</x:v>
      </x:c>
      <x:c r="S45" t="n">
        <x:v>1</x:v>
      </x:c>
      <x:c r="T45" t="n">
        <x:v>1</x:v>
      </x:c>
      <x:c r="U45" s="50" t="n">
        <x:f>IF(D45=0,"",H45/D45)</x:f>
        <x:v>0.4074803149606299</x:v>
      </x:c>
      <x:c r="V45" t="n">
        <x:f>MAX(I45:T45)</x:f>
        <x:v>277</x:v>
      </x:c>
      <x:c r="W45" t="n">
        <x:f>H45-V45</x:f>
        <x:v>-70</x:v>
      </x:c>
      <x:c r="X45" s="52" t="n">
        <x:f>IF(D45=0,"",(W45)/D45)</x:f>
        <x:v>-0.1377952755905512</x:v>
      </x:c>
      <x:c r="Y45" t="str">
        <x:v>DR. MAHESH SHARMA</x:v>
      </x:c>
      <x:c r="Z45" t="n">
        <x:f>D45-E45-F45</x:f>
        <x:v>0</x:v>
      </x:c>
    </x:row>
    <x:row r="46">
      <x:c r="A46" t="n">
        <x:v>38</x:v>
      </x:c>
      <x:c r="B46" t="str">
        <x:v>PRY. SCHOOL GHAGHAULA R.NO. 3</x:v>
      </x:c>
      <x:c r="C46" t="n">
        <x:v>809</x:v>
      </x:c>
      <x:c r="D46" t="n">
        <x:v>505</x:v>
      </x:c>
      <x:c r="E46" t="n">
        <x:f>SUM(H46:T46)</x:f>
        <x:v>505</x:v>
      </x:c>
      <x:c r="F46" t="n">
        <x:v>0</x:v>
      </x:c>
      <x:c r="G46" s="50" t="n">
        <x:f>IF(C46="","",IFERROR(D46/C46,0))</x:f>
        <x:v>0.6242274412855378</x:v>
      </x:c>
      <x:c r="H46" s="36" t="n">
        <x:v>282</x:v>
      </x:c>
      <x:c r="I46" t="n">
        <x:v>215</x:v>
      </x:c>
      <x:c r="J46" t="n">
        <x:v>4</x:v>
      </x:c>
      <x:c r="K46" t="n">
        <x:v>0</x:v>
      </x:c>
      <x:c r="L46" t="n">
        <x:v>1</x:v>
      </x:c>
      <x:c r="M46" t="n">
        <x:v>1</x:v>
      </x:c>
      <x:c r="N46" t="n">
        <x:v>0</x:v>
      </x:c>
      <x:c r="O46" t="n">
        <x:v>2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s="50" t="n">
        <x:f>IF(D46=0,"",H46/D46)</x:f>
        <x:v>0.5584158415841585</x:v>
      </x:c>
      <x:c r="V46" t="n">
        <x:f>MAX(I46:T46)</x:f>
        <x:v>215</x:v>
      </x:c>
      <x:c r="W46" t="n">
        <x:f>H46-V46</x:f>
        <x:v>67</x:v>
      </x:c>
      <x:c r="X46" s="52" t="n">
        <x:f>IF(D46=0,"",(W46)/D46)</x:f>
        <x:v>0.13267326732673268</x:v>
      </x:c>
      <x:c r="Y46" t="str">
        <x:v>SATVEER</x:v>
      </x:c>
      <x:c r="Z46" t="n">
        <x:f>D46-E46-F46</x:f>
        <x:v>0</x:v>
      </x:c>
    </x:row>
    <x:row r="47">
      <x:c r="A47" t="n">
        <x:v>39</x:v>
      </x:c>
      <x:c r="B47" t="str">
        <x:v>PRY. SCHOOL CHEERSI R.NO.1</x:v>
      </x:c>
      <x:c r="C47" t="n">
        <x:v>1137</x:v>
      </x:c>
      <x:c r="D47" t="n">
        <x:v>804</x:v>
      </x:c>
      <x:c r="E47" t="n">
        <x:f>SUM(H47:T47)</x:f>
        <x:v>801</x:v>
      </x:c>
      <x:c r="F47" t="n">
        <x:v>3</x:v>
      </x:c>
      <x:c r="G47" s="50" t="n">
        <x:f>IF(C47="","",IFERROR(D47/C47,0))</x:f>
        <x:v>0.7071240105540897</x:v>
      </x:c>
      <x:c r="H47" s="36" t="n">
        <x:v>311</x:v>
      </x:c>
      <x:c r="I47" t="n">
        <x:v>454</x:v>
      </x:c>
      <x:c r="J47" t="n">
        <x:v>32</x:v>
      </x:c>
      <x:c r="K47" t="n">
        <x:v>0</x:v>
      </x:c>
      <x:c r="L47" t="n">
        <x:v>0</x:v>
      </x:c>
      <x:c r="M47" t="n">
        <x:v>1</x:v>
      </x:c>
      <x:c r="N47" t="n">
        <x:v>0</x:v>
      </x:c>
      <x:c r="O47" t="n">
        <x:v>2</x:v>
      </x:c>
      <x:c r="P47" t="n">
        <x:v>0</x:v>
      </x:c>
      <x:c r="Q47" t="n">
        <x:v>0</x:v>
      </x:c>
      <x:c r="R47" t="n">
        <x:v>1</x:v>
      </x:c>
      <x:c r="S47" t="n">
        <x:v>0</x:v>
      </x:c>
      <x:c r="T47" t="n">
        <x:v>0</x:v>
      </x:c>
      <x:c r="U47" s="50" t="n">
        <x:f>IF(D47=0,"",H47/D47)</x:f>
        <x:v>0.38681592039800994</x:v>
      </x:c>
      <x:c r="V47" t="n">
        <x:f>MAX(I47:T47)</x:f>
        <x:v>454</x:v>
      </x:c>
      <x:c r="W47" t="n">
        <x:f>H47-V47</x:f>
        <x:v>-143</x:v>
      </x:c>
      <x:c r="X47" s="52" t="n">
        <x:f>IF(D47=0,"",(W47)/D47)</x:f>
        <x:v>-0.17786069651741293</x:v>
      </x:c>
      <x:c r="Y47" t="str">
        <x:v>DR. MAHESH SHARMA</x:v>
      </x:c>
      <x:c r="Z47" t="n">
        <x:f>D47-E47-F47</x:f>
        <x:v>0</x:v>
      </x:c>
    </x:row>
    <x:row r="48">
      <x:c r="A48" t="n">
        <x:v>40</x:v>
      </x:c>
      <x:c r="B48" t="str">
        <x:v>PRY. SCHOOL FAZAYALPUR R.NO.1</x:v>
      </x:c>
      <x:c r="C48" t="n">
        <x:v>831</x:v>
      </x:c>
      <x:c r="D48" t="n">
        <x:v>549</x:v>
      </x:c>
      <x:c r="E48" t="n">
        <x:f>SUM(H48:T48)</x:f>
        <x:v>547</x:v>
      </x:c>
      <x:c r="F48" t="n">
        <x:v>2</x:v>
      </x:c>
      <x:c r="G48" s="50" t="n">
        <x:f>IF(C48="","",IFERROR(D48/C48,0))</x:f>
        <x:v>0.6606498194945848</x:v>
      </x:c>
      <x:c r="H48" s="36" t="n">
        <x:v>297</x:v>
      </x:c>
      <x:c r="I48" t="n">
        <x:v>188</x:v>
      </x:c>
      <x:c r="J48" t="n">
        <x:v>0</x:v>
      </x:c>
      <x:c r="K48" t="n">
        <x:v>57</x:v>
      </x:c>
      <x:c r="L48" t="n">
        <x:v>2</x:v>
      </x:c>
      <x:c r="M48" t="n">
        <x:v>1</x:v>
      </x:c>
      <x:c r="N48" t="n">
        <x:v>0</x:v>
      </x:c>
      <x:c r="O48" t="n">
        <x:v>1</x:v>
      </x:c>
      <x:c r="P48" t="n">
        <x:v>0</x:v>
      </x:c>
      <x:c r="Q48" t="n">
        <x:v>0</x:v>
      </x:c>
      <x:c r="R48" t="n">
        <x:v>1</x:v>
      </x:c>
      <x:c r="S48" t="n">
        <x:v>0</x:v>
      </x:c>
      <x:c r="T48" t="n">
        <x:v>0</x:v>
      </x:c>
      <x:c r="U48" s="50" t="n">
        <x:f>IF(D48=0,"",H48/D48)</x:f>
        <x:v>0.5409836065573771</x:v>
      </x:c>
      <x:c r="V48" t="n">
        <x:f>MAX(I48:T48)</x:f>
        <x:v>188</x:v>
      </x:c>
      <x:c r="W48" t="n">
        <x:f>H48-V48</x:f>
        <x:v>109</x:v>
      </x:c>
      <x:c r="X48" s="52" t="n">
        <x:f>IF(D48=0,"",(W48)/D48)</x:f>
        <x:v>0.19854280510018216</x:v>
      </x:c>
      <x:c r="Y48" t="str">
        <x:v>SATVEER</x:v>
      </x:c>
      <x:c r="Z48" t="n">
        <x:f>D48-E48-F48</x:f>
        <x:v>0</x:v>
      </x:c>
    </x:row>
    <x:row r="49">
      <x:c r="A49" t="n">
        <x:v>41</x:v>
      </x:c>
      <x:c r="B49" t="str">
        <x:v>PRY. SCHOOL FAZAYALPUR R.NO.2</x:v>
      </x:c>
      <x:c r="C49" t="n">
        <x:v>854</x:v>
      </x:c>
      <x:c r="D49" t="n">
        <x:v>560</x:v>
      </x:c>
      <x:c r="E49" t="n">
        <x:f>SUM(H49:T49)</x:f>
        <x:v>560</x:v>
      </x:c>
      <x:c r="F49" t="n">
        <x:v>0</x:v>
      </x:c>
      <x:c r="G49" s="50" t="n">
        <x:f>IF(C49="","",IFERROR(D49/C49,0))</x:f>
        <x:v>0.6557377049180327</x:v>
      </x:c>
      <x:c r="H49" s="36" t="n">
        <x:v>299</x:v>
      </x:c>
      <x:c r="I49" t="n">
        <x:v>207</x:v>
      </x:c>
      <x:c r="J49" t="n">
        <x:v>2</x:v>
      </x:c>
      <x:c r="K49" t="n">
        <x:v>48</x:v>
      </x:c>
      <x:c r="L49" t="n">
        <x:v>2</x:v>
      </x:c>
      <x:c r="M49" t="n">
        <x:v>1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1</x:v>
      </x:c>
      <x:c r="T49" t="n">
        <x:v>0</x:v>
      </x:c>
      <x:c r="U49" s="50" t="n">
        <x:f>IF(D49=0,"",H49/D49)</x:f>
        <x:v>0.5339285714285714</x:v>
      </x:c>
      <x:c r="V49" t="n">
        <x:f>MAX(I49:T49)</x:f>
        <x:v>207</x:v>
      </x:c>
      <x:c r="W49" t="n">
        <x:f>H49-V49</x:f>
        <x:v>92</x:v>
      </x:c>
      <x:c r="X49" s="52" t="n">
        <x:f>IF(D49=0,"",(W49)/D49)</x:f>
        <x:v>0.16428571428571428</x:v>
      </x:c>
      <x:c r="Y49" t="str">
        <x:v>SATVEER</x:v>
      </x:c>
      <x:c r="Z49" t="n">
        <x:f>D49-E49-F49</x:f>
        <x:v>0</x:v>
      </x:c>
    </x:row>
    <x:row r="50">
      <x:c r="A50" t="n">
        <x:v>42</x:v>
      </x:c>
      <x:c r="B50" t="str">
        <x:v>PRY. SCHOOL DOLARAZPURA R.NO.1</x:v>
      </x:c>
      <x:c r="C50" t="n">
        <x:v>1136</x:v>
      </x:c>
      <x:c r="D50" t="n">
        <x:v>794</x:v>
      </x:c>
      <x:c r="E50" t="n">
        <x:f>SUM(H50:T50)</x:f>
        <x:v>786</x:v>
      </x:c>
      <x:c r="F50" t="n">
        <x:v>8</x:v>
      </x:c>
      <x:c r="G50" s="50" t="n">
        <x:f>IF(C50="","",IFERROR(D50/C50,0))</x:f>
        <x:v>0.698943661971831</x:v>
      </x:c>
      <x:c r="H50" s="36" t="n">
        <x:v>695</x:v>
      </x:c>
      <x:c r="I50" t="n">
        <x:v>47</x:v>
      </x:c>
      <x:c r="J50" t="n">
        <x:v>23</x:v>
      </x:c>
      <x:c r="K50" t="n">
        <x:v>9</x:v>
      </x:c>
      <x:c r="L50" t="n">
        <x:v>0</x:v>
      </x:c>
      <x:c r="M50" t="n">
        <x:v>6</x:v>
      </x:c>
      <x:c r="N50" t="n">
        <x:v>0</x:v>
      </x:c>
      <x:c r="O50" t="n">
        <x:v>0</x:v>
      </x:c>
      <x:c r="P50" t="n">
        <x:v>0</x:v>
      </x:c>
      <x:c r="Q50" t="n">
        <x:v>1</x:v>
      </x:c>
      <x:c r="R50" t="n">
        <x:v>4</x:v>
      </x:c>
      <x:c r="S50" t="n">
        <x:v>0</x:v>
      </x:c>
      <x:c r="T50" t="n">
        <x:v>1</x:v>
      </x:c>
      <x:c r="U50" s="50" t="n">
        <x:f>IF(D50=0,"",H50/D50)</x:f>
        <x:v>0.8753148614609572</x:v>
      </x:c>
      <x:c r="V50" t="n">
        <x:f>MAX(I50:T50)</x:f>
        <x:v>47</x:v>
      </x:c>
      <x:c r="W50" t="n">
        <x:f>H50-V50</x:f>
        <x:v>648</x:v>
      </x:c>
      <x:c r="X50" s="52" t="n">
        <x:f>IF(D50=0,"",(W50)/D50)</x:f>
        <x:v>0.8161209068010076</x:v>
      </x:c>
      <x:c r="Y50" t="str">
        <x:v>SATVEER</x:v>
      </x:c>
      <x:c r="Z50" t="n">
        <x:f>D50-E50-F50</x:f>
        <x:v>0</x:v>
      </x:c>
    </x:row>
    <x:row r="51">
      <x:c r="A51" t="n">
        <x:v>43</x:v>
      </x:c>
      <x:c r="B51" t="str">
        <x:v>PRY. SCHOOL DOLARAZPURA R.NO.2</x:v>
      </x:c>
      <x:c r="C51" t="n">
        <x:v>897</x:v>
      </x:c>
      <x:c r="D51" t="n">
        <x:v>691</x:v>
      </x:c>
      <x:c r="E51" t="n">
        <x:f>SUM(H51:T51)</x:f>
        <x:v>686</x:v>
      </x:c>
      <x:c r="F51" t="n">
        <x:v>5</x:v>
      </x:c>
      <x:c r="G51" s="50" t="n">
        <x:f>IF(C51="","",IFERROR(D51/C51,0))</x:f>
        <x:v>0.770345596432553</x:v>
      </x:c>
      <x:c r="H51" s="36" t="n">
        <x:v>654</x:v>
      </x:c>
      <x:c r="I51" t="n">
        <x:v>19</x:v>
      </x:c>
      <x:c r="J51" t="n">
        <x:v>7</x:v>
      </x:c>
      <x:c r="K51" t="n">
        <x:v>3</x:v>
      </x:c>
      <x:c r="L51" t="n">
        <x:v>1</x:v>
      </x:c>
      <x:c r="M51" t="n">
        <x:v>1</x:v>
      </x:c>
      <x:c r="N51" t="n">
        <x:v>1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s="50" t="n">
        <x:f>IF(D51=0,"",H51/D51)</x:f>
        <x:v>0.9464544138929089</x:v>
      </x:c>
      <x:c r="V51" t="n">
        <x:f>MAX(I51:T51)</x:f>
        <x:v>19</x:v>
      </x:c>
      <x:c r="W51" t="n">
        <x:f>H51-V51</x:f>
        <x:v>635</x:v>
      </x:c>
      <x:c r="X51" s="52" t="n">
        <x:f>IF(D51=0,"",(W51)/D51)</x:f>
        <x:v>0.918958031837916</x:v>
      </x:c>
      <x:c r="Y51" t="str">
        <x:v>SATVEER</x:v>
      </x:c>
      <x:c r="Z51" t="n">
        <x:f>D51-E51-F51</x:f>
        <x:v>0</x:v>
      </x:c>
    </x:row>
    <x:row r="52">
      <x:c r="A52" t="n">
        <x:v>44</x:v>
      </x:c>
      <x:c r="B52" t="str">
        <x:v>PRY. SCHOOL SALEHPUR R.NO.1</x:v>
      </x:c>
      <x:c r="C52" t="n">
        <x:v>970</x:v>
      </x:c>
      <x:c r="D52" t="n">
        <x:v>679</x:v>
      </x:c>
      <x:c r="E52" t="n">
        <x:f>SUM(H52:T52)</x:f>
        <x:v>673</x:v>
      </x:c>
      <x:c r="F52" t="n">
        <x:v>6</x:v>
      </x:c>
      <x:c r="G52" s="50" t="n">
        <x:f>IF(C52="","",IFERROR(D52/C52,0))</x:f>
        <x:v>0.7</x:v>
      </x:c>
      <x:c r="H52" s="36" t="n">
        <x:v>77</x:v>
      </x:c>
      <x:c r="I52" t="n">
        <x:v>588</x:v>
      </x:c>
      <x:c r="J52" t="n">
        <x:v>1</x:v>
      </x:c>
      <x:c r="K52" t="n">
        <x:v>0</x:v>
      </x:c>
      <x:c r="L52" t="n">
        <x:v>4</x:v>
      </x:c>
      <x:c r="M52" t="n">
        <x:v>1</x:v>
      </x:c>
      <x:c r="N52" t="n">
        <x:v>0</x:v>
      </x:c>
      <x:c r="O52" t="n">
        <x:v>1</x:v>
      </x:c>
      <x:c r="P52" t="n">
        <x:v>0</x:v>
      </x:c>
      <x:c r="Q52" t="n">
        <x:v>0</x:v>
      </x:c>
      <x:c r="R52" t="n">
        <x:v>1</x:v>
      </x:c>
      <x:c r="S52" t="n">
        <x:v>0</x:v>
      </x:c>
      <x:c r="T52" t="n">
        <x:v>0</x:v>
      </x:c>
      <x:c r="U52" s="50" t="n">
        <x:f>IF(D52=0,"",H52/D52)</x:f>
        <x:v>0.1134020618556701</x:v>
      </x:c>
      <x:c r="V52" t="n">
        <x:f>MAX(I52:T52)</x:f>
        <x:v>588</x:v>
      </x:c>
      <x:c r="W52" t="n">
        <x:f>H52-V52</x:f>
        <x:v>-511</x:v>
      </x:c>
      <x:c r="X52" s="52" t="n">
        <x:f>IF(D52=0,"",(W52)/D52)</x:f>
        <x:v>-0.7525773195876289</x:v>
      </x:c>
      <x:c r="Y52" t="str">
        <x:v>DR. MAHESH SHARMA</x:v>
      </x:c>
      <x:c r="Z52" t="n">
        <x:f>D52-E52-F52</x:f>
        <x:v>0</x:v>
      </x:c>
    </x:row>
    <x:row r="53">
      <x:c r="A53" t="n">
        <x:v>45</x:v>
      </x:c>
      <x:c r="B53" t="str">
        <x:v>PRY. SCHOOL MANDPA R.NO.1</x:v>
      </x:c>
      <x:c r="C53" t="n">
        <x:v>1009</x:v>
      </x:c>
      <x:c r="D53" t="n">
        <x:v>734</x:v>
      </x:c>
      <x:c r="E53" t="n">
        <x:f>SUM(H53:T53)</x:f>
        <x:v>734</x:v>
      </x:c>
      <x:c r="F53" t="n">
        <x:v>0</x:v>
      </x:c>
      <x:c r="G53" s="50" t="n">
        <x:f>IF(C53="","",IFERROR(D53/C53,0))</x:f>
        <x:v>0.7274529236868187</x:v>
      </x:c>
      <x:c r="H53" s="36" t="n">
        <x:v>703</x:v>
      </x:c>
      <x:c r="I53" t="n">
        <x:v>12</x:v>
      </x:c>
      <x:c r="J53" t="n">
        <x:v>6</x:v>
      </x:c>
      <x:c r="K53" t="n">
        <x:v>4</x:v>
      </x:c>
      <x:c r="L53" t="n">
        <x:v>1</x:v>
      </x:c>
      <x:c r="M53" t="n">
        <x:v>3</x:v>
      </x:c>
      <x:c r="N53" t="n">
        <x:v>2</x:v>
      </x:c>
      <x:c r="O53" t="n">
        <x:v>0</x:v>
      </x:c>
      <x:c r="P53" t="n">
        <x:v>0</x:v>
      </x:c>
      <x:c r="Q53" t="n">
        <x:v>2</x:v>
      </x:c>
      <x:c r="R53" t="n">
        <x:v>0</x:v>
      </x:c>
      <x:c r="S53" t="n">
        <x:v>0</x:v>
      </x:c>
      <x:c r="T53" t="n">
        <x:v>1</x:v>
      </x:c>
      <x:c r="U53" s="50" t="n">
        <x:f>IF(D53=0,"",H53/D53)</x:f>
        <x:v>0.9577656675749319</x:v>
      </x:c>
      <x:c r="V53" t="n">
        <x:f>MAX(I53:T53)</x:f>
        <x:v>12</x:v>
      </x:c>
      <x:c r="W53" t="n">
        <x:f>H53-V53</x:f>
        <x:v>691</x:v>
      </x:c>
      <x:c r="X53" s="52" t="n">
        <x:f>IF(D53=0,"",(W53)/D53)</x:f>
        <x:v>0.94141689373297</x:v>
      </x:c>
      <x:c r="Y53" t="str">
        <x:v>SATVEER</x:v>
      </x:c>
      <x:c r="Z53" t="n">
        <x:f>D53-E53-F53</x:f>
        <x:v>0</x:v>
      </x:c>
    </x:row>
    <x:row r="54">
      <x:c r="A54" t="n">
        <x:v>46</x:v>
      </x:c>
      <x:c r="B54" t="str">
        <x:v>PRY. SCHOOL MANDPA R.NO.2</x:v>
      </x:c>
      <x:c r="C54" t="n">
        <x:v>1091</x:v>
      </x:c>
      <x:c r="D54" t="n">
        <x:v>759</x:v>
      </x:c>
      <x:c r="E54" t="n">
        <x:f>SUM(H54:T54)</x:f>
        <x:v>755</x:v>
      </x:c>
      <x:c r="F54" t="n">
        <x:v>4</x:v>
      </x:c>
      <x:c r="G54" s="50" t="n">
        <x:f>IF(C54="","",IFERROR(D54/C54,0))</x:f>
        <x:v>0.6956920256645279</x:v>
      </x:c>
      <x:c r="H54" s="36" t="n">
        <x:v>727</x:v>
      </x:c>
      <x:c r="I54" t="n">
        <x:v>7</x:v>
      </x:c>
      <x:c r="J54" t="n">
        <x:v>10</x:v>
      </x:c>
      <x:c r="K54" t="n">
        <x:v>4</x:v>
      </x:c>
      <x:c r="L54" t="n">
        <x:v>1</x:v>
      </x:c>
      <x:c r="M54" t="n">
        <x:v>2</x:v>
      </x:c>
      <x:c r="N54" t="n">
        <x:v>0</x:v>
      </x:c>
      <x:c r="O54" t="n">
        <x:v>0</x:v>
      </x:c>
      <x:c r="P54" t="n">
        <x:v>0</x:v>
      </x:c>
      <x:c r="Q54" t="n">
        <x:v>3</x:v>
      </x:c>
      <x:c r="R54" t="n">
        <x:v>1</x:v>
      </x:c>
      <x:c r="S54" t="n">
        <x:v>0</x:v>
      </x:c>
      <x:c r="T54" t="n">
        <x:v>0</x:v>
      </x:c>
      <x:c r="U54" s="50" t="n">
        <x:f>IF(D54=0,"",H54/D54)</x:f>
        <x:v>0.9578392621870883</x:v>
      </x:c>
      <x:c r="V54" t="n">
        <x:f>MAX(I54:T54)</x:f>
        <x:v>10</x:v>
      </x:c>
      <x:c r="W54" t="n">
        <x:f>H54-V54</x:f>
        <x:v>717</x:v>
      </x:c>
      <x:c r="X54" s="52" t="n">
        <x:f>IF(D54=0,"",(W54)/D54)</x:f>
        <x:v>0.9446640316205533</x:v>
      </x:c>
      <x:c r="Y54" t="str">
        <x:v>SATVEER</x:v>
      </x:c>
      <x:c r="Z54" t="n">
        <x:f>D54-E54-F54</x:f>
        <x:v>0</x:v>
      </x:c>
    </x:row>
    <x:row r="55">
      <x:c r="A55" t="n">
        <x:v>47</x:v>
      </x:c>
      <x:c r="B55" t="str">
        <x:v>PRY. SCHOOL NO. 2 ZAMALPUR NO 2 R.NO.-1</x:v>
      </x:c>
      <x:c r="C55" t="n">
        <x:v>630</x:v>
      </x:c>
      <x:c r="D55" t="n">
        <x:v>508</x:v>
      </x:c>
      <x:c r="E55" t="n">
        <x:f>SUM(H55:T55)</x:f>
        <x:v>507</x:v>
      </x:c>
      <x:c r="F55" t="n">
        <x:v>1</x:v>
      </x:c>
      <x:c r="G55" s="50" t="n">
        <x:f>IF(C55="","",IFERROR(D55/C55,0))</x:f>
        <x:v>0.8063492063492064</x:v>
      </x:c>
      <x:c r="H55" s="36" t="n">
        <x:v>327</x:v>
      </x:c>
      <x:c r="I55" t="n">
        <x:v>162</x:v>
      </x:c>
      <x:c r="J55" t="n">
        <x:v>5</x:v>
      </x:c>
      <x:c r="K55" t="n">
        <x:v>3</x:v>
      </x:c>
      <x:c r="L55" t="n">
        <x:v>1</x:v>
      </x:c>
      <x:c r="M55" t="n">
        <x:v>0</x:v>
      </x:c>
      <x:c r="N55" t="n">
        <x:v>0</x:v>
      </x:c>
      <x:c r="O55" t="n">
        <x:v>0</x:v>
      </x:c>
      <x:c r="P55" t="n">
        <x:v>7</x:v>
      </x:c>
      <x:c r="Q55" t="n">
        <x:v>1</x:v>
      </x:c>
      <x:c r="R55" t="n">
        <x:v>0</x:v>
      </x:c>
      <x:c r="S55" t="n">
        <x:v>0</x:v>
      </x:c>
      <x:c r="T55" t="n">
        <x:v>1</x:v>
      </x:c>
      <x:c r="U55" s="50" t="n">
        <x:f>IF(D55=0,"",H55/D55)</x:f>
        <x:v>0.6437007874015748</x:v>
      </x:c>
      <x:c r="V55" t="n">
        <x:f>MAX(I55:T55)</x:f>
        <x:v>162</x:v>
      </x:c>
      <x:c r="W55" t="n">
        <x:f>H55-V55</x:f>
        <x:v>165</x:v>
      </x:c>
      <x:c r="X55" s="52" t="n">
        <x:f>IF(D55=0,"",(W55)/D55)</x:f>
        <x:v>0.3248031496062992</x:v>
      </x:c>
      <x:c r="Y55" t="str">
        <x:v>SATVEER</x:v>
      </x:c>
      <x:c r="Z55" t="n">
        <x:f>D55-E55-F55</x:f>
        <x:v>0</x:v>
      </x:c>
    </x:row>
    <x:row r="56">
      <x:c r="A56" t="n">
        <x:v>48</x:v>
      </x:c>
      <x:c r="B56" t="str">
        <x:v>PRY. SCHOOL NO. 2 ZAMALPUR NO 2 R.NO.-2</x:v>
      </x:c>
      <x:c r="C56" t="n">
        <x:v>622</x:v>
      </x:c>
      <x:c r="D56" t="n">
        <x:v>484</x:v>
      </x:c>
      <x:c r="E56" t="n">
        <x:f>SUM(H56:T56)</x:f>
        <x:v>484</x:v>
      </x:c>
      <x:c r="F56" t="n">
        <x:v>0</x:v>
      </x:c>
      <x:c r="G56" s="50" t="n">
        <x:f>IF(C56="","",IFERROR(D56/C56,0))</x:f>
        <x:v>0.7781350482315113</x:v>
      </x:c>
      <x:c r="H56" s="36" t="n">
        <x:v>341</x:v>
      </x:c>
      <x:c r="I56" t="n">
        <x:v>124</x:v>
      </x:c>
      <x:c r="J56" t="n">
        <x:v>9</x:v>
      </x:c>
      <x:c r="K56" t="n">
        <x:v>2</x:v>
      </x:c>
      <x:c r="L56" t="n">
        <x:v>1</x:v>
      </x:c>
      <x:c r="M56" t="n">
        <x:v>3</x:v>
      </x:c>
      <x:c r="N56" t="n">
        <x:v>1</x:v>
      </x:c>
      <x:c r="O56" t="n">
        <x:v>0</x:v>
      </x:c>
      <x:c r="P56" t="n">
        <x:v>0</x:v>
      </x:c>
      <x:c r="Q56" t="n">
        <x:v>2</x:v>
      </x:c>
      <x:c r="R56" t="n">
        <x:v>1</x:v>
      </x:c>
      <x:c r="S56" t="n">
        <x:v>0</x:v>
      </x:c>
      <x:c r="T56" t="n">
        <x:v>0</x:v>
      </x:c>
      <x:c r="U56" s="50" t="n">
        <x:f>IF(D56=0,"",H56/D56)</x:f>
        <x:v>0.7045454545454546</x:v>
      </x:c>
      <x:c r="V56" t="n">
        <x:f>MAX(I56:T56)</x:f>
        <x:v>124</x:v>
      </x:c>
      <x:c r="W56" t="n">
        <x:f>H56-V56</x:f>
        <x:v>217</x:v>
      </x:c>
      <x:c r="X56" s="52" t="n">
        <x:f>IF(D56=0,"",(W56)/D56)</x:f>
        <x:v>0.44834710743801653</x:v>
      </x:c>
      <x:c r="Y56" t="str">
        <x:v>SATVEER</x:v>
      </x:c>
      <x:c r="Z56" t="n">
        <x:f>D56-E56-F56</x:f>
        <x:v>0</x:v>
      </x:c>
    </x:row>
    <x:row r="57">
      <x:c r="A57" t="n">
        <x:v>49</x:v>
      </x:c>
      <x:c r="B57" t="str">
        <x:v>J. H. SCHOOL RAJPUR KALAN R.NO. 1</x:v>
      </x:c>
      <x:c r="C57" t="n">
        <x:v>1099</x:v>
      </x:c>
      <x:c r="D57" t="n">
        <x:v>721</x:v>
      </x:c>
      <x:c r="E57" t="n">
        <x:f>SUM(H57:T57)</x:f>
        <x:v>718</x:v>
      </x:c>
      <x:c r="F57" t="n">
        <x:v>3</x:v>
      </x:c>
      <x:c r="G57" s="50" t="n">
        <x:f>IF(C57="","",IFERROR(D57/C57,0))</x:f>
        <x:v>0.6560509554140127</x:v>
      </x:c>
      <x:c r="H57" s="36" t="n">
        <x:v>374</x:v>
      </x:c>
      <x:c r="I57" t="n">
        <x:v>330</x:v>
      </x:c>
      <x:c r="J57" t="n">
        <x:v>1</x:v>
      </x:c>
      <x:c r="K57" t="n">
        <x:v>2</x:v>
      </x:c>
      <x:c r="L57" t="n">
        <x:v>3</x:v>
      </x:c>
      <x:c r="M57" t="n">
        <x:v>4</x:v>
      </x:c>
      <x:c r="N57" t="n">
        <x:v>2</x:v>
      </x:c>
      <x:c r="O57" t="n">
        <x:v>1</x:v>
      </x:c>
      <x:c r="P57" t="n">
        <x:v>0</x:v>
      </x:c>
      <x:c r="Q57" t="n">
        <x:v>1</x:v>
      </x:c>
      <x:c r="R57" t="n">
        <x:v>0</x:v>
      </x:c>
      <x:c r="S57" t="n">
        <x:v>0</x:v>
      </x:c>
      <x:c r="T57" t="n">
        <x:v>0</x:v>
      </x:c>
      <x:c r="U57" s="50" t="n">
        <x:f>IF(D57=0,"",H57/D57)</x:f>
        <x:v>0.5187239944521498</x:v>
      </x:c>
      <x:c r="V57" t="n">
        <x:f>MAX(I57:T57)</x:f>
        <x:v>330</x:v>
      </x:c>
      <x:c r="W57" t="n">
        <x:f>H57-V57</x:f>
        <x:v>44</x:v>
      </x:c>
      <x:c r="X57" s="52" t="n">
        <x:f>IF(D57=0,"",(W57)/D57)</x:f>
        <x:v>0.06102635228848821</x:v>
      </x:c>
      <x:c r="Y57" t="str">
        <x:v>SATVEER</x:v>
      </x:c>
      <x:c r="Z57" t="n">
        <x:f>D57-E57-F57</x:f>
        <x:v>0</x:v>
      </x:c>
    </x:row>
    <x:row r="58">
      <x:c r="A58" t="n">
        <x:v>50</x:v>
      </x:c>
      <x:c r="B58" t="str">
        <x:v>PRY. SCHOOL CHEETI R.NO.-1</x:v>
      </x:c>
      <x:c r="C58" t="n">
        <x:v>920</x:v>
      </x:c>
      <x:c r="D58" t="n">
        <x:v>637</x:v>
      </x:c>
      <x:c r="E58" t="n">
        <x:f>SUM(H58:T58)</x:f>
        <x:v>636</x:v>
      </x:c>
      <x:c r="F58" t="n">
        <x:v>1</x:v>
      </x:c>
      <x:c r="G58" s="50" t="n">
        <x:f>IF(C58="","",IFERROR(D58/C58,0))</x:f>
        <x:v>0.6923913043478261</x:v>
      </x:c>
      <x:c r="H58" s="36" t="n">
        <x:v>325</x:v>
      </x:c>
      <x:c r="I58" t="n">
        <x:v>285</x:v>
      </x:c>
      <x:c r="J58" t="n">
        <x:v>13</x:v>
      </x:c>
      <x:c r="K58" t="n">
        <x:v>2</x:v>
      </x:c>
      <x:c r="L58" t="n">
        <x:v>2</x:v>
      </x:c>
      <x:c r="M58" t="n">
        <x:v>3</x:v>
      </x:c>
      <x:c r="N58" t="n">
        <x:v>0</x:v>
      </x:c>
      <x:c r="O58" t="n">
        <x:v>0</x:v>
      </x:c>
      <x:c r="P58" t="n">
        <x:v>6</x:v>
      </x:c>
      <x:c r="Q58" t="n">
        <x:v>0</x:v>
      </x:c>
      <x:c r="R58" t="n">
        <x:v>0</x:v>
      </x:c>
      <x:c r="S58" t="n">
        <x:v>0</x:v>
      </x:c>
      <x:c r="T58" t="n">
        <x:v>0</x:v>
      </x:c>
      <x:c r="U58" s="50" t="n">
        <x:f>IF(D58=0,"",H58/D58)</x:f>
        <x:v>0.5102040816326531</x:v>
      </x:c>
      <x:c r="V58" t="n">
        <x:f>MAX(I58:T58)</x:f>
        <x:v>285</x:v>
      </x:c>
      <x:c r="W58" t="n">
        <x:f>H58-V58</x:f>
        <x:v>40</x:v>
      </x:c>
      <x:c r="X58" s="52" t="n">
        <x:f>IF(D58=0,"",(W58)/D58)</x:f>
        <x:v>0.06279434850863422</x:v>
      </x:c>
      <x:c r="Y58" t="str">
        <x:v>SATVEER</x:v>
      </x:c>
      <x:c r="Z58" t="n">
        <x:f>D58-E58-F58</x:f>
        <x:v>0</x:v>
      </x:c>
    </x:row>
    <x:row r="59">
      <x:c r="A59" t="n">
        <x:v>51</x:v>
      </x:c>
      <x:c r="B59" t="str">
        <x:v>PRY. SCHOOL CHEETI R.NO.-2</x:v>
      </x:c>
      <x:c r="C59" t="n">
        <x:v>836</x:v>
      </x:c>
      <x:c r="D59" t="n">
        <x:v>463</x:v>
      </x:c>
      <x:c r="E59" t="n">
        <x:f>SUM(H59:T59)</x:f>
        <x:v>460</x:v>
      </x:c>
      <x:c r="F59" t="n">
        <x:v>3</x:v>
      </x:c>
      <x:c r="G59" s="50" t="n">
        <x:f>IF(C59="","",IFERROR(D59/C59,0))</x:f>
        <x:v>0.5538277511961722</x:v>
      </x:c>
      <x:c r="H59" s="36" t="n">
        <x:v>119</x:v>
      </x:c>
      <x:c r="I59" t="n">
        <x:v>318</x:v>
      </x:c>
      <x:c r="J59" t="n">
        <x:v>6</x:v>
      </x:c>
      <x:c r="K59" t="n">
        <x:v>5</x:v>
      </x:c>
      <x:c r="L59" t="n">
        <x:v>2</x:v>
      </x:c>
      <x:c r="M59" t="n">
        <x:v>3</x:v>
      </x:c>
      <x:c r="N59" t="n">
        <x:v>1</x:v>
      </x:c>
      <x:c r="O59" t="n">
        <x:v>3</x:v>
      </x:c>
      <x:c r="P59" t="n">
        <x:v>0</x:v>
      </x:c>
      <x:c r="Q59" t="n">
        <x:v>2</x:v>
      </x:c>
      <x:c r="R59" t="n">
        <x:v>0</x:v>
      </x:c>
      <x:c r="S59" t="n">
        <x:v>1</x:v>
      </x:c>
      <x:c r="T59" t="n">
        <x:v>0</x:v>
      </x:c>
      <x:c r="U59" s="50" t="n">
        <x:f>IF(D59=0,"",H59/D59)</x:f>
        <x:v>0.2570194384449244</x:v>
      </x:c>
      <x:c r="V59" t="n">
        <x:f>MAX(I59:T59)</x:f>
        <x:v>318</x:v>
      </x:c>
      <x:c r="W59" t="n">
        <x:f>H59-V59</x:f>
        <x:v>-199</x:v>
      </x:c>
      <x:c r="X59" s="52" t="n">
        <x:f>IF(D59=0,"",(W59)/D59)</x:f>
        <x:v>-0.4298056155507559</x:v>
      </x:c>
      <x:c r="Y59" t="str">
        <x:v>DR. MAHESH SHARMA</x:v>
      </x:c>
      <x:c r="Z59" t="n">
        <x:f>D59-E59-F59</x:f>
        <x:v>0</x:v>
      </x:c>
    </x:row>
    <x:row r="60">
      <x:c r="A60" t="n">
        <x:v>52</x:v>
      </x:c>
      <x:c r="B60" t="str">
        <x:v>PRY. SCHOOL CHEETI R.NO-3</x:v>
      </x:c>
      <x:c r="C60" t="n">
        <x:v>946</x:v>
      </x:c>
      <x:c r="D60" t="n">
        <x:v>549</x:v>
      </x:c>
      <x:c r="E60" t="n">
        <x:f>SUM(H60:T60)</x:f>
        <x:v>546</x:v>
      </x:c>
      <x:c r="F60" t="n">
        <x:v>3</x:v>
      </x:c>
      <x:c r="G60" s="50" t="n">
        <x:f>IF(C60="","",IFERROR(D60/C60,0))</x:f>
        <x:v>0.580338266384778</x:v>
      </x:c>
      <x:c r="H60" s="36" t="n">
        <x:v>200</x:v>
      </x:c>
      <x:c r="I60" t="n">
        <x:v>333</x:v>
      </x:c>
      <x:c r="J60" t="n">
        <x:v>8</x:v>
      </x:c>
      <x:c r="K60" t="n">
        <x:v>2</x:v>
      </x:c>
      <x:c r="L60" t="n">
        <x:v>0</x:v>
      </x:c>
      <x:c r="M60" t="n">
        <x:v>2</x:v>
      </x:c>
      <x:c r="N60" t="n">
        <x:v>0</x:v>
      </x:c>
      <x:c r="O60" t="n">
        <x:v>1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s="50" t="n">
        <x:f>IF(D60=0,"",H60/D60)</x:f>
        <x:v>0.36429872495446264</x:v>
      </x:c>
      <x:c r="V60" t="n">
        <x:f>MAX(I60:T60)</x:f>
        <x:v>333</x:v>
      </x:c>
      <x:c r="W60" t="n">
        <x:f>H60-V60</x:f>
        <x:v>-133</x:v>
      </x:c>
      <x:c r="X60" s="52" t="n">
        <x:f>IF(D60=0,"",(W60)/D60)</x:f>
        <x:v>-0.24225865209471767</x:v>
      </x:c>
      <x:c r="Y60" t="str">
        <x:v>DR. MAHESH SHARMA</x:v>
      </x:c>
      <x:c r="Z60" t="n">
        <x:f>D60-E60-F60</x:f>
        <x:v>0</x:v>
      </x:c>
    </x:row>
    <x:row r="61">
      <x:c r="A61" t="n">
        <x:v>53</x:v>
      </x:c>
      <x:c r="B61" t="str">
        <x:v>PRY. SCHOOL NAGLA CHEETI R.NO.-1</x:v>
      </x:c>
      <x:c r="C61" t="n">
        <x:v>464</x:v>
      </x:c>
      <x:c r="D61" t="n">
        <x:v>350</x:v>
      </x:c>
      <x:c r="E61" t="n">
        <x:f>SUM(H61:T61)</x:f>
        <x:v>349</x:v>
      </x:c>
      <x:c r="F61" t="n">
        <x:v>1</x:v>
      </x:c>
      <x:c r="G61" s="50" t="n">
        <x:f>IF(C61="","",IFERROR(D61/C61,0))</x:f>
        <x:v>0.7543103448275862</x:v>
      </x:c>
      <x:c r="H61" s="36" t="n">
        <x:v>98</x:v>
      </x:c>
      <x:c r="I61" t="n">
        <x:v>243</x:v>
      </x:c>
      <x:c r="J61" t="n">
        <x:v>2</x:v>
      </x:c>
      <x:c r="K61" t="n">
        <x:v>2</x:v>
      </x:c>
      <x:c r="L61" t="n">
        <x:v>2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n">
        <x:v>1</x:v>
      </x:c>
      <x:c r="R61" t="n">
        <x:v>0</x:v>
      </x:c>
      <x:c r="S61" t="n">
        <x:v>0</x:v>
      </x:c>
      <x:c r="T61" t="n">
        <x:v>0</x:v>
      </x:c>
      <x:c r="U61" s="50" t="n">
        <x:f>IF(D61=0,"",H61/D61)</x:f>
        <x:v>0.28</x:v>
      </x:c>
      <x:c r="V61" t="n">
        <x:f>MAX(I61:T61)</x:f>
        <x:v>243</x:v>
      </x:c>
      <x:c r="W61" t="n">
        <x:f>H61-V61</x:f>
        <x:v>-145</x:v>
      </x:c>
      <x:c r="X61" s="52" t="n">
        <x:f>IF(D61=0,"",(W61)/D61)</x:f>
        <x:v>-0.4142857142857143</x:v>
      </x:c>
      <x:c r="Y61" t="str">
        <x:v>DR. MAHESH SHARMA</x:v>
      </x:c>
      <x:c r="Z61" t="n">
        <x:f>D61-E61-F61</x:f>
        <x:v>0</x:v>
      </x:c>
    </x:row>
    <x:row r="62">
      <x:c r="A62" t="n">
        <x:v>54</x:v>
      </x:c>
      <x:c r="B62" t="str">
        <x:v>PRY. SCHOOL DEVTA R.NO.-1</x:v>
      </x:c>
      <x:c r="C62" t="n">
        <x:v>1010</x:v>
      </x:c>
      <x:c r="D62" t="n">
        <x:v>538</x:v>
      </x:c>
      <x:c r="E62" t="n">
        <x:f>SUM(H62:T62)</x:f>
        <x:v>537</x:v>
      </x:c>
      <x:c r="F62" t="n">
        <x:v>1</x:v>
      </x:c>
      <x:c r="G62" s="50" t="n">
        <x:f>IF(C62="","",IFERROR(D62/C62,0))</x:f>
        <x:v>0.5326732673267327</x:v>
      </x:c>
      <x:c r="H62" s="36" t="n">
        <x:v>306</x:v>
      </x:c>
      <x:c r="I62" t="n">
        <x:v>210</x:v>
      </x:c>
      <x:c r="J62" t="n">
        <x:v>10</x:v>
      </x:c>
      <x:c r="K62" t="n">
        <x:v>1</x:v>
      </x:c>
      <x:c r="L62" t="n">
        <x:v>0</x:v>
      </x:c>
      <x:c r="M62" t="n">
        <x:v>1</x:v>
      </x:c>
      <x:c r="N62" t="n">
        <x:v>1</x:v>
      </x:c>
      <x:c r="O62" t="n">
        <x:v>1</x:v>
      </x:c>
      <x:c r="P62" t="n">
        <x:v>5</x:v>
      </x:c>
      <x:c r="Q62" t="n">
        <x:v>1</x:v>
      </x:c>
      <x:c r="R62" t="n">
        <x:v>1</x:v>
      </x:c>
      <x:c r="S62" t="n">
        <x:v>0</x:v>
      </x:c>
      <x:c r="T62" t="n">
        <x:v>0</x:v>
      </x:c>
      <x:c r="U62" s="50" t="n">
        <x:f>IF(D62=0,"",H62/D62)</x:f>
        <x:v>0.5687732342007435</x:v>
      </x:c>
      <x:c r="V62" t="n">
        <x:f>MAX(I62:T62)</x:f>
        <x:v>210</x:v>
      </x:c>
      <x:c r="W62" t="n">
        <x:f>H62-V62</x:f>
        <x:v>96</x:v>
      </x:c>
      <x:c r="X62" s="52" t="n">
        <x:f>IF(D62=0,"",(W62)/D62)</x:f>
        <x:v>0.17843866171003717</x:v>
      </x:c>
      <x:c r="Y62" t="str">
        <x:v>SATVEER</x:v>
      </x:c>
      <x:c r="Z62" t="n">
        <x:f>D62-E62-F62</x:f>
        <x:v>0</x:v>
      </x:c>
    </x:row>
    <x:row r="63">
      <x:c r="A63" t="n">
        <x:v>55</x:v>
      </x:c>
      <x:c r="B63" t="str">
        <x:v>PRY. SCHOOL DEVTA R.NO.-2</x:v>
      </x:c>
      <x:c r="C63" t="n">
        <x:v>1057</x:v>
      </x:c>
      <x:c r="D63" t="n">
        <x:v>647</x:v>
      </x:c>
      <x:c r="E63" t="n">
        <x:f>SUM(H63:T63)</x:f>
        <x:v>646</x:v>
      </x:c>
      <x:c r="F63" t="n">
        <x:v>1</x:v>
      </x:c>
      <x:c r="G63" s="50" t="n">
        <x:f>IF(C63="","",IFERROR(D63/C63,0))</x:f>
        <x:v>0.6121097445600757</x:v>
      </x:c>
      <x:c r="H63" s="36" t="n">
        <x:v>395</x:v>
      </x:c>
      <x:c r="I63" t="n">
        <x:v>238</x:v>
      </x:c>
      <x:c r="J63" t="n">
        <x:v>3</x:v>
      </x:c>
      <x:c r="K63" t="n">
        <x:v>3</x:v>
      </x:c>
      <x:c r="L63" t="n">
        <x:v>0</x:v>
      </x:c>
      <x:c r="M63" t="n">
        <x:v>1</x:v>
      </x:c>
      <x:c r="N63" t="n">
        <x:v>0</x:v>
      </x:c>
      <x:c r="O63" t="n">
        <x:v>0</x:v>
      </x:c>
      <x:c r="P63" t="n">
        <x:v>1</x:v>
      </x:c>
      <x:c r="Q63" t="n">
        <x:v>0</x:v>
      </x:c>
      <x:c r="R63" t="n">
        <x:v>2</x:v>
      </x:c>
      <x:c r="S63" t="n">
        <x:v>2</x:v>
      </x:c>
      <x:c r="T63" t="n">
        <x:v>1</x:v>
      </x:c>
      <x:c r="U63" s="50" t="n">
        <x:f>IF(D63=0,"",H63/D63)</x:f>
        <x:v>0.6105100463678517</x:v>
      </x:c>
      <x:c r="V63" t="n">
        <x:f>MAX(I63:T63)</x:f>
        <x:v>238</x:v>
      </x:c>
      <x:c r="W63" t="n">
        <x:f>H63-V63</x:f>
        <x:v>157</x:v>
      </x:c>
      <x:c r="X63" s="52" t="n">
        <x:f>IF(D63=0,"",(W63)/D63)</x:f>
        <x:v>0.2426584234930448</x:v>
      </x:c>
      <x:c r="Y63" t="str">
        <x:v>SATVEER</x:v>
      </x:c>
      <x:c r="Z63" t="n">
        <x:f>D63-E63-F63</x:f>
        <x:v>0</x:v>
      </x:c>
    </x:row>
    <x:row r="64">
      <x:c r="A64" t="n">
        <x:v>56</x:v>
      </x:c>
      <x:c r="B64" t="str">
        <x:v>PATEL I.C. ASTAULI R.NO.-1</x:v>
      </x:c>
      <x:c r="C64" t="n">
        <x:v>883</x:v>
      </x:c>
      <x:c r="D64" t="n">
        <x:v>541</x:v>
      </x:c>
      <x:c r="E64" t="n">
        <x:f>SUM(H64:T64)</x:f>
        <x:v>539</x:v>
      </x:c>
      <x:c r="F64" t="n">
        <x:v>2</x:v>
      </x:c>
      <x:c r="G64" s="50" t="n">
        <x:f>IF(C64="","",IFERROR(D64/C64,0))</x:f>
        <x:v>0.6126840317100792</x:v>
      </x:c>
      <x:c r="H64" s="36" t="n">
        <x:v>354</x:v>
      </x:c>
      <x:c r="I64" t="n">
        <x:v>172</x:v>
      </x:c>
      <x:c r="J64" t="n">
        <x:v>4</x:v>
      </x:c>
      <x:c r="K64" t="n">
        <x:v>1</x:v>
      </x:c>
      <x:c r="L64" t="n">
        <x:v>1</x:v>
      </x:c>
      <x:c r="M64" t="n">
        <x:v>6</x:v>
      </x:c>
      <x:c r="N64" t="n">
        <x:v>0</x:v>
      </x:c>
      <x:c r="O64" t="n">
        <x:v>0</x:v>
      </x:c>
      <x:c r="P64" t="n">
        <x:v>0</x:v>
      </x:c>
      <x:c r="Q64" t="n">
        <x:v>1</x:v>
      </x:c>
      <x:c r="R64" t="n">
        <x:v>0</x:v>
      </x:c>
      <x:c r="S64" t="n">
        <x:v>0</x:v>
      </x:c>
      <x:c r="T64" t="n">
        <x:v>0</x:v>
      </x:c>
      <x:c r="U64" s="50" t="n">
        <x:f>IF(D64=0,"",H64/D64)</x:f>
        <x:v>0.6543438077634011</x:v>
      </x:c>
      <x:c r="V64" t="n">
        <x:f>MAX(I64:T64)</x:f>
        <x:v>172</x:v>
      </x:c>
      <x:c r="W64" t="n">
        <x:f>H64-V64</x:f>
        <x:v>182</x:v>
      </x:c>
      <x:c r="X64" s="52" t="n">
        <x:f>IF(D64=0,"",(W64)/D64)</x:f>
        <x:v>0.3364140480591497</x:v>
      </x:c>
      <x:c r="Y64" t="str">
        <x:v>SATVEER</x:v>
      </x:c>
      <x:c r="Z64" t="n">
        <x:f>D64-E64-F64</x:f>
        <x:v>0</x:v>
      </x:c>
    </x:row>
    <x:row r="65">
      <x:c r="A65" t="n">
        <x:v>57</x:v>
      </x:c>
      <x:c r="B65" t="str">
        <x:v>PATEL I.C. ASTAULI R.NO.-2</x:v>
      </x:c>
      <x:c r="C65" t="n">
        <x:v>1011</x:v>
      </x:c>
      <x:c r="D65" t="n">
        <x:v>676</x:v>
      </x:c>
      <x:c r="E65" t="n">
        <x:f>SUM(H65:T65)</x:f>
        <x:v>673</x:v>
      </x:c>
      <x:c r="F65" t="n">
        <x:v>3</x:v>
      </x:c>
      <x:c r="G65" s="50" t="n">
        <x:f>IF(C65="","",IFERROR(D65/C65,0))</x:f>
        <x:v>0.66864490603363</x:v>
      </x:c>
      <x:c r="H65" s="36" t="n">
        <x:v>280</x:v>
      </x:c>
      <x:c r="I65" t="n">
        <x:v>371</x:v>
      </x:c>
      <x:c r="J65" t="n">
        <x:v>10</x:v>
      </x:c>
      <x:c r="K65" t="n">
        <x:v>4</x:v>
      </x:c>
      <x:c r="L65" t="n">
        <x:v>3</x:v>
      </x:c>
      <x:c r="M65" t="n">
        <x:v>1</x:v>
      </x:c>
      <x:c r="N65" t="n">
        <x:v>0</x:v>
      </x:c>
      <x:c r="O65" t="n">
        <x:v>1</x:v>
      </x:c>
      <x:c r="P65" t="n">
        <x:v>0</x:v>
      </x:c>
      <x:c r="Q65" t="n">
        <x:v>2</x:v>
      </x:c>
      <x:c r="R65" t="n">
        <x:v>1</x:v>
      </x:c>
      <x:c r="S65" t="n">
        <x:v>0</x:v>
      </x:c>
      <x:c r="T65" t="n">
        <x:v>0</x:v>
      </x:c>
      <x:c r="U65" s="50" t="n">
        <x:f>IF(D65=0,"",H65/D65)</x:f>
        <x:v>0.41420118343195267</x:v>
      </x:c>
      <x:c r="V65" t="n">
        <x:f>MAX(I65:T65)</x:f>
        <x:v>371</x:v>
      </x:c>
      <x:c r="W65" t="n">
        <x:f>H65-V65</x:f>
        <x:v>-91</x:v>
      </x:c>
      <x:c r="X65" s="52" t="n">
        <x:f>IF(D65=0,"",(W65)/D65)</x:f>
        <x:v>-0.1346153846153846</x:v>
      </x:c>
      <x:c r="Y65" t="str">
        <x:v>DR. MAHESH SHARMA</x:v>
      </x:c>
      <x:c r="Z65" t="n">
        <x:f>D65-E65-F65</x:f>
        <x:v>0</x:v>
      </x:c>
    </x:row>
    <x:row r="66">
      <x:c r="A66" t="n">
        <x:v>58</x:v>
      </x:c>
      <x:c r="B66" t="str">
        <x:v>PATEL I.C. ASTAULI R.NO.-3</x:v>
      </x:c>
      <x:c r="C66" t="n">
        <x:v>727</x:v>
      </x:c>
      <x:c r="D66" t="n">
        <x:v>419</x:v>
      </x:c>
      <x:c r="E66" t="n">
        <x:f>SUM(H66:T66)</x:f>
        <x:v>418</x:v>
      </x:c>
      <x:c r="F66" t="n">
        <x:v>1</x:v>
      </x:c>
      <x:c r="G66" s="50" t="n">
        <x:f>IF(C66="","",IFERROR(D66/C66,0))</x:f>
        <x:v>0.5763411279229711</x:v>
      </x:c>
      <x:c r="H66" s="36" t="n">
        <x:v>198</x:v>
      </x:c>
      <x:c r="I66" t="n">
        <x:v>200</x:v>
      </x:c>
      <x:c r="J66" t="n">
        <x:v>2</x:v>
      </x:c>
      <x:c r="K66" t="n">
        <x:v>1</x:v>
      </x:c>
      <x:c r="L66" t="n">
        <x:v>0</x:v>
      </x:c>
      <x:c r="M66" t="n">
        <x:v>4</x:v>
      </x:c>
      <x:c r="N66" t="n">
        <x:v>1</x:v>
      </x:c>
      <x:c r="O66" t="n">
        <x:v>2</x:v>
      </x:c>
      <x:c r="P66" t="n">
        <x:v>8</x:v>
      </x:c>
      <x:c r="Q66" t="n">
        <x:v>0</x:v>
      </x:c>
      <x:c r="R66" t="n">
        <x:v>0</x:v>
      </x:c>
      <x:c r="S66" t="n">
        <x:v>0</x:v>
      </x:c>
      <x:c r="T66" t="n">
        <x:v>2</x:v>
      </x:c>
      <x:c r="U66" s="50" t="n">
        <x:f>IF(D66=0,"",H66/D66)</x:f>
        <x:v>0.47255369928400953</x:v>
      </x:c>
      <x:c r="V66" t="n">
        <x:f>MAX(I66:T66)</x:f>
        <x:v>200</x:v>
      </x:c>
      <x:c r="W66" t="n">
        <x:f>H66-V66</x:f>
        <x:v>-2</x:v>
      </x:c>
      <x:c r="X66" s="52" t="n">
        <x:f>IF(D66=0,"",(W66)/D66)</x:f>
        <x:v>-0.00477326968973747</x:v>
      </x:c>
      <x:c r="Y66" t="str">
        <x:v>DR. MAHESH SHARMA</x:v>
      </x:c>
      <x:c r="Z66" t="n">
        <x:f>D66-E66-F66</x:f>
        <x:v>0</x:v>
      </x:c>
    </x:row>
    <x:row r="67">
      <x:c r="A67" t="n">
        <x:v>59</x:v>
      </x:c>
      <x:c r="B67" t="str">
        <x:v>CH. LAXMINARAYAN I.C. MANDI SHYAM NAGAR URF KHERLI HAFIZPUR R. NO.-1</x:v>
      </x:c>
      <x:c r="C67" t="n">
        <x:v>1122</x:v>
      </x:c>
      <x:c r="D67" t="n">
        <x:v>711</x:v>
      </x:c>
      <x:c r="E67" t="n">
        <x:f>SUM(H67:T67)</x:f>
        <x:v>706</x:v>
      </x:c>
      <x:c r="F67" t="n">
        <x:v>5</x:v>
      </x:c>
      <x:c r="G67" s="50" t="n">
        <x:f>IF(C67="","",IFERROR(D67/C67,0))</x:f>
        <x:v>0.6336898395721925</x:v>
      </x:c>
      <x:c r="H67" s="36" t="n">
        <x:v>344</x:v>
      </x:c>
      <x:c r="I67" t="n">
        <x:v>337</x:v>
      </x:c>
      <x:c r="J67" t="n">
        <x:v>15</x:v>
      </x:c>
      <x:c r="K67" t="n">
        <x:v>4</x:v>
      </x:c>
      <x:c r="L67" t="n">
        <x:v>1</x:v>
      </x:c>
      <x:c r="M67" t="n">
        <x:v>0</x:v>
      </x:c>
      <x:c r="N67" t="n">
        <x:v>0</x:v>
      </x:c>
      <x:c r="O67" t="n">
        <x:v>3</x:v>
      </x:c>
      <x:c r="P67" t="n">
        <x:v>1</x:v>
      </x:c>
      <x:c r="Q67" t="n">
        <x:v>1</x:v>
      </x:c>
      <x:c r="R67" t="n">
        <x:v>0</x:v>
      </x:c>
      <x:c r="S67" t="n">
        <x:v>0</x:v>
      </x:c>
      <x:c r="T67" t="n">
        <x:v>0</x:v>
      </x:c>
      <x:c r="U67" s="50" t="n">
        <x:f>IF(D67=0,"",H67/D67)</x:f>
        <x:v>0.4838255977496484</x:v>
      </x:c>
      <x:c r="V67" t="n">
        <x:f>MAX(I67:T67)</x:f>
        <x:v>337</x:v>
      </x:c>
      <x:c r="W67" t="n">
        <x:f>H67-V67</x:f>
        <x:v>7</x:v>
      </x:c>
      <x:c r="X67" s="52" t="n">
        <x:f>IF(D67=0,"",(W67)/D67)</x:f>
        <x:v>0.009845288326300985</x:v>
      </x:c>
      <x:c r="Y67" t="str">
        <x:v>SATVEER</x:v>
      </x:c>
      <x:c r="Z67" t="n">
        <x:f>D67-E67-F67</x:f>
        <x:v>0</x:v>
      </x:c>
    </x:row>
    <x:row r="68">
      <x:c r="A68" t="n">
        <x:v>60</x:v>
      </x:c>
      <x:c r="B68" t="str">
        <x:v>CH. LAXMINARAYAN I.C. MANDI SHYAMNAGAR URF KHERLI HAFIZPUR R.NO.-2</x:v>
      </x:c>
      <x:c r="C68" t="n">
        <x:v>1067</x:v>
      </x:c>
      <x:c r="D68" t="n">
        <x:v>671</x:v>
      </x:c>
      <x:c r="E68" t="n">
        <x:f>SUM(H68:T68)</x:f>
        <x:v>669</x:v>
      </x:c>
      <x:c r="F68" t="n">
        <x:v>2</x:v>
      </x:c>
      <x:c r="G68" s="50" t="n">
        <x:f>IF(C68="","",IFERROR(D68/C68,0))</x:f>
        <x:v>0.6288659793814433</x:v>
      </x:c>
      <x:c r="H68" s="36" t="n">
        <x:v>151</x:v>
      </x:c>
      <x:c r="I68" t="n">
        <x:v>508</x:v>
      </x:c>
      <x:c r="J68" t="n">
        <x:v>4</x:v>
      </x:c>
      <x:c r="K68" t="n">
        <x:v>2</x:v>
      </x:c>
      <x:c r="L68" t="n">
        <x:v>1</x:v>
      </x:c>
      <x:c r="M68" t="n">
        <x:v>0</x:v>
      </x:c>
      <x:c r="N68" t="n">
        <x:v>0</x:v>
      </x:c>
      <x:c r="O68" t="n">
        <x:v>1</x:v>
      </x:c>
      <x:c r="P68" t="n">
        <x:v>1</x:v>
      </x:c>
      <x:c r="Q68" t="n">
        <x:v>0</x:v>
      </x:c>
      <x:c r="R68" t="n">
        <x:v>1</x:v>
      </x:c>
      <x:c r="S68" t="n">
        <x:v>0</x:v>
      </x:c>
      <x:c r="T68" t="n">
        <x:v>0</x:v>
      </x:c>
      <x:c r="U68" s="50" t="n">
        <x:f>IF(D68=0,"",H68/D68)</x:f>
        <x:v>0.22503725782414308</x:v>
      </x:c>
      <x:c r="V68" t="n">
        <x:f>MAX(I68:T68)</x:f>
        <x:v>508</x:v>
      </x:c>
      <x:c r="W68" t="n">
        <x:f>H68-V68</x:f>
        <x:v>-357</x:v>
      </x:c>
      <x:c r="X68" s="52" t="n">
        <x:f>IF(D68=0,"",(W68)/D68)</x:f>
        <x:v>-0.5320417287630402</x:v>
      </x:c>
      <x:c r="Y68" t="str">
        <x:v>DR. MAHESH SHARMA</x:v>
      </x:c>
      <x:c r="Z68" t="n">
        <x:f>D68-E68-F68</x:f>
        <x:v>0</x:v>
      </x:c>
    </x:row>
    <x:row r="69">
      <x:c r="A69" t="n">
        <x:v>61</x:v>
      </x:c>
      <x:c r="B69" t="str">
        <x:v>CH. LAXMINARAYAN I.C. MANDI SHYAMNAGAR URF KHERLI HAFIZPUR R.NO.-3</x:v>
      </x:c>
      <x:c r="C69" t="n">
        <x:v>982</x:v>
      </x:c>
      <x:c r="D69" t="n">
        <x:v>645</x:v>
      </x:c>
      <x:c r="E69" t="n">
        <x:f>SUM(H69:T69)</x:f>
        <x:v>643</x:v>
      </x:c>
      <x:c r="F69" t="n">
        <x:v>2</x:v>
      </x:c>
      <x:c r="G69" s="50" t="n">
        <x:f>IF(C69="","",IFERROR(D69/C69,0))</x:f>
        <x:v>0.6568228105906314</x:v>
      </x:c>
      <x:c r="H69" s="36" t="n">
        <x:v>111</x:v>
      </x:c>
      <x:c r="I69" t="n">
        <x:v>514</x:v>
      </x:c>
      <x:c r="J69" t="n">
        <x:v>8</x:v>
      </x:c>
      <x:c r="K69" t="n">
        <x:v>3</x:v>
      </x:c>
      <x:c r="L69" t="n">
        <x:v>3</x:v>
      </x:c>
      <x:c r="M69" t="n">
        <x:v>1</x:v>
      </x:c>
      <x:c r="N69" t="n">
        <x:v>1</x:v>
      </x:c>
      <x:c r="O69" t="n">
        <x:v>1</x:v>
      </x:c>
      <x:c r="P69" t="n">
        <x:v>0</x:v>
      </x:c>
      <x:c r="Q69" t="n">
        <x:v>0</x:v>
      </x:c>
      <x:c r="R69" t="n">
        <x:v>0</x:v>
      </x:c>
      <x:c r="S69" t="n">
        <x:v>1</x:v>
      </x:c>
      <x:c r="T69" t="n">
        <x:v>0</x:v>
      </x:c>
      <x:c r="U69" s="50" t="n">
        <x:f>IF(D69=0,"",H69/D69)</x:f>
        <x:v>0.17209302325581396</x:v>
      </x:c>
      <x:c r="V69" t="n">
        <x:f>MAX(I69:T69)</x:f>
        <x:v>514</x:v>
      </x:c>
      <x:c r="W69" t="n">
        <x:f>H69-V69</x:f>
        <x:v>-403</x:v>
      </x:c>
      <x:c r="X69" s="52" t="n">
        <x:f>IF(D69=0,"",(W69)/D69)</x:f>
        <x:v>-0.6248062015503876</x:v>
      </x:c>
      <x:c r="Y69" t="str">
        <x:v>DR. MAHESH SHARMA</x:v>
      </x:c>
      <x:c r="Z69" t="n">
        <x:f>D69-E69-F69</x:f>
        <x:v>0</x:v>
      </x:c>
    </x:row>
    <x:row r="70">
      <x:c r="A70" t="n">
        <x:v>62</x:v>
      </x:c>
      <x:c r="B70" t="str">
        <x:v>CH. LAXMI NARAYAN I.C. MANDI SHYAMNAGAR URF KHERLI HAFIZPUR R.NO.-4</x:v>
      </x:c>
      <x:c r="C70" t="n">
        <x:v>1038</x:v>
      </x:c>
      <x:c r="D70" t="n">
        <x:v>622</x:v>
      </x:c>
      <x:c r="E70" t="n">
        <x:f>SUM(H70:T70)</x:f>
        <x:v>616</x:v>
      </x:c>
      <x:c r="F70" t="n">
        <x:v>6</x:v>
      </x:c>
      <x:c r="G70" s="50" t="n">
        <x:f>IF(C70="","",IFERROR(D70/C70,0))</x:f>
        <x:v>0.5992292870905588</x:v>
      </x:c>
      <x:c r="H70" s="36" t="n">
        <x:v>84</x:v>
      </x:c>
      <x:c r="I70" t="n">
        <x:v>510</x:v>
      </x:c>
      <x:c r="J70" t="n">
        <x:v>10</x:v>
      </x:c>
      <x:c r="K70" t="n">
        <x:v>4</x:v>
      </x:c>
      <x:c r="L70" t="n">
        <x:v>4</x:v>
      </x:c>
      <x:c r="M70" t="n">
        <x:v>0</x:v>
      </x:c>
      <x:c r="N70" t="n">
        <x:v>2</x:v>
      </x:c>
      <x:c r="O70" t="n">
        <x:v>0</x:v>
      </x:c>
      <x:c r="P70" t="n">
        <x:v>0</x:v>
      </x:c>
      <x:c r="Q70" t="n">
        <x:v>1</x:v>
      </x:c>
      <x:c r="R70" t="n">
        <x:v>1</x:v>
      </x:c>
      <x:c r="S70" t="n">
        <x:v>0</x:v>
      </x:c>
      <x:c r="T70" t="n">
        <x:v>0</x:v>
      </x:c>
      <x:c r="U70" s="50" t="n">
        <x:f>IF(D70=0,"",H70/D70)</x:f>
        <x:v>0.13504823151125403</x:v>
      </x:c>
      <x:c r="V70" t="n">
        <x:f>MAX(I70:T70)</x:f>
        <x:v>510</x:v>
      </x:c>
      <x:c r="W70" t="n">
        <x:f>H70-V70</x:f>
        <x:v>-426</x:v>
      </x:c>
      <x:c r="X70" s="52" t="n">
        <x:f>IF(D70=0,"",(W70)/D70)</x:f>
        <x:v>-0.684887459807074</x:v>
      </x:c>
      <x:c r="Y70" t="str">
        <x:v>DR. MAHESH SHARMA</x:v>
      </x:c>
      <x:c r="Z70" t="n">
        <x:f>D70-E70-F70</x:f>
        <x:v>0</x:v>
      </x:c>
    </x:row>
    <x:row r="71">
      <x:c r="A71" t="n">
        <x:v>63</x:v>
      </x:c>
      <x:c r="B71" t="str">
        <x:v>CH. LAXMI NARAYAN I.C. MANDI SHYAMNAGAR URF KHERLI HAFIZPUR R.NO.-5</x:v>
      </x:c>
      <x:c r="C71" t="n">
        <x:v>1181</x:v>
      </x:c>
      <x:c r="D71" t="n">
        <x:v>674</x:v>
      </x:c>
      <x:c r="E71" t="n">
        <x:f>SUM(H71:T71)</x:f>
        <x:v>672</x:v>
      </x:c>
      <x:c r="F71" t="n">
        <x:v>2</x:v>
      </x:c>
      <x:c r="G71" s="50" t="n">
        <x:f>IF(C71="","",IFERROR(D71/C71,0))</x:f>
        <x:v>0.5707027942421676</x:v>
      </x:c>
      <x:c r="H71" s="36" t="n">
        <x:v>160</x:v>
      </x:c>
      <x:c r="I71" t="n">
        <x:v>490</x:v>
      </x:c>
      <x:c r="J71" t="n">
        <x:v>21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1</x:v>
      </x:c>
      <x:c r="R71" t="n">
        <x:v>0</x:v>
      </x:c>
      <x:c r="S71" t="n">
        <x:v>0</x:v>
      </x:c>
      <x:c r="T71" t="n">
        <x:v>0</x:v>
      </x:c>
      <x:c r="U71" s="50" t="n">
        <x:f>IF(D71=0,"",H71/D71)</x:f>
        <x:v>0.23738872403560832</x:v>
      </x:c>
      <x:c r="V71" t="n">
        <x:f>MAX(I71:T71)</x:f>
        <x:v>490</x:v>
      </x:c>
      <x:c r="W71" t="n">
        <x:f>H71-V71</x:f>
        <x:v>-330</x:v>
      </x:c>
      <x:c r="X71" s="52" t="n">
        <x:f>IF(D71=0,"",(W71)/D71)</x:f>
        <x:v>-0.4896142433234421</x:v>
      </x:c>
      <x:c r="Y71" t="str">
        <x:v>DR. MAHESH SHARMA</x:v>
      </x:c>
      <x:c r="Z71" t="n">
        <x:f>D71-E71-F71</x:f>
        <x:v>0</x:v>
      </x:c>
    </x:row>
    <x:row r="72">
      <x:c r="A72" t="n">
        <x:v>64</x:v>
      </x:c>
      <x:c r="B72" t="str">
        <x:v>PRY. SCHOOL PANCHAYATAN INAYATPUR R.NO. 1</x:v>
      </x:c>
      <x:c r="C72" t="n">
        <x:v>721</x:v>
      </x:c>
      <x:c r="D72" t="n">
        <x:v>507</x:v>
      </x:c>
      <x:c r="E72" t="n">
        <x:f>SUM(H72:T72)</x:f>
        <x:v>506</x:v>
      </x:c>
      <x:c r="F72" t="n">
        <x:v>1</x:v>
      </x:c>
      <x:c r="G72" s="50" t="n">
        <x:f>IF(C72="","",IFERROR(D72/C72,0))</x:f>
        <x:v>0.7031900138696255</x:v>
      </x:c>
      <x:c r="H72" s="36" t="n">
        <x:v>329</x:v>
      </x:c>
      <x:c r="I72" t="n">
        <x:v>163</x:v>
      </x:c>
      <x:c r="J72" t="n">
        <x:v>7</x:v>
      </x:c>
      <x:c r="K72" t="n">
        <x:v>0</x:v>
      </x:c>
      <x:c r="L72" t="n">
        <x:v>2</x:v>
      </x:c>
      <x:c r="M72" t="n">
        <x:v>1</x:v>
      </x:c>
      <x:c r="N72" t="n">
        <x:v>0</x:v>
      </x:c>
      <x:c r="O72" t="n">
        <x:v>2</x:v>
      </x:c>
      <x:c r="P72" t="n">
        <x:v>1</x:v>
      </x:c>
      <x:c r="Q72" t="n">
        <x:v>0</x:v>
      </x:c>
      <x:c r="R72" t="n">
        <x:v>1</x:v>
      </x:c>
      <x:c r="S72" t="n">
        <x:v>0</x:v>
      </x:c>
      <x:c r="T72" t="n">
        <x:v>0</x:v>
      </x:c>
      <x:c r="U72" s="50" t="n">
        <x:f>IF(D72=0,"",H72/D72)</x:f>
        <x:v>0.6489151873767258</x:v>
      </x:c>
      <x:c r="V72" t="n">
        <x:f>MAX(I72:T72)</x:f>
        <x:v>163</x:v>
      </x:c>
      <x:c r="W72" t="n">
        <x:f>H72-V72</x:f>
        <x:v>166</x:v>
      </x:c>
      <x:c r="X72" s="52" t="n">
        <x:f>IF(D72=0,"",(W72)/D72)</x:f>
        <x:v>0.32741617357001973</x:v>
      </x:c>
      <x:c r="Y72" t="str">
        <x:v>SATVEER</x:v>
      </x:c>
      <x:c r="Z72" t="n">
        <x:f>D72-E72-F72</x:f>
        <x:v>0</x:v>
      </x:c>
    </x:row>
    <x:row r="73">
      <x:c r="A73" t="n">
        <x:v>65</x:v>
      </x:c>
      <x:c r="B73" t="str">
        <x:v>PRY. SCHOOL PANCHAYATAN INAYATPUR R.NO. 2</x:v>
      </x:c>
      <x:c r="C73" t="n">
        <x:v>666</x:v>
      </x:c>
      <x:c r="D73" t="n">
        <x:v>432</x:v>
      </x:c>
      <x:c r="E73" t="n">
        <x:f>SUM(H73:T73)</x:f>
        <x:v>432</x:v>
      </x:c>
      <x:c r="F73" t="n">
        <x:v>0</x:v>
      </x:c>
      <x:c r="G73" s="50" t="n">
        <x:f>IF(C73="","",IFERROR(D73/C73,0))</x:f>
        <x:v>0.6486486486486487</x:v>
      </x:c>
      <x:c r="H73" s="36" t="n">
        <x:v>184</x:v>
      </x:c>
      <x:c r="I73" t="n">
        <x:v>228</x:v>
      </x:c>
      <x:c r="J73" t="n">
        <x:v>10</x:v>
      </x:c>
      <x:c r="K73" t="n">
        <x:v>3</x:v>
      </x:c>
      <x:c r="L73" t="n">
        <x:v>1</x:v>
      </x:c>
      <x:c r="M73" t="n">
        <x:v>1</x:v>
      </x:c>
      <x:c r="N73" t="n">
        <x:v>0</x:v>
      </x:c>
      <x:c r="O73" t="n">
        <x:v>1</x:v>
      </x:c>
      <x:c r="P73" t="n">
        <x:v>1</x:v>
      </x:c>
      <x:c r="Q73" t="n">
        <x:v>1</x:v>
      </x:c>
      <x:c r="R73" t="n">
        <x:v>2</x:v>
      </x:c>
      <x:c r="S73" t="n">
        <x:v>0</x:v>
      </x:c>
      <x:c r="T73" t="n">
        <x:v>0</x:v>
      </x:c>
      <x:c r="U73" s="50" t="n">
        <x:f>IF(D73=0,"",H73/D73)</x:f>
        <x:v>0.42592592592592593</x:v>
      </x:c>
      <x:c r="V73" t="n">
        <x:f>MAX(I73:T73)</x:f>
        <x:v>228</x:v>
      </x:c>
      <x:c r="W73" t="n">
        <x:f>H73-V73</x:f>
        <x:v>-44</x:v>
      </x:c>
      <x:c r="X73" s="52" t="n">
        <x:f>IF(D73=0,"",(W73)/D73)</x:f>
        <x:v>-0.10185185185185185</x:v>
      </x:c>
      <x:c r="Y73" t="str">
        <x:v>DR. MAHESH SHARMA</x:v>
      </x:c>
      <x:c r="Z73" t="n">
        <x:f>D73-E73-F73</x:f>
        <x:v>0</x:v>
      </x:c>
    </x:row>
    <x:row r="74">
      <x:c r="A74" t="n">
        <x:v>66</x:v>
      </x:c>
      <x:c r="B74" t="str">
        <x:v>UCHCHA PRY. VIDHYALAYA GIRDHARPUR R.NO. 1</x:v>
      </x:c>
      <x:c r="C74" t="n">
        <x:v>723</x:v>
      </x:c>
      <x:c r="D74" t="n">
        <x:v>537</x:v>
      </x:c>
      <x:c r="E74" t="n">
        <x:f>SUM(H74:T74)</x:f>
        <x:v>536</x:v>
      </x:c>
      <x:c r="F74" t="n">
        <x:v>1</x:v>
      </x:c>
      <x:c r="G74" s="50" t="n">
        <x:f>IF(C74="","",IFERROR(D74/C74,0))</x:f>
        <x:v>0.7427385892116183</x:v>
      </x:c>
      <x:c r="H74" s="36" t="n">
        <x:v>196</x:v>
      </x:c>
      <x:c r="I74" t="n">
        <x:v>331</x:v>
      </x:c>
      <x:c r="J74" t="n">
        <x:v>2</x:v>
      </x:c>
      <x:c r="K74" t="n">
        <x:v>4</x:v>
      </x:c>
      <x:c r="L74" t="n">
        <x:v>1</x:v>
      </x:c>
      <x:c r="M74" t="n">
        <x:v>0</x:v>
      </x:c>
      <x:c r="N74" t="n">
        <x:v>0</x:v>
      </x:c>
      <x:c r="O74" t="n">
        <x:v>0</x:v>
      </x:c>
      <x:c r="P74" t="n">
        <x:v>1</x:v>
      </x:c>
      <x:c r="Q74" t="n">
        <x:v>0</x:v>
      </x:c>
      <x:c r="R74" t="n">
        <x:v>1</x:v>
      </x:c>
      <x:c r="S74" t="n">
        <x:v>0</x:v>
      </x:c>
      <x:c r="T74" t="n">
        <x:v>0</x:v>
      </x:c>
      <x:c r="U74" s="50" t="n">
        <x:f>IF(D74=0,"",H74/D74)</x:f>
        <x:v>0.3649906890130354</x:v>
      </x:c>
      <x:c r="V74" t="n">
        <x:f>MAX(I74:T74)</x:f>
        <x:v>331</x:v>
      </x:c>
      <x:c r="W74" t="n">
        <x:f>H74-V74</x:f>
        <x:v>-135</x:v>
      </x:c>
      <x:c r="X74" s="52" t="n">
        <x:f>IF(D74=0,"",(W74)/D74)</x:f>
        <x:v>-0.25139664804469275</x:v>
      </x:c>
      <x:c r="Y74" t="str">
        <x:v>DR. MAHESH SHARMA</x:v>
      </x:c>
      <x:c r="Z74" t="n">
        <x:f>D74-E74-F74</x:f>
        <x:v>0</x:v>
      </x:c>
    </x:row>
    <x:row r="75">
      <x:c r="A75" t="n">
        <x:v>67</x:v>
      </x:c>
      <x:c r="B75" t="str">
        <x:v>UCHCHA PRY. VIDHYALAYA GIRDHARPUR R.NO. 2</x:v>
      </x:c>
      <x:c r="C75" t="n">
        <x:v>694</x:v>
      </x:c>
      <x:c r="D75" t="n">
        <x:v>469</x:v>
      </x:c>
      <x:c r="E75" t="n">
        <x:f>SUM(H75:T75)</x:f>
        <x:v>469</x:v>
      </x:c>
      <x:c r="F75" t="n">
        <x:v>0</x:v>
      </x:c>
      <x:c r="G75" s="50" t="n">
        <x:f>IF(C75="","",IFERROR(D75/C75,0))</x:f>
        <x:v>0.6757925072046109</x:v>
      </x:c>
      <x:c r="H75" s="36" t="n">
        <x:v>245</x:v>
      </x:c>
      <x:c r="I75" t="n">
        <x:v>211</x:v>
      </x:c>
      <x:c r="J75" t="n">
        <x:v>1</x:v>
      </x:c>
      <x:c r="K75" t="n">
        <x:v>1</x:v>
      </x:c>
      <x:c r="L75" t="n">
        <x:v>2</x:v>
      </x:c>
      <x:c r="M75" t="n">
        <x:v>2</x:v>
      </x:c>
      <x:c r="N75" t="n">
        <x:v>0</x:v>
      </x:c>
      <x:c r="O75" t="n">
        <x:v>1</x:v>
      </x:c>
      <x:c r="P75" t="n">
        <x:v>5</x:v>
      </x:c>
      <x:c r="Q75" t="n">
        <x:v>1</x:v>
      </x:c>
      <x:c r="R75" t="n">
        <x:v>0</x:v>
      </x:c>
      <x:c r="S75" t="n">
        <x:v>0</x:v>
      </x:c>
      <x:c r="T75" t="n">
        <x:v>0</x:v>
      </x:c>
      <x:c r="U75" s="50" t="n">
        <x:f>IF(D75=0,"",H75/D75)</x:f>
        <x:v>0.5223880597014925</x:v>
      </x:c>
      <x:c r="V75" t="n">
        <x:f>MAX(I75:T75)</x:f>
        <x:v>211</x:v>
      </x:c>
      <x:c r="W75" t="n">
        <x:f>H75-V75</x:f>
        <x:v>34</x:v>
      </x:c>
      <x:c r="X75" s="52" t="n">
        <x:f>IF(D75=0,"",(W75)/D75)</x:f>
        <x:v>0.07249466950959488</x:v>
      </x:c>
      <x:c r="Y75" t="str">
        <x:v>SATVEER</x:v>
      </x:c>
      <x:c r="Z75" t="n">
        <x:f>D75-E75-F75</x:f>
        <x:v>0</x:v>
      </x:c>
    </x:row>
    <x:row r="76">
      <x:c r="A76" t="n">
        <x:v>68</x:v>
      </x:c>
      <x:c r="B76" t="str">
        <x:v>PRY. SCHOOL RAUNI R.NO. 1</x:v>
      </x:c>
      <x:c r="C76" t="n">
        <x:v>867</x:v>
      </x:c>
      <x:c r="D76" t="n">
        <x:v>500</x:v>
      </x:c>
      <x:c r="E76" t="n">
        <x:f>SUM(H76:T76)</x:f>
        <x:v>499</x:v>
      </x:c>
      <x:c r="F76" t="n">
        <x:v>1</x:v>
      </x:c>
      <x:c r="G76" s="50" t="n">
        <x:f>IF(C76="","",IFERROR(D76/C76,0))</x:f>
        <x:v>0.5767012687427913</x:v>
      </x:c>
      <x:c r="H76" s="36" t="n">
        <x:v>373</x:v>
      </x:c>
      <x:c r="I76" t="n">
        <x:v>114</x:v>
      </x:c>
      <x:c r="J76" t="n">
        <x:v>6</x:v>
      </x:c>
      <x:c r="K76" t="n">
        <x:v>4</x:v>
      </x:c>
      <x:c r="L76" t="n">
        <x:v>0</x:v>
      </x:c>
      <x:c r="M76" t="n">
        <x:v>2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s="50" t="n">
        <x:f>IF(D76=0,"",H76/D76)</x:f>
        <x:v>0.746</x:v>
      </x:c>
      <x:c r="V76" t="n">
        <x:f>MAX(I76:T76)</x:f>
        <x:v>114</x:v>
      </x:c>
      <x:c r="W76" t="n">
        <x:f>H76-V76</x:f>
        <x:v>259</x:v>
      </x:c>
      <x:c r="X76" s="52" t="n">
        <x:f>IF(D76=0,"",(W76)/D76)</x:f>
        <x:v>0.518</x:v>
      </x:c>
      <x:c r="Y76" t="str">
        <x:v>SATVEER</x:v>
      </x:c>
      <x:c r="Z76" t="n">
        <x:f>D76-E76-F76</x:f>
        <x:v>0</x:v>
      </x:c>
    </x:row>
    <x:row r="77">
      <x:c r="A77" t="n">
        <x:v>69</x:v>
      </x:c>
      <x:c r="B77" t="str">
        <x:v>PRY SCHOOL SALEMPUR GUJAR R.NO. 1</x:v>
      </x:c>
      <x:c r="C77" t="n">
        <x:v>1148</x:v>
      </x:c>
      <x:c r="D77" t="n">
        <x:v>752</x:v>
      </x:c>
      <x:c r="E77" t="n">
        <x:f>SUM(H77:T77)</x:f>
        <x:v>749</x:v>
      </x:c>
      <x:c r="F77" t="n">
        <x:v>3</x:v>
      </x:c>
      <x:c r="G77" s="50" t="n">
        <x:f>IF(C77="","",IFERROR(D77/C77,0))</x:f>
        <x:v>0.6550522648083623</x:v>
      </x:c>
      <x:c r="H77" s="36" t="n">
        <x:v>377</x:v>
      </x:c>
      <x:c r="I77" t="n">
        <x:v>342</x:v>
      </x:c>
      <x:c r="J77" t="n">
        <x:v>9</x:v>
      </x:c>
      <x:c r="K77" t="n">
        <x:v>6</x:v>
      </x:c>
      <x:c r="L77" t="n">
        <x:v>4</x:v>
      </x:c>
      <x:c r="M77" t="n">
        <x:v>0</x:v>
      </x:c>
      <x:c r="N77" t="n">
        <x:v>2</x:v>
      </x:c>
      <x:c r="O77" t="n">
        <x:v>3</x:v>
      </x:c>
      <x:c r="P77" t="n">
        <x:v>0</x:v>
      </x:c>
      <x:c r="Q77" t="n">
        <x:v>1</x:v>
      </x:c>
      <x:c r="R77" t="n">
        <x:v>5</x:v>
      </x:c>
      <x:c r="S77" t="n">
        <x:v>0</x:v>
      </x:c>
      <x:c r="T77" t="n">
        <x:v>0</x:v>
      </x:c>
      <x:c r="U77" s="50" t="n">
        <x:f>IF(D77=0,"",H77/D77)</x:f>
        <x:v>0.5013297872340425</x:v>
      </x:c>
      <x:c r="V77" t="n">
        <x:f>MAX(I77:T77)</x:f>
        <x:v>342</x:v>
      </x:c>
      <x:c r="W77" t="n">
        <x:f>H77-V77</x:f>
        <x:v>35</x:v>
      </x:c>
      <x:c r="X77" s="52" t="n">
        <x:f>IF(D77=0,"",(W77)/D77)</x:f>
        <x:v>0.04654255319148936</x:v>
      </x:c>
      <x:c r="Y77" t="str">
        <x:v>SATVEER</x:v>
      </x:c>
      <x:c r="Z77" t="n">
        <x:f>D77-E77-F77</x:f>
        <x:v>0</x:v>
      </x:c>
    </x:row>
    <x:row r="78">
      <x:c r="A78" t="n">
        <x:v>70</x:v>
      </x:c>
      <x:c r="B78" t="str">
        <x:v>PRY. SCHOOL SALEMPUR GUJAR R.NO. 2</x:v>
      </x:c>
      <x:c r="C78" t="n">
        <x:v>995</x:v>
      </x:c>
      <x:c r="D78" t="n">
        <x:v>558</x:v>
      </x:c>
      <x:c r="E78" t="n">
        <x:f>SUM(H78:T78)</x:f>
        <x:v>557</x:v>
      </x:c>
      <x:c r="F78" t="n">
        <x:v>1</x:v>
      </x:c>
      <x:c r="G78" s="50" t="n">
        <x:f>IF(C78="","",IFERROR(D78/C78,0))</x:f>
        <x:v>0.5608040201005026</x:v>
      </x:c>
      <x:c r="H78" s="36" t="n">
        <x:v>354</x:v>
      </x:c>
      <x:c r="I78" t="n">
        <x:v>192</x:v>
      </x:c>
      <x:c r="J78" t="n">
        <x:v>5</x:v>
      </x:c>
      <x:c r="K78" t="n">
        <x:v>0</x:v>
      </x:c>
      <x:c r="L78" t="n">
        <x:v>2</x:v>
      </x:c>
      <x:c r="M78" t="n">
        <x:v>1</x:v>
      </x:c>
      <x:c r="N78" t="n">
        <x:v>0</x:v>
      </x:c>
      <x:c r="O78" t="n">
        <x:v>0</x:v>
      </x:c>
      <x:c r="P78" t="n">
        <x:v>3</x:v>
      </x:c>
      <x:c r="Q78" t="n">
        <x:v>0</x:v>
      </x:c>
      <x:c r="R78" t="n">
        <x:v>0</x:v>
      </x:c>
      <x:c r="S78" t="n">
        <x:v>0</x:v>
      </x:c>
      <x:c r="T78" t="n">
        <x:v>0</x:v>
      </x:c>
      <x:c r="U78" s="50" t="n">
        <x:f>IF(D78=0,"",H78/D78)</x:f>
        <x:v>0.6344086021505376</x:v>
      </x:c>
      <x:c r="V78" t="n">
        <x:f>MAX(I78:T78)</x:f>
        <x:v>192</x:v>
      </x:c>
      <x:c r="W78" t="n">
        <x:f>H78-V78</x:f>
        <x:v>162</x:v>
      </x:c>
      <x:c r="X78" s="52" t="n">
        <x:f>IF(D78=0,"",(W78)/D78)</x:f>
        <x:v>0.2903225806451613</x:v>
      </x:c>
      <x:c r="Y78" t="str">
        <x:v>SATVEER</x:v>
      </x:c>
      <x:c r="Z78" t="n">
        <x:f>D78-E78-F78</x:f>
        <x:v>0</x:v>
      </x:c>
    </x:row>
    <x:row r="79">
      <x:c r="A79" t="n">
        <x:v>71</x:v>
      </x:c>
      <x:c r="B79" t="str">
        <x:v>PRY. SCHOOL SALEMPUR GUJAR R.NO. 3</x:v>
      </x:c>
      <x:c r="C79" t="n">
        <x:v>1096</x:v>
      </x:c>
      <x:c r="D79" t="n">
        <x:v>636</x:v>
      </x:c>
      <x:c r="E79" t="n">
        <x:f>SUM(H79:T79)</x:f>
        <x:v>635</x:v>
      </x:c>
      <x:c r="F79" t="n">
        <x:v>1</x:v>
      </x:c>
      <x:c r="G79" s="50" t="n">
        <x:f>IF(C79="","",IFERROR(D79/C79,0))</x:f>
        <x:v>0.5802919708029197</x:v>
      </x:c>
      <x:c r="H79" s="36" t="n">
        <x:v>440</x:v>
      </x:c>
      <x:c r="I79" t="n">
        <x:v>189</x:v>
      </x:c>
      <x:c r="J79" t="n">
        <x:v>1</x:v>
      </x:c>
      <x:c r="K79" t="n">
        <x:v>2</x:v>
      </x:c>
      <x:c r="L79" t="n">
        <x:v>1</x:v>
      </x:c>
      <x:c r="M79" t="n">
        <x:v>1</x:v>
      </x:c>
      <x:c r="N79" t="n">
        <x:v>1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s="50" t="n">
        <x:f>IF(D79=0,"",H79/D79)</x:f>
        <x:v>0.6918238993710691</x:v>
      </x:c>
      <x:c r="V79" t="n">
        <x:f>MAX(I79:T79)</x:f>
        <x:v>189</x:v>
      </x:c>
      <x:c r="W79" t="n">
        <x:f>H79-V79</x:f>
        <x:v>251</x:v>
      </x:c>
      <x:c r="X79" s="52" t="n">
        <x:f>IF(D79=0,"",(W79)/D79)</x:f>
        <x:v>0.3946540880503145</x:v>
      </x:c>
      <x:c r="Y79" t="str">
        <x:v>SATVEER</x:v>
      </x:c>
      <x:c r="Z79" t="n">
        <x:f>D79-E79-F79</x:f>
        <x:v>0</x:v>
      </x:c>
    </x:row>
    <x:row r="80">
      <x:c r="A80" t="n">
        <x:v>72</x:v>
      </x:c>
      <x:c r="B80" t="str">
        <x:v>PRY. SCHOOL AMINABAD URF NYANA R.NO. 1</x:v>
      </x:c>
      <x:c r="C80" t="n">
        <x:v>1090</x:v>
      </x:c>
      <x:c r="D80" t="n">
        <x:v>776</x:v>
      </x:c>
      <x:c r="E80" t="n">
        <x:f>SUM(H80:T80)</x:f>
        <x:v>769</x:v>
      </x:c>
      <x:c r="F80" t="n">
        <x:v>7</x:v>
      </x:c>
      <x:c r="G80" s="50" t="n">
        <x:f>IF(C80="","",IFERROR(D80/C80,0))</x:f>
        <x:v>0.7119266055045872</x:v>
      </x:c>
      <x:c r="H80" s="36" t="n">
        <x:v>451</x:v>
      </x:c>
      <x:c r="I80" t="n">
        <x:v>304</x:v>
      </x:c>
      <x:c r="J80" t="n">
        <x:v>3</x:v>
      </x:c>
      <x:c r="K80" t="n">
        <x:v>5</x:v>
      </x:c>
      <x:c r="L80" t="n">
        <x:v>0</x:v>
      </x:c>
      <x:c r="M80" t="n">
        <x:v>3</x:v>
      </x:c>
      <x:c r="N80" t="n">
        <x:v>1</x:v>
      </x:c>
      <x:c r="O80" t="n">
        <x:v>0</x:v>
      </x:c>
      <x:c r="P80" t="n">
        <x:v>0</x:v>
      </x:c>
      <x:c r="Q80" t="n">
        <x:v>1</x:v>
      </x:c>
      <x:c r="R80" t="n">
        <x:v>0</x:v>
      </x:c>
      <x:c r="S80" t="n">
        <x:v>0</x:v>
      </x:c>
      <x:c r="T80" t="n">
        <x:v>1</x:v>
      </x:c>
      <x:c r="U80" s="50" t="n">
        <x:f>IF(D80=0,"",H80/D80)</x:f>
        <x:v>0.5811855670103093</x:v>
      </x:c>
      <x:c r="V80" t="n">
        <x:f>MAX(I80:T80)</x:f>
        <x:v>304</x:v>
      </x:c>
      <x:c r="W80" t="n">
        <x:f>H80-V80</x:f>
        <x:v>147</x:v>
      </x:c>
      <x:c r="X80" s="52" t="n">
        <x:f>IF(D80=0,"",(W80)/D80)</x:f>
        <x:v>0.18943298969072164</x:v>
      </x:c>
      <x:c r="Y80" t="str">
        <x:v>SATVEER</x:v>
      </x:c>
      <x:c r="Z80" t="n">
        <x:f>D80-E80-F80</x:f>
        <x:v>0</x:v>
      </x:c>
    </x:row>
    <x:row r="81">
      <x:c r="A81" t="n">
        <x:v>73</x:v>
      </x:c>
      <x:c r="B81" t="str">
        <x:v>NEHA PUBLIC SCHOOL RAMPUR MAZRA R.NO. 1</x:v>
      </x:c>
      <x:c r="C81" t="n">
        <x:v>715</x:v>
      </x:c>
      <x:c r="D81" t="n">
        <x:v>451</x:v>
      </x:c>
      <x:c r="E81" t="n">
        <x:f>SUM(H81:T81)</x:f>
        <x:v>451</x:v>
      </x:c>
      <x:c r="F81" t="n">
        <x:v>0</x:v>
      </x:c>
      <x:c r="G81" s="50" t="n">
        <x:f>IF(C81="","",IFERROR(D81/C81,0))</x:f>
        <x:v>0.6307692307692307</x:v>
      </x:c>
      <x:c r="H81" s="36" t="n">
        <x:v>304</x:v>
      </x:c>
      <x:c r="I81" t="n">
        <x:v>138</x:v>
      </x:c>
      <x:c r="J81" t="n">
        <x:v>2</x:v>
      </x:c>
      <x:c r="K81" t="n">
        <x:v>2</x:v>
      </x:c>
      <x:c r="L81" t="n">
        <x:v>0</x:v>
      </x:c>
      <x:c r="M81" t="n">
        <x:v>3</x:v>
      </x:c>
      <x:c r="N81" t="n">
        <x:v>0</x:v>
      </x:c>
      <x:c r="O81" t="n">
        <x:v>0</x:v>
      </x:c>
      <x:c r="P81" t="n">
        <x:v>0</x:v>
      </x:c>
      <x:c r="Q81" t="n">
        <x:v>1</x:v>
      </x:c>
      <x:c r="R81" t="n">
        <x:v>1</x:v>
      </x:c>
      <x:c r="S81" t="n">
        <x:v>0</x:v>
      </x:c>
      <x:c r="T81" t="n">
        <x:v>0</x:v>
      </x:c>
      <x:c r="U81" s="50" t="n">
        <x:f>IF(D81=0,"",H81/D81)</x:f>
        <x:v>0.6740576496674058</x:v>
      </x:c>
      <x:c r="V81" t="n">
        <x:f>MAX(I81:T81)</x:f>
        <x:v>138</x:v>
      </x:c>
      <x:c r="W81" t="n">
        <x:f>H81-V81</x:f>
        <x:v>166</x:v>
      </x:c>
      <x:c r="X81" s="52" t="n">
        <x:f>IF(D81=0,"",(W81)/D81)</x:f>
        <x:v>0.36807095343680707</x:v>
      </x:c>
      <x:c r="Y81" t="str">
        <x:v>SATVEER</x:v>
      </x:c>
      <x:c r="Z81" t="n">
        <x:f>D81-E81-F81</x:f>
        <x:v>0</x:v>
      </x:c>
    </x:row>
    <x:row r="82">
      <x:c r="A82" t="n">
        <x:v>74</x:v>
      </x:c>
      <x:c r="B82" t="str">
        <x:v>NEHA PUBLIC SCHOOL RAMPUR MAZRA R.NO. 2</x:v>
      </x:c>
      <x:c r="C82" t="n">
        <x:v>727</x:v>
      </x:c>
      <x:c r="D82" t="n">
        <x:v>442</x:v>
      </x:c>
      <x:c r="E82" t="n">
        <x:f>SUM(H82:T82)</x:f>
        <x:v>441</x:v>
      </x:c>
      <x:c r="F82" t="n">
        <x:v>1</x:v>
      </x:c>
      <x:c r="G82" s="50" t="n">
        <x:f>IF(C82="","",IFERROR(D82/C82,0))</x:f>
        <x:v>0.6079779917469051</x:v>
      </x:c>
      <x:c r="H82" s="36" t="n">
        <x:v>271</x:v>
      </x:c>
      <x:c r="I82" t="n">
        <x:v>158</x:v>
      </x:c>
      <x:c r="J82" t="n">
        <x:v>4</x:v>
      </x:c>
      <x:c r="K82" t="n">
        <x:v>5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2</x:v>
      </x:c>
      <x:c r="R82" t="n">
        <x:v>1</x:v>
      </x:c>
      <x:c r="S82" t="n">
        <x:v>0</x:v>
      </x:c>
      <x:c r="T82" t="n">
        <x:v>0</x:v>
      </x:c>
      <x:c r="U82" s="50" t="n">
        <x:f>IF(D82=0,"",H82/D82)</x:f>
        <x:v>0.6131221719457014</x:v>
      </x:c>
      <x:c r="V82" t="n">
        <x:f>MAX(I82:T82)</x:f>
        <x:v>158</x:v>
      </x:c>
      <x:c r="W82" t="n">
        <x:f>H82-V82</x:f>
        <x:v>113</x:v>
      </x:c>
      <x:c r="X82" s="52" t="n">
        <x:f>IF(D82=0,"",(W82)/D82)</x:f>
        <x:v>0.25565610859728505</x:v>
      </x:c>
      <x:c r="Y82" t="str">
        <x:v>SATVEER</x:v>
      </x:c>
      <x:c r="Z82" t="n">
        <x:f>D82-E82-F82</x:f>
        <x:v>0</x:v>
      </x:c>
    </x:row>
    <x:row r="83">
      <x:c r="A83" t="n">
        <x:v>75</x:v>
      </x:c>
      <x:c r="B83" t="str">
        <x:v>PRY. SCHOOL KULIPURA R.NO. 1</x:v>
      </x:c>
      <x:c r="C83" t="n">
        <x:v>1026</x:v>
      </x:c>
      <x:c r="D83" t="n">
        <x:v>588</x:v>
      </x:c>
      <x:c r="E83" t="n">
        <x:f>SUM(H83:T83)</x:f>
        <x:v>587</x:v>
      </x:c>
      <x:c r="F83" t="n">
        <x:v>1</x:v>
      </x:c>
      <x:c r="G83" s="50" t="n">
        <x:f>IF(C83="","",IFERROR(D83/C83,0))</x:f>
        <x:v>0.5730994152046783</x:v>
      </x:c>
      <x:c r="H83" s="36" t="n">
        <x:v>305</x:v>
      </x:c>
      <x:c r="I83" t="n">
        <x:v>268</x:v>
      </x:c>
      <x:c r="J83" t="n">
        <x:v>8</x:v>
      </x:c>
      <x:c r="K83" t="n">
        <x:v>3</x:v>
      </x:c>
      <x:c r="L83" t="n">
        <x:v>0</x:v>
      </x:c>
      <x:c r="M83" t="n">
        <x:v>2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1</x:v>
      </x:c>
      <x:c r="S83" t="n">
        <x:v>0</x:v>
      </x:c>
      <x:c r="T83" t="n">
        <x:v>0</x:v>
      </x:c>
      <x:c r="U83" s="50" t="n">
        <x:f>IF(D83=0,"",H83/D83)</x:f>
        <x:v>0.5187074829931972</x:v>
      </x:c>
      <x:c r="V83" t="n">
        <x:f>MAX(I83:T83)</x:f>
        <x:v>268</x:v>
      </x:c>
      <x:c r="W83" t="n">
        <x:f>H83-V83</x:f>
        <x:v>37</x:v>
      </x:c>
      <x:c r="X83" s="52" t="n">
        <x:f>IF(D83=0,"",(W83)/D83)</x:f>
        <x:v>0.06292517006802721</x:v>
      </x:c>
      <x:c r="Y83" t="str">
        <x:v>SATVEER</x:v>
      </x:c>
      <x:c r="Z83" t="n">
        <x:f>D83-E83-F83</x:f>
        <x:v>0</x:v>
      </x:c>
    </x:row>
    <x:row r="84">
      <x:c r="A84" t="n">
        <x:v>76</x:v>
      </x:c>
      <x:c r="B84" t="str">
        <x:v>RAJENDRA I. C. VILASPUR R.NO. 1</x:v>
      </x:c>
      <x:c r="C84" t="n">
        <x:v>882</x:v>
      </x:c>
      <x:c r="D84" t="n">
        <x:v>558</x:v>
      </x:c>
      <x:c r="E84" t="n">
        <x:f>SUM(H84:T84)</x:f>
        <x:v>553</x:v>
      </x:c>
      <x:c r="F84" t="n">
        <x:v>5</x:v>
      </x:c>
      <x:c r="G84" s="50" t="n">
        <x:f>IF(C84="","",IFERROR(D84/C84,0))</x:f>
        <x:v>0.6326530612244898</x:v>
      </x:c>
      <x:c r="H84" s="36" t="n">
        <x:v>244</x:v>
      </x:c>
      <x:c r="I84" t="n">
        <x:v>296</x:v>
      </x:c>
      <x:c r="J84" t="n">
        <x:v>5</x:v>
      </x:c>
      <x:c r="K84" t="n">
        <x:v>1</x:v>
      </x:c>
      <x:c r="L84" t="n">
        <x:v>2</x:v>
      </x:c>
      <x:c r="M84" t="n">
        <x:v>1</x:v>
      </x:c>
      <x:c r="N84" t="n">
        <x:v>0</x:v>
      </x:c>
      <x:c r="O84" t="n">
        <x:v>0</x:v>
      </x:c>
      <x:c r="P84" t="n">
        <x:v>0</x:v>
      </x:c>
      <x:c r="Q84" t="n">
        <x:v>1</x:v>
      </x:c>
      <x:c r="R84" t="n">
        <x:v>2</x:v>
      </x:c>
      <x:c r="S84" t="n">
        <x:v>1</x:v>
      </x:c>
      <x:c r="T84" t="n">
        <x:v>0</x:v>
      </x:c>
      <x:c r="U84" s="50" t="n">
        <x:f>IF(D84=0,"",H84/D84)</x:f>
        <x:v>0.43727598566308246</x:v>
      </x:c>
      <x:c r="V84" t="n">
        <x:f>MAX(I84:T84)</x:f>
        <x:v>296</x:v>
      </x:c>
      <x:c r="W84" t="n">
        <x:f>H84-V84</x:f>
        <x:v>-52</x:v>
      </x:c>
      <x:c r="X84" s="52" t="n">
        <x:f>IF(D84=0,"",(W84)/D84)</x:f>
        <x:v>-0.0931899641577061</x:v>
      </x:c>
      <x:c r="Y84" t="str">
        <x:v>DR. MAHESH SHARMA</x:v>
      </x:c>
      <x:c r="Z84" t="n">
        <x:f>D84-E84-F84</x:f>
        <x:v>0</x:v>
      </x:c>
    </x:row>
    <x:row r="85">
      <x:c r="A85" t="n">
        <x:v>77</x:v>
      </x:c>
      <x:c r="B85" t="str">
        <x:v>RAJENDRA I. C. VILASPUR R.NO. 2</x:v>
      </x:c>
      <x:c r="C85" t="n">
        <x:v>577</x:v>
      </x:c>
      <x:c r="D85" t="n">
        <x:v>408</x:v>
      </x:c>
      <x:c r="E85" t="n">
        <x:f>SUM(H85:T85)</x:f>
        <x:v>407</x:v>
      </x:c>
      <x:c r="F85" t="n">
        <x:v>1</x:v>
      </x:c>
      <x:c r="G85" s="50" t="n">
        <x:f>IF(C85="","",IFERROR(D85/C85,0))</x:f>
        <x:v>0.707105719237435</x:v>
      </x:c>
      <x:c r="H85" s="36" t="n">
        <x:v>138</x:v>
      </x:c>
      <x:c r="I85" t="n">
        <x:v>259</x:v>
      </x:c>
      <x:c r="J85" t="n">
        <x:v>7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2</x:v>
      </x:c>
      <x:c r="P85" t="n">
        <x:v>0</x:v>
      </x:c>
      <x:c r="Q85" t="n">
        <x:v>1</x:v>
      </x:c>
      <x:c r="R85" t="n">
        <x:v>0</x:v>
      </x:c>
      <x:c r="S85" t="n">
        <x:v>0</x:v>
      </x:c>
      <x:c r="T85" t="n">
        <x:v>0</x:v>
      </x:c>
      <x:c r="U85" s="50" t="n">
        <x:f>IF(D85=0,"",H85/D85)</x:f>
        <x:v>0.3382352941176471</x:v>
      </x:c>
      <x:c r="V85" t="n">
        <x:f>MAX(I85:T85)</x:f>
        <x:v>259</x:v>
      </x:c>
      <x:c r="W85" t="n">
        <x:f>H85-V85</x:f>
        <x:v>-121</x:v>
      </x:c>
      <x:c r="X85" s="52" t="n">
        <x:f>IF(D85=0,"",(W85)/D85)</x:f>
        <x:v>-0.2965686274509804</x:v>
      </x:c>
      <x:c r="Y85" t="str">
        <x:v>DR. MAHESH SHARMA</x:v>
      </x:c>
      <x:c r="Z85" t="n">
        <x:f>D85-E85-F85</x:f>
        <x:v>0</x:v>
      </x:c>
    </x:row>
    <x:row r="86">
      <x:c r="A86" t="n">
        <x:v>78</x:v>
      </x:c>
      <x:c r="B86" t="str">
        <x:v>RAJENDRA I. C. VILASPUR R.NO. 3</x:v>
      </x:c>
      <x:c r="C86" t="n">
        <x:v>1120</x:v>
      </x:c>
      <x:c r="D86" t="n">
        <x:v>632</x:v>
      </x:c>
      <x:c r="E86" t="n">
        <x:f>SUM(H86:T86)</x:f>
        <x:v>631</x:v>
      </x:c>
      <x:c r="F86" t="n">
        <x:v>1</x:v>
      </x:c>
      <x:c r="G86" s="50" t="n">
        <x:f>IF(C86="","",IFERROR(D86/C86,0))</x:f>
        <x:v>0.5642857142857143</x:v>
      </x:c>
      <x:c r="H86" s="36" t="n">
        <x:v>380</x:v>
      </x:c>
      <x:c r="I86" t="n">
        <x:v>234</x:v>
      </x:c>
      <x:c r="J86" t="n">
        <x:v>10</x:v>
      </x:c>
      <x:c r="K86" t="n">
        <x:v>0</x:v>
      </x:c>
      <x:c r="L86" t="n">
        <x:v>1</x:v>
      </x:c>
      <x:c r="M86" t="n">
        <x:v>2</x:v>
      </x:c>
      <x:c r="N86" t="n">
        <x:v>1</x:v>
      </x:c>
      <x:c r="O86" t="n">
        <x:v>1</x:v>
      </x:c>
      <x:c r="P86" t="n">
        <x:v>0</x:v>
      </x:c>
      <x:c r="Q86" t="n">
        <x:v>1</x:v>
      </x:c>
      <x:c r="R86" t="n">
        <x:v>1</x:v>
      </x:c>
      <x:c r="S86" t="n">
        <x:v>0</x:v>
      </x:c>
      <x:c r="T86" t="n">
        <x:v>0</x:v>
      </x:c>
      <x:c r="U86" s="50" t="n">
        <x:f>IF(D86=0,"",H86/D86)</x:f>
        <x:v>0.6012658227848101</x:v>
      </x:c>
      <x:c r="V86" t="n">
        <x:f>MAX(I86:T86)</x:f>
        <x:v>234</x:v>
      </x:c>
      <x:c r="W86" t="n">
        <x:f>H86-V86</x:f>
        <x:v>146</x:v>
      </x:c>
      <x:c r="X86" s="52" t="n">
        <x:f>IF(D86=0,"",(W86)/D86)</x:f>
        <x:v>0.2310126582278481</x:v>
      </x:c>
      <x:c r="Y86" t="str">
        <x:v>SATVEER</x:v>
      </x:c>
      <x:c r="Z86" t="n">
        <x:f>D86-E86-F86</x:f>
        <x:v>0</x:v>
      </x:c>
    </x:row>
    <x:row r="87">
      <x:c r="A87" t="n">
        <x:v>79</x:v>
      </x:c>
      <x:c r="B87" t="str">
        <x:v>RAJENDRA I. C. VILASPUR R.NO. 4</x:v>
      </x:c>
      <x:c r="C87" t="n">
        <x:v>1097</x:v>
      </x:c>
      <x:c r="D87" t="n">
        <x:v>581</x:v>
      </x:c>
      <x:c r="E87" t="n">
        <x:f>SUM(H87:T87)</x:f>
        <x:v>578</x:v>
      </x:c>
      <x:c r="F87" t="n">
        <x:v>3</x:v>
      </x:c>
      <x:c r="G87" s="50" t="n">
        <x:f>IF(C87="","",IFERROR(D87/C87,0))</x:f>
        <x:v>0.5296262534184139</x:v>
      </x:c>
      <x:c r="H87" s="36" t="n">
        <x:v>419</x:v>
      </x:c>
      <x:c r="I87" t="n">
        <x:v>144</x:v>
      </x:c>
      <x:c r="J87" t="n">
        <x:v>14</x:v>
      </x:c>
      <x:c r="K87" t="n">
        <x:v>1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s="50" t="n">
        <x:f>IF(D87=0,"",H87/D87)</x:f>
        <x:v>0.7211703958691911</x:v>
      </x:c>
      <x:c r="V87" t="n">
        <x:f>MAX(I87:T87)</x:f>
        <x:v>144</x:v>
      </x:c>
      <x:c r="W87" t="n">
        <x:f>H87-V87</x:f>
        <x:v>275</x:v>
      </x:c>
      <x:c r="X87" s="52" t="n">
        <x:f>IF(D87=0,"",(W87)/D87)</x:f>
        <x:v>0.47332185886402756</x:v>
      </x:c>
      <x:c r="Y87" t="str">
        <x:v>SATVEER</x:v>
      </x:c>
      <x:c r="Z87" t="n">
        <x:f>D87-E87-F87</x:f>
        <x:v>0</x:v>
      </x:c>
    </x:row>
    <x:row r="88">
      <x:c r="A88" t="n">
        <x:v>80</x:v>
      </x:c>
      <x:c r="B88" t="str">
        <x:v>RAJENDRA I. C. VILASPUR R.NO. 5</x:v>
      </x:c>
      <x:c r="C88" t="n">
        <x:v>993</x:v>
      </x:c>
      <x:c r="D88" t="n">
        <x:v>595</x:v>
      </x:c>
      <x:c r="E88" t="n">
        <x:f>SUM(H88:T88)</x:f>
        <x:v>594</x:v>
      </x:c>
      <x:c r="F88" t="n">
        <x:v>1</x:v>
      </x:c>
      <x:c r="G88" s="50" t="n">
        <x:f>IF(C88="","",IFERROR(D88/C88,0))</x:f>
        <x:v>0.5991943605236657</x:v>
      </x:c>
      <x:c r="H88" s="36" t="n">
        <x:v>149</x:v>
      </x:c>
      <x:c r="I88" t="n">
        <x:v>429</x:v>
      </x:c>
      <x:c r="J88" t="n">
        <x:v>9</x:v>
      </x:c>
      <x:c r="K88" t="n">
        <x:v>0</x:v>
      </x:c>
      <x:c r="L88" t="n">
        <x:v>0</x:v>
      </x:c>
      <x:c r="M88" t="n">
        <x:v>4</x:v>
      </x:c>
      <x:c r="N88" t="n">
        <x:v>0</x:v>
      </x:c>
      <x:c r="O88" t="n">
        <x:v>0</x:v>
      </x:c>
      <x:c r="P88" t="n">
        <x:v>0</x:v>
      </x:c>
      <x:c r="Q88" t="n">
        <x:v>1</x:v>
      </x:c>
      <x:c r="R88" t="n">
        <x:v>0</x:v>
      </x:c>
      <x:c r="S88" t="n">
        <x:v>1</x:v>
      </x:c>
      <x:c r="T88" t="n">
        <x:v>1</x:v>
      </x:c>
      <x:c r="U88" s="50" t="n">
        <x:f>IF(D88=0,"",H88/D88)</x:f>
        <x:v>0.2504201680672269</x:v>
      </x:c>
      <x:c r="V88" t="n">
        <x:f>MAX(I88:T88)</x:f>
        <x:v>429</x:v>
      </x:c>
      <x:c r="W88" t="n">
        <x:f>H88-V88</x:f>
        <x:v>-280</x:v>
      </x:c>
      <x:c r="X88" s="52" t="n">
        <x:f>IF(D88=0,"",(W88)/D88)</x:f>
        <x:v>-0.47058823529411764</x:v>
      </x:c>
      <x:c r="Y88" t="str">
        <x:v>DR. MAHESH SHARMA</x:v>
      </x:c>
      <x:c r="Z88" t="n">
        <x:f>D88-E88-F88</x:f>
        <x:v>0</x:v>
      </x:c>
    </x:row>
    <x:row r="89">
      <x:c r="A89" t="n">
        <x:v>81</x:v>
      </x:c>
      <x:c r="B89" t="str">
        <x:v>RAJENDRA I. C. VILASPUR R.NO. 6</x:v>
      </x:c>
      <x:c r="C89" t="n">
        <x:v>1025</x:v>
      </x:c>
      <x:c r="D89" t="n">
        <x:v>429</x:v>
      </x:c>
      <x:c r="E89" t="n">
        <x:f>SUM(H89:T89)</x:f>
        <x:v>427</x:v>
      </x:c>
      <x:c r="F89" t="n">
        <x:v>2</x:v>
      </x:c>
      <x:c r="G89" s="50" t="n">
        <x:f>IF(C89="","",IFERROR(D89/C89,0))</x:f>
        <x:v>0.41853658536585364</x:v>
      </x:c>
      <x:c r="H89" s="36" t="n">
        <x:v>159</x:v>
      </x:c>
      <x:c r="I89" t="n">
        <x:v>248</x:v>
      </x:c>
      <x:c r="J89" t="n">
        <x:v>14</x:v>
      </x:c>
      <x:c r="K89" t="n">
        <x:v>1</x:v>
      </x:c>
      <x:c r="L89" t="n">
        <x:v>0</x:v>
      </x:c>
      <x:c r="M89" t="n">
        <x:v>2</x:v>
      </x:c>
      <x:c r="N89" t="n">
        <x:v>1</x:v>
      </x:c>
      <x:c r="O89" t="n">
        <x:v>2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s="50" t="n">
        <x:f>IF(D89=0,"",H89/D89)</x:f>
        <x:v>0.3706293706293706</x:v>
      </x:c>
      <x:c r="V89" t="n">
        <x:f>MAX(I89:T89)</x:f>
        <x:v>248</x:v>
      </x:c>
      <x:c r="W89" t="n">
        <x:f>H89-V89</x:f>
        <x:v>-89</x:v>
      </x:c>
      <x:c r="X89" s="52" t="n">
        <x:f>IF(D89=0,"",(W89)/D89)</x:f>
        <x:v>-0.20745920745920746</x:v>
      </x:c>
      <x:c r="Y89" t="str">
        <x:v>DR. MAHESH SHARMA</x:v>
      </x:c>
      <x:c r="Z89" t="n">
        <x:f>D89-E89-F89</x:f>
        <x:v>0</x:v>
      </x:c>
    </x:row>
    <x:row r="90">
      <x:c r="A90" t="n">
        <x:v>82</x:v>
      </x:c>
      <x:c r="B90" t="str">
        <x:v>RAJENDRA I. C. VILASPUR R.NO. 7</x:v>
      </x:c>
      <x:c r="C90" t="n">
        <x:v>1194</x:v>
      </x:c>
      <x:c r="D90" t="n">
        <x:v>605</x:v>
      </x:c>
      <x:c r="E90" t="n">
        <x:f>SUM(H90:T90)</x:f>
        <x:v>605</x:v>
      </x:c>
      <x:c r="F90" t="n">
        <x:v>0</x:v>
      </x:c>
      <x:c r="G90" s="50" t="n">
        <x:f>IF(C90="","",IFERROR(D90/C90,0))</x:f>
        <x:v>0.5067001675041876</x:v>
      </x:c>
      <x:c r="H90" s="36" t="n">
        <x:v>510</x:v>
      </x:c>
      <x:c r="I90" t="n">
        <x:v>83</x:v>
      </x:c>
      <x:c r="J90" t="n">
        <x:v>7</x:v>
      </x:c>
      <x:c r="K90" t="n">
        <x:v>0</x:v>
      </x:c>
      <x:c r="L90" t="n">
        <x:v>0</x:v>
      </x:c>
      <x:c r="M90" t="n">
        <x:v>3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1</x:v>
      </x:c>
      <x:c r="S90" t="n">
        <x:v>0</x:v>
      </x:c>
      <x:c r="T90" t="n">
        <x:v>1</x:v>
      </x:c>
      <x:c r="U90" s="50" t="n">
        <x:f>IF(D90=0,"",H90/D90)</x:f>
        <x:v>0.8429752066115702</x:v>
      </x:c>
      <x:c r="V90" t="n">
        <x:f>MAX(I90:T90)</x:f>
        <x:v>83</x:v>
      </x:c>
      <x:c r="W90" t="n">
        <x:f>H90-V90</x:f>
        <x:v>427</x:v>
      </x:c>
      <x:c r="X90" s="52" t="n">
        <x:f>IF(D90=0,"",(W90)/D90)</x:f>
        <x:v>0.7057851239669422</x:v>
      </x:c>
      <x:c r="Y90" t="str">
        <x:v>SATVEER</x:v>
      </x:c>
      <x:c r="Z90" t="n">
        <x:f>D90-E90-F90</x:f>
        <x:v>0</x:v>
      </x:c>
    </x:row>
    <x:row r="91">
      <x:c r="A91" t="n">
        <x:v>83</x:v>
      </x:c>
      <x:c r="B91" t="str">
        <x:v>RAJENDRA I. C. VILASPUR R.NO. 8</x:v>
      </x:c>
      <x:c r="C91" t="n">
        <x:v>1050</x:v>
      </x:c>
      <x:c r="D91" t="n">
        <x:v>619</x:v>
      </x:c>
      <x:c r="E91" t="n">
        <x:f>SUM(H91:T91)</x:f>
        <x:v>614</x:v>
      </x:c>
      <x:c r="F91" t="n">
        <x:v>5</x:v>
      </x:c>
      <x:c r="G91" s="50" t="n">
        <x:f>IF(C91="","",IFERROR(D91/C91,0))</x:f>
        <x:v>0.5895238095238096</x:v>
      </x:c>
      <x:c r="H91" s="36" t="n">
        <x:v>495</x:v>
      </x:c>
      <x:c r="I91" t="n">
        <x:v>91</x:v>
      </x:c>
      <x:c r="J91" t="n">
        <x:v>20</x:v>
      </x:c>
      <x:c r="K91" t="n">
        <x:v>2</x:v>
      </x:c>
      <x:c r="L91" t="n">
        <x:v>1</x:v>
      </x:c>
      <x:c r="M91" t="n">
        <x:v>2</x:v>
      </x:c>
      <x:c r="N91" t="n">
        <x:v>0</x:v>
      </x:c>
      <x:c r="O91" t="n">
        <x:v>0</x:v>
      </x:c>
      <x:c r="P91" t="n">
        <x:v>0</x:v>
      </x:c>
      <x:c r="Q91" t="n">
        <x:v>3</x:v>
      </x:c>
      <x:c r="R91" t="n">
        <x:v>0</x:v>
      </x:c>
      <x:c r="S91" t="n">
        <x:v>0</x:v>
      </x:c>
      <x:c r="T91" t="n">
        <x:v>0</x:v>
      </x:c>
      <x:c r="U91" s="50" t="n">
        <x:f>IF(D91=0,"",H91/D91)</x:f>
        <x:v>0.7996768982229402</x:v>
      </x:c>
      <x:c r="V91" t="n">
        <x:f>MAX(I91:T91)</x:f>
        <x:v>91</x:v>
      </x:c>
      <x:c r="W91" t="n">
        <x:f>H91-V91</x:f>
        <x:v>404</x:v>
      </x:c>
      <x:c r="X91" s="52" t="n">
        <x:f>IF(D91=0,"",(W91)/D91)</x:f>
        <x:v>0.6526655896607432</x:v>
      </x:c>
      <x:c r="Y91" t="str">
        <x:v>SATVEER</x:v>
      </x:c>
      <x:c r="Z91" t="n">
        <x:f>D91-E91-F91</x:f>
        <x:v>0</x:v>
      </x:c>
    </x:row>
    <x:row r="92">
      <x:c r="A92" t="n">
        <x:v>84</x:v>
      </x:c>
      <x:c r="B92" t="str">
        <x:v>RAJENDRA I. C. VILASPUR R.NO. 9</x:v>
      </x:c>
      <x:c r="C92" t="n">
        <x:v>1201</x:v>
      </x:c>
      <x:c r="D92" t="n">
        <x:v>732</x:v>
      </x:c>
      <x:c r="E92" t="n">
        <x:f>SUM(H92:T92)</x:f>
        <x:v>728</x:v>
      </x:c>
      <x:c r="F92" t="n">
        <x:v>4</x:v>
      </x:c>
      <x:c r="G92" s="50" t="n">
        <x:f>IF(C92="","",IFERROR(D92/C92,0))</x:f>
        <x:v>0.6094920899250624</x:v>
      </x:c>
      <x:c r="H92" s="36" t="n">
        <x:v>686</x:v>
      </x:c>
      <x:c r="I92" t="n">
        <x:v>28</x:v>
      </x:c>
      <x:c r="J92" t="n">
        <x:v>4</x:v>
      </x:c>
      <x:c r="K92" t="n">
        <x:v>3</x:v>
      </x:c>
      <x:c r="L92" t="n">
        <x:v>1</x:v>
      </x:c>
      <x:c r="M92" t="n">
        <x:v>3</x:v>
      </x:c>
      <x:c r="N92" t="n">
        <x:v>0</x:v>
      </x:c>
      <x:c r="O92" t="n">
        <x:v>2</x:v>
      </x:c>
      <x:c r="P92" t="n">
        <x:v>0</x:v>
      </x:c>
      <x:c r="Q92" t="n">
        <x:v>0</x:v>
      </x:c>
      <x:c r="R92" t="n">
        <x:v>1</x:v>
      </x:c>
      <x:c r="S92" t="n">
        <x:v>0</x:v>
      </x:c>
      <x:c r="T92" t="n">
        <x:v>0</x:v>
      </x:c>
      <x:c r="U92" s="50" t="n">
        <x:f>IF(D92=0,"",H92/D92)</x:f>
        <x:v>0.9371584699453552</x:v>
      </x:c>
      <x:c r="V92" t="n">
        <x:f>MAX(I92:T92)</x:f>
        <x:v>28</x:v>
      </x:c>
      <x:c r="W92" t="n">
        <x:f>H92-V92</x:f>
        <x:v>658</x:v>
      </x:c>
      <x:c r="X92" s="52" t="n">
        <x:f>IF(D92=0,"",(W92)/D92)</x:f>
        <x:v>0.8989071038251366</x:v>
      </x:c>
      <x:c r="Y92" t="str">
        <x:v>SATVEER</x:v>
      </x:c>
      <x:c r="Z92" t="n">
        <x:f>D92-E92-F92</x:f>
        <x:v>0</x:v>
      </x:c>
    </x:row>
    <x:row r="93">
      <x:c r="A93" t="n">
        <x:v>85</x:v>
      </x:c>
      <x:c r="B93" t="str">
        <x:v>PRY. SCHOOL AZAMPUR GARHI R.NO. 1</x:v>
      </x:c>
      <x:c r="C93" t="n">
        <x:v>971</x:v>
      </x:c>
      <x:c r="D93" t="n">
        <x:v>715</x:v>
      </x:c>
      <x:c r="E93" t="n">
        <x:f>SUM(H93:T93)</x:f>
        <x:v>710</x:v>
      </x:c>
      <x:c r="F93" t="n">
        <x:v>5</x:v>
      </x:c>
      <x:c r="G93" s="50" t="n">
        <x:f>IF(C93="","",IFERROR(D93/C93,0))</x:f>
        <x:v>0.7363542739443872</x:v>
      </x:c>
      <x:c r="H93" s="36" t="n">
        <x:v>250</x:v>
      </x:c>
      <x:c r="I93" t="n">
        <x:v>434</x:v>
      </x:c>
      <x:c r="J93" t="n">
        <x:v>13</x:v>
      </x:c>
      <x:c r="K93" t="n">
        <x:v>3</x:v>
      </x:c>
      <x:c r="L93" t="n">
        <x:v>0</x:v>
      </x:c>
      <x:c r="M93" t="n">
        <x:v>1</x:v>
      </x:c>
      <x:c r="N93" t="n">
        <x:v>2</x:v>
      </x:c>
      <x:c r="O93" t="n">
        <x:v>4</x:v>
      </x:c>
      <x:c r="P93" t="n">
        <x:v>0</x:v>
      </x:c>
      <x:c r="Q93" t="n">
        <x:v>1</x:v>
      </x:c>
      <x:c r="R93" t="n">
        <x:v>1</x:v>
      </x:c>
      <x:c r="S93" t="n">
        <x:v>1</x:v>
      </x:c>
      <x:c r="T93" t="n">
        <x:v>0</x:v>
      </x:c>
      <x:c r="U93" s="50" t="n">
        <x:f>IF(D93=0,"",H93/D93)</x:f>
        <x:v>0.34965034965034963</x:v>
      </x:c>
      <x:c r="V93" t="n">
        <x:f>MAX(I93:T93)</x:f>
        <x:v>434</x:v>
      </x:c>
      <x:c r="W93" t="n">
        <x:f>H93-V93</x:f>
        <x:v>-184</x:v>
      </x:c>
      <x:c r="X93" s="52" t="n">
        <x:f>IF(D93=0,"",(W93)/D93)</x:f>
        <x:v>-0.2573426573426573</x:v>
      </x:c>
      <x:c r="Y93" t="str">
        <x:v>DR. MAHESH SHARMA</x:v>
      </x:c>
      <x:c r="Z93" t="n">
        <x:f>D93-E93-F93</x:f>
        <x:v>0</x:v>
      </x:c>
    </x:row>
    <x:row r="94">
      <x:c r="A94" t="n">
        <x:v>86</x:v>
      </x:c>
      <x:c r="B94" t="str">
        <x:v>PRY. SCHOOL BANJARPUR R.NO. 1</x:v>
      </x:c>
      <x:c r="C94" t="n">
        <x:v>734</x:v>
      </x:c>
      <x:c r="D94" t="n">
        <x:v>664</x:v>
      </x:c>
      <x:c r="E94" t="n">
        <x:f>SUM(H94:T94)</x:f>
        <x:v>660</x:v>
      </x:c>
      <x:c r="F94" t="n">
        <x:v>4</x:v>
      </x:c>
      <x:c r="G94" s="50" t="n">
        <x:f>IF(C94="","",IFERROR(D94/C94,0))</x:f>
        <x:v>0.9046321525885559</x:v>
      </x:c>
      <x:c r="H94" s="36" t="n">
        <x:v>525</x:v>
      </x:c>
      <x:c r="I94" t="n">
        <x:v>131</x:v>
      </x:c>
      <x:c r="J94" t="n">
        <x:v>2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2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s="50" t="n">
        <x:f>IF(D94=0,"",H94/D94)</x:f>
        <x:v>0.7906626506024096</x:v>
      </x:c>
      <x:c r="V94" t="n">
        <x:f>MAX(I94:T94)</x:f>
        <x:v>131</x:v>
      </x:c>
      <x:c r="W94" t="n">
        <x:f>H94-V94</x:f>
        <x:v>394</x:v>
      </x:c>
      <x:c r="X94" s="52" t="n">
        <x:f>IF(D94=0,"",(W94)/D94)</x:f>
        <x:v>0.5933734939759037</x:v>
      </x:c>
      <x:c r="Y94" t="str">
        <x:v>SATVEER</x:v>
      </x:c>
      <x:c r="Z94" t="n">
        <x:f>D94-E94-F94</x:f>
        <x:v>0</x:v>
      </x:c>
    </x:row>
    <x:row r="95">
      <x:c r="A95" t="n">
        <x:v>87</x:v>
      </x:c>
      <x:c r="B95" t="str">
        <x:v>PRY. SCHOOL BANJARPUR R.NO. 2</x:v>
      </x:c>
      <x:c r="C95" t="n">
        <x:v>680</x:v>
      </x:c>
      <x:c r="D95" t="n">
        <x:v>584</x:v>
      </x:c>
      <x:c r="E95" t="n">
        <x:f>SUM(H95:T95)</x:f>
        <x:v>580</x:v>
      </x:c>
      <x:c r="F95" t="n">
        <x:v>4</x:v>
      </x:c>
      <x:c r="G95" s="50" t="n">
        <x:f>IF(C95="","",IFERROR(D95/C95,0))</x:f>
        <x:v>0.8588235294117647</x:v>
      </x:c>
      <x:c r="H95" s="36" t="n">
        <x:v>490</x:v>
      </x:c>
      <x:c r="I95" t="n">
        <x:v>80</x:v>
      </x:c>
      <x:c r="J95" t="n">
        <x:v>2</x:v>
      </x:c>
      <x:c r="K95" t="n">
        <x:v>3</x:v>
      </x:c>
      <x:c r="L95" t="n">
        <x:v>0</x:v>
      </x:c>
      <x:c r="M95" t="n">
        <x:v>2</x:v>
      </x:c>
      <x:c r="N95" t="n">
        <x:v>0</x:v>
      </x:c>
      <x:c r="O95" t="n">
        <x:v>1</x:v>
      </x:c>
      <x:c r="P95" t="n">
        <x:v>0</x:v>
      </x:c>
      <x:c r="Q95" t="n">
        <x:v>0</x:v>
      </x:c>
      <x:c r="R95" t="n">
        <x:v>1</x:v>
      </x:c>
      <x:c r="S95" t="n">
        <x:v>1</x:v>
      </x:c>
      <x:c r="T95" t="n">
        <x:v>0</x:v>
      </x:c>
      <x:c r="U95" s="50" t="n">
        <x:f>IF(D95=0,"",H95/D95)</x:f>
        <x:v>0.839041095890411</x:v>
      </x:c>
      <x:c r="V95" t="n">
        <x:f>MAX(I95:T95)</x:f>
        <x:v>80</x:v>
      </x:c>
      <x:c r="W95" t="n">
        <x:f>H95-V95</x:f>
        <x:v>410</x:v>
      </x:c>
      <x:c r="X95" s="52" t="n">
        <x:f>IF(D95=0,"",(W95)/D95)</x:f>
        <x:v>0.702054794520548</x:v>
      </x:c>
      <x:c r="Y95" t="str">
        <x:v>SATVEER</x:v>
      </x:c>
      <x:c r="Z95" t="n">
        <x:f>D95-E95-F95</x:f>
        <x:v>0</x:v>
      </x:c>
    </x:row>
    <x:row r="96">
      <x:c r="A96" t="n">
        <x:v>88</x:v>
      </x:c>
      <x:c r="B96" t="str">
        <x:v>PRY. SCHOOL SARAKPUR R.NO. 1</x:v>
      </x:c>
      <x:c r="C96" t="n">
        <x:v>800</x:v>
      </x:c>
      <x:c r="D96" t="n">
        <x:v>478</x:v>
      </x:c>
      <x:c r="E96" t="n">
        <x:f>SUM(H96:T96)</x:f>
        <x:v>478</x:v>
      </x:c>
      <x:c r="F96" t="n">
        <x:v>0</x:v>
      </x:c>
      <x:c r="G96" s="50" t="n">
        <x:f>IF(C96="","",IFERROR(D96/C96,0))</x:f>
        <x:v>0.5975</x:v>
      </x:c>
      <x:c r="H96" s="36" t="n">
        <x:v>210</x:v>
      </x:c>
      <x:c r="I96" t="n">
        <x:v>264</x:v>
      </x:c>
      <x:c r="J96" t="n">
        <x:v>2</x:v>
      </x:c>
      <x:c r="K96" t="n">
        <x:v>1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1</x:v>
      </x:c>
      <x:c r="U96" s="50" t="n">
        <x:f>IF(D96=0,"",H96/D96)</x:f>
        <x:v>0.4393305439330544</x:v>
      </x:c>
      <x:c r="V96" t="n">
        <x:f>MAX(I96:T96)</x:f>
        <x:v>264</x:v>
      </x:c>
      <x:c r="W96" t="n">
        <x:f>H96-V96</x:f>
        <x:v>-54</x:v>
      </x:c>
      <x:c r="X96" s="52" t="n">
        <x:f>IF(D96=0,"",(W96)/D96)</x:f>
        <x:v>-0.11297071129707113</x:v>
      </x:c>
      <x:c r="Y96" t="str">
        <x:v>DR. MAHESH SHARMA</x:v>
      </x:c>
      <x:c r="Z96" t="n">
        <x:f>D96-E96-F96</x:f>
        <x:v>0</x:v>
      </x:c>
    </x:row>
    <x:row r="97">
      <x:c r="A97" t="n">
        <x:v>89</x:v>
      </x:c>
      <x:c r="B97" t="str">
        <x:v>PRY. SCHOOL BHATTA R.NO. 1</x:v>
      </x:c>
      <x:c r="C97" t="n">
        <x:v>1149</x:v>
      </x:c>
      <x:c r="D97" t="n">
        <x:v>668</x:v>
      </x:c>
      <x:c r="E97" t="n">
        <x:f>SUM(H97:T97)</x:f>
        <x:v>659</x:v>
      </x:c>
      <x:c r="F97" t="n">
        <x:v>9</x:v>
      </x:c>
      <x:c r="G97" s="50" t="n">
        <x:f>IF(C97="","",IFERROR(D97/C97,0))</x:f>
        <x:v>0.5813751087902524</x:v>
      </x:c>
      <x:c r="H97" s="36" t="n">
        <x:v>239</x:v>
      </x:c>
      <x:c r="I97" t="n">
        <x:v>391</x:v>
      </x:c>
      <x:c r="J97" t="n">
        <x:v>24</x:v>
      </x:c>
      <x:c r="K97" t="n">
        <x:v>1</x:v>
      </x:c>
      <x:c r="L97" t="n">
        <x:v>1</x:v>
      </x:c>
      <x:c r="M97" t="n">
        <x:v>1</x:v>
      </x:c>
      <x:c r="N97" t="n">
        <x:v>0</x:v>
      </x:c>
      <x:c r="O97" t="n">
        <x:v>0</x:v>
      </x:c>
      <x:c r="P97" t="n">
        <x:v>2</x:v>
      </x:c>
      <x:c r="Q97" t="n">
        <x:v>0</x:v>
      </x:c>
      <x:c r="R97" t="n">
        <x:v>0</x:v>
      </x:c>
      <x:c r="S97" t="n">
        <x:v>0</x:v>
      </x:c>
      <x:c r="T97" t="n">
        <x:v>0</x:v>
      </x:c>
      <x:c r="U97" s="50" t="n">
        <x:f>IF(D97=0,"",H97/D97)</x:f>
        <x:v>0.35778443113772457</x:v>
      </x:c>
      <x:c r="V97" t="n">
        <x:f>MAX(I97:T97)</x:f>
        <x:v>391</x:v>
      </x:c>
      <x:c r="W97" t="n">
        <x:f>H97-V97</x:f>
        <x:v>-152</x:v>
      </x:c>
      <x:c r="X97" s="52" t="n">
        <x:f>IF(D97=0,"",(W97)/D97)</x:f>
        <x:v>-0.2275449101796407</x:v>
      </x:c>
      <x:c r="Y97" t="str">
        <x:v>DR. MAHESH SHARMA</x:v>
      </x:c>
      <x:c r="Z97" t="n">
        <x:f>D97-E97-F97</x:f>
        <x:v>0</x:v>
      </x:c>
    </x:row>
    <x:row r="98">
      <x:c r="A98" t="n">
        <x:v>90</x:v>
      </x:c>
      <x:c r="B98" t="str">
        <x:v>PRY. SCHOOL BHATTA R.NO. 2</x:v>
      </x:c>
      <x:c r="C98" t="n">
        <x:v>1008</x:v>
      </x:c>
      <x:c r="D98" t="n">
        <x:v>606</x:v>
      </x:c>
      <x:c r="E98" t="n">
        <x:f>SUM(H98:T98)</x:f>
        <x:v>604</x:v>
      </x:c>
      <x:c r="F98" t="n">
        <x:v>2</x:v>
      </x:c>
      <x:c r="G98" s="50" t="n">
        <x:f>IF(C98="","",IFERROR(D98/C98,0))</x:f>
        <x:v>0.6011904761904762</x:v>
      </x:c>
      <x:c r="H98" s="36" t="n">
        <x:v>170</x:v>
      </x:c>
      <x:c r="I98" t="n">
        <x:v>415</x:v>
      </x:c>
      <x:c r="J98" t="n">
        <x:v>15</x:v>
      </x:c>
      <x:c r="K98" t="n">
        <x:v>0</x:v>
      </x:c>
      <x:c r="L98" t="n">
        <x:v>0</x:v>
      </x:c>
      <x:c r="M98" t="n">
        <x:v>0</x:v>
      </x:c>
      <x:c r="N98" t="n">
        <x:v>3</x:v>
      </x:c>
      <x:c r="O98" t="n">
        <x:v>0</x:v>
      </x:c>
      <x:c r="P98" t="n">
        <x:v>0</x:v>
      </x:c>
      <x:c r="Q98" t="n">
        <x:v>0</x:v>
      </x:c>
      <x:c r="R98" t="n">
        <x:v>1</x:v>
      </x:c>
      <x:c r="S98" t="n">
        <x:v>0</x:v>
      </x:c>
      <x:c r="T98" t="n">
        <x:v>0</x:v>
      </x:c>
      <x:c r="U98" s="50" t="n">
        <x:f>IF(D98=0,"",H98/D98)</x:f>
        <x:v>0.28052805280528054</x:v>
      </x:c>
      <x:c r="V98" t="n">
        <x:f>MAX(I98:T98)</x:f>
        <x:v>415</x:v>
      </x:c>
      <x:c r="W98" t="n">
        <x:f>H98-V98</x:f>
        <x:v>-245</x:v>
      </x:c>
      <x:c r="X98" s="52" t="n">
        <x:f>IF(D98=0,"",(W98)/D98)</x:f>
        <x:v>-0.4042904290429043</x:v>
      </x:c>
      <x:c r="Y98" t="str">
        <x:v>DR. MAHESH SHARMA</x:v>
      </x:c>
      <x:c r="Z98" t="n">
        <x:f>D98-E98-F98</x:f>
        <x:v>0</x:v>
      </x:c>
    </x:row>
    <x:row r="99">
      <x:c r="A99" t="n">
        <x:v>91</x:v>
      </x:c>
      <x:c r="B99" t="str">
        <x:v>PRY. SCHOOL BHATTA R.NO. 3</x:v>
      </x:c>
      <x:c r="C99" t="n">
        <x:v>774</x:v>
      </x:c>
      <x:c r="D99" t="n">
        <x:v>474</x:v>
      </x:c>
      <x:c r="E99" t="n">
        <x:f>SUM(H99:T99)</x:f>
        <x:v>471</x:v>
      </x:c>
      <x:c r="F99" t="n">
        <x:v>3</x:v>
      </x:c>
      <x:c r="G99" s="50" t="n">
        <x:f>IF(C99="","",IFERROR(D99/C99,0))</x:f>
        <x:v>0.6124031007751938</x:v>
      </x:c>
      <x:c r="H99" s="36" t="n">
        <x:v>269</x:v>
      </x:c>
      <x:c r="I99" t="n">
        <x:v>174</x:v>
      </x:c>
      <x:c r="J99" t="n">
        <x:v>15</x:v>
      </x:c>
      <x:c r="K99" t="n">
        <x:v>5</x:v>
      </x:c>
      <x:c r="L99" t="n">
        <x:v>2</x:v>
      </x:c>
      <x:c r="M99" t="n">
        <x:v>1</x:v>
      </x:c>
      <x:c r="N99" t="n">
        <x:v>2</x:v>
      </x:c>
      <x:c r="O99" t="n">
        <x:v>0</x:v>
      </x:c>
      <x:c r="P99" t="n">
        <x:v>0</x:v>
      </x:c>
      <x:c r="Q99" t="n">
        <x:v>2</x:v>
      </x:c>
      <x:c r="R99" t="n">
        <x:v>0</x:v>
      </x:c>
      <x:c r="S99" t="n">
        <x:v>0</x:v>
      </x:c>
      <x:c r="T99" t="n">
        <x:v>1</x:v>
      </x:c>
      <x:c r="U99" s="50" t="n">
        <x:f>IF(D99=0,"",H99/D99)</x:f>
        <x:v>0.5675105485232067</x:v>
      </x:c>
      <x:c r="V99" t="n">
        <x:f>MAX(I99:T99)</x:f>
        <x:v>174</x:v>
      </x:c>
      <x:c r="W99" t="n">
        <x:f>H99-V99</x:f>
        <x:v>95</x:v>
      </x:c>
      <x:c r="X99" s="52" t="n">
        <x:f>IF(D99=0,"",(W99)/D99)</x:f>
        <x:v>0.20042194092827004</x:v>
      </x:c>
      <x:c r="Y99" t="str">
        <x:v>SATVEER</x:v>
      </x:c>
      <x:c r="Z99" t="n">
        <x:f>D99-E99-F99</x:f>
        <x:v>0</x:v>
      </x:c>
    </x:row>
    <x:row r="100">
      <x:c r="A100" t="n">
        <x:v>92</x:v>
      </x:c>
      <x:c r="B100" t="str">
        <x:v>PRY. SCHOOL CHUHARPUR BANGAR R.NO. 1</x:v>
      </x:c>
      <x:c r="C100" t="n">
        <x:v>972</x:v>
      </x:c>
      <x:c r="D100" t="n">
        <x:v>750</x:v>
      </x:c>
      <x:c r="E100" t="n">
        <x:f>SUM(H100:T100)</x:f>
        <x:v>750</x:v>
      </x:c>
      <x:c r="F100" t="n">
        <x:v>0</x:v>
      </x:c>
      <x:c r="G100" s="50" t="n">
        <x:f>IF(C100="","",IFERROR(D100/C100,0))</x:f>
        <x:v>0.7716049382716049</x:v>
      </x:c>
      <x:c r="H100" s="36" t="n">
        <x:v>708</x:v>
      </x:c>
      <x:c r="I100" t="n">
        <x:v>29</x:v>
      </x:c>
      <x:c r="J100" t="n">
        <x:v>8</x:v>
      </x:c>
      <x:c r="K100" t="n">
        <x:v>0</x:v>
      </x:c>
      <x:c r="L100" t="n">
        <x:v>0</x:v>
      </x:c>
      <x:c r="M100" t="n">
        <x:v>5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s="50" t="n">
        <x:f>IF(D100=0,"",H100/D100)</x:f>
        <x:v>0.944</x:v>
      </x:c>
      <x:c r="V100" t="n">
        <x:f>MAX(I100:T100)</x:f>
        <x:v>29</x:v>
      </x:c>
      <x:c r="W100" t="n">
        <x:f>H100-V100</x:f>
        <x:v>679</x:v>
      </x:c>
      <x:c r="X100" s="52" t="n">
        <x:f>IF(D100=0,"",(W100)/D100)</x:f>
        <x:v>0.9053333333333333</x:v>
      </x:c>
      <x:c r="Y100" t="str">
        <x:v>SATVEER</x:v>
      </x:c>
      <x:c r="Z100" t="n">
        <x:f>D100-E100-F100</x:f>
        <x:v>0</x:v>
      </x:c>
    </x:row>
    <x:row r="101">
      <x:c r="A101" t="n">
        <x:v>93</x:v>
      </x:c>
      <x:c r="B101" t="str">
        <x:v>PRY. PATH. TALRA R.NO. 1</x:v>
      </x:c>
      <x:c r="C101" t="n">
        <x:v>767</x:v>
      </x:c>
      <x:c r="D101" t="n">
        <x:v>583</x:v>
      </x:c>
      <x:c r="E101" t="n">
        <x:f>SUM(H101:T101)</x:f>
        <x:v>581</x:v>
      </x:c>
      <x:c r="F101" t="n">
        <x:v>2</x:v>
      </x:c>
      <x:c r="G101" s="50" t="n">
        <x:f>IF(C101="","",IFERROR(D101/C101,0))</x:f>
        <x:v>0.7601043024771839</x:v>
      </x:c>
      <x:c r="H101" s="36" t="n">
        <x:v>480</x:v>
      </x:c>
      <x:c r="I101" t="n">
        <x:v>94</x:v>
      </x:c>
      <x:c r="J101" t="n">
        <x:v>0</x:v>
      </x:c>
      <x:c r="K101" t="n">
        <x:v>3</x:v>
      </x:c>
      <x:c r="L101" t="n">
        <x:v>1</x:v>
      </x:c>
      <x:c r="M101" t="n">
        <x:v>0</x:v>
      </x:c>
      <x:c r="N101" t="n">
        <x:v>0</x:v>
      </x:c>
      <x:c r="O101" t="n">
        <x:v>2</x:v>
      </x:c>
      <x:c r="P101" t="n">
        <x:v>0</x:v>
      </x:c>
      <x:c r="Q101" t="n">
        <x:v>1</x:v>
      </x:c>
      <x:c r="R101" t="n">
        <x:v>0</x:v>
      </x:c>
      <x:c r="S101" t="n">
        <x:v>0</x:v>
      </x:c>
      <x:c r="T101" t="n">
        <x:v>0</x:v>
      </x:c>
      <x:c r="U101" s="50" t="n">
        <x:f>IF(D101=0,"",H101/D101)</x:f>
        <x:v>0.823327615780446</x:v>
      </x:c>
      <x:c r="V101" t="n">
        <x:f>MAX(I101:T101)</x:f>
        <x:v>94</x:v>
      </x:c>
      <x:c r="W101" t="n">
        <x:f>H101-V101</x:f>
        <x:v>386</x:v>
      </x:c>
      <x:c r="X101" s="52" t="n">
        <x:f>IF(D101=0,"",(W101)/D101)</x:f>
        <x:v>0.6620926243567753</x:v>
      </x:c>
      <x:c r="Y101" t="str">
        <x:v>SATVEER</x:v>
      </x:c>
      <x:c r="Z101" t="n">
        <x:f>D101-E101-F101</x:f>
        <x:v>0</x:v>
      </x:c>
    </x:row>
    <x:row r="102">
      <x:c r="A102" t="n">
        <x:v>94</x:v>
      </x:c>
      <x:c r="B102" t="str">
        <x:v>PRY. PATH. TALRA R.NO. 2</x:v>
      </x:c>
      <x:c r="C102" t="n">
        <x:v>712</x:v>
      </x:c>
      <x:c r="D102" t="n">
        <x:v>531</x:v>
      </x:c>
      <x:c r="E102" t="n">
        <x:f>SUM(H102:T102)</x:f>
        <x:v>530</x:v>
      </x:c>
      <x:c r="F102" t="n">
        <x:v>1</x:v>
      </x:c>
      <x:c r="G102" s="50" t="n">
        <x:f>IF(C102="","",IFERROR(D102/C102,0))</x:f>
        <x:v>0.7457865168539326</x:v>
      </x:c>
      <x:c r="H102" s="36" t="n">
        <x:v>392</x:v>
      </x:c>
      <x:c r="I102" t="n">
        <x:v>127</x:v>
      </x:c>
      <x:c r="J102" t="n">
        <x:v>3</x:v>
      </x:c>
      <x:c r="K102" t="n">
        <x:v>2</x:v>
      </x:c>
      <x:c r="L102" t="n">
        <x:v>2</x:v>
      </x:c>
      <x:c r="M102" t="n">
        <x:v>0</x:v>
      </x:c>
      <x:c r="N102" t="n">
        <x:v>1</x:v>
      </x:c>
      <x:c r="O102" t="n">
        <x:v>0</x:v>
      </x:c>
      <x:c r="P102" t="n">
        <x:v>1</x:v>
      </x:c>
      <x:c r="Q102" t="n">
        <x:v>2</x:v>
      </x:c>
      <x:c r="R102" t="n">
        <x:v>0</x:v>
      </x:c>
      <x:c r="S102" t="n">
        <x:v>0</x:v>
      </x:c>
      <x:c r="T102" t="n">
        <x:v>0</x:v>
      </x:c>
      <x:c r="U102" s="50" t="n">
        <x:f>IF(D102=0,"",H102/D102)</x:f>
        <x:v>0.7382297551789078</x:v>
      </x:c>
      <x:c r="V102" t="n">
        <x:f>MAX(I102:T102)</x:f>
        <x:v>127</x:v>
      </x:c>
      <x:c r="W102" t="n">
        <x:f>H102-V102</x:f>
        <x:v>265</x:v>
      </x:c>
      <x:c r="X102" s="52" t="n">
        <x:f>IF(D102=0,"",(W102)/D102)</x:f>
        <x:v>0.4990583804143126</x:v>
      </x:c>
      <x:c r="Y102" t="str">
        <x:v>SATVEER</x:v>
      </x:c>
      <x:c r="Z102" t="n">
        <x:f>D102-E102-F102</x:f>
        <x:v>0</x:v>
      </x:c>
    </x:row>
    <x:row r="103">
      <x:c r="A103" t="n">
        <x:v>95</x:v>
      </x:c>
      <x:c r="B103" t="str">
        <x:v>PRY. SCHOOL HATEVA R.NO. 1</x:v>
      </x:c>
      <x:c r="C103" t="n">
        <x:v>1186</x:v>
      </x:c>
      <x:c r="D103" t="n">
        <x:v>935</x:v>
      </x:c>
      <x:c r="E103" t="n">
        <x:f>SUM(H103:T103)</x:f>
        <x:v>933</x:v>
      </x:c>
      <x:c r="F103" t="n">
        <x:v>2</x:v>
      </x:c>
      <x:c r="G103" s="50" t="n">
        <x:f>IF(C103="","",IFERROR(D103/C103,0))</x:f>
        <x:v>0.7883642495784149</x:v>
      </x:c>
      <x:c r="H103" s="36" t="n">
        <x:v>380</x:v>
      </x:c>
      <x:c r="I103" t="n">
        <x:v>529</x:v>
      </x:c>
      <x:c r="J103" t="n">
        <x:v>8</x:v>
      </x:c>
      <x:c r="K103" t="n">
        <x:v>7</x:v>
      </x:c>
      <x:c r="L103" t="n">
        <x:v>3</x:v>
      </x:c>
      <x:c r="M103" t="n">
        <x:v>3</x:v>
      </x:c>
      <x:c r="N103" t="n">
        <x:v>0</x:v>
      </x:c>
      <x:c r="O103" t="n">
        <x:v>0</x:v>
      </x:c>
      <x:c r="P103" t="n">
        <x:v>0</x:v>
      </x:c>
      <x:c r="Q103" t="n">
        <x:v>2</x:v>
      </x:c>
      <x:c r="R103" t="n">
        <x:v>1</x:v>
      </x:c>
      <x:c r="S103" t="n">
        <x:v>0</x:v>
      </x:c>
      <x:c r="T103" t="n">
        <x:v>0</x:v>
      </x:c>
      <x:c r="U103" s="50" t="n">
        <x:f>IF(D103=0,"",H103/D103)</x:f>
        <x:v>0.40641711229946526</x:v>
      </x:c>
      <x:c r="V103" t="n">
        <x:f>MAX(I103:T103)</x:f>
        <x:v>529</x:v>
      </x:c>
      <x:c r="W103" t="n">
        <x:f>H103-V103</x:f>
        <x:v>-149</x:v>
      </x:c>
      <x:c r="X103" s="52" t="n">
        <x:f>IF(D103=0,"",(W103)/D103)</x:f>
        <x:v>-0.15935828877005348</x:v>
      </x:c>
      <x:c r="Y103" t="str">
        <x:v>DR. MAHESH SHARMA</x:v>
      </x:c>
      <x:c r="Z103" t="n">
        <x:f>D103-E103-F103</x:f>
        <x:v>0</x:v>
      </x:c>
    </x:row>
    <x:row r="104">
      <x:c r="A104" t="n">
        <x:v>96</x:v>
      </x:c>
      <x:c r="B104" t="str">
        <x:v>PRY. SCHOOL DALEL GARH R.NO. 1</x:v>
      </x:c>
      <x:c r="C104" t="n">
        <x:v>699</x:v>
      </x:c>
      <x:c r="D104" t="n">
        <x:v>551</x:v>
      </x:c>
      <x:c r="E104" t="n">
        <x:f>SUM(H104:T104)</x:f>
        <x:v>550</x:v>
      </x:c>
      <x:c r="F104" t="n">
        <x:v>1</x:v>
      </x:c>
      <x:c r="G104" s="50" t="n">
        <x:f>IF(C104="","",IFERROR(D104/C104,0))</x:f>
        <x:v>0.7882689556509299</x:v>
      </x:c>
      <x:c r="H104" s="36" t="n">
        <x:v>381</x:v>
      </x:c>
      <x:c r="I104" t="n">
        <x:v>158</x:v>
      </x:c>
      <x:c r="J104" t="n">
        <x:v>4</x:v>
      </x:c>
      <x:c r="K104" t="n">
        <x:v>3</x:v>
      </x:c>
      <x:c r="L104" t="n">
        <x:v>0</x:v>
      </x:c>
      <x:c r="M104" t="n">
        <x:v>3</x:v>
      </x:c>
      <x:c r="N104" t="n">
        <x:v>1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s="50" t="n">
        <x:f>IF(D104=0,"",H104/D104)</x:f>
        <x:v>0.691470054446461</x:v>
      </x:c>
      <x:c r="V104" t="n">
        <x:f>MAX(I104:T104)</x:f>
        <x:v>158</x:v>
      </x:c>
      <x:c r="W104" t="n">
        <x:f>H104-V104</x:f>
        <x:v>223</x:v>
      </x:c>
      <x:c r="X104" s="52" t="n">
        <x:f>IF(D104=0,"",(W104)/D104)</x:f>
        <x:v>0.4047186932849365</x:v>
      </x:c>
      <x:c r="Y104" t="str">
        <x:v>SATVEER</x:v>
      </x:c>
      <x:c r="Z104" t="n">
        <x:f>D104-E104-F104</x:f>
        <x:v>0</x:v>
      </x:c>
    </x:row>
    <x:row r="105">
      <x:c r="A105" t="n">
        <x:v>97</x:v>
      </x:c>
      <x:c r="B105" t="str">
        <x:v>PRY. SCHOOL DALEL GARH R.NO. 2</x:v>
      </x:c>
      <x:c r="C105" t="n">
        <x:v>734</x:v>
      </x:c>
      <x:c r="D105" t="n">
        <x:v>536</x:v>
      </x:c>
      <x:c r="E105" t="n">
        <x:f>SUM(H105:T105)</x:f>
        <x:v>533</x:v>
      </x:c>
      <x:c r="F105" t="n">
        <x:v>3</x:v>
      </x:c>
      <x:c r="G105" s="50" t="n">
        <x:f>IF(C105="","",IFERROR(D105/C105,0))</x:f>
        <x:v>0.7302452316076294</x:v>
      </x:c>
      <x:c r="H105" s="36" t="n">
        <x:v>378</x:v>
      </x:c>
      <x:c r="I105" t="n">
        <x:v>143</x:v>
      </x:c>
      <x:c r="J105" t="n">
        <x:v>1</x:v>
      </x:c>
      <x:c r="K105" t="n">
        <x:v>10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1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s="50" t="n">
        <x:f>IF(D105=0,"",H105/D105)</x:f>
        <x:v>0.7052238805970149</x:v>
      </x:c>
      <x:c r="V105" t="n">
        <x:f>MAX(I105:T105)</x:f>
        <x:v>143</x:v>
      </x:c>
      <x:c r="W105" t="n">
        <x:f>H105-V105</x:f>
        <x:v>235</x:v>
      </x:c>
      <x:c r="X105" s="52" t="n">
        <x:f>IF(D105=0,"",(W105)/D105)</x:f>
        <x:v>0.43843283582089554</x:v>
      </x:c>
      <x:c r="Y105" t="str">
        <x:v>SATVEER</x:v>
      </x:c>
      <x:c r="Z105" t="n">
        <x:f>D105-E105-F105</x:f>
        <x:v>0</x:v>
      </x:c>
    </x:row>
    <x:row r="106">
      <x:c r="A106" t="n">
        <x:v>98</x:v>
      </x:c>
      <x:c r="B106" t="str">
        <x:v>PRY. SCHOOL BAGPUR R.NO. 1</x:v>
      </x:c>
      <x:c r="C106" t="n">
        <x:v>1017</x:v>
      </x:c>
      <x:c r="D106" t="n">
        <x:v>750</x:v>
      </x:c>
      <x:c r="E106" t="n">
        <x:f>SUM(H106:T106)</x:f>
        <x:v>748</x:v>
      </x:c>
      <x:c r="F106" t="n">
        <x:v>2</x:v>
      </x:c>
      <x:c r="G106" s="50" t="n">
        <x:f>IF(C106="","",IFERROR(D106/C106,0))</x:f>
        <x:v>0.7374631268436578</x:v>
      </x:c>
      <x:c r="H106" s="36" t="n">
        <x:v>381</x:v>
      </x:c>
      <x:c r="I106" t="n">
        <x:v>350</x:v>
      </x:c>
      <x:c r="J106" t="n">
        <x:v>6</x:v>
      </x:c>
      <x:c r="K106" t="n">
        <x:v>3</x:v>
      </x:c>
      <x:c r="L106" t="n">
        <x:v>1</x:v>
      </x:c>
      <x:c r="M106" t="n">
        <x:v>0</x:v>
      </x:c>
      <x:c r="N106" t="n">
        <x:v>0</x:v>
      </x:c>
      <x:c r="O106" t="n">
        <x:v>5</x:v>
      </x:c>
      <x:c r="P106" t="n">
        <x:v>1</x:v>
      </x:c>
      <x:c r="Q106" t="n">
        <x:v>1</x:v>
      </x:c>
      <x:c r="R106" t="n">
        <x:v>0</x:v>
      </x:c>
      <x:c r="S106" t="n">
        <x:v>0</x:v>
      </x:c>
      <x:c r="T106" t="n">
        <x:v>0</x:v>
      </x:c>
      <x:c r="U106" s="50" t="n">
        <x:f>IF(D106=0,"",H106/D106)</x:f>
        <x:v>0.508</x:v>
      </x:c>
      <x:c r="V106" t="n">
        <x:f>MAX(I106:T106)</x:f>
        <x:v>350</x:v>
      </x:c>
      <x:c r="W106" t="n">
        <x:f>H106-V106</x:f>
        <x:v>31</x:v>
      </x:c>
      <x:c r="X106" s="52" t="n">
        <x:f>IF(D106=0,"",(W106)/D106)</x:f>
        <x:v>0.04133333333333333</x:v>
      </x:c>
      <x:c r="Y106" t="str">
        <x:v>SATVEER</x:v>
      </x:c>
      <x:c r="Z106" t="n">
        <x:f>D106-E106-F106</x:f>
        <x:v>0</x:v>
      </x:c>
    </x:row>
    <x:row r="107">
      <x:c r="A107" t="n">
        <x:v>99</x:v>
      </x:c>
      <x:c r="B107" t="str">
        <x:v>J.H. SCHOOL PIPALKA SURATPUR R.NO. 1</x:v>
      </x:c>
      <x:c r="C107" t="n">
        <x:v>728</x:v>
      </x:c>
      <x:c r="D107" t="n">
        <x:v>487</x:v>
      </x:c>
      <x:c r="E107" t="n">
        <x:f>SUM(H107:T107)</x:f>
        <x:v>484</x:v>
      </x:c>
      <x:c r="F107" t="n">
        <x:v>3</x:v>
      </x:c>
      <x:c r="G107" s="50" t="n">
        <x:f>IF(C107="","",IFERROR(D107/C107,0))</x:f>
        <x:v>0.6689560439560439</x:v>
      </x:c>
      <x:c r="H107" s="36" t="n">
        <x:v>283</x:v>
      </x:c>
      <x:c r="I107" t="n">
        <x:v>158</x:v>
      </x:c>
      <x:c r="J107" t="n">
        <x:v>2</x:v>
      </x:c>
      <x:c r="K107" t="n">
        <x:v>12</x:v>
      </x:c>
      <x:c r="L107" t="n">
        <x:v>2</x:v>
      </x:c>
      <x:c r="M107" t="n">
        <x:v>2</x:v>
      </x:c>
      <x:c r="N107" t="n">
        <x:v>0</x:v>
      </x:c>
      <x:c r="O107" t="n">
        <x:v>0</x:v>
      </x:c>
      <x:c r="P107" t="n">
        <x:v>19</x:v>
      </x:c>
      <x:c r="Q107" t="n">
        <x:v>3</x:v>
      </x:c>
      <x:c r="R107" t="n">
        <x:v>1</x:v>
      </x:c>
      <x:c r="S107" t="n">
        <x:v>0</x:v>
      </x:c>
      <x:c r="T107" t="n">
        <x:v>2</x:v>
      </x:c>
      <x:c r="U107" s="50" t="n">
        <x:f>IF(D107=0,"",H107/D107)</x:f>
        <x:v>0.5811088295687885</x:v>
      </x:c>
      <x:c r="V107" t="n">
        <x:f>MAX(I107:T107)</x:f>
        <x:v>158</x:v>
      </x:c>
      <x:c r="W107" t="n">
        <x:f>H107-V107</x:f>
        <x:v>125</x:v>
      </x:c>
      <x:c r="X107" s="52" t="n">
        <x:f>IF(D107=0,"",(W107)/D107)</x:f>
        <x:v>0.25667351129363447</x:v>
      </x:c>
      <x:c r="Y107" t="str">
        <x:v>SATVEER</x:v>
      </x:c>
      <x:c r="Z107" t="n">
        <x:f>D107-E107-F107</x:f>
        <x:v>0</x:v>
      </x:c>
    </x:row>
    <x:row r="108">
      <x:c r="A108" t="n">
        <x:v>100</x:v>
      </x:c>
      <x:c r="B108" t="str">
        <x:v>J.H. SCHOOL PIPALKA SURATPUR R.NO. 2</x:v>
      </x:c>
      <x:c r="C108" t="n">
        <x:v>1116</x:v>
      </x:c>
      <x:c r="D108" t="n">
        <x:v>699</x:v>
      </x:c>
      <x:c r="E108" t="n">
        <x:f>SUM(H108:T108)</x:f>
        <x:v>696</x:v>
      </x:c>
      <x:c r="F108" t="n">
        <x:v>3</x:v>
      </x:c>
      <x:c r="G108" s="50" t="n">
        <x:f>IF(C108="","",IFERROR(D108/C108,0))</x:f>
        <x:v>0.6263440860215054</x:v>
      </x:c>
      <x:c r="H108" s="36" t="n">
        <x:v>367</x:v>
      </x:c>
      <x:c r="I108" t="n">
        <x:v>305</x:v>
      </x:c>
      <x:c r="J108" t="n">
        <x:v>2</x:v>
      </x:c>
      <x:c r="K108" t="n">
        <x:v>5</x:v>
      </x:c>
      <x:c r="L108" t="n">
        <x:v>0</x:v>
      </x:c>
      <x:c r="M108" t="n">
        <x:v>3</x:v>
      </x:c>
      <x:c r="N108" t="n">
        <x:v>0</x:v>
      </x:c>
      <x:c r="O108" t="n">
        <x:v>0</x:v>
      </x:c>
      <x:c r="P108" t="n">
        <x:v>13</x:v>
      </x:c>
      <x:c r="Q108" t="n">
        <x:v>0</x:v>
      </x:c>
      <x:c r="R108" t="n">
        <x:v>0</x:v>
      </x:c>
      <x:c r="S108" t="n">
        <x:v>1</x:v>
      </x:c>
      <x:c r="T108" t="n">
        <x:v>0</x:v>
      </x:c>
      <x:c r="U108" s="50" t="n">
        <x:f>IF(D108=0,"",H108/D108)</x:f>
        <x:v>0.525035765379113</x:v>
      </x:c>
      <x:c r="V108" t="n">
        <x:f>MAX(I108:T108)</x:f>
        <x:v>305</x:v>
      </x:c>
      <x:c r="W108" t="n">
        <x:f>H108-V108</x:f>
        <x:v>62</x:v>
      </x:c>
      <x:c r="X108" s="52" t="n">
        <x:f>IF(D108=0,"",(W108)/D108)</x:f>
        <x:v>0.08869814020028613</x:v>
      </x:c>
      <x:c r="Y108" t="str">
        <x:v>SATVEER</x:v>
      </x:c>
      <x:c r="Z108" t="n">
        <x:f>D108-E108-F108</x:f>
        <x:v>0</x:v>
      </x:c>
    </x:row>
    <x:row r="109">
      <x:c r="A109" t="n">
        <x:v>101</x:v>
      </x:c>
      <x:c r="B109" t="str">
        <x:v>PRY. SCHOOL VISAECH R.NO. 1</x:v>
      </x:c>
      <x:c r="C109" t="n">
        <x:v>537</x:v>
      </x:c>
      <x:c r="D109" t="n">
        <x:v>416</x:v>
      </x:c>
      <x:c r="E109" t="n">
        <x:f>SUM(H109:T109)</x:f>
        <x:v>415</x:v>
      </x:c>
      <x:c r="F109" t="n">
        <x:v>1</x:v>
      </x:c>
      <x:c r="G109" s="50" t="n">
        <x:f>IF(C109="","",IFERROR(D109/C109,0))</x:f>
        <x:v>0.7746741154562383</x:v>
      </x:c>
      <x:c r="H109" s="36" t="n">
        <x:v>263</x:v>
      </x:c>
      <x:c r="I109" t="n">
        <x:v>150</x:v>
      </x:c>
      <x:c r="J109" t="n">
        <x:v>2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s="50" t="n">
        <x:f>IF(D109=0,"",H109/D109)</x:f>
        <x:v>0.6322115384615384</x:v>
      </x:c>
      <x:c r="V109" t="n">
        <x:f>MAX(I109:T109)</x:f>
        <x:v>150</x:v>
      </x:c>
      <x:c r="W109" t="n">
        <x:f>H109-V109</x:f>
        <x:v>113</x:v>
      </x:c>
      <x:c r="X109" s="52" t="n">
        <x:f>IF(D109=0,"",(W109)/D109)</x:f>
        <x:v>0.27163461538461536</x:v>
      </x:c>
      <x:c r="Y109" t="str">
        <x:v>SATVEER</x:v>
      </x:c>
      <x:c r="Z109" t="n">
        <x:f>D109-E109-F109</x:f>
        <x:v>0</x:v>
      </x:c>
    </x:row>
    <x:row r="110">
      <x:c r="A110" t="n">
        <x:v>102</x:v>
      </x:c>
      <x:c r="B110" t="str">
        <x:v>PRY. SCHOOL DADUPUR DANKAUR R.NO. 1</x:v>
      </x:c>
      <x:c r="C110" t="n">
        <x:v>909</x:v>
      </x:c>
      <x:c r="D110" t="n">
        <x:v>683</x:v>
      </x:c>
      <x:c r="E110" t="n">
        <x:f>SUM(H110:T110)</x:f>
        <x:v>678</x:v>
      </x:c>
      <x:c r="F110" t="n">
        <x:v>5</x:v>
      </x:c>
      <x:c r="G110" s="50" t="n">
        <x:f>IF(C110="","",IFERROR(D110/C110,0))</x:f>
        <x:v>0.7513751375137514</x:v>
      </x:c>
      <x:c r="H110" s="36" t="n">
        <x:v>446</x:v>
      </x:c>
      <x:c r="I110" t="n">
        <x:v>205</x:v>
      </x:c>
      <x:c r="J110" t="n">
        <x:v>11</x:v>
      </x:c>
      <x:c r="K110" t="n">
        <x:v>6</x:v>
      </x:c>
      <x:c r="L110" t="n">
        <x:v>2</x:v>
      </x:c>
      <x:c r="M110" t="n">
        <x:v>2</x:v>
      </x:c>
      <x:c r="N110" t="n">
        <x:v>2</x:v>
      </x:c>
      <x:c r="O110" t="n">
        <x:v>0</x:v>
      </x:c>
      <x:c r="P110" t="n">
        <x:v>4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s="50" t="n">
        <x:f>IF(D110=0,"",H110/D110)</x:f>
        <x:v>0.6530014641288433</x:v>
      </x:c>
      <x:c r="V110" t="n">
        <x:f>MAX(I110:T110)</x:f>
        <x:v>205</x:v>
      </x:c>
      <x:c r="W110" t="n">
        <x:f>H110-V110</x:f>
        <x:v>241</x:v>
      </x:c>
      <x:c r="X110" s="52" t="n">
        <x:f>IF(D110=0,"",(W110)/D110)</x:f>
        <x:v>0.3528550512445095</x:v>
      </x:c>
      <x:c r="Y110" t="str">
        <x:v>SATVEER</x:v>
      </x:c>
      <x:c r="Z110" t="n">
        <x:f>D110-E110-F110</x:f>
        <x:v>0</x:v>
      </x:c>
    </x:row>
    <x:row r="111">
      <x:c r="A111" t="n">
        <x:v>103</x:v>
      </x:c>
      <x:c r="B111" t="str">
        <x:v>PRY. SCHOOL DADUPUR DANKAUR R.NO. 2</x:v>
      </x:c>
      <x:c r="C111" t="n">
        <x:v>909</x:v>
      </x:c>
      <x:c r="D111" t="n">
        <x:v>612</x:v>
      </x:c>
      <x:c r="E111" t="n">
        <x:f>SUM(H111:T111)</x:f>
        <x:v>611</x:v>
      </x:c>
      <x:c r="F111" t="n">
        <x:v>1</x:v>
      </x:c>
      <x:c r="G111" s="50" t="n">
        <x:f>IF(C111="","",IFERROR(D111/C111,0))</x:f>
        <x:v>0.6732673267326733</x:v>
      </x:c>
      <x:c r="H111" s="36" t="n">
        <x:v>328</x:v>
      </x:c>
      <x:c r="I111" t="n">
        <x:v>256</x:v>
      </x:c>
      <x:c r="J111" t="n">
        <x:v>1</x:v>
      </x:c>
      <x:c r="K111" t="n">
        <x:v>15</x:v>
      </x:c>
      <x:c r="L111" t="n">
        <x:v>3</x:v>
      </x:c>
      <x:c r="M111" t="n">
        <x:v>3</x:v>
      </x:c>
      <x:c r="N111" t="n">
        <x:v>0</x:v>
      </x:c>
      <x:c r="O111" t="n">
        <x:v>0</x:v>
      </x:c>
      <x:c r="P111" t="n">
        <x:v>5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s="50" t="n">
        <x:f>IF(D111=0,"",H111/D111)</x:f>
        <x:v>0.5359477124183006</x:v>
      </x:c>
      <x:c r="V111" t="n">
        <x:f>MAX(I111:T111)</x:f>
        <x:v>256</x:v>
      </x:c>
      <x:c r="W111" t="n">
        <x:f>H111-V111</x:f>
        <x:v>72</x:v>
      </x:c>
      <x:c r="X111" s="52" t="n">
        <x:f>IF(D111=0,"",(W111)/D111)</x:f>
        <x:v>0.11764705882352941</x:v>
      </x:c>
      <x:c r="Y111" t="str">
        <x:v>SATVEER</x:v>
      </x:c>
      <x:c r="Z111" t="n">
        <x:f>D111-E111-F111</x:f>
        <x:v>0</x:v>
      </x:c>
    </x:row>
    <x:row r="112">
      <x:c r="A112" t="n">
        <x:v>104</x:v>
      </x:c>
      <x:c r="B112" t="str">
        <x:v>PRY. SCHOOL DADUPUR DANKAUR R.NO. 3</x:v>
      </x:c>
      <x:c r="C112" t="n">
        <x:v>842</x:v>
      </x:c>
      <x:c r="D112" t="n">
        <x:v>602</x:v>
      </x:c>
      <x:c r="E112" t="n">
        <x:f>SUM(H112:T112)</x:f>
        <x:v>598</x:v>
      </x:c>
      <x:c r="F112" t="n">
        <x:v>4</x:v>
      </x:c>
      <x:c r="G112" s="50" t="n">
        <x:f>IF(C112="","",IFERROR(D112/C112,0))</x:f>
        <x:v>0.7149643705463183</x:v>
      </x:c>
      <x:c r="H112" s="36" t="n">
        <x:v>410</x:v>
      </x:c>
      <x:c r="I112" t="n">
        <x:v>163</x:v>
      </x:c>
      <x:c r="J112" t="n">
        <x:v>4</x:v>
      </x:c>
      <x:c r="K112" t="n">
        <x:v>7</x:v>
      </x:c>
      <x:c r="L112" t="n">
        <x:v>0</x:v>
      </x:c>
      <x:c r="M112" t="n">
        <x:v>1</x:v>
      </x:c>
      <x:c r="N112" t="n">
        <x:v>2</x:v>
      </x:c>
      <x:c r="O112" t="n">
        <x:v>4</x:v>
      </x:c>
      <x:c r="P112" t="n">
        <x:v>6</x:v>
      </x:c>
      <x:c r="Q112" t="n">
        <x:v>0</x:v>
      </x:c>
      <x:c r="R112" t="n">
        <x:v>1</x:v>
      </x:c>
      <x:c r="S112" t="n">
        <x:v>0</x:v>
      </x:c>
      <x:c r="T112" t="n">
        <x:v>0</x:v>
      </x:c>
      <x:c r="U112" s="50" t="n">
        <x:f>IF(D112=0,"",H112/D112)</x:f>
        <x:v>0.6810631229235881</x:v>
      </x:c>
      <x:c r="V112" t="n">
        <x:f>MAX(I112:T112)</x:f>
        <x:v>163</x:v>
      </x:c>
      <x:c r="W112" t="n">
        <x:f>H112-V112</x:f>
        <x:v>247</x:v>
      </x:c>
      <x:c r="X112" s="52" t="n">
        <x:f>IF(D112=0,"",(W112)/D112)</x:f>
        <x:v>0.41029900332225916</x:v>
      </x:c>
      <x:c r="Y112" t="str">
        <x:v>SATVEER</x:v>
      </x:c>
      <x:c r="Z112" t="n">
        <x:f>D112-E112-F112</x:f>
        <x:v>0</x:v>
      </x:c>
    </x:row>
    <x:row r="113">
      <x:c r="A113" t="n">
        <x:v>105</x:v>
      </x:c>
      <x:c r="B113" t="str">
        <x:v>PRY. SCHOOL AMARPUR R.NO. 1</x:v>
      </x:c>
      <x:c r="C113" t="n">
        <x:v>1130</x:v>
      </x:c>
      <x:c r="D113" t="n">
        <x:v>901</x:v>
      </x:c>
      <x:c r="E113" t="n">
        <x:f>SUM(H113:T113)</x:f>
        <x:v>900</x:v>
      </x:c>
      <x:c r="F113" t="n">
        <x:v>1</x:v>
      </x:c>
      <x:c r="G113" s="50" t="n">
        <x:f>IF(C113="","",IFERROR(D113/C113,0))</x:f>
        <x:v>0.7973451327433628</x:v>
      </x:c>
      <x:c r="H113" s="36" t="n">
        <x:v>739</x:v>
      </x:c>
      <x:c r="I113" t="n">
        <x:v>151</x:v>
      </x:c>
      <x:c r="J113" t="n">
        <x:v>3</x:v>
      </x:c>
      <x:c r="K113" t="n">
        <x:v>2</x:v>
      </x:c>
      <x:c r="L113" t="n">
        <x:v>2</x:v>
      </x:c>
      <x:c r="M113" t="n">
        <x:v>0</x:v>
      </x:c>
      <x:c r="N113" t="n">
        <x:v>1</x:v>
      </x:c>
      <x:c r="O113" t="n">
        <x:v>0</x:v>
      </x:c>
      <x:c r="P113" t="n">
        <x:v>0</x:v>
      </x:c>
      <x:c r="Q113" t="n">
        <x:v>1</x:v>
      </x:c>
      <x:c r="R113" t="n">
        <x:v>1</x:v>
      </x:c>
      <x:c r="S113" t="n">
        <x:v>0</x:v>
      </x:c>
      <x:c r="T113" t="n">
        <x:v>0</x:v>
      </x:c>
      <x:c r="U113" s="50" t="n">
        <x:f>IF(D113=0,"",H113/D113)</x:f>
        <x:v>0.8201997780244173</x:v>
      </x:c>
      <x:c r="V113" t="n">
        <x:f>MAX(I113:T113)</x:f>
        <x:v>151</x:v>
      </x:c>
      <x:c r="W113" t="n">
        <x:f>H113-V113</x:f>
        <x:v>588</x:v>
      </x:c>
      <x:c r="X113" s="52" t="n">
        <x:f>IF(D113=0,"",(W113)/D113)</x:f>
        <x:v>0.6526082130965594</x:v>
      </x:c>
      <x:c r="Y113" t="str">
        <x:v>SATVEER</x:v>
      </x:c>
      <x:c r="Z113" t="n">
        <x:f>D113-E113-F113</x:f>
        <x:v>0</x:v>
      </x:c>
    </x:row>
    <x:row r="114">
      <x:c r="A114" t="n">
        <x:v>106</x:v>
      </x:c>
      <x:c r="B114" t="str">
        <x:v>PRY. SCHOOL NANUAKA RAJPUR R.NO. 1</x:v>
      </x:c>
      <x:c r="C114" t="n">
        <x:v>571</x:v>
      </x:c>
      <x:c r="D114" t="n">
        <x:v>486</x:v>
      </x:c>
      <x:c r="E114" t="n">
        <x:f>SUM(H114:T114)</x:f>
        <x:v>486</x:v>
      </x:c>
      <x:c r="F114" t="n">
        <x:v>0</x:v>
      </x:c>
      <x:c r="G114" s="50" t="n">
        <x:f>IF(C114="","",IFERROR(D114/C114,0))</x:f>
        <x:v>0.851138353765324</x:v>
      </x:c>
      <x:c r="H114" s="36" t="n">
        <x:v>389</x:v>
      </x:c>
      <x:c r="I114" t="n">
        <x:v>95</x:v>
      </x:c>
      <x:c r="J114" t="n">
        <x:v>1</x:v>
      </x:c>
      <x:c r="K114" t="n">
        <x:v>1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s="50" t="n">
        <x:f>IF(D114=0,"",H114/D114)</x:f>
        <x:v>0.8004115226337448</x:v>
      </x:c>
      <x:c r="V114" t="n">
        <x:f>MAX(I114:T114)</x:f>
        <x:v>95</x:v>
      </x:c>
      <x:c r="W114" t="n">
        <x:f>H114-V114</x:f>
        <x:v>294</x:v>
      </x:c>
      <x:c r="X114" s="52" t="n">
        <x:f>IF(D114=0,"",(W114)/D114)</x:f>
        <x:v>0.6049382716049383</x:v>
      </x:c>
      <x:c r="Y114" t="str">
        <x:v>SATVEER</x:v>
      </x:c>
      <x:c r="Z114" t="n">
        <x:f>D114-E114-F114</x:f>
        <x:v>0</x:v>
      </x:c>
    </x:row>
    <x:row r="115">
      <x:c r="A115" t="n">
        <x:v>107</x:v>
      </x:c>
      <x:c r="B115" t="str">
        <x:v>PRY. SCHOOL NAVADA R.NO. 1</x:v>
      </x:c>
      <x:c r="C115" t="n">
        <x:v>935</x:v>
      </x:c>
      <x:c r="D115" t="n">
        <x:v>638</x:v>
      </x:c>
      <x:c r="E115" t="n">
        <x:f>SUM(H115:T115)</x:f>
        <x:v>637</x:v>
      </x:c>
      <x:c r="F115" t="n">
        <x:v>1</x:v>
      </x:c>
      <x:c r="G115" s="50" t="n">
        <x:f>IF(C115="","",IFERROR(D115/C115,0))</x:f>
        <x:v>0.6823529411764706</x:v>
      </x:c>
      <x:c r="H115" s="36" t="n">
        <x:v>384</x:v>
      </x:c>
      <x:c r="I115" t="n">
        <x:v>234</x:v>
      </x:c>
      <x:c r="J115" t="n">
        <x:v>8</x:v>
      </x:c>
      <x:c r="K115" t="n">
        <x:v>3</x:v>
      </x:c>
      <x:c r="L115" t="n">
        <x:v>3</x:v>
      </x:c>
      <x:c r="M115" t="n">
        <x:v>2</x:v>
      </x:c>
      <x:c r="N115" t="n">
        <x:v>1</x:v>
      </x:c>
      <x:c r="O115" t="n">
        <x:v>0</x:v>
      </x:c>
      <x:c r="P115" t="n">
        <x:v>1</x:v>
      </x:c>
      <x:c r="Q115" t="n">
        <x:v>1</x:v>
      </x:c>
      <x:c r="R115" t="n">
        <x:v>0</x:v>
      </x:c>
      <x:c r="S115" t="n">
        <x:v>0</x:v>
      </x:c>
      <x:c r="T115" t="n">
        <x:v>0</x:v>
      </x:c>
      <x:c r="U115" s="50" t="n">
        <x:f>IF(D115=0,"",H115/D115)</x:f>
        <x:v>0.6018808777429467</x:v>
      </x:c>
      <x:c r="V115" t="n">
        <x:f>MAX(I115:T115)</x:f>
        <x:v>234</x:v>
      </x:c>
      <x:c r="W115" t="n">
        <x:f>H115-V115</x:f>
        <x:v>150</x:v>
      </x:c>
      <x:c r="X115" s="52" t="n">
        <x:f>IF(D115=0,"",(W115)/D115)</x:f>
        <x:v>0.23510971786833856</x:v>
      </x:c>
      <x:c r="Y115" t="str">
        <x:v>SATVEER</x:v>
      </x:c>
      <x:c r="Z115" t="n">
        <x:f>D115-E115-F115</x:f>
        <x:v>0</x:v>
      </x:c>
    </x:row>
    <x:row r="116">
      <x:c r="A116" t="n">
        <x:v>108</x:v>
      </x:c>
      <x:c r="B116" t="str">
        <x:v>PRY. SCHOOL NAVADA R.NO. 2</x:v>
      </x:c>
      <x:c r="C116" t="n">
        <x:v>817</x:v>
      </x:c>
      <x:c r="D116" t="n">
        <x:v>474</x:v>
      </x:c>
      <x:c r="E116" t="n">
        <x:f>SUM(H116:T116)</x:f>
        <x:v>474</x:v>
      </x:c>
      <x:c r="F116" t="n">
        <x:v>0</x:v>
      </x:c>
      <x:c r="G116" s="50" t="n">
        <x:f>IF(C116="","",IFERROR(D116/C116,0))</x:f>
        <x:v>0.5801713586291309</x:v>
      </x:c>
      <x:c r="H116" s="36" t="n">
        <x:v>319</x:v>
      </x:c>
      <x:c r="I116" t="n">
        <x:v>145</x:v>
      </x:c>
      <x:c r="J116" t="n">
        <x:v>3</x:v>
      </x:c>
      <x:c r="K116" t="n">
        <x:v>1</x:v>
      </x:c>
      <x:c r="L116" t="n">
        <x:v>1</x:v>
      </x:c>
      <x:c r="M116" t="n">
        <x:v>2</x:v>
      </x:c>
      <x:c r="N116" t="n">
        <x:v>1</x:v>
      </x:c>
      <x:c r="O116" t="n">
        <x:v>0</x:v>
      </x:c>
      <x:c r="P116" t="n">
        <x:v>0</x:v>
      </x:c>
      <x:c r="Q116" t="n">
        <x:v>0</x:v>
      </x:c>
      <x:c r="R116" t="n">
        <x:v>1</x:v>
      </x:c>
      <x:c r="S116" t="n">
        <x:v>1</x:v>
      </x:c>
      <x:c r="T116" t="n">
        <x:v>0</x:v>
      </x:c>
      <x:c r="U116" s="50" t="n">
        <x:f>IF(D116=0,"",H116/D116)</x:f>
        <x:v>0.6729957805907173</x:v>
      </x:c>
      <x:c r="V116" t="n">
        <x:f>MAX(I116:T116)</x:f>
        <x:v>145</x:v>
      </x:c>
      <x:c r="W116" t="n">
        <x:f>H116-V116</x:f>
        <x:v>174</x:v>
      </x:c>
      <x:c r="X116" s="52" t="n">
        <x:f>IF(D116=0,"",(W116)/D116)</x:f>
        <x:v>0.3670886075949367</x:v>
      </x:c>
      <x:c r="Y116" t="str">
        <x:v>SATVEER</x:v>
      </x:c>
      <x:c r="Z116" t="n">
        <x:f>D116-E116-F116</x:f>
        <x:v>0</x:v>
      </x:c>
    </x:row>
    <x:row r="117">
      <x:c r="A117" t="n">
        <x:v>109</x:v>
      </x:c>
      <x:c r="B117" t="str">
        <x:v>PRY. SCHOOL NAVADA R.NO. 3</x:v>
      </x:c>
      <x:c r="C117" t="n">
        <x:v>907</x:v>
      </x:c>
      <x:c r="D117" t="n">
        <x:v>555</x:v>
      </x:c>
      <x:c r="E117" t="n">
        <x:f>SUM(H117:T117)</x:f>
        <x:v>552</x:v>
      </x:c>
      <x:c r="F117" t="n">
        <x:v>3</x:v>
      </x:c>
      <x:c r="G117" s="50" t="n">
        <x:f>IF(C117="","",IFERROR(D117/C117,0))</x:f>
        <x:v>0.6119073869900772</x:v>
      </x:c>
      <x:c r="H117" s="36" t="n">
        <x:v>414</x:v>
      </x:c>
      <x:c r="I117" t="n">
        <x:v>124</x:v>
      </x:c>
      <x:c r="J117" t="n">
        <x:v>1</x:v>
      </x:c>
      <x:c r="K117" t="n">
        <x:v>1</x:v>
      </x:c>
      <x:c r="L117" t="n">
        <x:v>1</x:v>
      </x:c>
      <x:c r="M117" t="n">
        <x:v>0</x:v>
      </x:c>
      <x:c r="N117" t="n">
        <x:v>0</x:v>
      </x:c>
      <x:c r="O117" t="n">
        <x:v>0</x:v>
      </x:c>
      <x:c r="P117" t="n">
        <x:v>9</x:v>
      </x:c>
      <x:c r="Q117" t="n">
        <x:v>1</x:v>
      </x:c>
      <x:c r="R117" t="n">
        <x:v>0</x:v>
      </x:c>
      <x:c r="S117" t="n">
        <x:v>0</x:v>
      </x:c>
      <x:c r="T117" t="n">
        <x:v>1</x:v>
      </x:c>
      <x:c r="U117" s="50" t="n">
        <x:f>IF(D117=0,"",H117/D117)</x:f>
        <x:v>0.745945945945946</x:v>
      </x:c>
      <x:c r="V117" t="n">
        <x:f>MAX(I117:T117)</x:f>
        <x:v>124</x:v>
      </x:c>
      <x:c r="W117" t="n">
        <x:f>H117-V117</x:f>
        <x:v>290</x:v>
      </x:c>
      <x:c r="X117" s="52" t="n">
        <x:f>IF(D117=0,"",(W117)/D117)</x:f>
        <x:v>0.5225225225225225</x:v>
      </x:c>
      <x:c r="Y117" t="str">
        <x:v>SATVEER</x:v>
      </x:c>
      <x:c r="Z117" t="n">
        <x:f>D117-E117-F117</x:f>
        <x:v>0</x:v>
      </x:c>
    </x:row>
    <x:row r="118">
      <x:c r="A118" t="n">
        <x:v>110</x:v>
      </x:c>
      <x:c r="B118" t="str">
        <x:v>PRY. SCHOOL KANRSA MAZRA KANARSI R.NO. 1</x:v>
      </x:c>
      <x:c r="C118" t="n">
        <x:v>1080</x:v>
      </x:c>
      <x:c r="D118" t="n">
        <x:v>705</x:v>
      </x:c>
      <x:c r="E118" t="n">
        <x:f>SUM(H118:T118)</x:f>
        <x:v>699</x:v>
      </x:c>
      <x:c r="F118" t="n">
        <x:v>6</x:v>
      </x:c>
      <x:c r="G118" s="50" t="n">
        <x:f>IF(C118="","",IFERROR(D118/C118,0))</x:f>
        <x:v>0.6527777777777778</x:v>
      </x:c>
      <x:c r="H118" s="36" t="n">
        <x:v>556</x:v>
      </x:c>
      <x:c r="I118" t="n">
        <x:v>119</x:v>
      </x:c>
      <x:c r="J118" t="n">
        <x:v>3</x:v>
      </x:c>
      <x:c r="K118" t="n">
        <x:v>6</x:v>
      </x:c>
      <x:c r="L118" t="n">
        <x:v>6</x:v>
      </x:c>
      <x:c r="M118" t="n">
        <x:v>5</x:v>
      </x:c>
      <x:c r="N118" t="n">
        <x:v>0</x:v>
      </x:c>
      <x:c r="O118" t="n">
        <x:v>1</x:v>
      </x:c>
      <x:c r="P118" t="n">
        <x:v>0</x:v>
      </x:c>
      <x:c r="Q118" t="n">
        <x:v>1</x:v>
      </x:c>
      <x:c r="R118" t="n">
        <x:v>1</x:v>
      </x:c>
      <x:c r="S118" t="n">
        <x:v>1</x:v>
      </x:c>
      <x:c r="T118" t="n">
        <x:v>0</x:v>
      </x:c>
      <x:c r="U118" s="50" t="n">
        <x:f>IF(D118=0,"",H118/D118)</x:f>
        <x:v>0.7886524822695036</x:v>
      </x:c>
      <x:c r="V118" t="n">
        <x:f>MAX(I118:T118)</x:f>
        <x:v>119</x:v>
      </x:c>
      <x:c r="W118" t="n">
        <x:f>H118-V118</x:f>
        <x:v>437</x:v>
      </x:c>
      <x:c r="X118" s="52" t="n">
        <x:f>IF(D118=0,"",(W118)/D118)</x:f>
        <x:v>0.6198581560283688</x:v>
      </x:c>
      <x:c r="Y118" t="str">
        <x:v>SATVEER</x:v>
      </x:c>
      <x:c r="Z118" t="n">
        <x:f>D118-E118-F118</x:f>
        <x:v>0</x:v>
      </x:c>
    </x:row>
    <x:row r="119">
      <x:c r="A119" t="n">
        <x:v>111</x:v>
      </x:c>
      <x:c r="B119" t="str">
        <x:v>PRY. SCHOOL KANARSI R.NO. 1</x:v>
      </x:c>
      <x:c r="C119" t="n">
        <x:v>888</x:v>
      </x:c>
      <x:c r="D119" t="n">
        <x:v>643</x:v>
      </x:c>
      <x:c r="E119" t="n">
        <x:f>SUM(H119:T119)</x:f>
        <x:v>640</x:v>
      </x:c>
      <x:c r="F119" t="n">
        <x:v>3</x:v>
      </x:c>
      <x:c r="G119" s="50" t="n">
        <x:f>IF(C119="","",IFERROR(D119/C119,0))</x:f>
        <x:v>0.7240990990990991</x:v>
      </x:c>
      <x:c r="H119" s="36" t="n">
        <x:v>336</x:v>
      </x:c>
      <x:c r="I119" t="n">
        <x:v>297</x:v>
      </x:c>
      <x:c r="J119" t="n">
        <x:v>1</x:v>
      </x:c>
      <x:c r="K119" t="n">
        <x:v>1</x:v>
      </x:c>
      <x:c r="L119" t="n">
        <x:v>0</x:v>
      </x:c>
      <x:c r="M119" t="n">
        <x:v>1</x:v>
      </x:c>
      <x:c r="N119" t="n">
        <x:v>2</x:v>
      </x:c>
      <x:c r="O119" t="n">
        <x:v>1</x:v>
      </x:c>
      <x:c r="P119" t="n">
        <x:v>0</x:v>
      </x:c>
      <x:c r="Q119" t="n">
        <x:v>1</x:v>
      </x:c>
      <x:c r="R119" t="n">
        <x:v>0</x:v>
      </x:c>
      <x:c r="S119" t="n">
        <x:v>0</x:v>
      </x:c>
      <x:c r="T119" t="n">
        <x:v>0</x:v>
      </x:c>
      <x:c r="U119" s="50" t="n">
        <x:f>IF(D119=0,"",H119/D119)</x:f>
        <x:v>0.5225505443234837</x:v>
      </x:c>
      <x:c r="V119" t="n">
        <x:f>MAX(I119:T119)</x:f>
        <x:v>297</x:v>
      </x:c>
      <x:c r="W119" t="n">
        <x:f>H119-V119</x:f>
        <x:v>39</x:v>
      </x:c>
      <x:c r="X119" s="52" t="n">
        <x:f>IF(D119=0,"",(W119)/D119)</x:f>
        <x:v>0.060653188180404355</x:v>
      </x:c>
      <x:c r="Y119" t="str">
        <x:v>SATVEER</x:v>
      </x:c>
      <x:c r="Z119" t="n">
        <x:f>D119-E119-F119</x:f>
        <x:v>0</x:v>
      </x:c>
    </x:row>
    <x:row r="120">
      <x:c r="A120" t="n">
        <x:v>112</x:v>
      </x:c>
      <x:c r="B120" t="str">
        <x:v>PRY. SCHOOL KANARSI R.NO. 2</x:v>
      </x:c>
      <x:c r="C120" t="n">
        <x:v>901</x:v>
      </x:c>
      <x:c r="D120" t="n">
        <x:v>657</x:v>
      </x:c>
      <x:c r="E120" t="n">
        <x:f>SUM(H120:T120)</x:f>
        <x:v>653</x:v>
      </x:c>
      <x:c r="F120" t="n">
        <x:v>4</x:v>
      </x:c>
      <x:c r="G120" s="50" t="n">
        <x:f>IF(C120="","",IFERROR(D120/C120,0))</x:f>
        <x:v>0.7291897891231964</x:v>
      </x:c>
      <x:c r="H120" s="36" t="n">
        <x:v>285</x:v>
      </x:c>
      <x:c r="I120" t="n">
        <x:v>350</x:v>
      </x:c>
      <x:c r="J120" t="n">
        <x:v>8</x:v>
      </x:c>
      <x:c r="K120" t="n">
        <x:v>1</x:v>
      </x:c>
      <x:c r="L120" t="n">
        <x:v>4</x:v>
      </x:c>
      <x:c r="M120" t="n">
        <x:v>1</x:v>
      </x:c>
      <x:c r="N120" t="n">
        <x:v>0</x:v>
      </x:c>
      <x:c r="O120" t="n">
        <x:v>2</x:v>
      </x:c>
      <x:c r="P120" t="n">
        <x:v>0</x:v>
      </x:c>
      <x:c r="Q120" t="n">
        <x:v>0</x:v>
      </x:c>
      <x:c r="R120" t="n">
        <x:v>1</x:v>
      </x:c>
      <x:c r="S120" t="n">
        <x:v>0</x:v>
      </x:c>
      <x:c r="T120" t="n">
        <x:v>1</x:v>
      </x:c>
      <x:c r="U120" s="50" t="n">
        <x:f>IF(D120=0,"",H120/D120)</x:f>
        <x:v>0.4337899543378995</x:v>
      </x:c>
      <x:c r="V120" t="n">
        <x:f>MAX(I120:T120)</x:f>
        <x:v>350</x:v>
      </x:c>
      <x:c r="W120" t="n">
        <x:f>H120-V120</x:f>
        <x:v>-65</x:v>
      </x:c>
      <x:c r="X120" s="52" t="n">
        <x:f>IF(D120=0,"",(W120)/D120)</x:f>
        <x:v>-0.0989345509893455</x:v>
      </x:c>
      <x:c r="Y120" t="str">
        <x:v>DR. MAHESH SHARMA</x:v>
      </x:c>
      <x:c r="Z120" t="n">
        <x:f>D120-E120-F120</x:f>
        <x:v>0</x:v>
      </x:c>
    </x:row>
    <x:row r="121">
      <x:c r="A121" t="n">
        <x:v>113</x:v>
      </x:c>
      <x:c r="B121" t="str">
        <x:v>PRY. SCHOOL JUNAIDPUR R.NO. 1</x:v>
      </x:c>
      <x:c r="C121" t="n">
        <x:v>842</x:v>
      </x:c>
      <x:c r="D121" t="n">
        <x:v>600</x:v>
      </x:c>
      <x:c r="E121" t="n">
        <x:f>SUM(H121:T121)</x:f>
        <x:v>598</x:v>
      </x:c>
      <x:c r="F121" t="n">
        <x:v>2</x:v>
      </x:c>
      <x:c r="G121" s="50" t="n">
        <x:f>IF(C121="","",IFERROR(D121/C121,0))</x:f>
        <x:v>0.7125890736342043</x:v>
      </x:c>
      <x:c r="H121" s="36" t="n">
        <x:v>475</x:v>
      </x:c>
      <x:c r="I121" t="n">
        <x:v>106</x:v>
      </x:c>
      <x:c r="J121" t="n">
        <x:v>5</x:v>
      </x:c>
      <x:c r="K121" t="n">
        <x:v>2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6</x:v>
      </x:c>
      <x:c r="Q121" t="n">
        <x:v>2</x:v>
      </x:c>
      <x:c r="R121" t="n">
        <x:v>0</x:v>
      </x:c>
      <x:c r="S121" t="n">
        <x:v>0</x:v>
      </x:c>
      <x:c r="T121" t="n">
        <x:v>2</x:v>
      </x:c>
      <x:c r="U121" s="50" t="n">
        <x:f>IF(D121=0,"",H121/D121)</x:f>
        <x:v>0.7916666666666666</x:v>
      </x:c>
      <x:c r="V121" t="n">
        <x:f>MAX(I121:T121)</x:f>
        <x:v>106</x:v>
      </x:c>
      <x:c r="W121" t="n">
        <x:f>H121-V121</x:f>
        <x:v>369</x:v>
      </x:c>
      <x:c r="X121" s="52" t="n">
        <x:f>IF(D121=0,"",(W121)/D121)</x:f>
        <x:v>0.615</x:v>
      </x:c>
      <x:c r="Y121" t="str">
        <x:v>SATVEER</x:v>
      </x:c>
      <x:c r="Z121" t="n">
        <x:f>D121-E121-F121</x:f>
        <x:v>0</x:v>
      </x:c>
    </x:row>
    <x:row r="122">
      <x:c r="A122" t="n">
        <x:v>114</x:v>
      </x:c>
      <x:c r="B122" t="str">
        <x:v>PRY. SCHOOL JUNAIDPUR R.NO. 2</x:v>
      </x:c>
      <x:c r="C122" t="n">
        <x:v>788</x:v>
      </x:c>
      <x:c r="D122" t="n">
        <x:v>488</x:v>
      </x:c>
      <x:c r="E122" t="n">
        <x:f>SUM(H122:T122)</x:f>
        <x:v>486</x:v>
      </x:c>
      <x:c r="F122" t="n">
        <x:v>2</x:v>
      </x:c>
      <x:c r="G122" s="50" t="n">
        <x:f>IF(C122="","",IFERROR(D122/C122,0))</x:f>
        <x:v>0.6192893401015228</x:v>
      </x:c>
      <x:c r="H122" s="36" t="n">
        <x:v>378</x:v>
      </x:c>
      <x:c r="I122" t="n">
        <x:v>91</x:v>
      </x:c>
      <x:c r="J122" t="n">
        <x:v>3</x:v>
      </x:c>
      <x:c r="K122" t="n">
        <x:v>5</x:v>
      </x:c>
      <x:c r="L122" t="n">
        <x:v>2</x:v>
      </x:c>
      <x:c r="M122" t="n">
        <x:v>2</x:v>
      </x:c>
      <x:c r="N122" t="n">
        <x:v>0</x:v>
      </x:c>
      <x:c r="O122" t="n">
        <x:v>1</x:v>
      </x:c>
      <x:c r="P122" t="n">
        <x:v>4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s="50" t="n">
        <x:f>IF(D122=0,"",H122/D122)</x:f>
        <x:v>0.7745901639344263</x:v>
      </x:c>
      <x:c r="V122" t="n">
        <x:f>MAX(I122:T122)</x:f>
        <x:v>91</x:v>
      </x:c>
      <x:c r="W122" t="n">
        <x:f>H122-V122</x:f>
        <x:v>287</x:v>
      </x:c>
      <x:c r="X122" s="52" t="n">
        <x:f>IF(D122=0,"",(W122)/D122)</x:f>
        <x:v>0.5881147540983607</x:v>
      </x:c>
      <x:c r="Y122" t="str">
        <x:v>SATVEER</x:v>
      </x:c>
      <x:c r="Z122" t="n">
        <x:f>D122-E122-F122</x:f>
        <x:v>0</x:v>
      </x:c>
    </x:row>
    <x:row r="123">
      <x:c r="A123" t="n">
        <x:v>115</x:v>
      </x:c>
      <x:c r="B123" t="str">
        <x:v>PRY. SCHOOL CHACHULA R.NO. 1</x:v>
      </x:c>
      <x:c r="C123" t="n">
        <x:v>1018</x:v>
      </x:c>
      <x:c r="D123" t="n">
        <x:v>674</x:v>
      </x:c>
      <x:c r="E123" t="n">
        <x:f>SUM(H123:T123)</x:f>
        <x:v>671</x:v>
      </x:c>
      <x:c r="F123" t="n">
        <x:v>3</x:v>
      </x:c>
      <x:c r="G123" s="50" t="n">
        <x:f>IF(C123="","",IFERROR(D123/C123,0))</x:f>
        <x:v>0.6620825147347741</x:v>
      </x:c>
      <x:c r="H123" s="36" t="n">
        <x:v>304</x:v>
      </x:c>
      <x:c r="I123" t="n">
        <x:v>358</x:v>
      </x:c>
      <x:c r="J123" t="n">
        <x:v>2</x:v>
      </x:c>
      <x:c r="K123" t="n">
        <x:v>0</x:v>
      </x:c>
      <x:c r="L123" t="n">
        <x:v>3</x:v>
      </x:c>
      <x:c r="M123" t="n">
        <x:v>1</x:v>
      </x:c>
      <x:c r="N123" t="n">
        <x:v>2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1</x:v>
      </x:c>
      <x:c r="T123" t="n">
        <x:v>0</x:v>
      </x:c>
      <x:c r="U123" s="50" t="n">
        <x:f>IF(D123=0,"",H123/D123)</x:f>
        <x:v>0.45103857566765576</x:v>
      </x:c>
      <x:c r="V123" t="n">
        <x:f>MAX(I123:T123)</x:f>
        <x:v>358</x:v>
      </x:c>
      <x:c r="W123" t="n">
        <x:f>H123-V123</x:f>
        <x:v>-54</x:v>
      </x:c>
      <x:c r="X123" s="52" t="n">
        <x:f>IF(D123=0,"",(W123)/D123)</x:f>
        <x:v>-0.08011869436201781</x:v>
      </x:c>
      <x:c r="Y123" t="str">
        <x:v>DR. MAHESH SHARMA</x:v>
      </x:c>
      <x:c r="Z123" t="n">
        <x:f>D123-E123-F123</x:f>
        <x:v>0</x:v>
      </x:c>
    </x:row>
    <x:row r="124">
      <x:c r="A124" t="n">
        <x:v>116</x:v>
      </x:c>
      <x:c r="B124" t="str">
        <x:v>PRY. SCHOOL CHACHULA R.NO. 2</x:v>
      </x:c>
      <x:c r="C124" t="n">
        <x:v>931</x:v>
      </x:c>
      <x:c r="D124" t="n">
        <x:v>501</x:v>
      </x:c>
      <x:c r="E124" t="n">
        <x:f>SUM(H124:T124)</x:f>
        <x:v>497</x:v>
      </x:c>
      <x:c r="F124" t="n">
        <x:v>4</x:v>
      </x:c>
      <x:c r="G124" s="50" t="n">
        <x:f>IF(C124="","",IFERROR(D124/C124,0))</x:f>
        <x:v>0.5381310418904404</x:v>
      </x:c>
      <x:c r="H124" s="36" t="n">
        <x:v>252</x:v>
      </x:c>
      <x:c r="I124" t="n">
        <x:v>237</x:v>
      </x:c>
      <x:c r="J124" t="n">
        <x:v>3</x:v>
      </x:c>
      <x:c r="K124" t="n">
        <x:v>1</x:v>
      </x:c>
      <x:c r="L124" t="n">
        <x:v>0</x:v>
      </x:c>
      <x:c r="M124" t="n">
        <x:v>2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1</x:v>
      </x:c>
      <x:c r="S124" t="n">
        <x:v>1</x:v>
      </x:c>
      <x:c r="T124" t="n">
        <x:v>0</x:v>
      </x:c>
      <x:c r="U124" s="50" t="n">
        <x:f>IF(D124=0,"",H124/D124)</x:f>
        <x:v>0.5029940119760479</x:v>
      </x:c>
      <x:c r="V124" t="n">
        <x:f>MAX(I124:T124)</x:f>
        <x:v>237</x:v>
      </x:c>
      <x:c r="W124" t="n">
        <x:f>H124-V124</x:f>
        <x:v>15</x:v>
      </x:c>
      <x:c r="X124" s="52" t="n">
        <x:f>IF(D124=0,"",(W124)/D124)</x:f>
        <x:v>0.029940119760479042</x:v>
      </x:c>
      <x:c r="Y124" t="str">
        <x:v>SATVEER</x:v>
      </x:c>
      <x:c r="Z124" t="n">
        <x:f>D124-E124-F124</x:f>
        <x:v>0</x:v>
      </x:c>
    </x:row>
    <x:row r="125">
      <x:c r="A125" t="n">
        <x:v>117</x:v>
      </x:c>
      <x:c r="B125" t="str">
        <x:v>PRY. SCHOOL ROSHANPUR R.NO. 1</x:v>
      </x:c>
      <x:c r="C125" t="n">
        <x:v>836</x:v>
      </x:c>
      <x:c r="D125" t="n">
        <x:v>539</x:v>
      </x:c>
      <x:c r="E125" t="n">
        <x:f>SUM(H125:T125)</x:f>
        <x:v>537</x:v>
      </x:c>
      <x:c r="F125" t="n">
        <x:v>2</x:v>
      </x:c>
      <x:c r="G125" s="50" t="n">
        <x:f>IF(C125="","",IFERROR(D125/C125,0))</x:f>
        <x:v>0.6447368421052632</x:v>
      </x:c>
      <x:c r="H125" s="36" t="n">
        <x:v>289</x:v>
      </x:c>
      <x:c r="I125" t="n">
        <x:v>236</x:v>
      </x:c>
      <x:c r="J125" t="n">
        <x:v>6</x:v>
      </x:c>
      <x:c r="K125" t="n">
        <x:v>3</x:v>
      </x:c>
      <x:c r="L125" t="n">
        <x:v>0</x:v>
      </x:c>
      <x:c r="M125" t="n">
        <x:v>1</x:v>
      </x:c>
      <x:c r="N125" t="n">
        <x:v>0</x:v>
      </x:c>
      <x:c r="O125" t="n">
        <x:v>0</x:v>
      </x:c>
      <x:c r="P125" t="n">
        <x:v>1</x:v>
      </x:c>
      <x:c r="Q125" t="n">
        <x:v>1</x:v>
      </x:c>
      <x:c r="R125" t="n">
        <x:v>0</x:v>
      </x:c>
      <x:c r="S125" t="n">
        <x:v>0</x:v>
      </x:c>
      <x:c r="T125" t="n">
        <x:v>0</x:v>
      </x:c>
      <x:c r="U125" s="50" t="n">
        <x:f>IF(D125=0,"",H125/D125)</x:f>
        <x:v>0.536178107606679</x:v>
      </x:c>
      <x:c r="V125" t="n">
        <x:f>MAX(I125:T125)</x:f>
        <x:v>236</x:v>
      </x:c>
      <x:c r="W125" t="n">
        <x:f>H125-V125</x:f>
        <x:v>53</x:v>
      </x:c>
      <x:c r="X125" s="52" t="n">
        <x:f>IF(D125=0,"",(W125)/D125)</x:f>
        <x:v>0.09833024118738404</x:v>
      </x:c>
      <x:c r="Y125" t="str">
        <x:v>SATVEER</x:v>
      </x:c>
      <x:c r="Z125" t="n">
        <x:f>D125-E125-F125</x:f>
        <x:v>0</x:v>
      </x:c>
    </x:row>
    <x:row r="126">
      <x:c r="A126" t="n">
        <x:v>118</x:v>
      </x:c>
      <x:c r="B126" t="str">
        <x:v>PRY. SCHOOL DHANAURI R.NO. 1</x:v>
      </x:c>
      <x:c r="C126" t="n">
        <x:v>1009</x:v>
      </x:c>
      <x:c r="D126" t="n">
        <x:v>726</x:v>
      </x:c>
      <x:c r="E126" t="n">
        <x:f>SUM(H126:T126)</x:f>
        <x:v>724</x:v>
      </x:c>
      <x:c r="F126" t="n">
        <x:v>2</x:v>
      </x:c>
      <x:c r="G126" s="50" t="n">
        <x:f>IF(C126="","",IFERROR(D126/C126,0))</x:f>
        <x:v>0.7195242814667988</x:v>
      </x:c>
      <x:c r="H126" s="36" t="n">
        <x:v>259</x:v>
      </x:c>
      <x:c r="I126" t="n">
        <x:v>445</x:v>
      </x:c>
      <x:c r="J126" t="n">
        <x:v>8</x:v>
      </x:c>
      <x:c r="K126" t="n">
        <x:v>1</x:v>
      </x:c>
      <x:c r="L126" t="n">
        <x:v>2</x:v>
      </x:c>
      <x:c r="M126" t="n">
        <x:v>0</x:v>
      </x:c>
      <x:c r="N126" t="n">
        <x:v>2</x:v>
      </x:c>
      <x:c r="O126" t="n">
        <x:v>1</x:v>
      </x:c>
      <x:c r="P126" t="n">
        <x:v>3</x:v>
      </x:c>
      <x:c r="Q126" t="n">
        <x:v>1</x:v>
      </x:c>
      <x:c r="R126" t="n">
        <x:v>2</x:v>
      </x:c>
      <x:c r="S126" t="n">
        <x:v>0</x:v>
      </x:c>
      <x:c r="T126" t="n">
        <x:v>0</x:v>
      </x:c>
      <x:c r="U126" s="50" t="n">
        <x:f>IF(D126=0,"",H126/D126)</x:f>
        <x:v>0.35674931129476584</x:v>
      </x:c>
      <x:c r="V126" t="n">
        <x:f>MAX(I126:T126)</x:f>
        <x:v>445</x:v>
      </x:c>
      <x:c r="W126" t="n">
        <x:f>H126-V126</x:f>
        <x:v>-186</x:v>
      </x:c>
      <x:c r="X126" s="52" t="n">
        <x:f>IF(D126=0,"",(W126)/D126)</x:f>
        <x:v>-0.256198347107438</x:v>
      </x:c>
      <x:c r="Y126" t="str">
        <x:v>DR. MAHESH SHARMA</x:v>
      </x:c>
      <x:c r="Z126" t="n">
        <x:f>D126-E126-F126</x:f>
        <x:v>0</x:v>
      </x:c>
    </x:row>
    <x:row r="127">
      <x:c r="A127" t="n">
        <x:v>119</x:v>
      </x:c>
      <x:c r="B127" t="str">
        <x:v>PRY. SCHOOL DHANAURI R.NO. 2</x:v>
      </x:c>
      <x:c r="C127" t="n">
        <x:v>729</x:v>
      </x:c>
      <x:c r="D127" t="n">
        <x:v>480</x:v>
      </x:c>
      <x:c r="E127" t="n">
        <x:f>SUM(H127:T127)</x:f>
        <x:v>475</x:v>
      </x:c>
      <x:c r="F127" t="n">
        <x:v>5</x:v>
      </x:c>
      <x:c r="G127" s="50" t="n">
        <x:f>IF(C127="","",IFERROR(D127/C127,0))</x:f>
        <x:v>0.6584362139917695</x:v>
      </x:c>
      <x:c r="H127" s="36" t="n">
        <x:v>92</x:v>
      </x:c>
      <x:c r="I127" t="n">
        <x:v>371</x:v>
      </x:c>
      <x:c r="J127" t="n">
        <x:v>6</x:v>
      </x:c>
      <x:c r="K127" t="n">
        <x:v>1</x:v>
      </x:c>
      <x:c r="L127" t="n">
        <x:v>2</x:v>
      </x:c>
      <x:c r="M127" t="n">
        <x:v>2</x:v>
      </x:c>
      <x:c r="N127" t="n">
        <x:v>1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s="50" t="n">
        <x:f>IF(D127=0,"",H127/D127)</x:f>
        <x:v>0.19166666666666668</x:v>
      </x:c>
      <x:c r="V127" t="n">
        <x:f>MAX(I127:T127)</x:f>
        <x:v>371</x:v>
      </x:c>
      <x:c r="W127" t="n">
        <x:f>H127-V127</x:f>
        <x:v>-279</x:v>
      </x:c>
      <x:c r="X127" s="52" t="n">
        <x:f>IF(D127=0,"",(W127)/D127)</x:f>
        <x:v>-0.58125</x:v>
      </x:c>
      <x:c r="Y127" t="str">
        <x:v>DR. MAHESH SHARMA</x:v>
      </x:c>
      <x:c r="Z127" t="n">
        <x:f>D127-E127-F127</x:f>
        <x:v>0</x:v>
      </x:c>
    </x:row>
    <x:row r="128">
      <x:c r="A128" t="n">
        <x:v>120</x:v>
      </x:c>
      <x:c r="B128" t="str">
        <x:v>SUNHARI LAL BALMUKUND I. C. DHANAURI R.NO. 1</x:v>
      </x:c>
      <x:c r="C128" t="n">
        <x:v>871</x:v>
      </x:c>
      <x:c r="D128" t="n">
        <x:v>571</x:v>
      </x:c>
      <x:c r="E128" t="n">
        <x:f>SUM(H128:T128)</x:f>
        <x:v>568</x:v>
      </x:c>
      <x:c r="F128" t="n">
        <x:v>3</x:v>
      </x:c>
      <x:c r="G128" s="50" t="n">
        <x:f>IF(C128="","",IFERROR(D128/C128,0))</x:f>
        <x:v>0.6555683122847302</x:v>
      </x:c>
      <x:c r="H128" s="36" t="n">
        <x:v>309</x:v>
      </x:c>
      <x:c r="I128" t="n">
        <x:v>210</x:v>
      </x:c>
      <x:c r="J128" t="n">
        <x:v>38</x:v>
      </x:c>
      <x:c r="K128" t="n">
        <x:v>2</x:v>
      </x:c>
      <x:c r="L128" t="n">
        <x:v>2</x:v>
      </x:c>
      <x:c r="M128" t="n">
        <x:v>3</x:v>
      </x:c>
      <x:c r="N128" t="n">
        <x:v>1</x:v>
      </x:c>
      <x:c r="O128" t="n">
        <x:v>1</x:v>
      </x:c>
      <x:c r="P128" t="n">
        <x:v>0</x:v>
      </x:c>
      <x:c r="Q128" t="n">
        <x:v>1</x:v>
      </x:c>
      <x:c r="R128" t="n">
        <x:v>1</x:v>
      </x:c>
      <x:c r="S128" t="n">
        <x:v>0</x:v>
      </x:c>
      <x:c r="T128" t="n">
        <x:v>0</x:v>
      </x:c>
      <x:c r="U128" s="50" t="n">
        <x:f>IF(D128=0,"",H128/D128)</x:f>
        <x:v>0.5411558669001751</x:v>
      </x:c>
      <x:c r="V128" t="n">
        <x:f>MAX(I128:T128)</x:f>
        <x:v>210</x:v>
      </x:c>
      <x:c r="W128" t="n">
        <x:f>H128-V128</x:f>
        <x:v>99</x:v>
      </x:c>
      <x:c r="X128" s="52" t="n">
        <x:f>IF(D128=0,"",(W128)/D128)</x:f>
        <x:v>0.1733800350262697</x:v>
      </x:c>
      <x:c r="Y128" t="str">
        <x:v>SATVEER</x:v>
      </x:c>
      <x:c r="Z128" t="n">
        <x:f>D128-E128-F128</x:f>
        <x:v>0</x:v>
      </x:c>
    </x:row>
    <x:row r="129">
      <x:c r="A129" t="n">
        <x:v>121</x:v>
      </x:c>
      <x:c r="B129" t="str">
        <x:v>SUNHARI LAL BALMUKUND I. C. DHANAURI R.NO. 2</x:v>
      </x:c>
      <x:c r="C129" t="n">
        <x:v>796</x:v>
      </x:c>
      <x:c r="D129" t="n">
        <x:v>520</x:v>
      </x:c>
      <x:c r="E129" t="n">
        <x:f>SUM(H129:T129)</x:f>
        <x:v>519</x:v>
      </x:c>
      <x:c r="F129" t="n">
        <x:v>1</x:v>
      </x:c>
      <x:c r="G129" s="50" t="n">
        <x:f>IF(C129="","",IFERROR(D129/C129,0))</x:f>
        <x:v>0.6532663316582915</x:v>
      </x:c>
      <x:c r="H129" s="36" t="n">
        <x:v>164</x:v>
      </x:c>
      <x:c r="I129" t="n">
        <x:v>330</x:v>
      </x:c>
      <x:c r="J129" t="n">
        <x:v>16</x:v>
      </x:c>
      <x:c r="K129" t="n">
        <x:v>1</x:v>
      </x:c>
      <x:c r="L129" t="n">
        <x:v>2</x:v>
      </x:c>
      <x:c r="M129" t="n">
        <x:v>1</x:v>
      </x:c>
      <x:c r="N129" t="n">
        <x:v>0</x:v>
      </x:c>
      <x:c r="O129" t="n">
        <x:v>1</x:v>
      </x:c>
      <x:c r="P129" t="n">
        <x:v>1</x:v>
      </x:c>
      <x:c r="Q129" t="n">
        <x:v>2</x:v>
      </x:c>
      <x:c r="R129" t="n">
        <x:v>0</x:v>
      </x:c>
      <x:c r="S129" t="n">
        <x:v>0</x:v>
      </x:c>
      <x:c r="T129" t="n">
        <x:v>1</x:v>
      </x:c>
      <x:c r="U129" s="50" t="n">
        <x:f>IF(D129=0,"",H129/D129)</x:f>
        <x:v>0.3153846153846154</x:v>
      </x:c>
      <x:c r="V129" t="n">
        <x:f>MAX(I129:T129)</x:f>
        <x:v>330</x:v>
      </x:c>
      <x:c r="W129" t="n">
        <x:f>H129-V129</x:f>
        <x:v>-166</x:v>
      </x:c>
      <x:c r="X129" s="52" t="n">
        <x:f>IF(D129=0,"",(W129)/D129)</x:f>
        <x:v>-0.3192307692307692</x:v>
      </x:c>
      <x:c r="Y129" t="str">
        <x:v>DR. MAHESH SHARMA</x:v>
      </x:c>
      <x:c r="Z129" t="n">
        <x:f>D129-E129-F129</x:f>
        <x:v>0</x:v>
      </x:c>
    </x:row>
    <x:row r="130">
      <x:c r="A130" t="n">
        <x:v>122</x:v>
      </x:c>
      <x:c r="B130" t="str">
        <x:v>PRY. PATY. THASRANA R.NO. 1</x:v>
      </x:c>
      <x:c r="C130" t="n">
        <x:v>1025</x:v>
      </x:c>
      <x:c r="D130" t="n">
        <x:v>715</x:v>
      </x:c>
      <x:c r="E130" t="n">
        <x:f>SUM(H130:T130)</x:f>
        <x:v>713</x:v>
      </x:c>
      <x:c r="F130" t="n">
        <x:v>2</x:v>
      </x:c>
      <x:c r="G130" s="50" t="n">
        <x:f>IF(C130="","",IFERROR(D130/C130,0))</x:f>
        <x:v>0.697560975609756</x:v>
      </x:c>
      <x:c r="H130" s="36" t="n">
        <x:v>165</x:v>
      </x:c>
      <x:c r="I130" t="n">
        <x:v>524</x:v>
      </x:c>
      <x:c r="J130" t="n">
        <x:v>11</x:v>
      </x:c>
      <x:c r="K130" t="n">
        <x:v>5</x:v>
      </x:c>
      <x:c r="L130" t="n">
        <x:v>3</x:v>
      </x:c>
      <x:c r="M130" t="n">
        <x:v>3</x:v>
      </x:c>
      <x:c r="N130" t="n">
        <x:v>0</x:v>
      </x:c>
      <x:c r="O130" t="n">
        <x:v>0</x:v>
      </x:c>
      <x:c r="P130" t="n">
        <x:v>0</x:v>
      </x:c>
      <x:c r="Q130" t="n">
        <x:v>1</x:v>
      </x:c>
      <x:c r="R130" t="n">
        <x:v>1</x:v>
      </x:c>
      <x:c r="S130" t="n">
        <x:v>0</x:v>
      </x:c>
      <x:c r="T130" t="n">
        <x:v>0</x:v>
      </x:c>
      <x:c r="U130" s="50" t="n">
        <x:f>IF(D130=0,"",H130/D130)</x:f>
        <x:v>0.23076923076923078</x:v>
      </x:c>
      <x:c r="V130" t="n">
        <x:f>MAX(I130:T130)</x:f>
        <x:v>524</x:v>
      </x:c>
      <x:c r="W130" t="n">
        <x:f>H130-V130</x:f>
        <x:v>-359</x:v>
      </x:c>
      <x:c r="X130" s="52" t="n">
        <x:f>IF(D130=0,"",(W130)/D130)</x:f>
        <x:v>-0.5020979020979021</x:v>
      </x:c>
      <x:c r="Y130" t="str">
        <x:v>DR. MAHESH SHARMA</x:v>
      </x:c>
      <x:c r="Z130" t="n">
        <x:f>D130-E130-F130</x:f>
        <x:v>0</x:v>
      </x:c>
    </x:row>
    <x:row r="131">
      <x:c r="A131" t="n">
        <x:v>123</x:v>
      </x:c>
      <x:c r="B131" t="str">
        <x:v>PRY. SCHOOL CHANGAULI R.NO. 1</x:v>
      </x:c>
      <x:c r="C131" t="n">
        <x:v>669</x:v>
      </x:c>
      <x:c r="D131" t="n">
        <x:v>514</x:v>
      </x:c>
      <x:c r="E131" t="n">
        <x:f>SUM(H131:T131)</x:f>
        <x:v>514</x:v>
      </x:c>
      <x:c r="F131" t="n">
        <x:v>0</x:v>
      </x:c>
      <x:c r="G131" s="50" t="n">
        <x:f>IF(C131="","",IFERROR(D131/C131,0))</x:f>
        <x:v>0.7683109118086696</x:v>
      </x:c>
      <x:c r="H131" s="36" t="n">
        <x:v>57</x:v>
      </x:c>
      <x:c r="I131" t="n">
        <x:v>449</x:v>
      </x:c>
      <x:c r="J131" t="n">
        <x:v>4</x:v>
      </x:c>
      <x:c r="K131" t="n">
        <x:v>1</x:v>
      </x:c>
      <x:c r="L131" t="n">
        <x:v>1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1</x:v>
      </x:c>
      <x:c r="R131" t="n">
        <x:v>1</x:v>
      </x:c>
      <x:c r="S131" t="n">
        <x:v>0</x:v>
      </x:c>
      <x:c r="T131" t="n">
        <x:v>0</x:v>
      </x:c>
      <x:c r="U131" s="50" t="n">
        <x:f>IF(D131=0,"",H131/D131)</x:f>
        <x:v>0.11089494163424124</x:v>
      </x:c>
      <x:c r="V131" t="n">
        <x:f>MAX(I131:T131)</x:f>
        <x:v>449</x:v>
      </x:c>
      <x:c r="W131" t="n">
        <x:f>H131-V131</x:f>
        <x:v>-392</x:v>
      </x:c>
      <x:c r="X131" s="52" t="n">
        <x:f>IF(D131=0,"",(W131)/D131)</x:f>
        <x:v>-0.7626459143968871</x:v>
      </x:c>
      <x:c r="Y131" t="str">
        <x:v>DR. MAHESH SHARMA</x:v>
      </x:c>
      <x:c r="Z131" t="n">
        <x:f>D131-E131-F131</x:f>
        <x:v>0</x:v>
      </x:c>
    </x:row>
    <x:row r="132">
      <x:c r="A132" t="n">
        <x:v>124</x:v>
      </x:c>
      <x:c r="B132" t="str">
        <x:v>PRY. SCHOOL USMANPUR R.NO. 1</x:v>
      </x:c>
      <x:c r="C132" t="n">
        <x:v>968</x:v>
      </x:c>
      <x:c r="D132" t="n">
        <x:v>682</x:v>
      </x:c>
      <x:c r="E132" t="n">
        <x:f>SUM(H132:T132)</x:f>
        <x:v>677</x:v>
      </x:c>
      <x:c r="F132" t="n">
        <x:v>5</x:v>
      </x:c>
      <x:c r="G132" s="50" t="n">
        <x:f>IF(C132="","",IFERROR(D132/C132,0))</x:f>
        <x:v>0.7045454545454546</x:v>
      </x:c>
      <x:c r="H132" s="36" t="n">
        <x:v>605</x:v>
      </x:c>
      <x:c r="I132" t="n">
        <x:v>39</x:v>
      </x:c>
      <x:c r="J132" t="n">
        <x:v>21</x:v>
      </x:c>
      <x:c r="K132" t="n">
        <x:v>2</x:v>
      </x:c>
      <x:c r="L132" t="n">
        <x:v>1</x:v>
      </x:c>
      <x:c r="M132" t="n">
        <x:v>5</x:v>
      </x:c>
      <x:c r="N132" t="n">
        <x:v>0</x:v>
      </x:c>
      <x:c r="O132" t="n">
        <x:v>0</x:v>
      </x:c>
      <x:c r="P132" t="n">
        <x:v>0</x:v>
      </x:c>
      <x:c r="Q132" t="n">
        <x:v>2</x:v>
      </x:c>
      <x:c r="R132" t="n">
        <x:v>2</x:v>
      </x:c>
      <x:c r="S132" t="n">
        <x:v>0</x:v>
      </x:c>
      <x:c r="T132" t="n">
        <x:v>0</x:v>
      </x:c>
      <x:c r="U132" s="50" t="n">
        <x:f>IF(D132=0,"",H132/D132)</x:f>
        <x:v>0.8870967741935484</x:v>
      </x:c>
      <x:c r="V132" t="n">
        <x:f>MAX(I132:T132)</x:f>
        <x:v>39</x:v>
      </x:c>
      <x:c r="W132" t="n">
        <x:f>H132-V132</x:f>
        <x:v>566</x:v>
      </x:c>
      <x:c r="X132" s="52" t="n">
        <x:f>IF(D132=0,"",(W132)/D132)</x:f>
        <x:v>0.8299120234604106</x:v>
      </x:c>
      <x:c r="Y132" t="str">
        <x:v>SATVEER</x:v>
      </x:c>
      <x:c r="Z132" t="n">
        <x:f>D132-E132-F132</x:f>
        <x:v>0</x:v>
      </x:c>
    </x:row>
    <x:row r="133">
      <x:c r="A133" t="n">
        <x:v>125</x:v>
      </x:c>
      <x:c r="B133" t="str">
        <x:v>PRY. SCHOOL USMANPUR R.NO. 2</x:v>
      </x:c>
      <x:c r="C133" t="n">
        <x:v>1103</x:v>
      </x:c>
      <x:c r="D133" t="n">
        <x:v>813</x:v>
      </x:c>
      <x:c r="E133" t="n">
        <x:f>SUM(H133:T133)</x:f>
        <x:v>811</x:v>
      </x:c>
      <x:c r="F133" t="n">
        <x:v>2</x:v>
      </x:c>
      <x:c r="G133" s="50" t="n">
        <x:f>IF(C133="","",IFERROR(D133/C133,0))</x:f>
        <x:v>0.7370806890299184</x:v>
      </x:c>
      <x:c r="H133" s="36" t="n">
        <x:v>770</x:v>
      </x:c>
      <x:c r="I133" t="n">
        <x:v>6</x:v>
      </x:c>
      <x:c r="J133" t="n">
        <x:v>27</x:v>
      </x:c>
      <x:c r="K133" t="n">
        <x:v>3</x:v>
      </x:c>
      <x:c r="L133" t="n">
        <x:v>1</x:v>
      </x:c>
      <x:c r="M133" t="n">
        <x:v>2</x:v>
      </x:c>
      <x:c r="N133" t="n">
        <x:v>0</x:v>
      </x:c>
      <x:c r="O133" t="n">
        <x:v>0</x:v>
      </x:c>
      <x:c r="P133" t="n">
        <x:v>0</x:v>
      </x:c>
      <x:c r="Q133" t="n">
        <x:v>1</x:v>
      </x:c>
      <x:c r="R133" t="n">
        <x:v>0</x:v>
      </x:c>
      <x:c r="S133" t="n">
        <x:v>1</x:v>
      </x:c>
      <x:c r="T133" t="n">
        <x:v>0</x:v>
      </x:c>
      <x:c r="U133" s="50" t="n">
        <x:f>IF(D133=0,"",H133/D133)</x:f>
        <x:v>0.947109471094711</x:v>
      </x:c>
      <x:c r="V133" t="n">
        <x:f>MAX(I133:T133)</x:f>
        <x:v>27</x:v>
      </x:c>
      <x:c r="W133" t="n">
        <x:f>H133-V133</x:f>
        <x:v>743</x:v>
      </x:c>
      <x:c r="X133" s="52" t="n">
        <x:f>IF(D133=0,"",(W133)/D133)</x:f>
        <x:v>0.9138991389913899</x:v>
      </x:c>
      <x:c r="Y133" t="str">
        <x:v>SATVEER</x:v>
      </x:c>
      <x:c r="Z133" t="n">
        <x:f>D133-E133-F133</x:f>
        <x:v>0</x:v>
      </x:c>
    </x:row>
    <x:row r="134">
      <x:c r="A134" t="n">
        <x:v>126</x:v>
      </x:c>
      <x:c r="B134" t="str">
        <x:v>PRY. SCHOOL MUTAINA R.NO. 1</x:v>
      </x:c>
      <x:c r="C134" t="n">
        <x:v>931</x:v>
      </x:c>
      <x:c r="D134" t="n">
        <x:v>710</x:v>
      </x:c>
      <x:c r="E134" t="n">
        <x:f>SUM(H134:T134)</x:f>
        <x:v>707</x:v>
      </x:c>
      <x:c r="F134" t="n">
        <x:v>3</x:v>
      </x:c>
      <x:c r="G134" s="50" t="n">
        <x:f>IF(C134="","",IFERROR(D134/C134,0))</x:f>
        <x:v>0.7626208378088077</x:v>
      </x:c>
      <x:c r="H134" s="36" t="n">
        <x:v>178</x:v>
      </x:c>
      <x:c r="I134" t="n">
        <x:v>510</x:v>
      </x:c>
      <x:c r="J134" t="n">
        <x:v>12</x:v>
      </x:c>
      <x:c r="K134" t="n">
        <x:v>3</x:v>
      </x:c>
      <x:c r="L134" t="n">
        <x:v>3</x:v>
      </x:c>
      <x:c r="M134" t="n">
        <x:v>1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s="50" t="n">
        <x:f>IF(D134=0,"",H134/D134)</x:f>
        <x:v>0.2507042253521127</x:v>
      </x:c>
      <x:c r="V134" t="n">
        <x:f>MAX(I134:T134)</x:f>
        <x:v>510</x:v>
      </x:c>
      <x:c r="W134" t="n">
        <x:f>H134-V134</x:f>
        <x:v>-332</x:v>
      </x:c>
      <x:c r="X134" s="52" t="n">
        <x:f>IF(D134=0,"",(W134)/D134)</x:f>
        <x:v>-0.4676056338028169</x:v>
      </x:c>
      <x:c r="Y134" t="str">
        <x:v>DR. MAHESH SHARMA</x:v>
      </x:c>
      <x:c r="Z134" t="n">
        <x:f>D134-E134-F134</x:f>
        <x:v>0</x:v>
      </x:c>
    </x:row>
    <x:row r="135">
      <x:c r="A135" t="n">
        <x:v>127</x:v>
      </x:c>
      <x:c r="B135" t="str">
        <x:v>KISAN I. C. PARSAUL R.NO. 1</x:v>
      </x:c>
      <x:c r="C135" t="n">
        <x:v>1015</x:v>
      </x:c>
      <x:c r="D135" t="n">
        <x:v>593</x:v>
      </x:c>
      <x:c r="E135" t="n">
        <x:f>SUM(H135:T135)</x:f>
        <x:v>593</x:v>
      </x:c>
      <x:c r="F135" t="n">
        <x:v>0</x:v>
      </x:c>
      <x:c r="G135" s="50" t="n">
        <x:f>IF(C135="","",IFERROR(D135/C135,0))</x:f>
        <x:v>0.5842364532019705</x:v>
      </x:c>
      <x:c r="H135" s="36" t="n">
        <x:v>63</x:v>
      </x:c>
      <x:c r="I135" t="n">
        <x:v>527</x:v>
      </x:c>
      <x:c r="J135" t="n">
        <x:v>1</x:v>
      </x:c>
      <x:c r="K135" t="n">
        <x:v>0</x:v>
      </x:c>
      <x:c r="L135" t="n">
        <x:v>1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1</x:v>
      </x:c>
      <x:c r="S135" t="n">
        <x:v>0</x:v>
      </x:c>
      <x:c r="T135" t="n">
        <x:v>0</x:v>
      </x:c>
      <x:c r="U135" s="50" t="n">
        <x:f>IF(D135=0,"",H135/D135)</x:f>
        <x:v>0.10623946037099494</x:v>
      </x:c>
      <x:c r="V135" t="n">
        <x:f>MAX(I135:T135)</x:f>
        <x:v>527</x:v>
      </x:c>
      <x:c r="W135" t="n">
        <x:f>H135-V135</x:f>
        <x:v>-464</x:v>
      </x:c>
      <x:c r="X135" s="52" t="n">
        <x:f>IF(D135=0,"",(W135)/D135)</x:f>
        <x:v>-0.7824620573355818</x:v>
      </x:c>
      <x:c r="Y135" t="str">
        <x:v>DR. MAHESH SHARMA</x:v>
      </x:c>
      <x:c r="Z135" t="n">
        <x:f>D135-E135-F135</x:f>
        <x:v>0</x:v>
      </x:c>
    </x:row>
    <x:row r="136">
      <x:c r="A136" t="n">
        <x:v>128</x:v>
      </x:c>
      <x:c r="B136" t="str">
        <x:v>KISAN I. C. PARSAUL R.NO. 2</x:v>
      </x:c>
      <x:c r="C136" t="n">
        <x:v>895</x:v>
      </x:c>
      <x:c r="D136" t="n">
        <x:v>653</x:v>
      </x:c>
      <x:c r="E136" t="n">
        <x:f>SUM(H136:T136)</x:f>
        <x:v>653</x:v>
      </x:c>
      <x:c r="F136" t="n">
        <x:v>0</x:v>
      </x:c>
      <x:c r="G136" s="50" t="n">
        <x:f>IF(C136="","",IFERROR(D136/C136,0))</x:f>
        <x:v>0.729608938547486</x:v>
      </x:c>
      <x:c r="H136" s="36" t="n">
        <x:v>196</x:v>
      </x:c>
      <x:c r="I136" t="n">
        <x:v>437</x:v>
      </x:c>
      <x:c r="J136" t="n">
        <x:v>16</x:v>
      </x:c>
      <x:c r="K136" t="n">
        <x:v>2</x:v>
      </x:c>
      <x:c r="L136" t="n">
        <x:v>2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s="50" t="n">
        <x:f>IF(D136=0,"",H136/D136)</x:f>
        <x:v>0.3001531393568147</x:v>
      </x:c>
      <x:c r="V136" t="n">
        <x:f>MAX(I136:T136)</x:f>
        <x:v>437</x:v>
      </x:c>
      <x:c r="W136" t="n">
        <x:f>H136-V136</x:f>
        <x:v>-241</x:v>
      </x:c>
      <x:c r="X136" s="52" t="n">
        <x:f>IF(D136=0,"",(W136)/D136)</x:f>
        <x:v>-0.36906584992343033</x:v>
      </x:c>
      <x:c r="Y136" t="str">
        <x:v>DR. MAHESH SHARMA</x:v>
      </x:c>
      <x:c r="Z136" t="n">
        <x:f>D136-E136-F136</x:f>
        <x:v>0</x:v>
      </x:c>
    </x:row>
    <x:row r="137">
      <x:c r="A137" t="n">
        <x:v>129</x:v>
      </x:c>
      <x:c r="B137" t="str">
        <x:v>KISAN I. C. PARSAUL R.NO.3</x:v>
      </x:c>
      <x:c r="C137" t="n">
        <x:v>872</x:v>
      </x:c>
      <x:c r="D137" t="n">
        <x:v>500</x:v>
      </x:c>
      <x:c r="E137" t="n">
        <x:f>SUM(H137:T137)</x:f>
        <x:v>498</x:v>
      </x:c>
      <x:c r="F137" t="n">
        <x:v>2</x:v>
      </x:c>
      <x:c r="G137" s="50" t="n">
        <x:f>IF(C137="","",IFERROR(D137/C137,0))</x:f>
        <x:v>0.573394495412844</x:v>
      </x:c>
      <x:c r="H137" s="36" t="n">
        <x:v>151</x:v>
      </x:c>
      <x:c r="I137" t="n">
        <x:v>336</x:v>
      </x:c>
      <x:c r="J137" t="n">
        <x:v>8</x:v>
      </x:c>
      <x:c r="K137" t="n">
        <x:v>0</x:v>
      </x:c>
      <x:c r="L137" t="n">
        <x:v>0</x:v>
      </x:c>
      <x:c r="M137" t="n">
        <x:v>2</x:v>
      </x:c>
      <x:c r="N137" t="n">
        <x:v>0</x:v>
      </x:c>
      <x:c r="O137" t="n">
        <x:v>0</x:v>
      </x:c>
      <x:c r="P137" t="n">
        <x:v>1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s="50" t="n">
        <x:f>IF(D137=0,"",H137/D137)</x:f>
        <x:v>0.302</x:v>
      </x:c>
      <x:c r="V137" t="n">
        <x:f>MAX(I137:T137)</x:f>
        <x:v>336</x:v>
      </x:c>
      <x:c r="W137" t="n">
        <x:f>H137-V137</x:f>
        <x:v>-185</x:v>
      </x:c>
      <x:c r="X137" s="52" t="n">
        <x:f>IF(D137=0,"",(W137)/D137)</x:f>
        <x:v>-0.37</x:v>
      </x:c>
      <x:c r="Y137" t="str">
        <x:v>DR. MAHESH SHARMA</x:v>
      </x:c>
      <x:c r="Z137" t="n">
        <x:f>D137-E137-F137</x:f>
        <x:v>0</x:v>
      </x:c>
    </x:row>
    <x:row r="138">
      <x:c r="A138" t="n">
        <x:v>130</x:v>
      </x:c>
      <x:c r="B138" t="str">
        <x:v>KISAN I. C. PARSAUL R.NO.4</x:v>
      </x:c>
      <x:c r="C138" t="n">
        <x:v>784</x:v>
      </x:c>
      <x:c r="D138" t="n">
        <x:v>399</x:v>
      </x:c>
      <x:c r="E138" t="n">
        <x:f>SUM(H138:T138)</x:f>
        <x:v>399</x:v>
      </x:c>
      <x:c r="F138" t="n">
        <x:v>0</x:v>
      </x:c>
      <x:c r="G138" s="50" t="n">
        <x:f>IF(C138="","",IFERROR(D138/C138,0))</x:f>
        <x:v>0.5089285714285714</x:v>
      </x:c>
      <x:c r="H138" s="36" t="n">
        <x:v>154</x:v>
      </x:c>
      <x:c r="I138" t="n">
        <x:v>228</x:v>
      </x:c>
      <x:c r="J138" t="n">
        <x:v>13</x:v>
      </x:c>
      <x:c r="K138" t="n">
        <x:v>0</x:v>
      </x:c>
      <x:c r="L138" t="n">
        <x:v>2</x:v>
      </x:c>
      <x:c r="M138" t="n">
        <x:v>0</x:v>
      </x:c>
      <x:c r="N138" t="n">
        <x:v>0</x:v>
      </x:c>
      <x:c r="O138" t="n">
        <x:v>1</x:v>
      </x:c>
      <x:c r="P138" t="n">
        <x:v>0</x:v>
      </x:c>
      <x:c r="Q138" t="n">
        <x:v>0</x:v>
      </x:c>
      <x:c r="R138" t="n">
        <x:v>1</x:v>
      </x:c>
      <x:c r="S138" t="n">
        <x:v>0</x:v>
      </x:c>
      <x:c r="T138" t="n">
        <x:v>0</x:v>
      </x:c>
      <x:c r="U138" s="50" t="n">
        <x:f>IF(D138=0,"",H138/D138)</x:f>
        <x:v>0.38596491228070173</x:v>
      </x:c>
      <x:c r="V138" t="n">
        <x:f>MAX(I138:T138)</x:f>
        <x:v>228</x:v>
      </x:c>
      <x:c r="W138" t="n">
        <x:f>H138-V138</x:f>
        <x:v>-74</x:v>
      </x:c>
      <x:c r="X138" s="52" t="n">
        <x:f>IF(D138=0,"",(W138)/D138)</x:f>
        <x:v>-0.18546365914786966</x:v>
      </x:c>
      <x:c r="Y138" t="str">
        <x:v>DR. MAHESH SHARMA</x:v>
      </x:c>
      <x:c r="Z138" t="n">
        <x:f>D138-E138-F138</x:f>
        <x:v>0</x:v>
      </x:c>
    </x:row>
    <x:row r="139">
      <x:c r="A139" t="n">
        <x:v>131</x:v>
      </x:c>
      <x:c r="B139" t="str">
        <x:v>PRY. SCHOOL ACHCHHEPUR R.NO. 1</x:v>
      </x:c>
      <x:c r="C139" t="n">
        <x:v>807</x:v>
      </x:c>
      <x:c r="D139" t="n">
        <x:v>491</x:v>
      </x:c>
      <x:c r="E139" t="n">
        <x:f>SUM(H139:T139)</x:f>
        <x:v>489</x:v>
      </x:c>
      <x:c r="F139" t="n">
        <x:v>2</x:v>
      </x:c>
      <x:c r="G139" s="50" t="n">
        <x:f>IF(C139="","",IFERROR(D139/C139,0))</x:f>
        <x:v>0.6084262701363073</x:v>
      </x:c>
      <x:c r="H139" s="36" t="n">
        <x:v>19</x:v>
      </x:c>
      <x:c r="I139" t="n">
        <x:v>457</x:v>
      </x:c>
      <x:c r="J139" t="n">
        <x:v>7</x:v>
      </x:c>
      <x:c r="K139" t="n">
        <x:v>0</x:v>
      </x:c>
      <x:c r="L139" t="n">
        <x:v>5</x:v>
      </x:c>
      <x:c r="M139" t="n">
        <x:v>1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s="50" t="n">
        <x:f>IF(D139=0,"",H139/D139)</x:f>
        <x:v>0.038696537678207736</x:v>
      </x:c>
      <x:c r="V139" t="n">
        <x:f>MAX(I139:T139)</x:f>
        <x:v>457</x:v>
      </x:c>
      <x:c r="W139" t="n">
        <x:f>H139-V139</x:f>
        <x:v>-438</x:v>
      </x:c>
      <x:c r="X139" s="52" t="n">
        <x:f>IF(D139=0,"",(W139)/D139)</x:f>
        <x:v>-0.8920570264765784</x:v>
      </x:c>
      <x:c r="Y139" t="str">
        <x:v>DR. MAHESH SHARMA</x:v>
      </x:c>
      <x:c r="Z139" t="n">
        <x:f>D139-E139-F139</x:f>
        <x:v>0</x:v>
      </x:c>
    </x:row>
    <x:row r="140">
      <x:c r="A140" t="n">
        <x:v>132</x:v>
      </x:c>
      <x:c r="B140" t="str">
        <x:v>PRY. SCHOOL ACHCHHEPUR R.NO. 2</x:v>
      </x:c>
      <x:c r="C140" t="n">
        <x:v>792</x:v>
      </x:c>
      <x:c r="D140" t="n">
        <x:v>481</x:v>
      </x:c>
      <x:c r="E140" t="n">
        <x:f>SUM(H140:T140)</x:f>
        <x:v>480</x:v>
      </x:c>
      <x:c r="F140" t="n">
        <x:v>1</x:v>
      </x:c>
      <x:c r="G140" s="50" t="n">
        <x:f>IF(C140="","",IFERROR(D140/C140,0))</x:f>
        <x:v>0.6073232323232324</x:v>
      </x:c>
      <x:c r="H140" s="36" t="n">
        <x:v>33</x:v>
      </x:c>
      <x:c r="I140" t="n">
        <x:v>427</x:v>
      </x:c>
      <x:c r="J140" t="n">
        <x:v>10</x:v>
      </x:c>
      <x:c r="K140" t="n">
        <x:v>2</x:v>
      </x:c>
      <x:c r="L140" t="n">
        <x:v>4</x:v>
      </x:c>
      <x:c r="M140" t="n">
        <x:v>2</x:v>
      </x:c>
      <x:c r="N140" t="n">
        <x:v>0</x:v>
      </x:c>
      <x:c r="O140" t="n">
        <x:v>0</x:v>
      </x:c>
      <x:c r="P140" t="n">
        <x:v>0</x:v>
      </x:c>
      <x:c r="Q140" t="n">
        <x:v>1</x:v>
      </x:c>
      <x:c r="R140" t="n">
        <x:v>0</x:v>
      </x:c>
      <x:c r="S140" t="n">
        <x:v>0</x:v>
      </x:c>
      <x:c r="T140" t="n">
        <x:v>1</x:v>
      </x:c>
      <x:c r="U140" s="50" t="n">
        <x:f>IF(D140=0,"",H140/D140)</x:f>
        <x:v>0.06860706860706861</x:v>
      </x:c>
      <x:c r="V140" t="n">
        <x:f>MAX(I140:T140)</x:f>
        <x:v>427</x:v>
      </x:c>
      <x:c r="W140" t="n">
        <x:f>H140-V140</x:f>
        <x:v>-394</x:v>
      </x:c>
      <x:c r="X140" s="52" t="n">
        <x:f>IF(D140=0,"",(W140)/D140)</x:f>
        <x:v>-0.8191268191268192</x:v>
      </x:c>
      <x:c r="Y140" t="str">
        <x:v>DR. MAHESH SHARMA</x:v>
      </x:c>
      <x:c r="Z140" t="n">
        <x:f>D140-E140-F140</x:f>
        <x:v>0</x:v>
      </x:c>
    </x:row>
    <x:row r="141">
      <x:c r="A141" t="n">
        <x:v>133</x:v>
      </x:c>
      <x:c r="B141" t="str">
        <x:v>PRY. SCHOOL CHANDPUR R.NO. 1</x:v>
      </x:c>
      <x:c r="C141" t="n">
        <x:v>675</x:v>
      </x:c>
      <x:c r="D141" t="n">
        <x:v>383</x:v>
      </x:c>
      <x:c r="E141" t="n">
        <x:f>SUM(H141:T141)</x:f>
        <x:v>379</x:v>
      </x:c>
      <x:c r="F141" t="n">
        <x:v>4</x:v>
      </x:c>
      <x:c r="G141" s="50" t="n">
        <x:f>IF(C141="","",IFERROR(D141/C141,0))</x:f>
        <x:v>0.5674074074074074</x:v>
      </x:c>
      <x:c r="H141" s="36" t="n">
        <x:v>52</x:v>
      </x:c>
      <x:c r="I141" t="n">
        <x:v>306</x:v>
      </x:c>
      <x:c r="J141" t="n">
        <x:v>8</x:v>
      </x:c>
      <x:c r="K141" t="n">
        <x:v>5</x:v>
      </x:c>
      <x:c r="L141" t="n">
        <x:v>4</x:v>
      </x:c>
      <x:c r="M141" t="n">
        <x:v>2</x:v>
      </x:c>
      <x:c r="N141" t="n">
        <x:v>0</x:v>
      </x:c>
      <x:c r="O141" t="n">
        <x:v>1</x:v>
      </x:c>
      <x:c r="P141" t="n">
        <x:v>0</x:v>
      </x:c>
      <x:c r="Q141" t="n">
        <x:v>1</x:v>
      </x:c>
      <x:c r="R141" t="n">
        <x:v>0</x:v>
      </x:c>
      <x:c r="S141" t="n">
        <x:v>0</x:v>
      </x:c>
      <x:c r="T141" t="n">
        <x:v>0</x:v>
      </x:c>
      <x:c r="U141" s="50" t="n">
        <x:f>IF(D141=0,"",H141/D141)</x:f>
        <x:v>0.13577023498694518</x:v>
      </x:c>
      <x:c r="V141" t="n">
        <x:f>MAX(I141:T141)</x:f>
        <x:v>306</x:v>
      </x:c>
      <x:c r="W141" t="n">
        <x:f>H141-V141</x:f>
        <x:v>-254</x:v>
      </x:c>
      <x:c r="X141" s="52" t="n">
        <x:f>IF(D141=0,"",(W141)/D141)</x:f>
        <x:v>-0.6631853785900783</x:v>
      </x:c>
      <x:c r="Y141" t="str">
        <x:v>DR. MAHESH SHARMA</x:v>
      </x:c>
      <x:c r="Z141" t="n">
        <x:f>D141-E141-F141</x:f>
        <x:v>0</x:v>
      </x:c>
    </x:row>
    <x:row r="142">
      <x:c r="A142" t="n">
        <x:v>134</x:v>
      </x:c>
      <x:c r="B142" t="str">
        <x:v>PRY. PATH. NILAUNI R.NO. 1</x:v>
      </x:c>
      <x:c r="C142" t="n">
        <x:v>983</x:v>
      </x:c>
      <x:c r="D142" t="n">
        <x:v>588</x:v>
      </x:c>
      <x:c r="E142" t="n">
        <x:f>SUM(H142:T142)</x:f>
        <x:v>587</x:v>
      </x:c>
      <x:c r="F142" t="n">
        <x:v>1</x:v>
      </x:c>
      <x:c r="G142" s="50" t="n">
        <x:f>IF(C142="","",IFERROR(D142/C142,0))</x:f>
        <x:v>0.5981688708036622</x:v>
      </x:c>
      <x:c r="H142" s="36" t="n">
        <x:v>309</x:v>
      </x:c>
      <x:c r="I142" t="n">
        <x:v>260</x:v>
      </x:c>
      <x:c r="J142" t="n">
        <x:v>3</x:v>
      </x:c>
      <x:c r="K142" t="n">
        <x:v>3</x:v>
      </x:c>
      <x:c r="L142" t="n">
        <x:v>4</x:v>
      </x:c>
      <x:c r="M142" t="n">
        <x:v>2</x:v>
      </x:c>
      <x:c r="N142" t="n">
        <x:v>1</x:v>
      </x:c>
      <x:c r="O142" t="n">
        <x:v>0</x:v>
      </x:c>
      <x:c r="P142" t="n">
        <x:v>0</x:v>
      </x:c>
      <x:c r="Q142" t="n">
        <x:v>3</x:v>
      </x:c>
      <x:c r="R142" t="n">
        <x:v>2</x:v>
      </x:c>
      <x:c r="S142" t="n">
        <x:v>0</x:v>
      </x:c>
      <x:c r="T142" t="n">
        <x:v>0</x:v>
      </x:c>
      <x:c r="U142" s="50" t="n">
        <x:f>IF(D142=0,"",H142/D142)</x:f>
        <x:v>0.5255102040816326</x:v>
      </x:c>
      <x:c r="V142" t="n">
        <x:f>MAX(I142:T142)</x:f>
        <x:v>260</x:v>
      </x:c>
      <x:c r="W142" t="n">
        <x:f>H142-V142</x:f>
        <x:v>49</x:v>
      </x:c>
      <x:c r="X142" s="52" t="n">
        <x:f>IF(D142=0,"",(W142)/D142)</x:f>
        <x:v>0.08333333333333333</x:v>
      </x:c>
      <x:c r="Y142" t="str">
        <x:v>SATVEER</x:v>
      </x:c>
      <x:c r="Z142" t="n">
        <x:f>D142-E142-F142</x:f>
        <x:v>0</x:v>
      </x:c>
    </x:row>
    <x:row r="143">
      <x:c r="A143" t="n">
        <x:v>135</x:v>
      </x:c>
      <x:c r="B143" t="str">
        <x:v>PRY. PATH. NILAUNI R.NO. 2</x:v>
      </x:c>
      <x:c r="C143" t="n">
        <x:v>949</x:v>
      </x:c>
      <x:c r="D143" t="n">
        <x:v>566</x:v>
      </x:c>
      <x:c r="E143" t="n">
        <x:f>SUM(H143:T143)</x:f>
        <x:v>562</x:v>
      </x:c>
      <x:c r="F143" t="n">
        <x:v>4</x:v>
      </x:c>
      <x:c r="G143" s="50" t="n">
        <x:f>IF(C143="","",IFERROR(D143/C143,0))</x:f>
        <x:v>0.5964172813487882</x:v>
      </x:c>
      <x:c r="H143" s="36" t="n">
        <x:v>185</x:v>
      </x:c>
      <x:c r="I143" t="n">
        <x:v>356</x:v>
      </x:c>
      <x:c r="J143" t="n">
        <x:v>7</x:v>
      </x:c>
      <x:c r="K143" t="n">
        <x:v>2</x:v>
      </x:c>
      <x:c r="L143" t="n">
        <x:v>5</x:v>
      </x:c>
      <x:c r="M143" t="n">
        <x:v>3</x:v>
      </x:c>
      <x:c r="N143" t="n">
        <x:v>0</x:v>
      </x:c>
      <x:c r="O143" t="n">
        <x:v>0</x:v>
      </x:c>
      <x:c r="P143" t="n">
        <x:v>1</x:v>
      </x:c>
      <x:c r="Q143" t="n">
        <x:v>1</x:v>
      </x:c>
      <x:c r="R143" t="n">
        <x:v>1</x:v>
      </x:c>
      <x:c r="S143" t="n">
        <x:v>1</x:v>
      </x:c>
      <x:c r="T143" t="n">
        <x:v>0</x:v>
      </x:c>
      <x:c r="U143" s="50" t="n">
        <x:f>IF(D143=0,"",H143/D143)</x:f>
        <x:v>0.32685512367491165</x:v>
      </x:c>
      <x:c r="V143" t="n">
        <x:f>MAX(I143:T143)</x:f>
        <x:v>356</x:v>
      </x:c>
      <x:c r="W143" t="n">
        <x:f>H143-V143</x:f>
        <x:v>-171</x:v>
      </x:c>
      <x:c r="X143" s="52" t="n">
        <x:f>IF(D143=0,"",(W143)/D143)</x:f>
        <x:v>-0.30212014134275617</x:v>
      </x:c>
      <x:c r="Y143" t="str">
        <x:v>DR. MAHESH SHARMA</x:v>
      </x:c>
      <x:c r="Z143" t="n">
        <x:f>D143-E143-F143</x:f>
        <x:v>0</x:v>
      </x:c>
    </x:row>
    <x:row r="144">
      <x:c r="A144" t="n">
        <x:v>136</x:v>
      </x:c>
      <x:c r="B144" t="str">
        <x:v>PRY. SCHOOL SHAHPUR R.NO. 1</x:v>
      </x:c>
      <x:c r="C144" t="n">
        <x:v>699</x:v>
      </x:c>
      <x:c r="D144" t="n">
        <x:v>377</x:v>
      </x:c>
      <x:c r="E144" t="n">
        <x:f>SUM(H144:T144)</x:f>
        <x:v>372</x:v>
      </x:c>
      <x:c r="F144" t="n">
        <x:v>5</x:v>
      </x:c>
      <x:c r="G144" s="50" t="n">
        <x:f>IF(C144="","",IFERROR(D144/C144,0))</x:f>
        <x:v>0.5393419170243204</x:v>
      </x:c>
      <x:c r="H144" s="36" t="n">
        <x:v>188</x:v>
      </x:c>
      <x:c r="I144" t="n">
        <x:v>169</x:v>
      </x:c>
      <x:c r="J144" t="n">
        <x:v>12</x:v>
      </x:c>
      <x:c r="K144" t="n">
        <x:v>2</x:v>
      </x:c>
      <x:c r="L144" t="n">
        <x:v>1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s="50" t="n">
        <x:f>IF(D144=0,"",H144/D144)</x:f>
        <x:v>0.4986737400530504</x:v>
      </x:c>
      <x:c r="V144" t="n">
        <x:f>MAX(I144:T144)</x:f>
        <x:v>169</x:v>
      </x:c>
      <x:c r="W144" t="n">
        <x:f>H144-V144</x:f>
        <x:v>19</x:v>
      </x:c>
      <x:c r="X144" s="52" t="n">
        <x:f>IF(D144=0,"",(W144)/D144)</x:f>
        <x:v>0.050397877984084884</x:v>
      </x:c>
      <x:c r="Y144" t="str">
        <x:v>SATVEER</x:v>
      </x:c>
      <x:c r="Z144" t="n">
        <x:f>D144-E144-F144</x:f>
        <x:v>0</x:v>
      </x:c>
    </x:row>
    <x:row r="145">
      <x:c r="A145" t="n">
        <x:v>137</x:v>
      </x:c>
      <x:c r="B145" t="str">
        <x:v>PRY. SCHOOL MIRZAPUR R.NO. 1</x:v>
      </x:c>
      <x:c r="C145" t="n">
        <x:v>788</x:v>
      </x:c>
      <x:c r="D145" t="n">
        <x:v>516</x:v>
      </x:c>
      <x:c r="E145" t="n">
        <x:f>SUM(H145:T145)</x:f>
        <x:v>511</x:v>
      </x:c>
      <x:c r="F145" t="n">
        <x:v>5</x:v>
      </x:c>
      <x:c r="G145" s="50" t="n">
        <x:f>IF(C145="","",IFERROR(D145/C145,0))</x:f>
        <x:v>0.6548223350253807</x:v>
      </x:c>
      <x:c r="H145" s="36" t="n">
        <x:v>153</x:v>
      </x:c>
      <x:c r="I145" t="n">
        <x:v>335</x:v>
      </x:c>
      <x:c r="J145" t="n">
        <x:v>7</x:v>
      </x:c>
      <x:c r="K145" t="n">
        <x:v>3</x:v>
      </x:c>
      <x:c r="L145" t="n">
        <x:v>3</x:v>
      </x:c>
      <x:c r="M145" t="n">
        <x:v>5</x:v>
      </x:c>
      <x:c r="N145" t="n">
        <x:v>0</x:v>
      </x:c>
      <x:c r="O145" t="n">
        <x:v>0</x:v>
      </x:c>
      <x:c r="P145" t="n">
        <x:v>2</x:v>
      </x:c>
      <x:c r="Q145" t="n">
        <x:v>1</x:v>
      </x:c>
      <x:c r="R145" t="n">
        <x:v>1</x:v>
      </x:c>
      <x:c r="S145" t="n">
        <x:v>0</x:v>
      </x:c>
      <x:c r="T145" t="n">
        <x:v>1</x:v>
      </x:c>
      <x:c r="U145" s="50" t="n">
        <x:f>IF(D145=0,"",H145/D145)</x:f>
        <x:v>0.29651162790697677</x:v>
      </x:c>
      <x:c r="V145" t="n">
        <x:f>MAX(I145:T145)</x:f>
        <x:v>335</x:v>
      </x:c>
      <x:c r="W145" t="n">
        <x:f>H145-V145</x:f>
        <x:v>-182</x:v>
      </x:c>
      <x:c r="X145" s="52" t="n">
        <x:f>IF(D145=0,"",(W145)/D145)</x:f>
        <x:v>-0.35271317829457366</x:v>
      </x:c>
      <x:c r="Y145" t="str">
        <x:v>DR. MAHESH SHARMA</x:v>
      </x:c>
      <x:c r="Z145" t="n">
        <x:f>D145-E145-F145</x:f>
        <x:v>0</x:v>
      </x:c>
    </x:row>
    <x:row r="146">
      <x:c r="A146" t="n">
        <x:v>138</x:v>
      </x:c>
      <x:c r="B146" t="str">
        <x:v>PRY. SCHOOL MIRZAPUR R.NO. 2</x:v>
      </x:c>
      <x:c r="C146" t="n">
        <x:v>712</x:v>
      </x:c>
      <x:c r="D146" t="n">
        <x:v>439</x:v>
      </x:c>
      <x:c r="E146" t="n">
        <x:f>SUM(H146:T146)</x:f>
        <x:v>432</x:v>
      </x:c>
      <x:c r="F146" t="n">
        <x:v>7</x:v>
      </x:c>
      <x:c r="G146" s="50" t="n">
        <x:f>IF(C146="","",IFERROR(D146/C146,0))</x:f>
        <x:v>0.6165730337078652</x:v>
      </x:c>
      <x:c r="H146" s="36" t="n">
        <x:v>89</x:v>
      </x:c>
      <x:c r="I146" t="n">
        <x:v>337</x:v>
      </x:c>
      <x:c r="J146" t="n">
        <x:v>3</x:v>
      </x:c>
      <x:c r="K146" t="n">
        <x:v>1</x:v>
      </x:c>
      <x:c r="L146" t="n">
        <x:v>1</x:v>
      </x:c>
      <x:c r="M146" t="n">
        <x:v>0</x:v>
      </x:c>
      <x:c r="N146" t="n">
        <x:v>0</x:v>
      </x:c>
      <x:c r="O146" t="n">
        <x:v>1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s="50" t="n">
        <x:f>IF(D146=0,"",H146/D146)</x:f>
        <x:v>0.20273348519362186</x:v>
      </x:c>
      <x:c r="V146" t="n">
        <x:f>MAX(I146:T146)</x:f>
        <x:v>337</x:v>
      </x:c>
      <x:c r="W146" t="n">
        <x:f>H146-V146</x:f>
        <x:v>-248</x:v>
      </x:c>
      <x:c r="X146" s="52" t="n">
        <x:f>IF(D146=0,"",(W146)/D146)</x:f>
        <x:v>-0.5649202733485194</x:v>
      </x:c>
      <x:c r="Y146" t="str">
        <x:v>DR. MAHESH SHARMA</x:v>
      </x:c>
      <x:c r="Z146" t="n">
        <x:f>D146-E146-F146</x:f>
        <x:v>0</x:v>
      </x:c>
    </x:row>
    <x:row r="147">
      <x:c r="A147" t="n">
        <x:v>139</x:v>
      </x:c>
      <x:c r="B147" t="str">
        <x:v>SHRI HARDWARI LAL JANHIT H.S. SCHOOL MIRZAPUR R.NO. 1</x:v>
      </x:c>
      <x:c r="C147" t="n">
        <x:v>1069</x:v>
      </x:c>
      <x:c r="D147" t="n">
        <x:v>786</x:v>
      </x:c>
      <x:c r="E147" t="n">
        <x:f>SUM(H147:T147)</x:f>
        <x:v>786</x:v>
      </x:c>
      <x:c r="F147" t="n">
        <x:v>0</x:v>
      </x:c>
      <x:c r="G147" s="50" t="n">
        <x:f>IF(C147="","",IFERROR(D147/C147,0))</x:f>
        <x:v>0.735266604303087</x:v>
      </x:c>
      <x:c r="H147" s="36" t="n">
        <x:v>208</x:v>
      </x:c>
      <x:c r="I147" t="n">
        <x:v>555</x:v>
      </x:c>
      <x:c r="J147" t="n">
        <x:v>11</x:v>
      </x:c>
      <x:c r="K147" t="n">
        <x:v>5</x:v>
      </x:c>
      <x:c r="L147" t="n">
        <x:v>3</x:v>
      </x:c>
      <x:c r="M147" t="n">
        <x:v>0</x:v>
      </x:c>
      <x:c r="N147" t="n">
        <x:v>0</x:v>
      </x:c>
      <x:c r="O147" t="n">
        <x:v>0</x:v>
      </x:c>
      <x:c r="P147" t="n">
        <x:v>1</x:v>
      </x:c>
      <x:c r="Q147" t="n">
        <x:v>2</x:v>
      </x:c>
      <x:c r="R147" t="n">
        <x:v>1</x:v>
      </x:c>
      <x:c r="S147" t="n">
        <x:v>0</x:v>
      </x:c>
      <x:c r="T147" t="n">
        <x:v>0</x:v>
      </x:c>
      <x:c r="U147" s="50" t="n">
        <x:f>IF(D147=0,"",H147/D147)</x:f>
        <x:v>0.26463104325699743</x:v>
      </x:c>
      <x:c r="V147" t="n">
        <x:f>MAX(I147:T147)</x:f>
        <x:v>555</x:v>
      </x:c>
      <x:c r="W147" t="n">
        <x:f>H147-V147</x:f>
        <x:v>-347</x:v>
      </x:c>
      <x:c r="X147" s="52" t="n">
        <x:f>IF(D147=0,"",(W147)/D147)</x:f>
        <x:v>-0.44147582697201015</x:v>
      </x:c>
      <x:c r="Y147" t="str">
        <x:v>DR. MAHESH SHARMA</x:v>
      </x:c>
      <x:c r="Z147" t="n">
        <x:f>D147-E147-F147</x:f>
        <x:v>0</x:v>
      </x:c>
    </x:row>
    <x:row r="148">
      <x:c r="A148" t="n">
        <x:v>140</x:v>
      </x:c>
      <x:c r="B148" t="str">
        <x:v>SHRI HARDWARI LAL JANHIT H.S. SCHOOL MIRZAPUR R.NO.2</x:v>
      </x:c>
      <x:c r="C148" t="n">
        <x:v>863</x:v>
      </x:c>
      <x:c r="D148" t="n">
        <x:v>562</x:v>
      </x:c>
      <x:c r="E148" t="n">
        <x:f>SUM(H148:T148)</x:f>
        <x:v>562</x:v>
      </x:c>
      <x:c r="F148" t="n">
        <x:v>0</x:v>
      </x:c>
      <x:c r="G148" s="50" t="n">
        <x:f>IF(C148="","",IFERROR(D148/C148,0))</x:f>
        <x:v>0.6512166859791425</x:v>
      </x:c>
      <x:c r="H148" s="36" t="n">
        <x:v>199</x:v>
      </x:c>
      <x:c r="I148" t="n">
        <x:v>353</x:v>
      </x:c>
      <x:c r="J148" t="n">
        <x:v>5</x:v>
      </x:c>
      <x:c r="K148" t="n">
        <x:v>1</x:v>
      </x:c>
      <x:c r="L148" t="n">
        <x:v>1</x:v>
      </x:c>
      <x:c r="M148" t="n">
        <x:v>1</x:v>
      </x:c>
      <x:c r="N148" t="n">
        <x:v>1</x:v>
      </x:c>
      <x:c r="O148" t="n">
        <x:v>0</x:v>
      </x:c>
      <x:c r="P148" t="n">
        <x:v>0</x:v>
      </x:c>
      <x:c r="Q148" t="n">
        <x:v>0</x:v>
      </x:c>
      <x:c r="R148" t="n">
        <x:v>1</x:v>
      </x:c>
      <x:c r="S148" t="n">
        <x:v>0</x:v>
      </x:c>
      <x:c r="T148" t="n">
        <x:v>0</x:v>
      </x:c>
      <x:c r="U148" s="50" t="n">
        <x:f>IF(D148=0,"",H148/D148)</x:f>
        <x:v>0.3540925266903915</x:v>
      </x:c>
      <x:c r="V148" t="n">
        <x:f>MAX(I148:T148)</x:f>
        <x:v>353</x:v>
      </x:c>
      <x:c r="W148" t="n">
        <x:f>H148-V148</x:f>
        <x:v>-154</x:v>
      </x:c>
      <x:c r="X148" s="52" t="n">
        <x:f>IF(D148=0,"",(W148)/D148)</x:f>
        <x:v>-0.27402135231316727</x:v>
      </x:c>
      <x:c r="Y148" t="str">
        <x:v>DR. MAHESH SHARMA</x:v>
      </x:c>
      <x:c r="Z148" t="n">
        <x:f>D148-E148-F148</x:f>
        <x:v>0</x:v>
      </x:c>
    </x:row>
    <x:row r="149">
      <x:c r="A149" t="n">
        <x:v>141</x:v>
      </x:c>
      <x:c r="B149" t="str">
        <x:v>SHRI HARDWARI LAL JANHIT H.S. SCHOOL MIRZAPUR R.NO. 3</x:v>
      </x:c>
      <x:c r="C149" t="n">
        <x:v>1011</x:v>
      </x:c>
      <x:c r="D149" t="n">
        <x:v>570</x:v>
      </x:c>
      <x:c r="E149" t="n">
        <x:f>SUM(H149:T149)</x:f>
        <x:v>569</x:v>
      </x:c>
      <x:c r="F149" t="n">
        <x:v>1</x:v>
      </x:c>
      <x:c r="G149" s="50" t="n">
        <x:f>IF(C149="","",IFERROR(D149/C149,0))</x:f>
        <x:v>0.5637982195845698</x:v>
      </x:c>
      <x:c r="H149" s="36" t="n">
        <x:v>169</x:v>
      </x:c>
      <x:c r="I149" t="n">
        <x:v>396</x:v>
      </x:c>
      <x:c r="J149" t="n">
        <x:v>2</x:v>
      </x:c>
      <x:c r="K149" t="n">
        <x:v>1</x:v>
      </x:c>
      <x:c r="L149" t="n">
        <x:v>0</x:v>
      </x:c>
      <x:c r="M149" t="n">
        <x:v>1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s="50" t="n">
        <x:f>IF(D149=0,"",H149/D149)</x:f>
        <x:v>0.2964912280701754</x:v>
      </x:c>
      <x:c r="V149" t="n">
        <x:f>MAX(I149:T149)</x:f>
        <x:v>396</x:v>
      </x:c>
      <x:c r="W149" t="n">
        <x:f>H149-V149</x:f>
        <x:v>-227</x:v>
      </x:c>
      <x:c r="X149" s="52" t="n">
        <x:f>IF(D149=0,"",(W149)/D149)</x:f>
        <x:v>-0.39824561403508774</x:v>
      </x:c>
      <x:c r="Y149" t="str">
        <x:v>DR. MAHESH SHARMA</x:v>
      </x:c>
      <x:c r="Z149" t="n">
        <x:f>D149-E149-F149</x:f>
        <x:v>0</x:v>
      </x:c>
    </x:row>
    <x:row r="150">
      <x:c r="A150" t="n">
        <x:v>142</x:v>
      </x:c>
      <x:c r="B150" t="str">
        <x:v>PRY. SCHOOL CHAPARGARH R.NO.1</x:v>
      </x:c>
      <x:c r="C150" t="n">
        <x:v>566</x:v>
      </x:c>
      <x:c r="D150" t="n">
        <x:v>469</x:v>
      </x:c>
      <x:c r="E150" t="n">
        <x:f>SUM(H150:T150)</x:f>
        <x:v>469</x:v>
      </x:c>
      <x:c r="F150" t="n">
        <x:v>0</x:v>
      </x:c>
      <x:c r="G150" s="50" t="n">
        <x:f>IF(C150="","",IFERROR(D150/C150,0))</x:f>
        <x:v>0.8286219081272085</x:v>
      </x:c>
      <x:c r="H150" s="36" t="n">
        <x:v>337</x:v>
      </x:c>
      <x:c r="I150" t="n">
        <x:v>129</x:v>
      </x:c>
      <x:c r="J150" t="n">
        <x:v>2</x:v>
      </x:c>
      <x:c r="K150" t="n">
        <x:v>1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s="50" t="n">
        <x:f>IF(D150=0,"",H150/D150)</x:f>
        <x:v>0.7185501066098081</x:v>
      </x:c>
      <x:c r="V150" t="n">
        <x:f>MAX(I150:T150)</x:f>
        <x:v>129</x:v>
      </x:c>
      <x:c r="W150" t="n">
        <x:f>H150-V150</x:f>
        <x:v>208</x:v>
      </x:c>
      <x:c r="X150" s="52" t="n">
        <x:f>IF(D150=0,"",(W150)/D150)</x:f>
        <x:v>0.44349680170575695</x:v>
      </x:c>
      <x:c r="Y150" t="str">
        <x:v>SATVEER</x:v>
      </x:c>
      <x:c r="Z150" t="n">
        <x:f>D150-E150-F150</x:f>
        <x:v>0</x:v>
      </x:c>
    </x:row>
    <x:row r="151">
      <x:c r="A151" t="n">
        <x:v>143</x:v>
      </x:c>
      <x:c r="B151" t="str">
        <x:v>PRY. SCHOOL RAMPUR BANGAR R.NO. 1</x:v>
      </x:c>
      <x:c r="C151" t="n">
        <x:v>844</x:v>
      </x:c>
      <x:c r="D151" t="n">
        <x:v>551</x:v>
      </x:c>
      <x:c r="E151" t="n">
        <x:f>SUM(H151:T151)</x:f>
        <x:v>547</x:v>
      </x:c>
      <x:c r="F151" t="n">
        <x:v>4</x:v>
      </x:c>
      <x:c r="G151" s="50" t="n">
        <x:f>IF(C151="","",IFERROR(D151/C151,0))</x:f>
        <x:v>0.6528436018957346</x:v>
      </x:c>
      <x:c r="H151" s="36" t="n">
        <x:v>195</x:v>
      </x:c>
      <x:c r="I151" t="n">
        <x:v>337</x:v>
      </x:c>
      <x:c r="J151" t="n">
        <x:v>6</x:v>
      </x:c>
      <x:c r="K151" t="n">
        <x:v>2</x:v>
      </x:c>
      <x:c r="L151" t="n">
        <x:v>2</x:v>
      </x:c>
      <x:c r="M151" t="n">
        <x:v>0</x:v>
      </x:c>
      <x:c r="N151" t="n">
        <x:v>0</x:v>
      </x:c>
      <x:c r="O151" t="n">
        <x:v>0</x:v>
      </x:c>
      <x:c r="P151" t="n">
        <x:v>1</x:v>
      </x:c>
      <x:c r="Q151" t="n">
        <x:v>1</x:v>
      </x:c>
      <x:c r="R151" t="n">
        <x:v>0</x:v>
      </x:c>
      <x:c r="S151" t="n">
        <x:v>1</x:v>
      </x:c>
      <x:c r="T151" t="n">
        <x:v>2</x:v>
      </x:c>
      <x:c r="U151" s="50" t="n">
        <x:f>IF(D151=0,"",H151/D151)</x:f>
        <x:v>0.35390199637023595</x:v>
      </x:c>
      <x:c r="V151" t="n">
        <x:f>MAX(I151:T151)</x:f>
        <x:v>337</x:v>
      </x:c>
      <x:c r="W151" t="n">
        <x:f>H151-V151</x:f>
        <x:v>-142</x:v>
      </x:c>
      <x:c r="X151" s="52" t="n">
        <x:f>IF(D151=0,"",(W151)/D151)</x:f>
        <x:v>-0.2577132486388385</x:v>
      </x:c>
      <x:c r="Y151" t="str">
        <x:v>DR. MAHESH SHARMA</x:v>
      </x:c>
      <x:c r="Z151" t="n">
        <x:f>D151-E151-F151</x:f>
        <x:v>0</x:v>
      </x:c>
    </x:row>
    <x:row r="152">
      <x:c r="A152" t="n">
        <x:v>144</x:v>
      </x:c>
      <x:c r="B152" t="str">
        <x:v>PRY. PATH. ACHCHHEJA BUJURG R.NO. 1</x:v>
      </x:c>
      <x:c r="C152" t="n">
        <x:v>687</x:v>
      </x:c>
      <x:c r="D152" t="n">
        <x:v>513</x:v>
      </x:c>
      <x:c r="E152" t="n">
        <x:f>SUM(H152:T152)</x:f>
        <x:v>510</x:v>
      </x:c>
      <x:c r="F152" t="n">
        <x:v>3</x:v>
      </x:c>
      <x:c r="G152" s="50" t="n">
        <x:f>IF(C152="","",IFERROR(D152/C152,0))</x:f>
        <x:v>0.7467248908296943</x:v>
      </x:c>
      <x:c r="H152" s="36" t="n">
        <x:v>451</x:v>
      </x:c>
      <x:c r="I152" t="n">
        <x:v>38</x:v>
      </x:c>
      <x:c r="J152" t="n">
        <x:v>14</x:v>
      </x:c>
      <x:c r="K152" t="n">
        <x:v>2</x:v>
      </x:c>
      <x:c r="L152" t="n">
        <x:v>1</x:v>
      </x:c>
      <x:c r="M152" t="n">
        <x:v>3</x:v>
      </x:c>
      <x:c r="N152" t="n">
        <x:v>0</x:v>
      </x:c>
      <x:c r="O152" t="n">
        <x:v>1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s="50" t="n">
        <x:f>IF(D152=0,"",H152/D152)</x:f>
        <x:v>0.8791423001949318</x:v>
      </x:c>
      <x:c r="V152" t="n">
        <x:f>MAX(I152:T152)</x:f>
        <x:v>38</x:v>
      </x:c>
      <x:c r="W152" t="n">
        <x:f>H152-V152</x:f>
        <x:v>413</x:v>
      </x:c>
      <x:c r="X152" s="52" t="n">
        <x:f>IF(D152=0,"",(W152)/D152)</x:f>
        <x:v>0.8050682261208577</x:v>
      </x:c>
      <x:c r="Y152" t="str">
        <x:v>SATVEER</x:v>
      </x:c>
      <x:c r="Z152" t="n">
        <x:f>D152-E152-F152</x:f>
        <x:v>0</x:v>
      </x:c>
    </x:row>
    <x:row r="153">
      <x:c r="A153" t="n">
        <x:v>145</x:v>
      </x:c>
      <x:c r="B153" t="str">
        <x:v>PRY. PATH. ACHCHHEJA BUJURG R.NO. 2</x:v>
      </x:c>
      <x:c r="C153" t="n">
        <x:v>697</x:v>
      </x:c>
      <x:c r="D153" t="n">
        <x:v>537</x:v>
      </x:c>
      <x:c r="E153" t="n">
        <x:f>SUM(H153:T153)</x:f>
        <x:v>535</x:v>
      </x:c>
      <x:c r="F153" t="n">
        <x:v>2</x:v>
      </x:c>
      <x:c r="G153" s="50" t="n">
        <x:f>IF(C153="","",IFERROR(D153/C153,0))</x:f>
        <x:v>0.7704447632711621</x:v>
      </x:c>
      <x:c r="H153" s="36" t="n">
        <x:v>423</x:v>
      </x:c>
      <x:c r="I153" t="n">
        <x:v>94</x:v>
      </x:c>
      <x:c r="J153" t="n">
        <x:v>9</x:v>
      </x:c>
      <x:c r="K153" t="n">
        <x:v>2</x:v>
      </x:c>
      <x:c r="L153" t="n">
        <x:v>1</x:v>
      </x:c>
      <x:c r="M153" t="n">
        <x:v>2</x:v>
      </x:c>
      <x:c r="N153" t="n">
        <x:v>1</x:v>
      </x:c>
      <x:c r="O153" t="n">
        <x:v>1</x:v>
      </x:c>
      <x:c r="P153" t="n">
        <x:v>1</x:v>
      </x:c>
      <x:c r="Q153" t="n">
        <x:v>0</x:v>
      </x:c>
      <x:c r="R153" t="n">
        <x:v>1</x:v>
      </x:c>
      <x:c r="S153" t="n">
        <x:v>0</x:v>
      </x:c>
      <x:c r="T153" t="n">
        <x:v>0</x:v>
      </x:c>
      <x:c r="U153" s="50" t="n">
        <x:f>IF(D153=0,"",H153/D153)</x:f>
        <x:v>0.7877094972067039</x:v>
      </x:c>
      <x:c r="V153" t="n">
        <x:f>MAX(I153:T153)</x:f>
        <x:v>94</x:v>
      </x:c>
      <x:c r="W153" t="n">
        <x:f>H153-V153</x:f>
        <x:v>329</x:v>
      </x:c>
      <x:c r="X153" s="52" t="n">
        <x:f>IF(D153=0,"",(W153)/D153)</x:f>
        <x:v>0.6126629422718808</x:v>
      </x:c>
      <x:c r="Y153" t="str">
        <x:v>SATVEER</x:v>
      </x:c>
      <x:c r="Z153" t="n">
        <x:f>D153-E153-F153</x:f>
        <x:v>0</x:v>
      </x:c>
    </x:row>
    <x:row r="154">
      <x:c r="A154" t="n">
        <x:v>146</x:v>
      </x:c>
      <x:c r="B154" t="str">
        <x:v>PRY. SCHOOL DUNGARPUR REELKA R.NO. 1</x:v>
      </x:c>
      <x:c r="C154" t="n">
        <x:v>855</x:v>
      </x:c>
      <x:c r="D154" t="n">
        <x:v>663</x:v>
      </x:c>
      <x:c r="E154" t="n">
        <x:f>SUM(H154:T154)</x:f>
        <x:v>662</x:v>
      </x:c>
      <x:c r="F154" t="n">
        <x:v>1</x:v>
      </x:c>
      <x:c r="G154" s="50" t="n">
        <x:f>IF(C154="","",IFERROR(D154/C154,0))</x:f>
        <x:v>0.775438596491228</x:v>
      </x:c>
      <x:c r="H154" s="36" t="n">
        <x:v>469</x:v>
      </x:c>
      <x:c r="I154" t="n">
        <x:v>185</x:v>
      </x:c>
      <x:c r="J154" t="n">
        <x:v>1</x:v>
      </x:c>
      <x:c r="K154" t="n">
        <x:v>0</x:v>
      </x:c>
      <x:c r="L154" t="n">
        <x:v>1</x:v>
      </x:c>
      <x:c r="M154" t="n">
        <x:v>2</x:v>
      </x:c>
      <x:c r="N154" t="n">
        <x:v>0</x:v>
      </x:c>
      <x:c r="O154" t="n">
        <x:v>1</x:v>
      </x:c>
      <x:c r="P154" t="n">
        <x:v>2</x:v>
      </x:c>
      <x:c r="Q154" t="n">
        <x:v>1</x:v>
      </x:c>
      <x:c r="R154" t="n">
        <x:v>0</x:v>
      </x:c>
      <x:c r="S154" t="n">
        <x:v>0</x:v>
      </x:c>
      <x:c r="T154" t="n">
        <x:v>0</x:v>
      </x:c>
      <x:c r="U154" s="50" t="n">
        <x:f>IF(D154=0,"",H154/D154)</x:f>
        <x:v>0.7073906485671192</x:v>
      </x:c>
      <x:c r="V154" t="n">
        <x:f>MAX(I154:T154)</x:f>
        <x:v>185</x:v>
      </x:c>
      <x:c r="W154" t="n">
        <x:f>H154-V154</x:f>
        <x:v>284</x:v>
      </x:c>
      <x:c r="X154" s="52" t="n">
        <x:f>IF(D154=0,"",(W154)/D154)</x:f>
        <x:v>0.42835595776772245</x:v>
      </x:c>
      <x:c r="Y154" t="str">
        <x:v>SATVEER</x:v>
      </x:c>
      <x:c r="Z154" t="n">
        <x:f>D154-E154-F154</x:f>
        <x:v>0</x:v>
      </x:c>
    </x:row>
    <x:row r="155">
      <x:c r="A155" t="n">
        <x:v>147</x:v>
      </x:c>
      <x:c r="B155" t="str">
        <x:v>PRY. SCHOOL DUNGARPUR REELKA R.NO. 2</x:v>
      </x:c>
      <x:c r="C155" t="n">
        <x:v>902</x:v>
      </x:c>
      <x:c r="D155" t="n">
        <x:v>698</x:v>
      </x:c>
      <x:c r="E155" t="n">
        <x:f>SUM(H155:T155)</x:f>
        <x:v>695</x:v>
      </x:c>
      <x:c r="F155" t="n">
        <x:v>3</x:v>
      </x:c>
      <x:c r="G155" s="50" t="n">
        <x:f>IF(C155="","",IFERROR(D155/C155,0))</x:f>
        <x:v>0.7738359201773836</x:v>
      </x:c>
      <x:c r="H155" s="36" t="n">
        <x:v>547</x:v>
      </x:c>
      <x:c r="I155" t="n">
        <x:v>127</x:v>
      </x:c>
      <x:c r="J155" t="n">
        <x:v>5</x:v>
      </x:c>
      <x:c r="K155" t="n">
        <x:v>7</x:v>
      </x:c>
      <x:c r="L155" t="n">
        <x:v>0</x:v>
      </x:c>
      <x:c r="M155" t="n">
        <x:v>4</x:v>
      </x:c>
      <x:c r="N155" t="n">
        <x:v>0</x:v>
      </x:c>
      <x:c r="O155" t="n">
        <x:v>0</x:v>
      </x:c>
      <x:c r="P155" t="n">
        <x:v>2</x:v>
      </x:c>
      <x:c r="Q155" t="n">
        <x:v>1</x:v>
      </x:c>
      <x:c r="R155" t="n">
        <x:v>2</x:v>
      </x:c>
      <x:c r="S155" t="n">
        <x:v>0</x:v>
      </x:c>
      <x:c r="T155" t="n">
        <x:v>0</x:v>
      </x:c>
      <x:c r="U155" s="50" t="n">
        <x:f>IF(D155=0,"",H155/D155)</x:f>
        <x:v>0.7836676217765043</x:v>
      </x:c>
      <x:c r="V155" t="n">
        <x:f>MAX(I155:T155)</x:f>
        <x:v>127</x:v>
      </x:c>
      <x:c r="W155" t="n">
        <x:f>H155-V155</x:f>
        <x:v>420</x:v>
      </x:c>
      <x:c r="X155" s="52" t="n">
        <x:f>IF(D155=0,"",(W155)/D155)</x:f>
        <x:v>0.6017191977077364</x:v>
      </x:c>
      <x:c r="Y155" t="str">
        <x:v>SATVEER</x:v>
      </x:c>
      <x:c r="Z155" t="n">
        <x:f>D155-E155-F155</x:f>
        <x:v>0</x:v>
      </x:c>
    </x:row>
    <x:row r="156">
      <x:c r="A156" t="n">
        <x:v>148</x:v>
      </x:c>
      <x:c r="B156" t="str">
        <x:v>PRY. SCHOOL MOHAMMADPUR GUJAR R.NO. 1</x:v>
      </x:c>
      <x:c r="C156" t="n">
        <x:v>911</x:v>
      </x:c>
      <x:c r="D156" t="n">
        <x:v>589</x:v>
      </x:c>
      <x:c r="E156" t="n">
        <x:f>SUM(H156:T156)</x:f>
        <x:v>587</x:v>
      </x:c>
      <x:c r="F156" t="n">
        <x:v>2</x:v>
      </x:c>
      <x:c r="G156" s="50" t="n">
        <x:f>IF(C156="","",IFERROR(D156/C156,0))</x:f>
        <x:v>0.6465422612513722</x:v>
      </x:c>
      <x:c r="H156" s="36" t="n">
        <x:v>413</x:v>
      </x:c>
      <x:c r="I156" t="n">
        <x:v>136</x:v>
      </x:c>
      <x:c r="J156" t="n">
        <x:v>16</x:v>
      </x:c>
      <x:c r="K156" t="n">
        <x:v>1</x:v>
      </x:c>
      <x:c r="L156" t="n">
        <x:v>5</x:v>
      </x:c>
      <x:c r="M156" t="n">
        <x:v>3</x:v>
      </x:c>
      <x:c r="N156" t="n">
        <x:v>1</x:v>
      </x:c>
      <x:c r="O156" t="n">
        <x:v>0</x:v>
      </x:c>
      <x:c r="P156" t="n">
        <x:v>10</x:v>
      </x:c>
      <x:c r="Q156" t="n">
        <x:v>0</x:v>
      </x:c>
      <x:c r="R156" t="n">
        <x:v>2</x:v>
      </x:c>
      <x:c r="S156" t="n">
        <x:v>0</x:v>
      </x:c>
      <x:c r="T156" t="n">
        <x:v>0</x:v>
      </x:c>
      <x:c r="U156" s="50" t="n">
        <x:f>IF(D156=0,"",H156/D156)</x:f>
        <x:v>0.7011884550084889</x:v>
      </x:c>
      <x:c r="V156" t="n">
        <x:f>MAX(I156:T156)</x:f>
        <x:v>136</x:v>
      </x:c>
      <x:c r="W156" t="n">
        <x:f>H156-V156</x:f>
        <x:v>277</x:v>
      </x:c>
      <x:c r="X156" s="52" t="n">
        <x:f>IF(D156=0,"",(W156)/D156)</x:f>
        <x:v>0.4702886247877759</x:v>
      </x:c>
      <x:c r="Y156" t="str">
        <x:v>SATVEER</x:v>
      </x:c>
      <x:c r="Z156" t="n">
        <x:f>D156-E156-F156</x:f>
        <x:v>0</x:v>
      </x:c>
    </x:row>
    <x:row r="157">
      <x:c r="A157" t="n">
        <x:v>149</x:v>
      </x:c>
      <x:c r="B157" t="str">
        <x:v>BIHARI LAL I. C. DANKAUR R.NO. 1</x:v>
      </x:c>
      <x:c r="C157" t="n">
        <x:v>608</x:v>
      </x:c>
      <x:c r="D157" t="n">
        <x:v>373</x:v>
      </x:c>
      <x:c r="E157" t="n">
        <x:f>SUM(H157:T157)</x:f>
        <x:v>370</x:v>
      </x:c>
      <x:c r="F157" t="n">
        <x:v>3</x:v>
      </x:c>
      <x:c r="G157" s="50" t="n">
        <x:f>IF(C157="","",IFERROR(D157/C157,0))</x:f>
        <x:v>0.6134868421052632</x:v>
      </x:c>
      <x:c r="H157" s="36" t="n">
        <x:v>125</x:v>
      </x:c>
      <x:c r="I157" t="n">
        <x:v>230</x:v>
      </x:c>
      <x:c r="J157" t="n">
        <x:v>7</x:v>
      </x:c>
      <x:c r="K157" t="n">
        <x:v>0</x:v>
      </x:c>
      <x:c r="L157" t="n">
        <x:v>1</x:v>
      </x:c>
      <x:c r="M157" t="n">
        <x:v>2</x:v>
      </x:c>
      <x:c r="N157" t="n">
        <x:v>1</x:v>
      </x:c>
      <x:c r="O157" t="n">
        <x:v>1</x:v>
      </x:c>
      <x:c r="P157" t="n">
        <x:v>1</x:v>
      </x:c>
      <x:c r="Q157" t="n">
        <x:v>0</x:v>
      </x:c>
      <x:c r="R157" t="n">
        <x:v>2</x:v>
      </x:c>
      <x:c r="S157" t="n">
        <x:v>0</x:v>
      </x:c>
      <x:c r="T157" t="n">
        <x:v>0</x:v>
      </x:c>
      <x:c r="U157" s="50" t="n">
        <x:f>IF(D157=0,"",H157/D157)</x:f>
        <x:v>0.3351206434316354</x:v>
      </x:c>
      <x:c r="V157" t="n">
        <x:f>MAX(I157:T157)</x:f>
        <x:v>230</x:v>
      </x:c>
      <x:c r="W157" t="n">
        <x:f>H157-V157</x:f>
        <x:v>-105</x:v>
      </x:c>
      <x:c r="X157" s="52" t="n">
        <x:f>IF(D157=0,"",(W157)/D157)</x:f>
        <x:v>-0.28150134048257375</x:v>
      </x:c>
      <x:c r="Y157" t="str">
        <x:v>DR. MAHESH SHARMA</x:v>
      </x:c>
      <x:c r="Z157" t="n">
        <x:f>D157-E157-F157</x:f>
        <x:v>0</x:v>
      </x:c>
    </x:row>
    <x:row r="158">
      <x:c r="A158" t="n">
        <x:v>150</x:v>
      </x:c>
      <x:c r="B158" t="str">
        <x:v>BIHARI LAL I. C. DANKAUR R.NO. 2</x:v>
      </x:c>
      <x:c r="C158" t="n">
        <x:v>873</x:v>
      </x:c>
      <x:c r="D158" t="n">
        <x:v>505</x:v>
      </x:c>
      <x:c r="E158" t="n">
        <x:f>SUM(H158:T158)</x:f>
        <x:v>499</x:v>
      </x:c>
      <x:c r="F158" t="n">
        <x:v>6</x:v>
      </x:c>
      <x:c r="G158" s="50" t="n">
        <x:f>IF(C158="","",IFERROR(D158/C158,0))</x:f>
        <x:v>0.5784650630011455</x:v>
      </x:c>
      <x:c r="H158" s="36" t="n">
        <x:v>146</x:v>
      </x:c>
      <x:c r="I158" t="n">
        <x:v>324</x:v>
      </x:c>
      <x:c r="J158" t="n">
        <x:v>21</x:v>
      </x:c>
      <x:c r="K158" t="n">
        <x:v>2</x:v>
      </x:c>
      <x:c r="L158" t="n">
        <x:v>3</x:v>
      </x:c>
      <x:c r="M158" t="n">
        <x:v>0</x:v>
      </x:c>
      <x:c r="N158" t="n">
        <x:v>1</x:v>
      </x:c>
      <x:c r="O158" t="n">
        <x:v>0</x:v>
      </x:c>
      <x:c r="P158" t="n">
        <x:v>2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s="50" t="n">
        <x:f>IF(D158=0,"",H158/D158)</x:f>
        <x:v>0.2891089108910891</x:v>
      </x:c>
      <x:c r="V158" t="n">
        <x:f>MAX(I158:T158)</x:f>
        <x:v>324</x:v>
      </x:c>
      <x:c r="W158" t="n">
        <x:f>H158-V158</x:f>
        <x:v>-178</x:v>
      </x:c>
      <x:c r="X158" s="52" t="n">
        <x:f>IF(D158=0,"",(W158)/D158)</x:f>
        <x:v>-0.35247524752475246</x:v>
      </x:c>
      <x:c r="Y158" t="str">
        <x:v>DR. MAHESH SHARMA</x:v>
      </x:c>
      <x:c r="Z158" t="n">
        <x:f>D158-E158-F158</x:f>
        <x:v>0</x:v>
      </x:c>
    </x:row>
    <x:row r="159">
      <x:c r="A159" t="n">
        <x:v>151</x:v>
      </x:c>
      <x:c r="B159" t="str">
        <x:v>BIHARI LAL I. C. DANKAUR R.NO. 3</x:v>
      </x:c>
      <x:c r="C159" t="n">
        <x:v>1069</x:v>
      </x:c>
      <x:c r="D159" t="n">
        <x:v>610</x:v>
      </x:c>
      <x:c r="E159" t="n">
        <x:f>SUM(H159:T159)</x:f>
        <x:v>608</x:v>
      </x:c>
      <x:c r="F159" t="n">
        <x:v>2</x:v>
      </x:c>
      <x:c r="G159" s="50" t="n">
        <x:f>IF(C159="","",IFERROR(D159/C159,0))</x:f>
        <x:v>0.5706267539756782</x:v>
      </x:c>
      <x:c r="H159" s="36" t="n">
        <x:v>278</x:v>
      </x:c>
      <x:c r="I159" t="n">
        <x:v>301</x:v>
      </x:c>
      <x:c r="J159" t="n">
        <x:v>18</x:v>
      </x:c>
      <x:c r="K159" t="n">
        <x:v>3</x:v>
      </x:c>
      <x:c r="L159" t="n">
        <x:v>2</x:v>
      </x:c>
      <x:c r="M159" t="n">
        <x:v>1</x:v>
      </x:c>
      <x:c r="N159" t="n">
        <x:v>0</x:v>
      </x:c>
      <x:c r="O159" t="n">
        <x:v>2</x:v>
      </x:c>
      <x:c r="P159" t="n">
        <x:v>1</x:v>
      </x:c>
      <x:c r="Q159" t="n">
        <x:v>1</x:v>
      </x:c>
      <x:c r="R159" t="n">
        <x:v>0</x:v>
      </x:c>
      <x:c r="S159" t="n">
        <x:v>1</x:v>
      </x:c>
      <x:c r="T159" t="n">
        <x:v>0</x:v>
      </x:c>
      <x:c r="U159" s="50" t="n">
        <x:f>IF(D159=0,"",H159/D159)</x:f>
        <x:v>0.4557377049180328</x:v>
      </x:c>
      <x:c r="V159" t="n">
        <x:f>MAX(I159:T159)</x:f>
        <x:v>301</x:v>
      </x:c>
      <x:c r="W159" t="n">
        <x:f>H159-V159</x:f>
        <x:v>-23</x:v>
      </x:c>
      <x:c r="X159" s="52" t="n">
        <x:f>IF(D159=0,"",(W159)/D159)</x:f>
        <x:v>-0.03770491803278689</x:v>
      </x:c>
      <x:c r="Y159" t="str">
        <x:v>DR. MAHESH SHARMA</x:v>
      </x:c>
      <x:c r="Z159" t="n">
        <x:f>D159-E159-F159</x:f>
        <x:v>0</x:v>
      </x:c>
    </x:row>
    <x:row r="160">
      <x:c r="A160" t="n">
        <x:v>152</x:v>
      </x:c>
      <x:c r="B160" t="str">
        <x:v>BIHARI LAL I. C. DANKAUR R.NO. 4</x:v>
      </x:c>
      <x:c r="C160" t="n">
        <x:v>1003</x:v>
      </x:c>
      <x:c r="D160" t="n">
        <x:v>567</x:v>
      </x:c>
      <x:c r="E160" t="n">
        <x:f>SUM(H160:T160)</x:f>
        <x:v>565</x:v>
      </x:c>
      <x:c r="F160" t="n">
        <x:v>2</x:v>
      </x:c>
      <x:c r="G160" s="50" t="n">
        <x:f>IF(C160="","",IFERROR(D160/C160,0))</x:f>
        <x:v>0.5653040877367896</x:v>
      </x:c>
      <x:c r="H160" s="36" t="n">
        <x:v>261</x:v>
      </x:c>
      <x:c r="I160" t="n">
        <x:v>289</x:v>
      </x:c>
      <x:c r="J160" t="n">
        <x:v>12</x:v>
      </x:c>
      <x:c r="K160" t="n">
        <x:v>0</x:v>
      </x:c>
      <x:c r="L160" t="n">
        <x:v>0</x:v>
      </x:c>
      <x:c r="M160" t="n">
        <x:v>1</x:v>
      </x:c>
      <x:c r="N160" t="n">
        <x:v>0</x:v>
      </x:c>
      <x:c r="O160" t="n">
        <x:v>1</x:v>
      </x:c>
      <x:c r="P160" t="n">
        <x:v>0</x:v>
      </x:c>
      <x:c r="Q160" t="n">
        <x:v>0</x:v>
      </x:c>
      <x:c r="R160" t="n">
        <x:v>0</x:v>
      </x:c>
      <x:c r="S160" t="n">
        <x:v>1</x:v>
      </x:c>
      <x:c r="T160" t="n">
        <x:v>0</x:v>
      </x:c>
      <x:c r="U160" s="50" t="n">
        <x:f>IF(D160=0,"",H160/D160)</x:f>
        <x:v>0.4603174603174603</x:v>
      </x:c>
      <x:c r="V160" t="n">
        <x:f>MAX(I160:T160)</x:f>
        <x:v>289</x:v>
      </x:c>
      <x:c r="W160" t="n">
        <x:f>H160-V160</x:f>
        <x:v>-28</x:v>
      </x:c>
      <x:c r="X160" s="52" t="n">
        <x:f>IF(D160=0,"",(W160)/D160)</x:f>
        <x:v>-0.04938271604938271</x:v>
      </x:c>
      <x:c r="Y160" t="str">
        <x:v>DR. MAHESH SHARMA</x:v>
      </x:c>
      <x:c r="Z160" t="n">
        <x:f>D160-E160-F160</x:f>
        <x:v>0</x:v>
      </x:c>
    </x:row>
    <x:row r="161">
      <x:c r="A161" t="n">
        <x:v>153</x:v>
      </x:c>
      <x:c r="B161" t="str">
        <x:v>BIHARI LAL I. C. DANKAUR R.NO. 5</x:v>
      </x:c>
      <x:c r="C161" t="n">
        <x:v>946</x:v>
      </x:c>
      <x:c r="D161" t="n">
        <x:v>536</x:v>
      </x:c>
      <x:c r="E161" t="n">
        <x:f>SUM(H161:T161)</x:f>
        <x:v>534</x:v>
      </x:c>
      <x:c r="F161" t="n">
        <x:v>2</x:v>
      </x:c>
      <x:c r="G161" s="50" t="n">
        <x:f>IF(C161="","",IFERROR(D161/C161,0))</x:f>
        <x:v>0.5665961945031712</x:v>
      </x:c>
      <x:c r="H161" s="36" t="n">
        <x:v>313</x:v>
      </x:c>
      <x:c r="I161" t="n">
        <x:v>213</x:v>
      </x:c>
      <x:c r="J161" t="n">
        <x:v>3</x:v>
      </x:c>
      <x:c r="K161" t="n">
        <x:v>1</x:v>
      </x:c>
      <x:c r="L161" t="n">
        <x:v>1</x:v>
      </x:c>
      <x:c r="M161" t="n">
        <x:v>0</x:v>
      </x:c>
      <x:c r="N161" t="n">
        <x:v>1</x:v>
      </x:c>
      <x:c r="O161" t="n">
        <x:v>0</x:v>
      </x:c>
      <x:c r="P161" t="n">
        <x:v>1</x:v>
      </x:c>
      <x:c r="Q161" t="n">
        <x:v>1</x:v>
      </x:c>
      <x:c r="R161" t="n">
        <x:v>0</x:v>
      </x:c>
      <x:c r="S161" t="n">
        <x:v>0</x:v>
      </x:c>
      <x:c r="T161" t="n">
        <x:v>0</x:v>
      </x:c>
      <x:c r="U161" s="50" t="n">
        <x:f>IF(D161=0,"",H161/D161)</x:f>
        <x:v>0.5839552238805971</x:v>
      </x:c>
      <x:c r="V161" t="n">
        <x:f>MAX(I161:T161)</x:f>
        <x:v>213</x:v>
      </x:c>
      <x:c r="W161" t="n">
        <x:f>H161-V161</x:f>
        <x:v>100</x:v>
      </x:c>
      <x:c r="X161" s="52" t="n">
        <x:f>IF(D161=0,"",(W161)/D161)</x:f>
        <x:v>0.1865671641791045</x:v>
      </x:c>
      <x:c r="Y161" t="str">
        <x:v>SATVEER</x:v>
      </x:c>
      <x:c r="Z161" t="n">
        <x:f>D161-E161-F161</x:f>
        <x:v>0</x:v>
      </x:c>
    </x:row>
    <x:row r="162">
      <x:c r="A162" t="n">
        <x:v>154</x:v>
      </x:c>
      <x:c r="B162" t="str">
        <x:v>BIHARI LAL I. C. DANKAUR R.NO. 6</x:v>
      </x:c>
      <x:c r="C162" t="n">
        <x:v>889</x:v>
      </x:c>
      <x:c r="D162" t="n">
        <x:v>549</x:v>
      </x:c>
      <x:c r="E162" t="n">
        <x:f>SUM(H162:T162)</x:f>
        <x:v>548</x:v>
      </x:c>
      <x:c r="F162" t="n">
        <x:v>1</x:v>
      </x:c>
      <x:c r="G162" s="50" t="n">
        <x:f>IF(C162="","",IFERROR(D162/C162,0))</x:f>
        <x:v>0.6175478065241845</x:v>
      </x:c>
      <x:c r="H162" s="36" t="n">
        <x:v>147</x:v>
      </x:c>
      <x:c r="I162" t="n">
        <x:v>386</x:v>
      </x:c>
      <x:c r="J162" t="n">
        <x:v>11</x:v>
      </x:c>
      <x:c r="K162" t="n">
        <x:v>0</x:v>
      </x:c>
      <x:c r="L162" t="n">
        <x:v>1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1</x:v>
      </x:c>
      <x:c r="R162" t="n">
        <x:v>1</x:v>
      </x:c>
      <x:c r="S162" t="n">
        <x:v>0</x:v>
      </x:c>
      <x:c r="T162" t="n">
        <x:v>1</x:v>
      </x:c>
      <x:c r="U162" s="50" t="n">
        <x:f>IF(D162=0,"",H162/D162)</x:f>
        <x:v>0.2677595628415301</x:v>
      </x:c>
      <x:c r="V162" t="n">
        <x:f>MAX(I162:T162)</x:f>
        <x:v>386</x:v>
      </x:c>
      <x:c r="W162" t="n">
        <x:f>H162-V162</x:f>
        <x:v>-239</x:v>
      </x:c>
      <x:c r="X162" s="52" t="n">
        <x:f>IF(D162=0,"",(W162)/D162)</x:f>
        <x:v>-0.4353369763205829</x:v>
      </x:c>
      <x:c r="Y162" t="str">
        <x:v>DR. MAHESH SHARMA</x:v>
      </x:c>
      <x:c r="Z162" t="n">
        <x:f>D162-E162-F162</x:f>
        <x:v>0</x:v>
      </x:c>
    </x:row>
    <x:row r="163">
      <x:c r="A163" t="n">
        <x:v>155</x:v>
      </x:c>
      <x:c r="B163" t="str">
        <x:v>BIHARI LAL I. C. DANKAUR R.NO. 7</x:v>
      </x:c>
      <x:c r="C163" t="n">
        <x:v>1117</x:v>
      </x:c>
      <x:c r="D163" t="n">
        <x:v>763</x:v>
      </x:c>
      <x:c r="E163" t="n">
        <x:f>SUM(H163:T163)</x:f>
        <x:v>760</x:v>
      </x:c>
      <x:c r="F163" t="n">
        <x:v>3</x:v>
      </x:c>
      <x:c r="G163" s="50" t="n">
        <x:f>IF(C163="","",IFERROR(D163/C163,0))</x:f>
        <x:v>0.6830796777081468</x:v>
      </x:c>
      <x:c r="H163" s="36" t="n">
        <x:v>514</x:v>
      </x:c>
      <x:c r="I163" t="n">
        <x:v>230</x:v>
      </x:c>
      <x:c r="J163" t="n">
        <x:v>7</x:v>
      </x:c>
      <x:c r="K163" t="n">
        <x:v>1</x:v>
      </x:c>
      <x:c r="L163" t="n">
        <x:v>2</x:v>
      </x:c>
      <x:c r="M163" t="n">
        <x:v>0</x:v>
      </x:c>
      <x:c r="N163" t="n">
        <x:v>0</x:v>
      </x:c>
      <x:c r="O163" t="n">
        <x:v>0</x:v>
      </x:c>
      <x:c r="P163" t="n">
        <x:v>2</x:v>
      </x:c>
      <x:c r="Q163" t="n">
        <x:v>3</x:v>
      </x:c>
      <x:c r="R163" t="n">
        <x:v>0</x:v>
      </x:c>
      <x:c r="S163" t="n">
        <x:v>0</x:v>
      </x:c>
      <x:c r="T163" t="n">
        <x:v>1</x:v>
      </x:c>
      <x:c r="U163" s="50" t="n">
        <x:f>IF(D163=0,"",H163/D163)</x:f>
        <x:v>0.6736566186107471</x:v>
      </x:c>
      <x:c r="V163" t="n">
        <x:f>MAX(I163:T163)</x:f>
        <x:v>230</x:v>
      </x:c>
      <x:c r="W163" t="n">
        <x:f>H163-V163</x:f>
        <x:v>284</x:v>
      </x:c>
      <x:c r="X163" s="52" t="n">
        <x:f>IF(D163=0,"",(W163)/D163)</x:f>
        <x:v>0.3722149410222805</x:v>
      </x:c>
      <x:c r="Y163" t="str">
        <x:v>SATVEER</x:v>
      </x:c>
      <x:c r="Z163" t="n">
        <x:f>D163-E163-F163</x:f>
        <x:v>0</x:v>
      </x:c>
    </x:row>
    <x:row r="164">
      <x:c r="A164" t="n">
        <x:v>156</x:v>
      </x:c>
      <x:c r="B164" t="str">
        <x:v>BIHARI LAL I. C. DANKAUR R.NO. 8</x:v>
      </x:c>
      <x:c r="C164" t="n">
        <x:v>959</x:v>
      </x:c>
      <x:c r="D164" t="n">
        <x:v>613</x:v>
      </x:c>
      <x:c r="E164" t="n">
        <x:f>SUM(H164:T164)</x:f>
        <x:v>610</x:v>
      </x:c>
      <x:c r="F164" t="n">
        <x:v>3</x:v>
      </x:c>
      <x:c r="G164" s="50" t="n">
        <x:f>IF(C164="","",IFERROR(D164/C164,0))</x:f>
        <x:v>0.6392075078206465</x:v>
      </x:c>
      <x:c r="H164" s="36" t="n">
        <x:v>347</x:v>
      </x:c>
      <x:c r="I164" t="n">
        <x:v>246</x:v>
      </x:c>
      <x:c r="J164" t="n">
        <x:v>11</x:v>
      </x:c>
      <x:c r="K164" t="n">
        <x:v>1</x:v>
      </x:c>
      <x:c r="L164" t="n">
        <x:v>1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n">
        <x:v>1</x:v>
      </x:c>
      <x:c r="R164" t="n">
        <x:v>2</x:v>
      </x:c>
      <x:c r="S164" t="n">
        <x:v>0</x:v>
      </x:c>
      <x:c r="T164" t="n">
        <x:v>0</x:v>
      </x:c>
      <x:c r="U164" s="50" t="n">
        <x:f>IF(D164=0,"",H164/D164)</x:f>
        <x:v>0.566068515497553</x:v>
      </x:c>
      <x:c r="V164" t="n">
        <x:f>MAX(I164:T164)</x:f>
        <x:v>246</x:v>
      </x:c>
      <x:c r="W164" t="n">
        <x:f>H164-V164</x:f>
        <x:v>101</x:v>
      </x:c>
      <x:c r="X164" s="52" t="n">
        <x:f>IF(D164=0,"",(W164)/D164)</x:f>
        <x:v>0.16476345840130505</x:v>
      </x:c>
      <x:c r="Y164" t="str">
        <x:v>SATVEER</x:v>
      </x:c>
      <x:c r="Z164" t="n">
        <x:f>D164-E164-F164</x:f>
        <x:v>0</x:v>
      </x:c>
    </x:row>
    <x:row r="165">
      <x:c r="A165" t="n">
        <x:v>157</x:v>
      </x:c>
      <x:c r="B165" t="str">
        <x:v>PURVA M.V. T.A. DANKAUR R.NO. 1</x:v>
      </x:c>
      <x:c r="C165" t="n">
        <x:v>777</x:v>
      </x:c>
      <x:c r="D165" t="n">
        <x:v>535</x:v>
      </x:c>
      <x:c r="E165" t="n">
        <x:f>SUM(H165:T165)</x:f>
        <x:v>534</x:v>
      </x:c>
      <x:c r="F165" t="n">
        <x:v>1</x:v>
      </x:c>
      <x:c r="G165" s="50" t="n">
        <x:f>IF(C165="","",IFERROR(D165/C165,0))</x:f>
        <x:v>0.6885456885456885</x:v>
      </x:c>
      <x:c r="H165" s="36" t="n">
        <x:v>439</x:v>
      </x:c>
      <x:c r="I165" t="n">
        <x:v>87</x:v>
      </x:c>
      <x:c r="J165" t="n">
        <x:v>2</x:v>
      </x:c>
      <x:c r="K165" t="n">
        <x:v>0</x:v>
      </x:c>
      <x:c r="L165" t="n">
        <x:v>0</x:v>
      </x:c>
      <x:c r="M165" t="n">
        <x:v>4</x:v>
      </x:c>
      <x:c r="N165" t="n">
        <x:v>0</x:v>
      </x:c>
      <x:c r="O165" t="n">
        <x:v>0</x:v>
      </x:c>
      <x:c r="P165" t="n">
        <x:v>0</x:v>
      </x:c>
      <x:c r="Q165" t="n">
        <x:v>2</x:v>
      </x:c>
      <x:c r="R165" t="n">
        <x:v>0</x:v>
      </x:c>
      <x:c r="S165" t="n">
        <x:v>0</x:v>
      </x:c>
      <x:c r="T165" t="n">
        <x:v>0</x:v>
      </x:c>
      <x:c r="U165" s="50" t="n">
        <x:f>IF(D165=0,"",H165/D165)</x:f>
        <x:v>0.8205607476635514</x:v>
      </x:c>
      <x:c r="V165" t="n">
        <x:f>MAX(I165:T165)</x:f>
        <x:v>87</x:v>
      </x:c>
      <x:c r="W165" t="n">
        <x:f>H165-V165</x:f>
        <x:v>352</x:v>
      </x:c>
      <x:c r="X165" s="52" t="n">
        <x:f>IF(D165=0,"",(W165)/D165)</x:f>
        <x:v>0.6579439252336449</x:v>
      </x:c>
      <x:c r="Y165" t="str">
        <x:v>SATVEER</x:v>
      </x:c>
      <x:c r="Z165" t="n">
        <x:f>D165-E165-F165</x:f>
        <x:v>0</x:v>
      </x:c>
    </x:row>
    <x:row r="166">
      <x:c r="A166" t="n">
        <x:v>158</x:v>
      </x:c>
      <x:c r="B166" t="str">
        <x:v>PURVA M.V. T.A. DANKAUR R.NO. 2</x:v>
      </x:c>
      <x:c r="C166" t="n">
        <x:v>439</x:v>
      </x:c>
      <x:c r="D166" t="n">
        <x:v>277</x:v>
      </x:c>
      <x:c r="E166" t="n">
        <x:f>SUM(H166:T166)</x:f>
        <x:v>276</x:v>
      </x:c>
      <x:c r="F166" t="n">
        <x:v>1</x:v>
      </x:c>
      <x:c r="G166" s="50" t="n">
        <x:f>IF(C166="","",IFERROR(D166/C166,0))</x:f>
        <x:v>0.6309794988610479</x:v>
      </x:c>
      <x:c r="H166" s="36" t="n">
        <x:v>99</x:v>
      </x:c>
      <x:c r="I166" t="n">
        <x:v>166</x:v>
      </x:c>
      <x:c r="J166" t="n">
        <x:v>7</x:v>
      </x:c>
      <x:c r="K166" t="n">
        <x:v>0</x:v>
      </x:c>
      <x:c r="L166" t="n">
        <x:v>1</x:v>
      </x:c>
      <x:c r="M166" t="n">
        <x:v>1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2</x:v>
      </x:c>
      <x:c r="S166" t="n">
        <x:v>0</x:v>
      </x:c>
      <x:c r="T166" t="n">
        <x:v>0</x:v>
      </x:c>
      <x:c r="U166" s="50" t="n">
        <x:f>IF(D166=0,"",H166/D166)</x:f>
        <x:v>0.3574007220216607</x:v>
      </x:c>
      <x:c r="V166" t="n">
        <x:f>MAX(I166:T166)</x:f>
        <x:v>166</x:v>
      </x:c>
      <x:c r="W166" t="n">
        <x:f>H166-V166</x:f>
        <x:v>-67</x:v>
      </x:c>
      <x:c r="X166" s="52" t="n">
        <x:f>IF(D166=0,"",(W166)/D166)</x:f>
        <x:v>-0.24187725631768953</x:v>
      </x:c>
      <x:c r="Y166" t="str">
        <x:v>DR. MAHESH SHARMA</x:v>
      </x:c>
      <x:c r="Z166" t="n">
        <x:f>D166-E166-F166</x:f>
        <x:v>0</x:v>
      </x:c>
    </x:row>
    <x:row r="167">
      <x:c r="A167" t="n">
        <x:v>159</x:v>
      </x:c>
      <x:c r="B167" t="str">
        <x:v>PURVA M.V. T.A. DANKAUR R.NO. 3</x:v>
      </x:c>
      <x:c r="C167" t="n">
        <x:v>893</x:v>
      </x:c>
      <x:c r="D167" t="n">
        <x:v>560</x:v>
      </x:c>
      <x:c r="E167" t="n">
        <x:f>SUM(H167:T167)</x:f>
        <x:v>560</x:v>
      </x:c>
      <x:c r="F167" t="n">
        <x:v>0</x:v>
      </x:c>
      <x:c r="G167" s="50" t="n">
        <x:f>IF(C167="","",IFERROR(D167/C167,0))</x:f>
        <x:v>0.6270996640537514</x:v>
      </x:c>
      <x:c r="H167" s="36" t="n">
        <x:v>253</x:v>
      </x:c>
      <x:c r="I167" t="n">
        <x:v>292</x:v>
      </x:c>
      <x:c r="J167" t="n">
        <x:v>14</x:v>
      </x:c>
      <x:c r="K167" t="n">
        <x:v>1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s="50" t="n">
        <x:f>IF(D167=0,"",H167/D167)</x:f>
        <x:v>0.4517857142857143</x:v>
      </x:c>
      <x:c r="V167" t="n">
        <x:f>MAX(I167:T167)</x:f>
        <x:v>292</x:v>
      </x:c>
      <x:c r="W167" t="n">
        <x:f>H167-V167</x:f>
        <x:v>-39</x:v>
      </x:c>
      <x:c r="X167" s="52" t="n">
        <x:f>IF(D167=0,"",(W167)/D167)</x:f>
        <x:v>-0.06964285714285715</x:v>
      </x:c>
      <x:c r="Y167" t="str">
        <x:v>DR. MAHESH SHARMA</x:v>
      </x:c>
      <x:c r="Z167" t="n">
        <x:f>D167-E167-F167</x:f>
        <x:v>0</x:v>
      </x:c>
    </x:row>
    <x:row r="168">
      <x:c r="A168" t="n">
        <x:v>160</x:v>
      </x:c>
      <x:c r="B168" t="str">
        <x:v>PURVA M.V. T.A. DANKAUR R.NO. 4</x:v>
      </x:c>
      <x:c r="C168" t="n">
        <x:v>966</x:v>
      </x:c>
      <x:c r="D168" t="n">
        <x:v>689</x:v>
      </x:c>
      <x:c r="E168" t="n">
        <x:f>SUM(H168:T168)</x:f>
        <x:v>681</x:v>
      </x:c>
      <x:c r="F168" t="n">
        <x:v>8</x:v>
      </x:c>
      <x:c r="G168" s="50" t="n">
        <x:f>IF(C168="","",IFERROR(D168/C168,0))</x:f>
        <x:v>0.7132505175983437</x:v>
      </x:c>
      <x:c r="H168" s="36" t="n">
        <x:v>308</x:v>
      </x:c>
      <x:c r="I168" t="n">
        <x:v>355</x:v>
      </x:c>
      <x:c r="J168" t="n">
        <x:v>11</x:v>
      </x:c>
      <x:c r="K168" t="n">
        <x:v>1</x:v>
      </x:c>
      <x:c r="L168" t="n">
        <x:v>1</x:v>
      </x:c>
      <x:c r="M168" t="n">
        <x:v>1</x:v>
      </x:c>
      <x:c r="N168" t="n">
        <x:v>1</x:v>
      </x:c>
      <x:c r="O168" t="n">
        <x:v>1</x:v>
      </x:c>
      <x:c r="P168" t="n">
        <x:v>0</x:v>
      </x:c>
      <x:c r="Q168" t="n">
        <x:v>1</x:v>
      </x:c>
      <x:c r="R168" t="n">
        <x:v>0</x:v>
      </x:c>
      <x:c r="S168" t="n">
        <x:v>1</x:v>
      </x:c>
      <x:c r="T168" t="n">
        <x:v>0</x:v>
      </x:c>
      <x:c r="U168" s="50" t="n">
        <x:f>IF(D168=0,"",H168/D168)</x:f>
        <x:v>0.44702467343976776</x:v>
      </x:c>
      <x:c r="V168" t="n">
        <x:f>MAX(I168:T168)</x:f>
        <x:v>355</x:v>
      </x:c>
      <x:c r="W168" t="n">
        <x:f>H168-V168</x:f>
        <x:v>-47</x:v>
      </x:c>
      <x:c r="X168" s="52" t="n">
        <x:f>IF(D168=0,"",(W168)/D168)</x:f>
        <x:v>-0.06821480406386067</x:v>
      </x:c>
      <x:c r="Y168" t="str">
        <x:v>DR. MAHESH SHARMA</x:v>
      </x:c>
      <x:c r="Z168" t="n">
        <x:f>D168-E168-F168</x:f>
        <x:v>0</x:v>
      </x:c>
    </x:row>
    <x:row r="169">
      <x:c r="A169" t="n">
        <x:v>161</x:v>
      </x:c>
      <x:c r="B169" t="str">
        <x:v>PRY. VIDHYALAYA NO. 1 T.A. DANKAUR R.NO. 1</x:v>
      </x:c>
      <x:c r="C169" t="n">
        <x:v>994</x:v>
      </x:c>
      <x:c r="D169" t="n">
        <x:v>636</x:v>
      </x:c>
      <x:c r="E169" t="n">
        <x:f>SUM(H169:T169)</x:f>
        <x:v>629</x:v>
      </x:c>
      <x:c r="F169" t="n">
        <x:v>7</x:v>
      </x:c>
      <x:c r="G169" s="50" t="n">
        <x:f>IF(C169="","",IFERROR(D169/C169,0))</x:f>
        <x:v>0.6398390342052314</x:v>
      </x:c>
      <x:c r="H169" s="36" t="n">
        <x:v>328</x:v>
      </x:c>
      <x:c r="I169" t="n">
        <x:v>273</x:v>
      </x:c>
      <x:c r="J169" t="n">
        <x:v>17</x:v>
      </x:c>
      <x:c r="K169" t="n">
        <x:v>5</x:v>
      </x:c>
      <x:c r="L169" t="n">
        <x:v>4</x:v>
      </x:c>
      <x:c r="M169" t="n">
        <x:v>0</x:v>
      </x:c>
      <x:c r="N169" t="n">
        <x:v>0</x:v>
      </x:c>
      <x:c r="O169" t="n">
        <x:v>1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1</x:v>
      </x:c>
      <x:c r="U169" s="50" t="n">
        <x:f>IF(D169=0,"",H169/D169)</x:f>
        <x:v>0.5157232704402516</x:v>
      </x:c>
      <x:c r="V169" t="n">
        <x:f>MAX(I169:T169)</x:f>
        <x:v>273</x:v>
      </x:c>
      <x:c r="W169" t="n">
        <x:f>H169-V169</x:f>
        <x:v>55</x:v>
      </x:c>
      <x:c r="X169" s="52" t="n">
        <x:f>IF(D169=0,"",(W169)/D169)</x:f>
        <x:v>0.08647798742138364</x:v>
      </x:c>
      <x:c r="Y169" t="str">
        <x:v>SATVEER</x:v>
      </x:c>
      <x:c r="Z169" t="n">
        <x:f>D169-E169-F169</x:f>
        <x:v>0</x:v>
      </x:c>
    </x:row>
    <x:row r="170">
      <x:c r="A170" t="n">
        <x:v>162</x:v>
      </x:c>
      <x:c r="B170" t="str">
        <x:v>PRY. VIDHYALAYA NO. 1 T.A. DANKAUR R.NO. 2</x:v>
      </x:c>
      <x:c r="C170" t="n">
        <x:v>1107</x:v>
      </x:c>
      <x:c r="D170" t="n">
        <x:v>737</x:v>
      </x:c>
      <x:c r="E170" t="n">
        <x:f>SUM(H170:T170)</x:f>
        <x:v>734</x:v>
      </x:c>
      <x:c r="F170" t="n">
        <x:v>3</x:v>
      </x:c>
      <x:c r="G170" s="50" t="n">
        <x:f>IF(C170="","",IFERROR(D170/C170,0))</x:f>
        <x:v>0.6657633242999097</x:v>
      </x:c>
      <x:c r="H170" s="36" t="n">
        <x:v>135</x:v>
      </x:c>
      <x:c r="I170" t="n">
        <x:v>572</x:v>
      </x:c>
      <x:c r="J170" t="n">
        <x:v>12</x:v>
      </x:c>
      <x:c r="K170" t="n">
        <x:v>2</x:v>
      </x:c>
      <x:c r="L170" t="n">
        <x:v>4</x:v>
      </x:c>
      <x:c r="M170" t="n">
        <x:v>2</x:v>
      </x:c>
      <x:c r="N170" t="n">
        <x:v>2</x:v>
      </x:c>
      <x:c r="O170" t="n">
        <x:v>1</x:v>
      </x:c>
      <x:c r="P170" t="n">
        <x:v>1</x:v>
      </x:c>
      <x:c r="Q170" t="n">
        <x:v>3</x:v>
      </x:c>
      <x:c r="R170" t="n">
        <x:v>0</x:v>
      </x:c>
      <x:c r="S170" t="n">
        <x:v>0</x:v>
      </x:c>
      <x:c r="T170" t="n">
        <x:v>0</x:v>
      </x:c>
      <x:c r="U170" s="50" t="n">
        <x:f>IF(D170=0,"",H170/D170)</x:f>
        <x:v>0.18317503392130258</x:v>
      </x:c>
      <x:c r="V170" t="n">
        <x:f>MAX(I170:T170)</x:f>
        <x:v>572</x:v>
      </x:c>
      <x:c r="W170" t="n">
        <x:f>H170-V170</x:f>
        <x:v>-437</x:v>
      </x:c>
      <x:c r="X170" s="52" t="n">
        <x:f>IF(D170=0,"",(W170)/D170)</x:f>
        <x:v>-0.592944369063772</x:v>
      </x:c>
      <x:c r="Y170" t="str">
        <x:v>DR. MAHESH SHARMA</x:v>
      </x:c>
      <x:c r="Z170" t="n">
        <x:f>D170-E170-F170</x:f>
        <x:v>0</x:v>
      </x:c>
    </x:row>
    <x:row r="171">
      <x:c r="A171" t="n">
        <x:v>163</x:v>
      </x:c>
      <x:c r="B171" t="str">
        <x:v>KISAN ADHYATMIK I.C. DANKAUR R.NO. 1</x:v>
      </x:c>
      <x:c r="C171" t="n">
        <x:v>1120</x:v>
      </x:c>
      <x:c r="D171" t="n">
        <x:v>526</x:v>
      </x:c>
      <x:c r="E171" t="n">
        <x:f>SUM(H171:T171)</x:f>
        <x:v>525</x:v>
      </x:c>
      <x:c r="F171" t="n">
        <x:v>1</x:v>
      </x:c>
      <x:c r="G171" s="50" t="n">
        <x:f>IF(C171="","",IFERROR(D171/C171,0))</x:f>
        <x:v>0.46964285714285714</x:v>
      </x:c>
      <x:c r="H171" s="36" t="n">
        <x:v>374</x:v>
      </x:c>
      <x:c r="I171" t="n">
        <x:v>136</x:v>
      </x:c>
      <x:c r="J171" t="n">
        <x:v>5</x:v>
      </x:c>
      <x:c r="K171" t="n">
        <x:v>5</x:v>
      </x:c>
      <x:c r="L171" t="n">
        <x:v>1</x:v>
      </x:c>
      <x:c r="M171" t="n">
        <x:v>1</x:v>
      </x:c>
      <x:c r="N171" t="n">
        <x:v>0</x:v>
      </x:c>
      <x:c r="O171" t="n">
        <x:v>0</x:v>
      </x:c>
      <x:c r="P171" t="n">
        <x:v>0</x:v>
      </x:c>
      <x:c r="Q171" t="n">
        <x:v>1</x:v>
      </x:c>
      <x:c r="R171" t="n">
        <x:v>1</x:v>
      </x:c>
      <x:c r="S171" t="n">
        <x:v>1</x:v>
      </x:c>
      <x:c r="T171" t="n">
        <x:v>0</x:v>
      </x:c>
      <x:c r="U171" s="50" t="n">
        <x:f>IF(D171=0,"",H171/D171)</x:f>
        <x:v>0.7110266159695817</x:v>
      </x:c>
      <x:c r="V171" t="n">
        <x:f>MAX(I171:T171)</x:f>
        <x:v>136</x:v>
      </x:c>
      <x:c r="W171" t="n">
        <x:f>H171-V171</x:f>
        <x:v>238</x:v>
      </x:c>
      <x:c r="X171" s="52" t="n">
        <x:f>IF(D171=0,"",(W171)/D171)</x:f>
        <x:v>0.4524714828897338</x:v>
      </x:c>
      <x:c r="Y171" t="str">
        <x:v>SATVEER</x:v>
      </x:c>
      <x:c r="Z171" t="n">
        <x:f>D171-E171-F171</x:f>
        <x:v>0</x:v>
      </x:c>
    </x:row>
    <x:row r="172">
      <x:c r="A172" t="n">
        <x:v>164</x:v>
      </x:c>
      <x:c r="B172" t="str">
        <x:v>KISAN ADHYATMIK I.C. DANKAUR R.NO.2</x:v>
      </x:c>
      <x:c r="C172" t="n">
        <x:v>508</x:v>
      </x:c>
      <x:c r="D172" t="n">
        <x:v>334</x:v>
      </x:c>
      <x:c r="E172" t="n">
        <x:f>SUM(H172:T172)</x:f>
        <x:v>334</x:v>
      </x:c>
      <x:c r="F172" t="n">
        <x:v>0</x:v>
      </x:c>
      <x:c r="G172" s="50" t="n">
        <x:f>IF(C172="","",IFERROR(D172/C172,0))</x:f>
        <x:v>0.65748031496063</x:v>
      </x:c>
      <x:c r="H172" s="36" t="n">
        <x:v>256</x:v>
      </x:c>
      <x:c r="I172" t="n">
        <x:v>74</x:v>
      </x:c>
      <x:c r="J172" t="n">
        <x:v>1</x:v>
      </x:c>
      <x:c r="K172" t="n">
        <x:v>1</x:v>
      </x:c>
      <x:c r="L172" t="n">
        <x:v>1</x:v>
      </x:c>
      <x:c r="M172" t="n">
        <x:v>1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s="50" t="n">
        <x:f>IF(D172=0,"",H172/D172)</x:f>
        <x:v>0.7664670658682635</x:v>
      </x:c>
      <x:c r="V172" t="n">
        <x:f>MAX(I172:T172)</x:f>
        <x:v>74</x:v>
      </x:c>
      <x:c r="W172" t="n">
        <x:f>H172-V172</x:f>
        <x:v>182</x:v>
      </x:c>
      <x:c r="X172" s="52" t="n">
        <x:f>IF(D172=0,"",(W172)/D172)</x:f>
        <x:v>0.5449101796407185</x:v>
      </x:c>
      <x:c r="Y172" t="str">
        <x:v>SATVEER</x:v>
      </x:c>
      <x:c r="Z172" t="n">
        <x:f>D172-E172-F172</x:f>
        <x:v>0</x:v>
      </x:c>
    </x:row>
    <x:row r="173">
      <x:c r="A173" t="n">
        <x:v>165</x:v>
      </x:c>
      <x:c r="B173" t="str">
        <x:v>KISAN ADHYATMIK I.C. DANKAUR R.NO. 3</x:v>
      </x:c>
      <x:c r="C173" t="n">
        <x:v>384</x:v>
      </x:c>
      <x:c r="D173" t="n">
        <x:v>271</x:v>
      </x:c>
      <x:c r="E173" t="n">
        <x:f>SUM(H173:T173)</x:f>
        <x:v>271</x:v>
      </x:c>
      <x:c r="F173" t="n">
        <x:v>0</x:v>
      </x:c>
      <x:c r="G173" s="50" t="n">
        <x:f>IF(C173="","",IFERROR(D173/C173,0))</x:f>
        <x:v>0.7057291666666666</x:v>
      </x:c>
      <x:c r="H173" s="36" t="n">
        <x:v>220</x:v>
      </x:c>
      <x:c r="I173" t="n">
        <x:v>51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s="50" t="n">
        <x:f>IF(D173=0,"",H173/D173)</x:f>
        <x:v>0.8118081180811808</x:v>
      </x:c>
      <x:c r="V173" t="n">
        <x:f>MAX(I173:T173)</x:f>
        <x:v>51</x:v>
      </x:c>
      <x:c r="W173" t="n">
        <x:f>H173-V173</x:f>
        <x:v>169</x:v>
      </x:c>
      <x:c r="X173" s="52" t="n">
        <x:f>IF(D173=0,"",(W173)/D173)</x:f>
        <x:v>0.6236162361623616</x:v>
      </x:c>
      <x:c r="Y173" t="str">
        <x:v>SATVEER</x:v>
      </x:c>
      <x:c r="Z173" t="n">
        <x:f>D173-E173-F173</x:f>
        <x:v>0</x:v>
      </x:c>
    </x:row>
    <x:row r="174">
      <x:c r="A174" t="n">
        <x:v>166</x:v>
      </x:c>
      <x:c r="B174" t="str">
        <x:v>PRY. SCHOOL GUNPURA R.NO. 1</x:v>
      </x:c>
      <x:c r="C174" t="n">
        <x:v>417</x:v>
      </x:c>
      <x:c r="D174" t="n">
        <x:v>312</x:v>
      </x:c>
      <x:c r="E174" t="n">
        <x:f>SUM(H174:T174)</x:f>
        <x:v>310</x:v>
      </x:c>
      <x:c r="F174" t="n">
        <x:v>2</x:v>
      </x:c>
      <x:c r="G174" s="50" t="n">
        <x:f>IF(C174="","",IFERROR(D174/C174,0))</x:f>
        <x:v>0.7482014388489209</x:v>
      </x:c>
      <x:c r="H174" s="36" t="n">
        <x:v>260</x:v>
      </x:c>
      <x:c r="I174" t="n">
        <x:v>49</x:v>
      </x:c>
      <x:c r="J174" t="n">
        <x:v>0</x:v>
      </x:c>
      <x:c r="K174" t="n">
        <x:v>0</x:v>
      </x:c>
      <x:c r="L174" t="n">
        <x:v>0</x:v>
      </x:c>
      <x:c r="M174" t="n">
        <x:v>1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s="50" t="n">
        <x:f>IF(D174=0,"",H174/D174)</x:f>
        <x:v>0.8333333333333334</x:v>
      </x:c>
      <x:c r="V174" t="n">
        <x:f>MAX(I174:T174)</x:f>
        <x:v>49</x:v>
      </x:c>
      <x:c r="W174" t="n">
        <x:f>H174-V174</x:f>
        <x:v>211</x:v>
      </x:c>
      <x:c r="X174" s="52" t="n">
        <x:f>IF(D174=0,"",(W174)/D174)</x:f>
        <x:v>0.6762820512820513</x:v>
      </x:c>
      <x:c r="Y174" t="str">
        <x:v>SATVEER</x:v>
      </x:c>
      <x:c r="Z174" t="n">
        <x:f>D174-E174-F174</x:f>
        <x:v>0</x:v>
      </x:c>
    </x:row>
    <x:row r="175">
      <x:c r="A175" t="n">
        <x:v>167</x:v>
      </x:c>
      <x:c r="B175" t="str">
        <x:v>PRY. SCHOOL ATTA GUJRAN R.NO. 1</x:v>
      </x:c>
      <x:c r="C175" t="n">
        <x:v>1181</x:v>
      </x:c>
      <x:c r="D175" t="n">
        <x:v>932</x:v>
      </x:c>
      <x:c r="E175" t="n">
        <x:f>SUM(H175:T175)</x:f>
        <x:v>932</x:v>
      </x:c>
      <x:c r="F175" t="n">
        <x:v>0</x:v>
      </x:c>
      <x:c r="G175" s="50" t="n">
        <x:f>IF(C175="","",IFERROR(D175/C175,0))</x:f>
        <x:v>0.7891617273497037</x:v>
      </x:c>
      <x:c r="H175" s="36" t="n">
        <x:v>832</x:v>
      </x:c>
      <x:c r="I175" t="n">
        <x:v>93</x:v>
      </x:c>
      <x:c r="J175" t="n">
        <x:v>2</x:v>
      </x:c>
      <x:c r="K175" t="n">
        <x:v>3</x:v>
      </x:c>
      <x:c r="L175" t="n">
        <x:v>0</x:v>
      </x:c>
      <x:c r="M175" t="n">
        <x:v>1</x:v>
      </x:c>
      <x:c r="N175" t="n">
        <x:v>0</x:v>
      </x:c>
      <x:c r="O175" t="n">
        <x:v>1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s="50" t="n">
        <x:f>IF(D175=0,"",H175/D175)</x:f>
        <x:v>0.8927038626609443</x:v>
      </x:c>
      <x:c r="V175" t="n">
        <x:f>MAX(I175:T175)</x:f>
        <x:v>93</x:v>
      </x:c>
      <x:c r="W175" t="n">
        <x:f>H175-V175</x:f>
        <x:v>739</x:v>
      </x:c>
      <x:c r="X175" s="52" t="n">
        <x:f>IF(D175=0,"",(W175)/D175)</x:f>
        <x:v>0.7929184549356223</x:v>
      </x:c>
      <x:c r="Y175" t="str">
        <x:v>SATVEER</x:v>
      </x:c>
      <x:c r="Z175" t="n">
        <x:f>D175-E175-F175</x:f>
        <x:v>0</x:v>
      </x:c>
    </x:row>
    <x:row r="176">
      <x:c r="A176" t="n">
        <x:v>168</x:v>
      </x:c>
      <x:c r="B176" t="str">
        <x:v>PRY. SCHOOL ATTA GUJRAN R.NO.2</x:v>
      </x:c>
      <x:c r="C176" t="n">
        <x:v>1191</x:v>
      </x:c>
      <x:c r="D176" t="n">
        <x:v>867</x:v>
      </x:c>
      <x:c r="E176" t="n">
        <x:f>SUM(H176:T176)</x:f>
        <x:v>867</x:v>
      </x:c>
      <x:c r="F176" t="n">
        <x:v>0</x:v>
      </x:c>
      <x:c r="G176" s="50" t="n">
        <x:f>IF(C176="","",IFERROR(D176/C176,0))</x:f>
        <x:v>0.7279596977329975</x:v>
      </x:c>
      <x:c r="H176" s="36" t="n">
        <x:v>822</x:v>
      </x:c>
      <x:c r="I176" t="n">
        <x:v>38</x:v>
      </x:c>
      <x:c r="J176" t="n">
        <x:v>1</x:v>
      </x:c>
      <x:c r="K176" t="n">
        <x:v>1</x:v>
      </x:c>
      <x:c r="L176" t="n">
        <x:v>0</x:v>
      </x:c>
      <x:c r="M176" t="n">
        <x:v>3</x:v>
      </x:c>
      <x:c r="N176" t="n">
        <x:v>0</x:v>
      </x:c>
      <x:c r="O176" t="n">
        <x:v>0</x:v>
      </x:c>
      <x:c r="P176" t="n">
        <x:v>0</x:v>
      </x:c>
      <x:c r="Q176" t="n">
        <x:v>1</x:v>
      </x:c>
      <x:c r="R176" t="n">
        <x:v>1</x:v>
      </x:c>
      <x:c r="S176" t="n">
        <x:v>0</x:v>
      </x:c>
      <x:c r="T176" t="n">
        <x:v>0</x:v>
      </x:c>
      <x:c r="U176" s="50" t="n">
        <x:f>IF(D176=0,"",H176/D176)</x:f>
        <x:v>0.9480968858131488</x:v>
      </x:c>
      <x:c r="V176" t="n">
        <x:f>MAX(I176:T176)</x:f>
        <x:v>38</x:v>
      </x:c>
      <x:c r="W176" t="n">
        <x:f>H176-V176</x:f>
        <x:v>784</x:v>
      </x:c>
      <x:c r="X176" s="52" t="n">
        <x:f>IF(D176=0,"",(W176)/D176)</x:f>
        <x:v>0.9042675893886967</x:v>
      </x:c>
      <x:c r="Y176" t="str">
        <x:v>SATVEER</x:v>
      </x:c>
      <x:c r="Z176" t="n">
        <x:f>D176-E176-F176</x:f>
        <x:v>0</x:v>
      </x:c>
    </x:row>
    <x:row r="177">
      <x:c r="A177" t="n">
        <x:v>169</x:v>
      </x:c>
      <x:c r="B177" t="str">
        <x:v>PRY. SCHOOL JAGANPUR AFZALPUR R.NO. 1</x:v>
      </x:c>
      <x:c r="C177" t="n">
        <x:v>720</x:v>
      </x:c>
      <x:c r="D177" t="n">
        <x:v>478</x:v>
      </x:c>
      <x:c r="E177" t="n">
        <x:f>SUM(H177:T177)</x:f>
        <x:v>478</x:v>
      </x:c>
      <x:c r="F177" t="n">
        <x:v>0</x:v>
      </x:c>
      <x:c r="G177" s="50" t="n">
        <x:f>IF(C177="","",IFERROR(D177/C177,0))</x:f>
        <x:v>0.6638888888888889</x:v>
      </x:c>
      <x:c r="H177" s="36" t="n">
        <x:v>390</x:v>
      </x:c>
      <x:c r="I177" t="n">
        <x:v>84</x:v>
      </x:c>
      <x:c r="J177" t="n">
        <x:v>1</x:v>
      </x:c>
      <x:c r="K177" t="n">
        <x:v>0</x:v>
      </x:c>
      <x:c r="L177" t="n">
        <x:v>0</x:v>
      </x:c>
      <x:c r="M177" t="n">
        <x:v>1</x:v>
      </x:c>
      <x:c r="N177" t="n">
        <x:v>0</x:v>
      </x:c>
      <x:c r="O177" t="n">
        <x:v>0</x:v>
      </x:c>
      <x:c r="P177" t="n">
        <x:v>1</x:v>
      </x:c>
      <x:c r="Q177" t="n">
        <x:v>1</x:v>
      </x:c>
      <x:c r="R177" t="n">
        <x:v>0</x:v>
      </x:c>
      <x:c r="S177" t="n">
        <x:v>0</x:v>
      </x:c>
      <x:c r="T177" t="n">
        <x:v>0</x:v>
      </x:c>
      <x:c r="U177" s="50" t="n">
        <x:f>IF(D177=0,"",H177/D177)</x:f>
        <x:v>0.8158995815899581</x:v>
      </x:c>
      <x:c r="V177" t="n">
        <x:f>MAX(I177:T177)</x:f>
        <x:v>84</x:v>
      </x:c>
      <x:c r="W177" t="n">
        <x:f>H177-V177</x:f>
        <x:v>306</x:v>
      </x:c>
      <x:c r="X177" s="52" t="n">
        <x:f>IF(D177=0,"",(W177)/D177)</x:f>
        <x:v>0.6401673640167364</x:v>
      </x:c>
      <x:c r="Y177" t="str">
        <x:v>SATVEER</x:v>
      </x:c>
      <x:c r="Z177" t="n">
        <x:f>D177-E177-F177</x:f>
        <x:v>0</x:v>
      </x:c>
    </x:row>
    <x:row r="178">
      <x:c r="A178" t="n">
        <x:v>170</x:v>
      </x:c>
      <x:c r="B178" t="str">
        <x:v>PRY. SCHOOL ORANGPUR R.NO. 1</x:v>
      </x:c>
      <x:c r="C178" t="n">
        <x:v>918</x:v>
      </x:c>
      <x:c r="D178" t="n">
        <x:v>789</x:v>
      </x:c>
      <x:c r="E178" t="n">
        <x:f>SUM(H178:T178)</x:f>
        <x:v>789</x:v>
      </x:c>
      <x:c r="F178" t="n">
        <x:v>0</x:v>
      </x:c>
      <x:c r="G178" s="50" t="n">
        <x:f>IF(C178="","",IFERROR(D178/C178,0))</x:f>
        <x:v>0.8594771241830066</x:v>
      </x:c>
      <x:c r="H178" s="36" t="n">
        <x:v>621</x:v>
      </x:c>
      <x:c r="I178" t="n">
        <x:v>162</x:v>
      </x:c>
      <x:c r="J178" t="n">
        <x:v>1</x:v>
      </x:c>
      <x:c r="K178" t="n">
        <x:v>3</x:v>
      </x:c>
      <x:c r="L178" t="n">
        <x:v>1</x:v>
      </x:c>
      <x:c r="M178" t="n">
        <x:v>1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s="50" t="n">
        <x:f>IF(D178=0,"",H178/D178)</x:f>
        <x:v>0.7870722433460076</x:v>
      </x:c>
      <x:c r="V178" t="n">
        <x:f>MAX(I178:T178)</x:f>
        <x:v>162</x:v>
      </x:c>
      <x:c r="W178" t="n">
        <x:f>H178-V178</x:f>
        <x:v>459</x:v>
      </x:c>
      <x:c r="X178" s="52" t="n">
        <x:f>IF(D178=0,"",(W178)/D178)</x:f>
        <x:v>0.5817490494296578</x:v>
      </x:c>
      <x:c r="Y178" t="str">
        <x:v>SATVEER</x:v>
      </x:c>
      <x:c r="Z178" t="n">
        <x:f>D178-E178-F178</x:f>
        <x:v>0</x:v>
      </x:c>
    </x:row>
    <x:row r="179">
      <x:c r="A179" t="n">
        <x:v>171</x:v>
      </x:c>
      <x:c r="B179" t="str">
        <x:v>PRY. SCHOOL FATEHPUR ATTA R.NO. 1</x:v>
      </x:c>
      <x:c r="C179" t="n">
        <x:v>1089</x:v>
      </x:c>
      <x:c r="D179" t="n">
        <x:v>810</x:v>
      </x:c>
      <x:c r="E179" t="n">
        <x:f>SUM(H179:T179)</x:f>
        <x:v>809</x:v>
      </x:c>
      <x:c r="F179" t="n">
        <x:v>1</x:v>
      </x:c>
      <x:c r="G179" s="50" t="n">
        <x:f>IF(C179="","",IFERROR(D179/C179,0))</x:f>
        <x:v>0.743801652892562</x:v>
      </x:c>
      <x:c r="H179" s="36" t="n">
        <x:v>780</x:v>
      </x:c>
      <x:c r="I179" t="n">
        <x:v>9</x:v>
      </x:c>
      <x:c r="J179" t="n">
        <x:v>14</x:v>
      </x:c>
      <x:c r="K179" t="n">
        <x:v>1</x:v>
      </x:c>
      <x:c r="L179" t="n">
        <x:v>1</x:v>
      </x:c>
      <x:c r="M179" t="n">
        <x:v>1</x:v>
      </x:c>
      <x:c r="N179" t="n">
        <x:v>0</x:v>
      </x:c>
      <x:c r="O179" t="n">
        <x:v>1</x:v>
      </x:c>
      <x:c r="P179" t="n">
        <x:v>0</x:v>
      </x:c>
      <x:c r="Q179" t="n">
        <x:v>1</x:v>
      </x:c>
      <x:c r="R179" t="n">
        <x:v>0</x:v>
      </x:c>
      <x:c r="S179" t="n">
        <x:v>0</x:v>
      </x:c>
      <x:c r="T179" t="n">
        <x:v>1</x:v>
      </x:c>
      <x:c r="U179" s="50" t="n">
        <x:f>IF(D179=0,"",H179/D179)</x:f>
        <x:v>0.9629629629629629</x:v>
      </x:c>
      <x:c r="V179" t="n">
        <x:f>MAX(I179:T179)</x:f>
        <x:v>14</x:v>
      </x:c>
      <x:c r="W179" t="n">
        <x:f>H179-V179</x:f>
        <x:v>766</x:v>
      </x:c>
      <x:c r="X179" s="52" t="n">
        <x:f>IF(D179=0,"",(W179)/D179)</x:f>
        <x:v>0.945679012345679</x:v>
      </x:c>
      <x:c r="Y179" t="str">
        <x:v>SATVEER</x:v>
      </x:c>
      <x:c r="Z179" t="n">
        <x:f>D179-E179-F179</x:f>
        <x:v>0</x:v>
      </x:c>
    </x:row>
    <x:row r="180">
      <x:c r="A180" t="n">
        <x:v>172</x:v>
      </x:c>
      <x:c r="B180" t="str">
        <x:v>PRY. SCHOOL FATEHPUR ATTA R.NO. 2</x:v>
      </x:c>
      <x:c r="C180" t="n">
        <x:v>1121</x:v>
      </x:c>
      <x:c r="D180" t="n">
        <x:v>753</x:v>
      </x:c>
      <x:c r="E180" t="n">
        <x:f>SUM(H180:T180)</x:f>
        <x:v>750</x:v>
      </x:c>
      <x:c r="F180" t="n">
        <x:v>3</x:v>
      </x:c>
      <x:c r="G180" s="50" t="n">
        <x:f>IF(C180="","",IFERROR(D180/C180,0))</x:f>
        <x:v>0.6717216770740411</x:v>
      </x:c>
      <x:c r="H180" s="36" t="n">
        <x:v>718</x:v>
      </x:c>
      <x:c r="I180" t="n">
        <x:v>22</x:v>
      </x:c>
      <x:c r="J180" t="n">
        <x:v>5</x:v>
      </x:c>
      <x:c r="K180" t="n">
        <x:v>3</x:v>
      </x:c>
      <x:c r="L180" t="n">
        <x:v>1</x:v>
      </x:c>
      <x:c r="M180" t="n">
        <x:v>0</x:v>
      </x:c>
      <x:c r="N180" t="n">
        <x:v>0</x:v>
      </x:c>
      <x:c r="O180" t="n">
        <x:v>1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s="50" t="n">
        <x:f>IF(D180=0,"",H180/D180)</x:f>
        <x:v>0.953519256308101</x:v>
      </x:c>
      <x:c r="V180" t="n">
        <x:f>MAX(I180:T180)</x:f>
        <x:v>22</x:v>
      </x:c>
      <x:c r="W180" t="n">
        <x:f>H180-V180</x:f>
        <x:v>696</x:v>
      </x:c>
      <x:c r="X180" s="52" t="n">
        <x:f>IF(D180=0,"",(W180)/D180)</x:f>
        <x:v>0.9243027888446215</x:v>
      </x:c>
      <x:c r="Y180" t="str">
        <x:v>SATVEER</x:v>
      </x:c>
      <x:c r="Z180" t="n">
        <x:f>D180-E180-F180</x:f>
        <x:v>0</x:v>
      </x:c>
    </x:row>
    <x:row r="181">
      <x:c r="A181" t="n">
        <x:v>173</x:v>
      </x:c>
      <x:c r="B181" t="str">
        <x:v>PRY. SCHOOL SALARPUR R.NO. 1</x:v>
      </x:c>
      <x:c r="C181" t="n">
        <x:v>696</x:v>
      </x:c>
      <x:c r="D181" t="n">
        <x:v>507</x:v>
      </x:c>
      <x:c r="E181" t="n">
        <x:f>SUM(H181:T181)</x:f>
        <x:v>502</x:v>
      </x:c>
      <x:c r="F181" t="n">
        <x:v>5</x:v>
      </x:c>
      <x:c r="G181" s="50" t="n">
        <x:f>IF(C181="","",IFERROR(D181/C181,0))</x:f>
        <x:v>0.728448275862069</x:v>
      </x:c>
      <x:c r="H181" s="36" t="n">
        <x:v>386</x:v>
      </x:c>
      <x:c r="I181" t="n">
        <x:v>100</x:v>
      </x:c>
      <x:c r="J181" t="n">
        <x:v>4</x:v>
      </x:c>
      <x:c r="K181" t="n">
        <x:v>9</x:v>
      </x:c>
      <x:c r="L181" t="n">
        <x:v>1</x:v>
      </x:c>
      <x:c r="M181" t="n">
        <x:v>1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1</x:v>
      </x:c>
      <x:c r="T181" t="n">
        <x:v>0</x:v>
      </x:c>
      <x:c r="U181" s="50" t="n">
        <x:f>IF(D181=0,"",H181/D181)</x:f>
        <x:v>0.7613412228796844</x:v>
      </x:c>
      <x:c r="V181" t="n">
        <x:f>MAX(I181:T181)</x:f>
        <x:v>100</x:v>
      </x:c>
      <x:c r="W181" t="n">
        <x:f>H181-V181</x:f>
        <x:v>286</x:v>
      </x:c>
      <x:c r="X181" s="52" t="n">
        <x:f>IF(D181=0,"",(W181)/D181)</x:f>
        <x:v>0.5641025641025641</x:v>
      </x:c>
      <x:c r="Y181" t="str">
        <x:v>SATVEER</x:v>
      </x:c>
      <x:c r="Z181" t="n">
        <x:f>D181-E181-F181</x:f>
        <x:v>0</x:v>
      </x:c>
    </x:row>
    <x:row r="182">
      <x:c r="A182" t="n">
        <x:v>174</x:v>
      </x:c>
      <x:c r="B182" t="str">
        <x:v>PRY. SCHOOL SALARPUR R.NO. 2</x:v>
      </x:c>
      <x:c r="C182" t="n">
        <x:v>640</x:v>
      </x:c>
      <x:c r="D182" t="n">
        <x:v>494</x:v>
      </x:c>
      <x:c r="E182" t="n">
        <x:f>SUM(H182:T182)</x:f>
        <x:v>490</x:v>
      </x:c>
      <x:c r="F182" t="n">
        <x:v>4</x:v>
      </x:c>
      <x:c r="G182" s="50" t="n">
        <x:f>IF(C182="","",IFERROR(D182/C182,0))</x:f>
        <x:v>0.771875</x:v>
      </x:c>
      <x:c r="H182" s="36" t="n">
        <x:v>439</x:v>
      </x:c>
      <x:c r="I182" t="n">
        <x:v>42</x:v>
      </x:c>
      <x:c r="J182" t="n">
        <x:v>1</x:v>
      </x:c>
      <x:c r="K182" t="n">
        <x:v>4</x:v>
      </x:c>
      <x:c r="L182" t="n">
        <x:v>0</x:v>
      </x:c>
      <x:c r="M182" t="n">
        <x:v>1</x:v>
      </x:c>
      <x:c r="N182" t="n">
        <x:v>0</x:v>
      </x:c>
      <x:c r="O182" t="n">
        <x:v>1</x:v>
      </x:c>
      <x:c r="P182" t="n">
        <x:v>0</x:v>
      </x:c>
      <x:c r="Q182" t="n">
        <x:v>2</x:v>
      </x:c>
      <x:c r="R182" t="n">
        <x:v>0</x:v>
      </x:c>
      <x:c r="S182" t="n">
        <x:v>0</x:v>
      </x:c>
      <x:c r="T182" t="n">
        <x:v>0</x:v>
      </x:c>
      <x:c r="U182" s="50" t="n">
        <x:f>IF(D182=0,"",H182/D182)</x:f>
        <x:v>0.888663967611336</x:v>
      </x:c>
      <x:c r="V182" t="n">
        <x:f>MAX(I182:T182)</x:f>
        <x:v>42</x:v>
      </x:c>
      <x:c r="W182" t="n">
        <x:f>H182-V182</x:f>
        <x:v>397</x:v>
      </x:c>
      <x:c r="X182" s="52" t="n">
        <x:f>IF(D182=0,"",(W182)/D182)</x:f>
        <x:v>0.8036437246963563</x:v>
      </x:c>
      <x:c r="Y182" t="str">
        <x:v>SATVEER</x:v>
      </x:c>
      <x:c r="Z182" t="n">
        <x:f>D182-E182-F182</x:f>
        <x:v>0</x:v>
      </x:c>
    </x:row>
    <x:row r="183">
      <x:c r="A183" t="n">
        <x:v>175</x:v>
      </x:c>
      <x:c r="B183" t="str">
        <x:v>PRY. SCHOOL MUNJKHERA R.NO. 1</x:v>
      </x:c>
      <x:c r="C183" t="n">
        <x:v>936</x:v>
      </x:c>
      <x:c r="D183" t="n">
        <x:v>639</x:v>
      </x:c>
      <x:c r="E183" t="n">
        <x:f>SUM(H183:T183)</x:f>
        <x:v>637</x:v>
      </x:c>
      <x:c r="F183" t="n">
        <x:v>2</x:v>
      </x:c>
      <x:c r="G183" s="50" t="n">
        <x:f>IF(C183="","",IFERROR(D183/C183,0))</x:f>
        <x:v>0.6826923076923077</x:v>
      </x:c>
      <x:c r="H183" s="36" t="n">
        <x:v>248</x:v>
      </x:c>
      <x:c r="I183" t="n">
        <x:v>367</x:v>
      </x:c>
      <x:c r="J183" t="n">
        <x:v>12</x:v>
      </x:c>
      <x:c r="K183" t="n">
        <x:v>3</x:v>
      </x:c>
      <x:c r="L183" t="n">
        <x:v>1</x:v>
      </x:c>
      <x:c r="M183" t="n">
        <x:v>1</x:v>
      </x:c>
      <x:c r="N183" t="n">
        <x:v>0</x:v>
      </x:c>
      <x:c r="O183" t="n">
        <x:v>2</x:v>
      </x:c>
      <x:c r="P183" t="n">
        <x:v>0</x:v>
      </x:c>
      <x:c r="Q183" t="n">
        <x:v>2</x:v>
      </x:c>
      <x:c r="R183" t="n">
        <x:v>1</x:v>
      </x:c>
      <x:c r="S183" t="n">
        <x:v>0</x:v>
      </x:c>
      <x:c r="T183" t="n">
        <x:v>0</x:v>
      </x:c>
      <x:c r="U183" s="50" t="n">
        <x:f>IF(D183=0,"",H183/D183)</x:f>
        <x:v>0.38810641627543035</x:v>
      </x:c>
      <x:c r="V183" t="n">
        <x:f>MAX(I183:T183)</x:f>
        <x:v>367</x:v>
      </x:c>
      <x:c r="W183" t="n">
        <x:f>H183-V183</x:f>
        <x:v>-119</x:v>
      </x:c>
      <x:c r="X183" s="52" t="n">
        <x:f>IF(D183=0,"",(W183)/D183)</x:f>
        <x:v>-0.18622848200312989</x:v>
      </x:c>
      <x:c r="Y183" t="str">
        <x:v>DR. MAHESH SHARMA</x:v>
      </x:c>
      <x:c r="Z183" t="n">
        <x:f>D183-E183-F183</x:f>
        <x:v>0</x:v>
      </x:c>
    </x:row>
    <x:row r="184">
      <x:c r="A184" t="n">
        <x:v>176</x:v>
      </x:c>
      <x:c r="B184" t="str">
        <x:v>PRY. SCHOOL BALLUKHERA MAZRA MUNJKHERA R.NO. 1</x:v>
      </x:c>
      <x:c r="C184" t="n">
        <x:v>1034</x:v>
      </x:c>
      <x:c r="D184" t="n">
        <x:v>759</x:v>
      </x:c>
      <x:c r="E184" t="n">
        <x:f>SUM(H184:T184)</x:f>
        <x:v>756</x:v>
      </x:c>
      <x:c r="F184" t="n">
        <x:v>3</x:v>
      </x:c>
      <x:c r="G184" s="50" t="n">
        <x:f>IF(C184="","",IFERROR(D184/C184,0))</x:f>
        <x:v>0.7340425531914894</x:v>
      </x:c>
      <x:c r="H184" s="36" t="n">
        <x:v>734</x:v>
      </x:c>
      <x:c r="I184" t="n">
        <x:v>6</x:v>
      </x:c>
      <x:c r="J184" t="n">
        <x:v>5</x:v>
      </x:c>
      <x:c r="K184" t="n">
        <x:v>6</x:v>
      </x:c>
      <x:c r="L184" t="n">
        <x:v>1</x:v>
      </x:c>
      <x:c r="M184" t="n">
        <x:v>4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s="50" t="n">
        <x:f>IF(D184=0,"",H184/D184)</x:f>
        <x:v>0.9670619235836627</x:v>
      </x:c>
      <x:c r="V184" t="n">
        <x:f>MAX(I184:T184)</x:f>
        <x:v>6</x:v>
      </x:c>
      <x:c r="W184" t="n">
        <x:f>H184-V184</x:f>
        <x:v>728</x:v>
      </x:c>
      <x:c r="X184" s="52" t="n">
        <x:f>IF(D184=0,"",(W184)/D184)</x:f>
        <x:v>0.9591567852437418</x:v>
      </x:c>
      <x:c r="Y184" t="str">
        <x:v>SATVEER</x:v>
      </x:c>
      <x:c r="Z184" t="n">
        <x:f>D184-E184-F184</x:f>
        <x:v>0</x:v>
      </x:c>
    </x:row>
    <x:row r="185">
      <x:c r="A185" t="n">
        <x:v>177</x:v>
      </x:c>
      <x:c r="B185" t="str">
        <x:v>PRY. SCHOOL DERIN KHUBAN MAZRA MUNJKHERA R.NO. 1</x:v>
      </x:c>
      <x:c r="C185" t="n">
        <x:v>651</x:v>
      </x:c>
      <x:c r="D185" t="n">
        <x:v>455</x:v>
      </x:c>
      <x:c r="E185" t="n">
        <x:f>SUM(H185:T185)</x:f>
        <x:v>452</x:v>
      </x:c>
      <x:c r="F185" t="n">
        <x:v>3</x:v>
      </x:c>
      <x:c r="G185" s="50" t="n">
        <x:f>IF(C185="","",IFERROR(D185/C185,0))</x:f>
        <x:v>0.6989247311827957</x:v>
      </x:c>
      <x:c r="H185" s="36" t="n">
        <x:v>419</x:v>
      </x:c>
      <x:c r="I185" t="n">
        <x:v>21</x:v>
      </x:c>
      <x:c r="J185" t="n">
        <x:v>6</x:v>
      </x:c>
      <x:c r="K185" t="n">
        <x:v>2</x:v>
      </x:c>
      <x:c r="L185" t="n">
        <x:v>1</x:v>
      </x:c>
      <x:c r="M185" t="n">
        <x:v>1</x:v>
      </x:c>
      <x:c r="N185" t="n">
        <x:v>0</x:v>
      </x:c>
      <x:c r="O185" t="n">
        <x:v>0</x:v>
      </x:c>
      <x:c r="P185" t="n">
        <x:v>1</x:v>
      </x:c>
      <x:c r="Q185" t="n">
        <x:v>0</x:v>
      </x:c>
      <x:c r="R185" t="n">
        <x:v>1</x:v>
      </x:c>
      <x:c r="S185" t="n">
        <x:v>0</x:v>
      </x:c>
      <x:c r="T185" t="n">
        <x:v>0</x:v>
      </x:c>
      <x:c r="U185" s="50" t="n">
        <x:f>IF(D185=0,"",H185/D185)</x:f>
        <x:v>0.9208791208791208</x:v>
      </x:c>
      <x:c r="V185" t="n">
        <x:f>MAX(I185:T185)</x:f>
        <x:v>21</x:v>
      </x:c>
      <x:c r="W185" t="n">
        <x:f>H185-V185</x:f>
        <x:v>398</x:v>
      </x:c>
      <x:c r="X185" s="52" t="n">
        <x:f>IF(D185=0,"",(W185)/D185)</x:f>
        <x:v>0.8747252747252747</x:v>
      </x:c>
      <x:c r="Y185" t="str">
        <x:v>SATVEER</x:v>
      </x:c>
      <x:c r="Z185" t="n">
        <x:f>D185-E185-F185</x:f>
        <x:v>0</x:v>
      </x:c>
    </x:row>
    <x:row r="186">
      <x:c r="A186" t="n">
        <x:v>178</x:v>
      </x:c>
      <x:c r="B186" t="str">
        <x:v>PRY. SCHOOL KHERLI BHAV R.NO. 1</x:v>
      </x:c>
      <x:c r="C186" t="n">
        <x:v>1121</x:v>
      </x:c>
      <x:c r="D186" t="n">
        <x:v>829</x:v>
      </x:c>
      <x:c r="E186" t="n">
        <x:f>SUM(H186:T186)</x:f>
        <x:v>822</x:v>
      </x:c>
      <x:c r="F186" t="n">
        <x:v>7</x:v>
      </x:c>
      <x:c r="G186" s="50" t="n">
        <x:f>IF(C186="","",IFERROR(D186/C186,0))</x:f>
        <x:v>0.7395182872435325</x:v>
      </x:c>
      <x:c r="H186" s="36" t="n">
        <x:v>561</x:v>
      </x:c>
      <x:c r="I186" t="n">
        <x:v>230</x:v>
      </x:c>
      <x:c r="J186" t="n">
        <x:v>9</x:v>
      </x:c>
      <x:c r="K186" t="n">
        <x:v>7</x:v>
      </x:c>
      <x:c r="L186" t="n">
        <x:v>2</x:v>
      </x:c>
      <x:c r="M186" t="n">
        <x:v>4</x:v>
      </x:c>
      <x:c r="N186" t="n">
        <x:v>0</x:v>
      </x:c>
      <x:c r="O186" t="n">
        <x:v>0</x:v>
      </x:c>
      <x:c r="P186" t="n">
        <x:v>0</x:v>
      </x:c>
      <x:c r="Q186" t="n">
        <x:v>2</x:v>
      </x:c>
      <x:c r="R186" t="n">
        <x:v>2</x:v>
      </x:c>
      <x:c r="S186" t="n">
        <x:v>2</x:v>
      </x:c>
      <x:c r="T186" t="n">
        <x:v>3</x:v>
      </x:c>
      <x:c r="U186" s="50" t="n">
        <x:f>IF(D186=0,"",H186/D186)</x:f>
        <x:v>0.6767189384800965</x:v>
      </x:c>
      <x:c r="V186" t="n">
        <x:f>MAX(I186:T186)</x:f>
        <x:v>230</x:v>
      </x:c>
      <x:c r="W186" t="n">
        <x:f>H186-V186</x:f>
        <x:v>331</x:v>
      </x:c>
      <x:c r="X186" s="52" t="n">
        <x:f>IF(D186=0,"",(W186)/D186)</x:f>
        <x:v>0.39927623642943305</x:v>
      </x:c>
      <x:c r="Y186" t="str">
        <x:v>SATVEER</x:v>
      </x:c>
      <x:c r="Z186" t="n">
        <x:f>D186-E186-F186</x:f>
        <x:v>0</x:v>
      </x:c>
    </x:row>
    <x:row r="187">
      <x:c r="A187" t="n">
        <x:v>179</x:v>
      </x:c>
      <x:c r="B187" t="str">
        <x:v>PRY. SCHOOL KHERLI BHAV R.NO. 2</x:v>
      </x:c>
      <x:c r="C187" t="n">
        <x:v>860</x:v>
      </x:c>
      <x:c r="D187" t="n">
        <x:v>534</x:v>
      </x:c>
      <x:c r="E187" t="n">
        <x:f>SUM(H187:T187)</x:f>
        <x:v>528</x:v>
      </x:c>
      <x:c r="F187" t="n">
        <x:v>6</x:v>
      </x:c>
      <x:c r="G187" s="50" t="n">
        <x:f>IF(C187="","",IFERROR(D187/C187,0))</x:f>
        <x:v>0.6209302325581395</x:v>
      </x:c>
      <x:c r="H187" s="36" t="n">
        <x:v>225</x:v>
      </x:c>
      <x:c r="I187" t="n">
        <x:v>286</x:v>
      </x:c>
      <x:c r="J187" t="n">
        <x:v>7</x:v>
      </x:c>
      <x:c r="K187" t="n">
        <x:v>2</x:v>
      </x:c>
      <x:c r="L187" t="n">
        <x:v>0</x:v>
      </x:c>
      <x:c r="M187" t="n">
        <x:v>2</x:v>
      </x:c>
      <x:c r="N187" t="n">
        <x:v>3</x:v>
      </x:c>
      <x:c r="O187" t="n">
        <x:v>1</x:v>
      </x:c>
      <x:c r="P187" t="n">
        <x:v>0</x:v>
      </x:c>
      <x:c r="Q187" t="n">
        <x:v>1</x:v>
      </x:c>
      <x:c r="R187" t="n">
        <x:v>1</x:v>
      </x:c>
      <x:c r="S187" t="n">
        <x:v>0</x:v>
      </x:c>
      <x:c r="T187" t="n">
        <x:v>0</x:v>
      </x:c>
      <x:c r="U187" s="50" t="n">
        <x:f>IF(D187=0,"",H187/D187)</x:f>
        <x:v>0.42134831460674155</x:v>
      </x:c>
      <x:c r="V187" t="n">
        <x:f>MAX(I187:T187)</x:f>
        <x:v>286</x:v>
      </x:c>
      <x:c r="W187" t="n">
        <x:f>H187-V187</x:f>
        <x:v>-61</x:v>
      </x:c>
      <x:c r="X187" s="52" t="n">
        <x:f>IF(D187=0,"",(W187)/D187)</x:f>
        <x:v>-0.11423220973782772</x:v>
      </x:c>
      <x:c r="Y187" t="str">
        <x:v>DR. MAHESH SHARMA</x:v>
      </x:c>
      <x:c r="Z187" t="n">
        <x:f>D187-E187-F187</x:f>
        <x:v>0</x:v>
      </x:c>
    </x:row>
    <x:row r="188">
      <x:c r="A188" t="n">
        <x:v>180</x:v>
      </x:c>
      <x:c r="B188" t="str">
        <x:v>PRY. SCHOOL LATIFPUR R.NO. 1</x:v>
      </x:c>
      <x:c r="C188" t="n">
        <x:v>1004</x:v>
      </x:c>
      <x:c r="D188" t="n">
        <x:v>675</x:v>
      </x:c>
      <x:c r="E188" t="n">
        <x:f>SUM(H188:T188)</x:f>
        <x:v>670</x:v>
      </x:c>
      <x:c r="F188" t="n">
        <x:v>5</x:v>
      </x:c>
      <x:c r="G188" s="50" t="n">
        <x:f>IF(C188="","",IFERROR(D188/C188,0))</x:f>
        <x:v>0.6723107569721115</x:v>
      </x:c>
      <x:c r="H188" s="36" t="n">
        <x:v>215</x:v>
      </x:c>
      <x:c r="I188" t="n">
        <x:v>423</x:v>
      </x:c>
      <x:c r="J188" t="n">
        <x:v>22</x:v>
      </x:c>
      <x:c r="K188" t="n">
        <x:v>0</x:v>
      </x:c>
      <x:c r="L188" t="n">
        <x:v>8</x:v>
      </x:c>
      <x:c r="M188" t="n">
        <x:v>1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1</x:v>
      </x:c>
      <x:c r="U188" s="50" t="n">
        <x:f>IF(D188=0,"",H188/D188)</x:f>
        <x:v>0.31851851851851853</x:v>
      </x:c>
      <x:c r="V188" t="n">
        <x:f>MAX(I188:T188)</x:f>
        <x:v>423</x:v>
      </x:c>
      <x:c r="W188" t="n">
        <x:f>H188-V188</x:f>
        <x:v>-208</x:v>
      </x:c>
      <x:c r="X188" s="52" t="n">
        <x:f>IF(D188=0,"",(W188)/D188)</x:f>
        <x:v>-0.30814814814814817</x:v>
      </x:c>
      <x:c r="Y188" t="str">
        <x:v>DR. MAHESH SHARMA</x:v>
      </x:c>
      <x:c r="Z188" t="n">
        <x:f>D188-E188-F188</x:f>
        <x:v>0</x:v>
      </x:c>
    </x:row>
    <x:row r="189">
      <x:c r="A189" t="n">
        <x:v>181</x:v>
      </x:c>
      <x:c r="B189" t="str">
        <x:v>PRY. SCHOOL KADALPUR R.NO. 1</x:v>
      </x:c>
      <x:c r="C189" t="n">
        <x:v>945</x:v>
      </x:c>
      <x:c r="D189" t="n">
        <x:v>721</x:v>
      </x:c>
      <x:c r="E189" t="n">
        <x:f>SUM(H189:T189)</x:f>
        <x:v>718</x:v>
      </x:c>
      <x:c r="F189" t="n">
        <x:v>3</x:v>
      </x:c>
      <x:c r="G189" s="50" t="n">
        <x:f>IF(C189="","",IFERROR(D189/C189,0))</x:f>
        <x:v>0.762962962962963</x:v>
      </x:c>
      <x:c r="H189" s="36" t="n">
        <x:v>588</x:v>
      </x:c>
      <x:c r="I189" t="n">
        <x:v>115</x:v>
      </x:c>
      <x:c r="J189" t="n">
        <x:v>12</x:v>
      </x:c>
      <x:c r="K189" t="n">
        <x:v>2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1</x:v>
      </x:c>
      <x:c r="S189" t="n">
        <x:v>0</x:v>
      </x:c>
      <x:c r="T189" t="n">
        <x:v>0</x:v>
      </x:c>
      <x:c r="U189" s="50" t="n">
        <x:f>IF(D189=0,"",H189/D189)</x:f>
        <x:v>0.8155339805825242</x:v>
      </x:c>
      <x:c r="V189" t="n">
        <x:f>MAX(I189:T189)</x:f>
        <x:v>115</x:v>
      </x:c>
      <x:c r="W189" t="n">
        <x:f>H189-V189</x:f>
        <x:v>473</x:v>
      </x:c>
      <x:c r="X189" s="52" t="n">
        <x:f>IF(D189=0,"",(W189)/D189)</x:f>
        <x:v>0.6560332871012483</x:v>
      </x:c>
      <x:c r="Y189" t="str">
        <x:v>SATVEER</x:v>
      </x:c>
      <x:c r="Z189" t="n">
        <x:f>D189-E189-F189</x:f>
        <x:v>0</x:v>
      </x:c>
    </x:row>
    <x:row r="190">
      <x:c r="A190" t="n">
        <x:v>182</x:v>
      </x:c>
      <x:c r="B190" t="str">
        <x:v>PRY. SCHOOL KADALPUR R.NO. 2</x:v>
      </x:c>
      <x:c r="C190" t="n">
        <x:v>847</x:v>
      </x:c>
      <x:c r="D190" t="n">
        <x:v>616</x:v>
      </x:c>
      <x:c r="E190" t="n">
        <x:f>SUM(H190:T190)</x:f>
        <x:v>616</x:v>
      </x:c>
      <x:c r="F190" t="n">
        <x:v>0</x:v>
      </x:c>
      <x:c r="G190" s="50" t="n">
        <x:f>IF(C190="","",IFERROR(D190/C190,0))</x:f>
        <x:v>0.7272727272727273</x:v>
      </x:c>
      <x:c r="H190" s="36" t="n">
        <x:v>527</x:v>
      </x:c>
      <x:c r="I190" t="n">
        <x:v>80</x:v>
      </x:c>
      <x:c r="J190" t="n">
        <x:v>5</x:v>
      </x:c>
      <x:c r="K190" t="n">
        <x:v>0</x:v>
      </x:c>
      <x:c r="L190" t="n">
        <x:v>1</x:v>
      </x:c>
      <x:c r="M190" t="n">
        <x:v>2</x:v>
      </x:c>
      <x:c r="N190" t="n">
        <x:v>0</x:v>
      </x:c>
      <x:c r="O190" t="n">
        <x:v>1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s="50" t="n">
        <x:f>IF(D190=0,"",H190/D190)</x:f>
        <x:v>0.8555194805194806</x:v>
      </x:c>
      <x:c r="V190" t="n">
        <x:f>MAX(I190:T190)</x:f>
        <x:v>80</x:v>
      </x:c>
      <x:c r="W190" t="n">
        <x:f>H190-V190</x:f>
        <x:v>447</x:v>
      </x:c>
      <x:c r="X190" s="52" t="n">
        <x:f>IF(D190=0,"",(W190)/D190)</x:f>
        <x:v>0.7256493506493507</x:v>
      </x:c>
      <x:c r="Y190" t="str">
        <x:v>SATVEER</x:v>
      </x:c>
      <x:c r="Z190" t="n">
        <x:f>D190-E190-F190</x:f>
        <x:v>0</x:v>
      </x:c>
    </x:row>
    <x:row r="191">
      <x:c r="A191" t="n">
        <x:v>183</x:v>
      </x:c>
      <x:c r="B191" t="str">
        <x:v>PRY. SCHOOL MAKANPUR BANGAR R.NO. 1</x:v>
      </x:c>
      <x:c r="C191" t="n">
        <x:v>1000</x:v>
      </x:c>
      <x:c r="D191" t="n">
        <x:v>722</x:v>
      </x:c>
      <x:c r="E191" t="n">
        <x:f>SUM(H191:T191)</x:f>
        <x:v>717</x:v>
      </x:c>
      <x:c r="F191" t="n">
        <x:v>5</x:v>
      </x:c>
      <x:c r="G191" s="50" t="n">
        <x:f>IF(C191="","",IFERROR(D191/C191,0))</x:f>
        <x:v>0.722</x:v>
      </x:c>
      <x:c r="H191" s="36" t="n">
        <x:v>262</x:v>
      </x:c>
      <x:c r="I191" t="n">
        <x:v>432</x:v>
      </x:c>
      <x:c r="J191" t="n">
        <x:v>6</x:v>
      </x:c>
      <x:c r="K191" t="n">
        <x:v>4</x:v>
      </x:c>
      <x:c r="L191" t="n">
        <x:v>4</x:v>
      </x:c>
      <x:c r="M191" t="n">
        <x:v>1</x:v>
      </x:c>
      <x:c r="N191" t="n">
        <x:v>0</x:v>
      </x:c>
      <x:c r="O191" t="n">
        <x:v>3</x:v>
      </x:c>
      <x:c r="P191" t="n">
        <x:v>1</x:v>
      </x:c>
      <x:c r="Q191" t="n">
        <x:v>4</x:v>
      </x:c>
      <x:c r="R191" t="n">
        <x:v>0</x:v>
      </x:c>
      <x:c r="S191" t="n">
        <x:v>0</x:v>
      </x:c>
      <x:c r="T191" t="n">
        <x:v>0</x:v>
      </x:c>
      <x:c r="U191" s="50" t="n">
        <x:f>IF(D191=0,"",H191/D191)</x:f>
        <x:v>0.3628808864265928</x:v>
      </x:c>
      <x:c r="V191" t="n">
        <x:f>MAX(I191:T191)</x:f>
        <x:v>432</x:v>
      </x:c>
      <x:c r="W191" t="n">
        <x:f>H191-V191</x:f>
        <x:v>-170</x:v>
      </x:c>
      <x:c r="X191" s="52" t="n">
        <x:f>IF(D191=0,"",(W191)/D191)</x:f>
        <x:v>-0.23545706371191136</x:v>
      </x:c>
      <x:c r="Y191" t="str">
        <x:v>DR. MAHESH SHARMA</x:v>
      </x:c>
      <x:c r="Z191" t="n">
        <x:f>D191-E191-F191</x:f>
        <x:v>0</x:v>
      </x:c>
    </x:row>
    <x:row r="192">
      <x:c r="A192" t="n">
        <x:v>184</x:v>
      </x:c>
      <x:c r="B192" t="str">
        <x:v>PRY. SCHOOL MAKANUR KHADAR R.NO. 1</x:v>
      </x:c>
      <x:c r="C192" t="n">
        <x:v>1077</x:v>
      </x:c>
      <x:c r="D192" t="n">
        <x:v>848</x:v>
      </x:c>
      <x:c r="E192" t="n">
        <x:f>SUM(H192:T192)</x:f>
        <x:v>848</x:v>
      </x:c>
      <x:c r="F192" t="n">
        <x:v>0</x:v>
      </x:c>
      <x:c r="G192" s="50" t="n">
        <x:f>IF(C192="","",IFERROR(D192/C192,0))</x:f>
        <x:v>0.787372330547818</x:v>
      </x:c>
      <x:c r="H192" s="36" t="n">
        <x:v>25</x:v>
      </x:c>
      <x:c r="I192" t="n">
        <x:v>808</x:v>
      </x:c>
      <x:c r="J192" t="n">
        <x:v>10</x:v>
      </x:c>
      <x:c r="K192" t="n">
        <x:v>1</x:v>
      </x:c>
      <x:c r="L192" t="n">
        <x:v>4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s="50" t="n">
        <x:f>IF(D192=0,"",H192/D192)</x:f>
        <x:v>0.0294811320754717</x:v>
      </x:c>
      <x:c r="V192" t="n">
        <x:f>MAX(I192:T192)</x:f>
        <x:v>808</x:v>
      </x:c>
      <x:c r="W192" t="n">
        <x:f>H192-V192</x:f>
        <x:v>-783</x:v>
      </x:c>
      <x:c r="X192" s="52" t="n">
        <x:f>IF(D192=0,"",(W192)/D192)</x:f>
        <x:v>-0.9233490566037735</x:v>
      </x:c>
      <x:c r="Y192" t="str">
        <x:v>DR. MAHESH SHARMA</x:v>
      </x:c>
      <x:c r="Z192" t="n">
        <x:f>D192-E192-F192</x:f>
        <x:v>0</x:v>
      </x:c>
    </x:row>
    <x:row r="193">
      <x:c r="A193" t="n">
        <x:v>185</x:v>
      </x:c>
      <x:c r="B193" t="str">
        <x:v>PRY. SCHOOL RAMPUR KHADAR R.NO. 1</x:v>
      </x:c>
      <x:c r="C193" t="n">
        <x:v>750</x:v>
      </x:c>
      <x:c r="D193" t="n">
        <x:v>489</x:v>
      </x:c>
      <x:c r="E193" t="n">
        <x:f>SUM(H193:T193)</x:f>
        <x:v>488</x:v>
      </x:c>
      <x:c r="F193" t="n">
        <x:v>1</x:v>
      </x:c>
      <x:c r="G193" s="50" t="n">
        <x:f>IF(C193="","",IFERROR(D193/C193,0))</x:f>
        <x:v>0.652</x:v>
      </x:c>
      <x:c r="H193" s="36" t="n">
        <x:v>42</x:v>
      </x:c>
      <x:c r="I193" t="n">
        <x:v>432</x:v>
      </x:c>
      <x:c r="J193" t="n">
        <x:v>7</x:v>
      </x:c>
      <x:c r="K193" t="n">
        <x:v>2</x:v>
      </x:c>
      <x:c r="L193" t="n">
        <x:v>2</x:v>
      </x:c>
      <x:c r="M193" t="n">
        <x:v>0</x:v>
      </x:c>
      <x:c r="N193" t="n">
        <x:v>0</x:v>
      </x:c>
      <x:c r="O193" t="n">
        <x:v>2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1</x:v>
      </x:c>
      <x:c r="U193" s="50" t="n">
        <x:f>IF(D193=0,"",H193/D193)</x:f>
        <x:v>0.08588957055214724</x:v>
      </x:c>
      <x:c r="V193" t="n">
        <x:f>MAX(I193:T193)</x:f>
        <x:v>432</x:v>
      </x:c>
      <x:c r="W193" t="n">
        <x:f>H193-V193</x:f>
        <x:v>-390</x:v>
      </x:c>
      <x:c r="X193" s="52" t="n">
        <x:f>IF(D193=0,"",(W193)/D193)</x:f>
        <x:v>-0.7975460122699386</x:v>
      </x:c>
      <x:c r="Y193" t="str">
        <x:v>DR. MAHESH SHARMA</x:v>
      </x:c>
      <x:c r="Z193" t="n">
        <x:f>D193-E193-F193</x:f>
        <x:v>0</x:v>
      </x:c>
    </x:row>
    <x:row r="194">
      <x:c r="A194" t="n">
        <x:v>186</x:v>
      </x:c>
      <x:c r="B194" t="str">
        <x:v>PRY. SCHOOL MOHAMMADABAD KHERA R.NO. 1</x:v>
      </x:c>
      <x:c r="C194" t="n">
        <x:v>1043</x:v>
      </x:c>
      <x:c r="D194" t="n">
        <x:v>670</x:v>
      </x:c>
      <x:c r="E194" t="n">
        <x:f>SUM(H194:T194)</x:f>
        <x:v>663</x:v>
      </x:c>
      <x:c r="F194" t="n">
        <x:v>7</x:v>
      </x:c>
      <x:c r="G194" s="50" t="n">
        <x:f>IF(C194="","",IFERROR(D194/C194,0))</x:f>
        <x:v>0.6423777564717162</x:v>
      </x:c>
      <x:c r="H194" s="36" t="n">
        <x:v>11</x:v>
      </x:c>
      <x:c r="I194" t="n">
        <x:v>630</x:v>
      </x:c>
      <x:c r="J194" t="n">
        <x:v>5</x:v>
      </x:c>
      <x:c r="K194" t="n">
        <x:v>1</x:v>
      </x:c>
      <x:c r="L194" t="n">
        <x:v>10</x:v>
      </x:c>
      <x:c r="M194" t="n">
        <x:v>0</x:v>
      </x:c>
      <x:c r="N194" t="n">
        <x:v>3</x:v>
      </x:c>
      <x:c r="O194" t="n">
        <x:v>0</x:v>
      </x:c>
      <x:c r="P194" t="n">
        <x:v>0</x:v>
      </x:c>
      <x:c r="Q194" t="n">
        <x:v>1</x:v>
      </x:c>
      <x:c r="R194" t="n">
        <x:v>1</x:v>
      </x:c>
      <x:c r="S194" t="n">
        <x:v>0</x:v>
      </x:c>
      <x:c r="T194" t="n">
        <x:v>1</x:v>
      </x:c>
      <x:c r="U194" s="50" t="n">
        <x:f>IF(D194=0,"",H194/D194)</x:f>
        <x:v>0.016417910447761194</x:v>
      </x:c>
      <x:c r="V194" t="n">
        <x:f>MAX(I194:T194)</x:f>
        <x:v>630</x:v>
      </x:c>
      <x:c r="W194" t="n">
        <x:f>H194-V194</x:f>
        <x:v>-619</x:v>
      </x:c>
      <x:c r="X194" s="52" t="n">
        <x:f>IF(D194=0,"",(W194)/D194)</x:f>
        <x:v>-0.9238805970149254</x:v>
      </x:c>
      <x:c r="Y194" t="str">
        <x:v>DR. MAHESH SHARMA</x:v>
      </x:c>
      <x:c r="Z194" t="n">
        <x:f>D194-E194-F194</x:f>
        <x:v>0</x:v>
      </x:c>
    </x:row>
    <x:row r="195">
      <x:c r="A195" t="n">
        <x:v>187</x:v>
      </x:c>
      <x:c r="B195" t="str">
        <x:v>PRY. SCHOOL MOHAMMADABAD KHERA R.NO. 2</x:v>
      </x:c>
      <x:c r="C195" t="n">
        <x:v>710</x:v>
      </x:c>
      <x:c r="D195" t="n">
        <x:v>554</x:v>
      </x:c>
      <x:c r="E195" t="n">
        <x:f>SUM(H195:T195)</x:f>
        <x:v>545</x:v>
      </x:c>
      <x:c r="F195" t="n">
        <x:v>9</x:v>
      </x:c>
      <x:c r="G195" s="50" t="n">
        <x:f>IF(C195="","",IFERROR(D195/C195,0))</x:f>
        <x:v>0.780281690140845</x:v>
      </x:c>
      <x:c r="H195" s="36" t="n">
        <x:v>117</x:v>
      </x:c>
      <x:c r="I195" t="n">
        <x:v>402</x:v>
      </x:c>
      <x:c r="J195" t="n">
        <x:v>11</x:v>
      </x:c>
      <x:c r="K195" t="n">
        <x:v>3</x:v>
      </x:c>
      <x:c r="L195" t="n">
        <x:v>6</x:v>
      </x:c>
      <x:c r="M195" t="n">
        <x:v>2</x:v>
      </x:c>
      <x:c r="N195" t="n">
        <x:v>2</x:v>
      </x:c>
      <x:c r="O195" t="n">
        <x:v>0</x:v>
      </x:c>
      <x:c r="P195" t="n">
        <x:v>0</x:v>
      </x:c>
      <x:c r="Q195" t="n">
        <x:v>1</x:v>
      </x:c>
      <x:c r="R195" t="n">
        <x:v>1</x:v>
      </x:c>
      <x:c r="S195" t="n">
        <x:v>0</x:v>
      </x:c>
      <x:c r="T195" t="n">
        <x:v>0</x:v>
      </x:c>
      <x:c r="U195" s="50" t="n">
        <x:f>IF(D195=0,"",H195/D195)</x:f>
        <x:v>0.2111913357400722</x:v>
      </x:c>
      <x:c r="V195" t="n">
        <x:f>MAX(I195:T195)</x:f>
        <x:v>402</x:v>
      </x:c>
      <x:c r="W195" t="n">
        <x:f>H195-V195</x:f>
        <x:v>-285</x:v>
      </x:c>
      <x:c r="X195" s="52" t="n">
        <x:f>IF(D195=0,"",(W195)/D195)</x:f>
        <x:v>-0.5144404332129964</x:v>
      </x:c>
      <x:c r="Y195" t="str">
        <x:v>DR. MAHESH SHARMA</x:v>
      </x:c>
      <x:c r="Z195" t="n">
        <x:f>D195-E195-F195</x:f>
        <x:v>0</x:v>
      </x:c>
    </x:row>
    <x:row r="196">
      <x:c r="A196" t="n">
        <x:v>188</x:v>
      </x:c>
      <x:c r="B196" t="str">
        <x:v>PRY. SCHOOL TAQIPUR BANGAR R.NO. 1</x:v>
      </x:c>
      <x:c r="C196" t="n">
        <x:v>301</x:v>
      </x:c>
      <x:c r="D196" t="n">
        <x:v>214</x:v>
      </x:c>
      <x:c r="E196" t="n">
        <x:f>SUM(H196:T196)</x:f>
        <x:v>214</x:v>
      </x:c>
      <x:c r="F196" t="n">
        <x:v>0</x:v>
      </x:c>
      <x:c r="G196" s="50" t="n">
        <x:f>IF(C196="","",IFERROR(D196/C196,0))</x:f>
        <x:v>0.7109634551495017</x:v>
      </x:c>
      <x:c r="H196" s="36" t="n">
        <x:v>4</x:v>
      </x:c>
      <x:c r="I196" t="n">
        <x:v>203</x:v>
      </x:c>
      <x:c r="J196" t="n">
        <x:v>1</x:v>
      </x:c>
      <x:c r="K196" t="n">
        <x:v>1</x:v>
      </x:c>
      <x:c r="L196" t="n">
        <x:v>2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n">
        <x:v>0</x:v>
      </x:c>
      <x:c r="R196" t="n">
        <x:v>1</x:v>
      </x:c>
      <x:c r="S196" t="n">
        <x:v>1</x:v>
      </x:c>
      <x:c r="T196" t="n">
        <x:v>0</x:v>
      </x:c>
      <x:c r="U196" s="50" t="n">
        <x:f>IF(D196=0,"",H196/D196)</x:f>
        <x:v>0.018691588785046728</x:v>
      </x:c>
      <x:c r="V196" t="n">
        <x:f>MAX(I196:T196)</x:f>
        <x:v>203</x:v>
      </x:c>
      <x:c r="W196" t="n">
        <x:f>H196-V196</x:f>
        <x:v>-199</x:v>
      </x:c>
      <x:c r="X196" s="52" t="n">
        <x:f>IF(D196=0,"",(W196)/D196)</x:f>
        <x:v>-0.9299065420560748</x:v>
      </x:c>
      <x:c r="Y196" t="str">
        <x:v>DR. MAHESH SHARMA</x:v>
      </x:c>
      <x:c r="Z196" t="n">
        <x:f>D196-E196-F196</x:f>
        <x:v>0</x:v>
      </x:c>
    </x:row>
    <x:row r="197">
      <x:c r="A197" t="n">
        <x:v>189</x:v>
      </x:c>
      <x:c r="B197" t="str">
        <x:v>PRY. SCHOOL ANWARGARH BANGAR R.NO. 1</x:v>
      </x:c>
      <x:c r="C197" t="n">
        <x:v>862</x:v>
      </x:c>
      <x:c r="D197" t="n">
        <x:v>731</x:v>
      </x:c>
      <x:c r="E197" t="n">
        <x:f>SUM(H197:T197)</x:f>
        <x:v>730</x:v>
      </x:c>
      <x:c r="F197" t="n">
        <x:v>1</x:v>
      </x:c>
      <x:c r="G197" s="50" t="n">
        <x:f>IF(C197="","",IFERROR(D197/C197,0))</x:f>
        <x:v>0.8480278422273781</x:v>
      </x:c>
      <x:c r="H197" s="36" t="n">
        <x:v>727</x:v>
      </x:c>
      <x:c r="I197" t="n">
        <x:v>2</x:v>
      </x:c>
      <x:c r="J197" t="n">
        <x:v>0</x:v>
      </x:c>
      <x:c r="K197" t="n">
        <x:v>0</x:v>
      </x:c>
      <x:c r="L197" t="n">
        <x:v>0</x:v>
      </x:c>
      <x:c r="M197" t="n">
        <x:v>1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s="50" t="n">
        <x:f>IF(D197=0,"",H197/D197)</x:f>
        <x:v>0.9945280437756497</x:v>
      </x:c>
      <x:c r="V197" t="n">
        <x:f>MAX(I197:T197)</x:f>
        <x:v>2</x:v>
      </x:c>
      <x:c r="W197" t="n">
        <x:f>H197-V197</x:f>
        <x:v>725</x:v>
      </x:c>
      <x:c r="X197" s="52" t="n">
        <x:f>IF(D197=0,"",(W197)/D197)</x:f>
        <x:v>0.9917920656634747</x:v>
      </x:c>
      <x:c r="Y197" t="str">
        <x:v>SATVEER</x:v>
      </x:c>
      <x:c r="Z197" t="n">
        <x:f>D197-E197-F197</x:f>
        <x:v>0</x:v>
      </x:c>
    </x:row>
    <x:row r="198">
      <x:c r="A198" t="n">
        <x:v>190</x:v>
      </x:c>
      <x:c r="B198" t="str">
        <x:v>J. H. SCHOOL RAUNIJA R.NO. 1</x:v>
      </x:c>
      <x:c r="C198" t="n">
        <x:v>977</x:v>
      </x:c>
      <x:c r="D198" t="n">
        <x:v>633</x:v>
      </x:c>
      <x:c r="E198" t="n">
        <x:f>SUM(H198:T198)</x:f>
        <x:v>630</x:v>
      </x:c>
      <x:c r="F198" t="n">
        <x:v>3</x:v>
      </x:c>
      <x:c r="G198" s="50" t="n">
        <x:f>IF(C198="","",IFERROR(D198/C198,0))</x:f>
        <x:v>0.6479017400204709</x:v>
      </x:c>
      <x:c r="H198" s="36" t="n">
        <x:v>53</x:v>
      </x:c>
      <x:c r="I198" t="n">
        <x:v>560</x:v>
      </x:c>
      <x:c r="J198" t="n">
        <x:v>9</x:v>
      </x:c>
      <x:c r="K198" t="n">
        <x:v>0</x:v>
      </x:c>
      <x:c r="L198" t="n">
        <x:v>4</x:v>
      </x:c>
      <x:c r="M198" t="n">
        <x:v>1</x:v>
      </x:c>
      <x:c r="N198" t="n">
        <x:v>0</x:v>
      </x:c>
      <x:c r="O198" t="n">
        <x:v>2</x:v>
      </x:c>
      <x:c r="P198" t="n">
        <x:v>0</x:v>
      </x:c>
      <x:c r="Q198" t="n">
        <x:v>1</x:v>
      </x:c>
      <x:c r="R198" t="n">
        <x:v>0</x:v>
      </x:c>
      <x:c r="S198" t="n">
        <x:v>0</x:v>
      </x:c>
      <x:c r="T198" t="n">
        <x:v>0</x:v>
      </x:c>
      <x:c r="U198" s="50" t="n">
        <x:f>IF(D198=0,"",H198/D198)</x:f>
        <x:v>0.08372827804107424</x:v>
      </x:c>
      <x:c r="V198" t="n">
        <x:f>MAX(I198:T198)</x:f>
        <x:v>560</x:v>
      </x:c>
      <x:c r="W198" t="n">
        <x:f>H198-V198</x:f>
        <x:v>-507</x:v>
      </x:c>
      <x:c r="X198" s="52" t="n">
        <x:f>IF(D198=0,"",(W198)/D198)</x:f>
        <x:v>-0.8009478672985783</x:v>
      </x:c>
      <x:c r="Y198" t="str">
        <x:v>DR. MAHESH SHARMA</x:v>
      </x:c>
      <x:c r="Z198" t="n">
        <x:f>D198-E198-F198</x:f>
        <x:v>0</x:v>
      </x:c>
    </x:row>
    <x:row r="199">
      <x:c r="A199" t="n">
        <x:v>191</x:v>
      </x:c>
      <x:c r="B199" t="str">
        <x:v>J. H. SCHOOL RAUNIJA R.NO. 2</x:v>
      </x:c>
      <x:c r="C199" t="n">
        <x:v>813</x:v>
      </x:c>
      <x:c r="D199" t="n">
        <x:v>469</x:v>
      </x:c>
      <x:c r="E199" t="n">
        <x:f>SUM(H199:T199)</x:f>
        <x:v>469</x:v>
      </x:c>
      <x:c r="F199" t="n">
        <x:v>0</x:v>
      </x:c>
      <x:c r="G199" s="50" t="n">
        <x:f>IF(C199="","",IFERROR(D199/C199,0))</x:f>
        <x:v>0.5768757687576875</x:v>
      </x:c>
      <x:c r="H199" s="36" t="n">
        <x:v>41</x:v>
      </x:c>
      <x:c r="I199" t="n">
        <x:v>412</x:v>
      </x:c>
      <x:c r="J199" t="n">
        <x:v>13</x:v>
      </x:c>
      <x:c r="K199" t="n">
        <x:v>1</x:v>
      </x:c>
      <x:c r="L199" t="n">
        <x:v>2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s="50" t="n">
        <x:f>IF(D199=0,"",H199/D199)</x:f>
        <x:v>0.08742004264392324</x:v>
      </x:c>
      <x:c r="V199" t="n">
        <x:f>MAX(I199:T199)</x:f>
        <x:v>412</x:v>
      </x:c>
      <x:c r="W199" t="n">
        <x:f>H199-V199</x:f>
        <x:v>-371</x:v>
      </x:c>
      <x:c r="X199" s="52" t="n">
        <x:f>IF(D199=0,"",(W199)/D199)</x:f>
        <x:v>-0.7910447761194029</x:v>
      </x:c>
      <x:c r="Y199" t="str">
        <x:v>DR. MAHESH SHARMA</x:v>
      </x:c>
      <x:c r="Z199" t="n">
        <x:f>D199-E199-F199</x:f>
        <x:v>0</x:v>
      </x:c>
    </x:row>
    <x:row r="200">
      <x:c r="A200" t="n">
        <x:v>192</x:v>
      </x:c>
      <x:c r="B200" t="str">
        <x:v>J. H. SCHOOL RAUNIJA R.NO. 3</x:v>
      </x:c>
      <x:c r="C200" t="n">
        <x:v>966</x:v>
      </x:c>
      <x:c r="D200" t="n">
        <x:v>654</x:v>
      </x:c>
      <x:c r="E200" t="n">
        <x:f>SUM(H200:T200)</x:f>
        <x:v>649</x:v>
      </x:c>
      <x:c r="F200" t="n">
        <x:v>5</x:v>
      </x:c>
      <x:c r="G200" s="50" t="n">
        <x:f>IF(C200="","",IFERROR(D200/C200,0))</x:f>
        <x:v>0.6770186335403726</x:v>
      </x:c>
      <x:c r="H200" s="36" t="n">
        <x:v>365</x:v>
      </x:c>
      <x:c r="I200" t="n">
        <x:v>266</x:v>
      </x:c>
      <x:c r="J200" t="n">
        <x:v>7</x:v>
      </x:c>
      <x:c r="K200" t="n">
        <x:v>1</x:v>
      </x:c>
      <x:c r="L200" t="n">
        <x:v>2</x:v>
      </x:c>
      <x:c r="M200" t="n">
        <x:v>3</x:v>
      </x:c>
      <x:c r="N200" t="n">
        <x:v>0</x:v>
      </x:c>
      <x:c r="O200" t="n">
        <x:v>1</x:v>
      </x:c>
      <x:c r="P200" t="n">
        <x:v>0</x:v>
      </x:c>
      <x:c r="Q200" t="n">
        <x:v>1</x:v>
      </x:c>
      <x:c r="R200" t="n">
        <x:v>1</x:v>
      </x:c>
      <x:c r="S200" t="n">
        <x:v>0</x:v>
      </x:c>
      <x:c r="T200" t="n">
        <x:v>2</x:v>
      </x:c>
      <x:c r="U200" s="50" t="n">
        <x:f>IF(D200=0,"",H200/D200)</x:f>
        <x:v>0.5581039755351682</x:v>
      </x:c>
      <x:c r="V200" t="n">
        <x:f>MAX(I200:T200)</x:f>
        <x:v>266</x:v>
      </x:c>
      <x:c r="W200" t="n">
        <x:f>H200-V200</x:f>
        <x:v>99</x:v>
      </x:c>
      <x:c r="X200" s="52" t="n">
        <x:f>IF(D200=0,"",(W200)/D200)</x:f>
        <x:v>0.15137614678899083</x:v>
      </x:c>
      <x:c r="Y200" t="str">
        <x:v>SATVEER</x:v>
      </x:c>
      <x:c r="Z200" t="n">
        <x:f>D200-E200-F200</x:f>
        <x:v>0</x:v>
      </x:c>
    </x:row>
    <x:row r="201">
      <x:c r="A201" t="n">
        <x:v>193</x:v>
      </x:c>
      <x:c r="B201" t="str">
        <x:v>PRY. SCHOOL RUSTAMPUR R.NO. 1</x:v>
      </x:c>
      <x:c r="C201" t="n">
        <x:v>1053</x:v>
      </x:c>
      <x:c r="D201" t="n">
        <x:v>641</x:v>
      </x:c>
      <x:c r="E201" t="n">
        <x:f>SUM(H201:T201)</x:f>
        <x:v>641</x:v>
      </x:c>
      <x:c r="F201" t="n">
        <x:v>0</x:v>
      </x:c>
      <x:c r="G201" s="50" t="n">
        <x:f>IF(C201="","",IFERROR(D201/C201,0))</x:f>
        <x:v>0.6087369420702754</x:v>
      </x:c>
      <x:c r="H201" s="36" t="n">
        <x:v>130</x:v>
      </x:c>
      <x:c r="I201" t="n">
        <x:v>501</x:v>
      </x:c>
      <x:c r="J201" t="n">
        <x:v>4</x:v>
      </x:c>
      <x:c r="K201" t="n">
        <x:v>3</x:v>
      </x:c>
      <x:c r="L201" t="n">
        <x:v>1</x:v>
      </x:c>
      <x:c r="M201" t="n">
        <x:v>1</x:v>
      </x:c>
      <x:c r="N201" t="n">
        <x:v>0</x:v>
      </x:c>
      <x:c r="O201" t="n">
        <x:v>0</x:v>
      </x:c>
      <x:c r="P201" t="n">
        <x:v>1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s="50" t="n">
        <x:f>IF(D201=0,"",H201/D201)</x:f>
        <x:v>0.20280811232449297</x:v>
      </x:c>
      <x:c r="V201" t="n">
        <x:f>MAX(I201:T201)</x:f>
        <x:v>501</x:v>
      </x:c>
      <x:c r="W201" t="n">
        <x:f>H201-V201</x:f>
        <x:v>-371</x:v>
      </x:c>
      <x:c r="X201" s="52" t="n">
        <x:f>IF(D201=0,"",(W201)/D201)</x:f>
        <x:v>-0.5787831513260531</x:v>
      </x:c>
      <x:c r="Y201" t="str">
        <x:v>DR. MAHESH SHARMA</x:v>
      </x:c>
      <x:c r="Z201" t="n">
        <x:f>D201-E201-F201</x:f>
        <x:v>0</x:v>
      </x:c>
    </x:row>
    <x:row r="202">
      <x:c r="A202" t="n">
        <x:v>194</x:v>
      </x:c>
      <x:c r="B202" t="str">
        <x:v>PRY. SCHOOL CHAKJALALABAD R.NO. 1</x:v>
      </x:c>
      <x:c r="C202" t="n">
        <x:v>347</x:v>
      </x:c>
      <x:c r="D202" t="n">
        <x:v>272</x:v>
      </x:c>
      <x:c r="E202" t="n">
        <x:f>SUM(H202:T202)</x:f>
        <x:v>270</x:v>
      </x:c>
      <x:c r="F202" t="n">
        <x:v>2</x:v>
      </x:c>
      <x:c r="G202" s="50" t="n">
        <x:f>IF(C202="","",IFERROR(D202/C202,0))</x:f>
        <x:v>0.7838616714697406</x:v>
      </x:c>
      <x:c r="H202" s="36" t="n">
        <x:v>261</x:v>
      </x:c>
      <x:c r="I202" t="n">
        <x:v>6</x:v>
      </x:c>
      <x:c r="J202" t="n">
        <x:v>1</x:v>
      </x:c>
      <x:c r="K202" t="n">
        <x:v>1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1</x:v>
      </x:c>
      <x:c r="U202" s="50" t="n">
        <x:f>IF(D202=0,"",H202/D202)</x:f>
        <x:v>0.9595588235294118</x:v>
      </x:c>
      <x:c r="V202" t="n">
        <x:f>MAX(I202:T202)</x:f>
        <x:v>6</x:v>
      </x:c>
      <x:c r="W202" t="n">
        <x:f>H202-V202</x:f>
        <x:v>255</x:v>
      </x:c>
      <x:c r="X202" s="52" t="n">
        <x:f>IF(D202=0,"",(W202)/D202)</x:f>
        <x:v>0.9375</x:v>
      </x:c>
      <x:c r="Y202" t="str">
        <x:v>SATVEER</x:v>
      </x:c>
      <x:c r="Z202" t="n">
        <x:f>D202-E202-F202</x:f>
        <x:v>0</x:v>
      </x:c>
    </x:row>
    <x:row r="203">
      <x:c r="A203" t="n">
        <x:v>195</x:v>
      </x:c>
      <x:c r="B203" t="str">
        <x:v>PRY. SCHOOL NAGLA PADAM SINGH R.NO. 1</x:v>
      </x:c>
      <x:c r="C203" t="n">
        <x:v>575</x:v>
      </x:c>
      <x:c r="D203" t="n">
        <x:v>447</x:v>
      </x:c>
      <x:c r="E203" t="n">
        <x:f>SUM(H203:T203)</x:f>
        <x:v>446</x:v>
      </x:c>
      <x:c r="F203" t="n">
        <x:v>1</x:v>
      </x:c>
      <x:c r="G203" s="50" t="n">
        <x:f>IF(C203="","",IFERROR(D203/C203,0))</x:f>
        <x:v>0.7773913043478261</x:v>
      </x:c>
      <x:c r="H203" s="36" t="n">
        <x:v>437</x:v>
      </x:c>
      <x:c r="I203" t="n">
        <x:v>4</x:v>
      </x:c>
      <x:c r="J203" t="n">
        <x:v>1</x:v>
      </x:c>
      <x:c r="K203" t="n">
        <x:v>1</x:v>
      </x:c>
      <x:c r="L203" t="n">
        <x:v>0</x:v>
      </x:c>
      <x:c r="M203" t="n">
        <x:v>2</x:v>
      </x:c>
      <x:c r="N203" t="n">
        <x:v>0</x:v>
      </x:c>
      <x:c r="O203" t="n">
        <x:v>0</x:v>
      </x:c>
      <x:c r="P203" t="n">
        <x:v>0</x:v>
      </x:c>
      <x:c r="Q203" t="n">
        <x:v>1</x:v>
      </x:c>
      <x:c r="R203" t="n">
        <x:v>0</x:v>
      </x:c>
      <x:c r="S203" t="n">
        <x:v>0</x:v>
      </x:c>
      <x:c r="T203" t="n">
        <x:v>0</x:v>
      </x:c>
      <x:c r="U203" s="50" t="n">
        <x:f>IF(D203=0,"",H203/D203)</x:f>
        <x:v>0.9776286353467561</x:v>
      </x:c>
      <x:c r="V203" t="n">
        <x:f>MAX(I203:T203)</x:f>
        <x:v>4</x:v>
      </x:c>
      <x:c r="W203" t="n">
        <x:f>H203-V203</x:f>
        <x:v>433</x:v>
      </x:c>
      <x:c r="X203" s="52" t="n">
        <x:f>IF(D203=0,"",(W203)/D203)</x:f>
        <x:v>0.9686800894854586</x:v>
      </x:c>
      <x:c r="Y203" t="str">
        <x:v>SATVEER</x:v>
      </x:c>
      <x:c r="Z203" t="n">
        <x:f>D203-E203-F203</x:f>
        <x:v>0</x:v>
      </x:c>
    </x:row>
    <x:row r="204">
      <x:c r="A204" t="n">
        <x:v>196</x:v>
      </x:c>
      <x:c r="B204" t="str">
        <x:v>PRY. SCHOOL NAGLA SHRI GOPAL R.NO. 1</x:v>
      </x:c>
      <x:c r="C204" t="n">
        <x:v>704</x:v>
      </x:c>
      <x:c r="D204" t="n">
        <x:v>546</x:v>
      </x:c>
      <x:c r="E204" t="n">
        <x:f>SUM(H204:T204)</x:f>
        <x:v>545</x:v>
      </x:c>
      <x:c r="F204" t="n">
        <x:v>1</x:v>
      </x:c>
      <x:c r="G204" s="50" t="n">
        <x:f>IF(C204="","",IFERROR(D204/C204,0))</x:f>
        <x:v>0.7755681818181818</x:v>
      </x:c>
      <x:c r="H204" s="36" t="n">
        <x:v>430</x:v>
      </x:c>
      <x:c r="I204" t="n">
        <x:v>104</x:v>
      </x:c>
      <x:c r="J204" t="n">
        <x:v>3</x:v>
      </x:c>
      <x:c r="K204" t="n">
        <x:v>0</x:v>
      </x:c>
      <x:c r="L204" t="n">
        <x:v>1</x:v>
      </x:c>
      <x:c r="M204" t="n">
        <x:v>3</x:v>
      </x:c>
      <x:c r="N204" t="n">
        <x:v>0</x:v>
      </x:c>
      <x:c r="O204" t="n">
        <x:v>1</x:v>
      </x:c>
      <x:c r="P204" t="n">
        <x:v>0</x:v>
      </x:c>
      <x:c r="Q204" t="n">
        <x:v>1</x:v>
      </x:c>
      <x:c r="R204" t="n">
        <x:v>0</x:v>
      </x:c>
      <x:c r="S204" t="n">
        <x:v>2</x:v>
      </x:c>
      <x:c r="T204" t="n">
        <x:v>0</x:v>
      </x:c>
      <x:c r="U204" s="50" t="n">
        <x:f>IF(D204=0,"",H204/D204)</x:f>
        <x:v>0.7875457875457875</x:v>
      </x:c>
      <x:c r="V204" t="n">
        <x:f>MAX(I204:T204)</x:f>
        <x:v>104</x:v>
      </x:c>
      <x:c r="W204" t="n">
        <x:f>H204-V204</x:f>
        <x:v>326</x:v>
      </x:c>
      <x:c r="X204" s="52" t="n">
        <x:f>IF(D204=0,"",(W204)/D204)</x:f>
        <x:v>0.5970695970695971</x:v>
      </x:c>
      <x:c r="Y204" t="str">
        <x:v>SATVEER</x:v>
      </x:c>
      <x:c r="Z204" t="n">
        <x:f>D204-E204-F204</x:f>
        <x:v>0</x:v>
      </x:c>
    </x:row>
    <x:row r="205">
      <x:c r="A205" t="n">
        <x:v>197</x:v>
      </x:c>
      <x:c r="B205" t="str">
        <x:v>PRY. SCHOOL PACHOKARA R.NO. 1</x:v>
      </x:c>
      <x:c r="C205" t="n">
        <x:v>950</x:v>
      </x:c>
      <x:c r="D205" t="n">
        <x:v>502</x:v>
      </x:c>
      <x:c r="E205" t="n">
        <x:f>SUM(H205:T205)</x:f>
        <x:v>499</x:v>
      </x:c>
      <x:c r="F205" t="n">
        <x:v>3</x:v>
      </x:c>
      <x:c r="G205" s="50" t="n">
        <x:f>IF(C205="","",IFERROR(D205/C205,0))</x:f>
        <x:v>0.5284210526315789</x:v>
      </x:c>
      <x:c r="H205" s="36" t="n">
        <x:v>197</x:v>
      </x:c>
      <x:c r="I205" t="n">
        <x:v>293</x:v>
      </x:c>
      <x:c r="J205" t="n">
        <x:v>5</x:v>
      </x:c>
      <x:c r="K205" t="n">
        <x:v>1</x:v>
      </x:c>
      <x:c r="L205" t="n">
        <x:v>0</x:v>
      </x:c>
      <x:c r="M205" t="n">
        <x:v>2</x:v>
      </x:c>
      <x:c r="N205" t="n">
        <x:v>0</x:v>
      </x:c>
      <x:c r="O205" t="n">
        <x:v>0</x:v>
      </x:c>
      <x:c r="P205" t="n">
        <x:v>0</x:v>
      </x:c>
      <x:c r="Q205" t="n">
        <x:v>1</x:v>
      </x:c>
      <x:c r="R205" t="n">
        <x:v>0</x:v>
      </x:c>
      <x:c r="S205" t="n">
        <x:v>0</x:v>
      </x:c>
      <x:c r="T205" t="n">
        <x:v>0</x:v>
      </x:c>
      <x:c r="U205" s="50" t="n">
        <x:f>IF(D205=0,"",H205/D205)</x:f>
        <x:v>0.39243027888446214</x:v>
      </x:c>
      <x:c r="V205" t="n">
        <x:f>MAX(I205:T205)</x:f>
        <x:v>293</x:v>
      </x:c>
      <x:c r="W205" t="n">
        <x:f>H205-V205</x:f>
        <x:v>-96</x:v>
      </x:c>
      <x:c r="X205" s="52" t="n">
        <x:f>IF(D205=0,"",(W205)/D205)</x:f>
        <x:v>-0.19123505976095617</x:v>
      </x:c>
      <x:c r="Y205" t="str">
        <x:v>DR. MAHESH SHARMA</x:v>
      </x:c>
      <x:c r="Z205" t="n">
        <x:f>D205-E205-F205</x:f>
        <x:v>0</x:v>
      </x:c>
    </x:row>
    <x:row r="206">
      <x:c r="A206" t="n">
        <x:v>198</x:v>
      </x:c>
      <x:c r="B206" t="str">
        <x:v>PRY. SCHOOL UTRAWALI R.NO. 1</x:v>
      </x:c>
      <x:c r="C206" t="n">
        <x:v>1233</x:v>
      </x:c>
      <x:c r="D206" t="n">
        <x:v>888</x:v>
      </x:c>
      <x:c r="E206" t="n">
        <x:f>SUM(H206:T206)</x:f>
        <x:v>887</x:v>
      </x:c>
      <x:c r="F206" t="n">
        <x:v>1</x:v>
      </x:c>
      <x:c r="G206" s="50" t="n">
        <x:f>IF(C206="","",IFERROR(D206/C206,0))</x:f>
        <x:v>0.7201946472019465</x:v>
      </x:c>
      <x:c r="H206" s="36" t="n">
        <x:v>541</x:v>
      </x:c>
      <x:c r="I206" t="n">
        <x:v>329</x:v>
      </x:c>
      <x:c r="J206" t="n">
        <x:v>5</x:v>
      </x:c>
      <x:c r="K206" t="n">
        <x:v>4</x:v>
      </x:c>
      <x:c r="L206" t="n">
        <x:v>0</x:v>
      </x:c>
      <x:c r="M206" t="n">
        <x:v>4</x:v>
      </x:c>
      <x:c r="N206" t="n">
        <x:v>0</x:v>
      </x:c>
      <x:c r="O206" t="n">
        <x:v>0</x:v>
      </x:c>
      <x:c r="P206" t="n">
        <x:v>0</x:v>
      </x:c>
      <x:c r="Q206" t="n">
        <x:v>1</x:v>
      </x:c>
      <x:c r="R206" t="n">
        <x:v>0</x:v>
      </x:c>
      <x:c r="S206" t="n">
        <x:v>3</x:v>
      </x:c>
      <x:c r="T206" t="n">
        <x:v>0</x:v>
      </x:c>
      <x:c r="U206" s="50" t="n">
        <x:f>IF(D206=0,"",H206/D206)</x:f>
        <x:v>0.6092342342342343</x:v>
      </x:c>
      <x:c r="V206" t="n">
        <x:f>MAX(I206:T206)</x:f>
        <x:v>329</x:v>
      </x:c>
      <x:c r="W206" t="n">
        <x:f>H206-V206</x:f>
        <x:v>212</x:v>
      </x:c>
      <x:c r="X206" s="52" t="n">
        <x:f>IF(D206=0,"",(W206)/D206)</x:f>
        <x:v>0.23873873873873874</x:v>
      </x:c>
      <x:c r="Y206" t="str">
        <x:v>SATVEER</x:v>
      </x:c>
      <x:c r="Z206" t="n">
        <x:f>D206-E206-F206</x:f>
        <x:v>0</x:v>
      </x:c>
    </x:row>
    <x:row r="207">
      <x:c r="A207" t="n">
        <x:v>199</x:v>
      </x:c>
      <x:c r="B207" t="str">
        <x:v>PRY. SCHOOL RASULPUR IKBAIL R.NO. 1</x:v>
      </x:c>
      <x:c r="C207" t="n">
        <x:v>170</x:v>
      </x:c>
      <x:c r="D207" t="n">
        <x:v>106</x:v>
      </x:c>
      <x:c r="E207" t="n">
        <x:f>SUM(H207:T207)</x:f>
        <x:v>105</x:v>
      </x:c>
      <x:c r="F207" t="n">
        <x:v>1</x:v>
      </x:c>
      <x:c r="G207" s="50" t="n">
        <x:f>IF(C207="","",IFERROR(D207/C207,0))</x:f>
        <x:v>0.6235294117647059</x:v>
      </x:c>
      <x:c r="H207" s="36" t="n">
        <x:v>6</x:v>
      </x:c>
      <x:c r="I207" t="n">
        <x:v>97</x:v>
      </x:c>
      <x:c r="J207" t="n">
        <x:v>2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s="50" t="n">
        <x:f>IF(D207=0,"",H207/D207)</x:f>
        <x:v>0.05660377358490566</x:v>
      </x:c>
      <x:c r="V207" t="n">
        <x:f>MAX(I207:T207)</x:f>
        <x:v>97</x:v>
      </x:c>
      <x:c r="W207" t="n">
        <x:f>H207-V207</x:f>
        <x:v>-91</x:v>
      </x:c>
      <x:c r="X207" s="52" t="n">
        <x:f>IF(D207=0,"",(W207)/D207)</x:f>
        <x:v>-0.8584905660377359</x:v>
      </x:c>
      <x:c r="Y207" t="str">
        <x:v>DR. MAHESH SHARMA</x:v>
      </x:c>
      <x:c r="Z207" t="n">
        <x:f>D207-E207-F207</x:f>
        <x:v>0</x:v>
      </x:c>
    </x:row>
    <x:row r="208">
      <x:c r="A208" t="n">
        <x:v>200</x:v>
      </x:c>
      <x:c r="B208" t="str">
        <x:v>PRY. SCHOOL MOHAMMADPUR JADON R.NO. 1</x:v>
      </x:c>
      <x:c r="C208" t="n">
        <x:v>1020</x:v>
      </x:c>
      <x:c r="D208" t="n">
        <x:v>703</x:v>
      </x:c>
      <x:c r="E208" t="n">
        <x:f>SUM(H208:T208)</x:f>
        <x:v>702</x:v>
      </x:c>
      <x:c r="F208" t="n">
        <x:v>1</x:v>
      </x:c>
      <x:c r="G208" s="50" t="n">
        <x:f>IF(C208="","",IFERROR(D208/C208,0))</x:f>
        <x:v>0.6892156862745098</x:v>
      </x:c>
      <x:c r="H208" s="36" t="n">
        <x:v>543</x:v>
      </x:c>
      <x:c r="I208" t="n">
        <x:v>150</x:v>
      </x:c>
      <x:c r="J208" t="n">
        <x:v>4</x:v>
      </x:c>
      <x:c r="K208" t="n">
        <x:v>2</x:v>
      </x:c>
      <x:c r="L208" t="n">
        <x:v>1</x:v>
      </x:c>
      <x:c r="M208" t="n">
        <x:v>1</x:v>
      </x:c>
      <x:c r="N208" t="n">
        <x:v>0</x:v>
      </x:c>
      <x:c r="O208" t="n">
        <x:v>0</x:v>
      </x:c>
      <x:c r="P208" t="n">
        <x:v>0</x:v>
      </x:c>
      <x:c r="Q208" t="n">
        <x:v>1</x:v>
      </x:c>
      <x:c r="R208" t="n">
        <x:v>0</x:v>
      </x:c>
      <x:c r="S208" t="n">
        <x:v>0</x:v>
      </x:c>
      <x:c r="T208" t="n">
        <x:v>0</x:v>
      </x:c>
      <x:c r="U208" s="50" t="n">
        <x:f>IF(D208=0,"",H208/D208)</x:f>
        <x:v>0.7724039829302988</x:v>
      </x:c>
      <x:c r="V208" t="n">
        <x:f>MAX(I208:T208)</x:f>
        <x:v>150</x:v>
      </x:c>
      <x:c r="W208" t="n">
        <x:f>H208-V208</x:f>
        <x:v>393</x:v>
      </x:c>
      <x:c r="X208" s="52" t="n">
        <x:f>IF(D208=0,"",(W208)/D208)</x:f>
        <x:v>0.5590327169274538</x:v>
      </x:c>
      <x:c r="Y208" t="str">
        <x:v>SATVEER</x:v>
      </x:c>
      <x:c r="Z208" t="n">
        <x:f>D208-E208-F208</x:f>
        <x:v>0</x:v>
      </x:c>
    </x:row>
    <x:row r="209">
      <x:c r="A209" t="n">
        <x:v>201</x:v>
      </x:c>
      <x:c r="B209" t="str">
        <x:v>PRY. SCHOOL MOHAMMADPUR JADON R.NO. 2</x:v>
      </x:c>
      <x:c r="C209" t="n">
        <x:v>467</x:v>
      </x:c>
      <x:c r="D209" t="n">
        <x:v>338</x:v>
      </x:c>
      <x:c r="E209" t="n">
        <x:f>SUM(H209:T209)</x:f>
        <x:v>337</x:v>
      </x:c>
      <x:c r="F209" t="n">
        <x:v>1</x:v>
      </x:c>
      <x:c r="G209" s="50" t="n">
        <x:f>IF(C209="","",IFERROR(D209/C209,0))</x:f>
        <x:v>0.7237687366167024</x:v>
      </x:c>
      <x:c r="H209" s="36" t="n">
        <x:v>24</x:v>
      </x:c>
      <x:c r="I209" t="n">
        <x:v>309</x:v>
      </x:c>
      <x:c r="J209" t="n">
        <x:v>3</x:v>
      </x:c>
      <x:c r="K209" t="n">
        <x:v>1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s="50" t="n">
        <x:f>IF(D209=0,"",H209/D209)</x:f>
        <x:v>0.07100591715976332</x:v>
      </x:c>
      <x:c r="V209" t="n">
        <x:f>MAX(I209:T209)</x:f>
        <x:v>309</x:v>
      </x:c>
      <x:c r="W209" t="n">
        <x:f>H209-V209</x:f>
        <x:v>-285</x:v>
      </x:c>
      <x:c r="X209" s="52" t="n">
        <x:f>IF(D209=0,"",(W209)/D209)</x:f>
        <x:v>-0.8431952662721893</x:v>
      </x:c>
      <x:c r="Y209" t="str">
        <x:v>DR. MAHESH SHARMA</x:v>
      </x:c>
      <x:c r="Z209" t="n">
        <x:f>D209-E209-F209</x:f>
        <x:v>0</x:v>
      </x:c>
    </x:row>
    <x:row r="210">
      <x:c r="A210" t="n">
        <x:v>202</x:v>
      </x:c>
      <x:c r="B210" t="str">
        <x:v>PRY. SCHOOL DOOGALI R.NO. 1</x:v>
      </x:c>
      <x:c r="C210" t="n">
        <x:v>652</x:v>
      </x:c>
      <x:c r="D210" t="n">
        <x:v>542</x:v>
      </x:c>
      <x:c r="E210" t="n">
        <x:f>SUM(H210:T210)</x:f>
        <x:v>536</x:v>
      </x:c>
      <x:c r="F210" t="n">
        <x:v>6</x:v>
      </x:c>
      <x:c r="G210" s="50" t="n">
        <x:f>IF(C210="","",IFERROR(D210/C210,0))</x:f>
        <x:v>0.8312883435582822</x:v>
      </x:c>
      <x:c r="H210" s="36" t="n">
        <x:v>275</x:v>
      </x:c>
      <x:c r="I210" t="n">
        <x:v>251</x:v>
      </x:c>
      <x:c r="J210" t="n">
        <x:v>5</x:v>
      </x:c>
      <x:c r="K210" t="n">
        <x:v>2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1</x:v>
      </x:c>
      <x:c r="R210" t="n">
        <x:v>2</x:v>
      </x:c>
      <x:c r="S210" t="n">
        <x:v>0</x:v>
      </x:c>
      <x:c r="T210" t="n">
        <x:v>0</x:v>
      </x:c>
      <x:c r="U210" s="50" t="n">
        <x:f>IF(D210=0,"",H210/D210)</x:f>
        <x:v>0.507380073800738</x:v>
      </x:c>
      <x:c r="V210" t="n">
        <x:f>MAX(I210:T210)</x:f>
        <x:v>251</x:v>
      </x:c>
      <x:c r="W210" t="n">
        <x:f>H210-V210</x:f>
        <x:v>24</x:v>
      </x:c>
      <x:c r="X210" s="52" t="n">
        <x:f>IF(D210=0,"",(W210)/D210)</x:f>
        <x:v>0.04428044280442804</x:v>
      </x:c>
      <x:c r="Y210" t="str">
        <x:v>SATVEER</x:v>
      </x:c>
      <x:c r="Z210" t="n">
        <x:f>D210-E210-F210</x:f>
        <x:v>0</x:v>
      </x:c>
    </x:row>
    <x:row r="211">
      <x:c r="A211" t="n">
        <x:v>203</x:v>
      </x:c>
      <x:c r="B211" t="str">
        <x:v>PRY. SCHOOL HAZIPUR R.NO. 1</x:v>
      </x:c>
      <x:c r="C211" t="n">
        <x:v>336</x:v>
      </x:c>
      <x:c r="D211" t="n">
        <x:v>215</x:v>
      </x:c>
      <x:c r="E211" t="n">
        <x:f>SUM(H211:T211)</x:f>
        <x:v>215</x:v>
      </x:c>
      <x:c r="F211" t="n">
        <x:v>0</x:v>
      </x:c>
      <x:c r="G211" s="50" t="n">
        <x:f>IF(C211="","",IFERROR(D211/C211,0))</x:f>
        <x:v>0.6398809523809523</x:v>
      </x:c>
      <x:c r="H211" s="36" t="n">
        <x:v>80</x:v>
      </x:c>
      <x:c r="I211" t="n">
        <x:v>133</x:v>
      </x:c>
      <x:c r="J211" t="n">
        <x:v>1</x:v>
      </x:c>
      <x:c r="K211" t="n">
        <x:v>0</x:v>
      </x:c>
      <x:c r="L211" t="n">
        <x:v>0</x:v>
      </x:c>
      <x:c r="M211" t="n">
        <x:v>1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s="50" t="n">
        <x:f>IF(D211=0,"",H211/D211)</x:f>
        <x:v>0.37209302325581395</x:v>
      </x:c>
      <x:c r="V211" t="n">
        <x:f>MAX(I211:T211)</x:f>
        <x:v>133</x:v>
      </x:c>
      <x:c r="W211" t="n">
        <x:f>H211-V211</x:f>
        <x:v>-53</x:v>
      </x:c>
      <x:c r="X211" s="52" t="n">
        <x:f>IF(D211=0,"",(W211)/D211)</x:f>
        <x:v>-0.24651162790697675</x:v>
      </x:c>
      <x:c r="Y211" t="str">
        <x:v>DR. MAHESH SHARMA</x:v>
      </x:c>
      <x:c r="Z211" t="n">
        <x:f>D211-E211-F211</x:f>
        <x:v>0</x:v>
      </x:c>
    </x:row>
    <x:row r="212">
      <x:c r="A212" t="n">
        <x:v>204</x:v>
      </x:c>
      <x:c r="B212" t="str">
        <x:v>INTER COLLEGE T.A. RABUPURA R.NO. 1</x:v>
      </x:c>
      <x:c r="C212" t="n">
        <x:v>706</x:v>
      </x:c>
      <x:c r="D212" t="n">
        <x:v>442</x:v>
      </x:c>
      <x:c r="E212" t="n">
        <x:f>SUM(H212:T212)</x:f>
        <x:v>440</x:v>
      </x:c>
      <x:c r="F212" t="n">
        <x:v>2</x:v>
      </x:c>
      <x:c r="G212" s="50" t="n">
        <x:f>IF(C212="","",IFERROR(D212/C212,0))</x:f>
        <x:v>0.6260623229461756</x:v>
      </x:c>
      <x:c r="H212" s="36" t="n">
        <x:v>239</x:v>
      </x:c>
      <x:c r="I212" t="n">
        <x:v>179</x:v>
      </x:c>
      <x:c r="J212" t="n">
        <x:v>12</x:v>
      </x:c>
      <x:c r="K212" t="n">
        <x:v>1</x:v>
      </x:c>
      <x:c r="L212" t="n">
        <x:v>1</x:v>
      </x:c>
      <x:c r="M212" t="n">
        <x:v>1</x:v>
      </x:c>
      <x:c r="N212" t="n">
        <x:v>1</x:v>
      </x:c>
      <x:c r="O212" t="n">
        <x:v>4</x:v>
      </x:c>
      <x:c r="P212" t="n">
        <x:v>0</x:v>
      </x:c>
      <x:c r="Q212" t="n">
        <x:v>0</x:v>
      </x:c>
      <x:c r="R212" t="n">
        <x:v>1</x:v>
      </x:c>
      <x:c r="S212" t="n">
        <x:v>0</x:v>
      </x:c>
      <x:c r="T212" t="n">
        <x:v>1</x:v>
      </x:c>
      <x:c r="U212" s="50" t="n">
        <x:f>IF(D212=0,"",H212/D212)</x:f>
        <x:v>0.5407239819004525</x:v>
      </x:c>
      <x:c r="V212" t="n">
        <x:f>MAX(I212:T212)</x:f>
        <x:v>179</x:v>
      </x:c>
      <x:c r="W212" t="n">
        <x:f>H212-V212</x:f>
        <x:v>60</x:v>
      </x:c>
      <x:c r="X212" s="52" t="n">
        <x:f>IF(D212=0,"",(W212)/D212)</x:f>
        <x:v>0.13574660633484162</x:v>
      </x:c>
      <x:c r="Y212" t="str">
        <x:v>SATVEER</x:v>
      </x:c>
      <x:c r="Z212" t="n">
        <x:f>D212-E212-F212</x:f>
        <x:v>0</x:v>
      </x:c>
    </x:row>
    <x:row r="213">
      <x:c r="A213" t="n">
        <x:v>205</x:v>
      </x:c>
      <x:c r="B213" t="str">
        <x:v>INTER COLLEGE T.A. RABUPURA R.NO. 2</x:v>
      </x:c>
      <x:c r="C213" t="n">
        <x:v>764</x:v>
      </x:c>
      <x:c r="D213" t="n">
        <x:v>372</x:v>
      </x:c>
      <x:c r="E213" t="n">
        <x:f>SUM(H213:T213)</x:f>
        <x:v>371</x:v>
      </x:c>
      <x:c r="F213" t="n">
        <x:v>1</x:v>
      </x:c>
      <x:c r="G213" s="50" t="n">
        <x:f>IF(C213="","",IFERROR(D213/C213,0))</x:f>
        <x:v>0.4869109947643979</x:v>
      </x:c>
      <x:c r="H213" s="36" t="n">
        <x:v>295</x:v>
      </x:c>
      <x:c r="I213" t="n">
        <x:v>69</x:v>
      </x:c>
      <x:c r="J213" t="n">
        <x:v>1</x:v>
      </x:c>
      <x:c r="K213" t="n">
        <x:v>0</x:v>
      </x:c>
      <x:c r="L213" t="n">
        <x:v>0</x:v>
      </x:c>
      <x:c r="M213" t="n">
        <x:v>2</x:v>
      </x:c>
      <x:c r="N213" t="n">
        <x:v>2</x:v>
      </x:c>
      <x:c r="O213" t="n">
        <x:v>0</x:v>
      </x:c>
      <x:c r="P213" t="n">
        <x:v>0</x:v>
      </x:c>
      <x:c r="Q213" t="n">
        <x:v>0</x:v>
      </x:c>
      <x:c r="R213" t="n">
        <x:v>1</x:v>
      </x:c>
      <x:c r="S213" t="n">
        <x:v>1</x:v>
      </x:c>
      <x:c r="T213" t="n">
        <x:v>0</x:v>
      </x:c>
      <x:c r="U213" s="50" t="n">
        <x:f>IF(D213=0,"",H213/D213)</x:f>
        <x:v>0.793010752688172</x:v>
      </x:c>
      <x:c r="V213" t="n">
        <x:f>MAX(I213:T213)</x:f>
        <x:v>69</x:v>
      </x:c>
      <x:c r="W213" t="n">
        <x:f>H213-V213</x:f>
        <x:v>226</x:v>
      </x:c>
      <x:c r="X213" s="52" t="n">
        <x:f>IF(D213=0,"",(W213)/D213)</x:f>
        <x:v>0.6075268817204301</x:v>
      </x:c>
      <x:c r="Y213" t="str">
        <x:v>SATVEER</x:v>
      </x:c>
      <x:c r="Z213" t="n">
        <x:f>D213-E213-F213</x:f>
        <x:v>0</x:v>
      </x:c>
    </x:row>
    <x:row r="214">
      <x:c r="A214" t="n">
        <x:v>206</x:v>
      </x:c>
      <x:c r="B214" t="str">
        <x:v>INTER COLLEGE T.A. RABUPURA R.NO. 3</x:v>
      </x:c>
      <x:c r="C214" t="n">
        <x:v>652</x:v>
      </x:c>
      <x:c r="D214" t="n">
        <x:v>399</x:v>
      </x:c>
      <x:c r="E214" t="n">
        <x:f>SUM(H214:T214)</x:f>
        <x:v>396</x:v>
      </x:c>
      <x:c r="F214" t="n">
        <x:v>3</x:v>
      </x:c>
      <x:c r="G214" s="50" t="n">
        <x:f>IF(C214="","",IFERROR(D214/C214,0))</x:f>
        <x:v>0.6119631901840491</x:v>
      </x:c>
      <x:c r="H214" s="36" t="n">
        <x:v>378</x:v>
      </x:c>
      <x:c r="I214" t="n">
        <x:v>12</x:v>
      </x:c>
      <x:c r="J214" t="n">
        <x:v>1</x:v>
      </x:c>
      <x:c r="K214" t="n">
        <x:v>1</x:v>
      </x:c>
      <x:c r="L214" t="n">
        <x:v>0</x:v>
      </x:c>
      <x:c r="M214" t="n">
        <x:v>2</x:v>
      </x:c>
      <x:c r="N214" t="n">
        <x:v>1</x:v>
      </x:c>
      <x:c r="O214" t="n">
        <x:v>0</x:v>
      </x:c>
      <x:c r="P214" t="n">
        <x:v>0</x:v>
      </x:c>
      <x:c r="Q214" t="n">
        <x:v>1</x:v>
      </x:c>
      <x:c r="R214" t="n">
        <x:v>0</x:v>
      </x:c>
      <x:c r="S214" t="n">
        <x:v>0</x:v>
      </x:c>
      <x:c r="T214" t="n">
        <x:v>0</x:v>
      </x:c>
      <x:c r="U214" s="50" t="n">
        <x:f>IF(D214=0,"",H214/D214)</x:f>
        <x:v>0.9473684210526315</x:v>
      </x:c>
      <x:c r="V214" t="n">
        <x:f>MAX(I214:T214)</x:f>
        <x:v>12</x:v>
      </x:c>
      <x:c r="W214" t="n">
        <x:f>H214-V214</x:f>
        <x:v>366</x:v>
      </x:c>
      <x:c r="X214" s="52" t="n">
        <x:f>IF(D214=0,"",(W214)/D214)</x:f>
        <x:v>0.9172932330827067</x:v>
      </x:c>
      <x:c r="Y214" t="str">
        <x:v>SATVEER</x:v>
      </x:c>
      <x:c r="Z214" t="n">
        <x:f>D214-E214-F214</x:f>
        <x:v>0</x:v>
      </x:c>
    </x:row>
    <x:row r="215">
      <x:c r="A215" t="n">
        <x:v>207</x:v>
      </x:c>
      <x:c r="B215" t="str">
        <x:v>INTER COLLEGE T.A. RABUPURA R.NO. 4</x:v>
      </x:c>
      <x:c r="C215" t="n">
        <x:v>1018</x:v>
      </x:c>
      <x:c r="D215" t="n">
        <x:v>531</x:v>
      </x:c>
      <x:c r="E215" t="n">
        <x:f>SUM(H215:T215)</x:f>
        <x:v>527</x:v>
      </x:c>
      <x:c r="F215" t="n">
        <x:v>4</x:v>
      </x:c>
      <x:c r="G215" s="50" t="n">
        <x:f>IF(C215="","",IFERROR(D215/C215,0))</x:f>
        <x:v>0.5216110019646365</x:v>
      </x:c>
      <x:c r="H215" s="36" t="n">
        <x:v>361</x:v>
      </x:c>
      <x:c r="I215" t="n">
        <x:v>146</x:v>
      </x:c>
      <x:c r="J215" t="n">
        <x:v>6</x:v>
      </x:c>
      <x:c r="K215" t="n">
        <x:v>3</x:v>
      </x:c>
      <x:c r="L215" t="n">
        <x:v>2</x:v>
      </x:c>
      <x:c r="M215" t="n">
        <x:v>4</x:v>
      </x:c>
      <x:c r="N215" t="n">
        <x:v>0</x:v>
      </x:c>
      <x:c r="O215" t="n">
        <x:v>1</x:v>
      </x:c>
      <x:c r="P215" t="n">
        <x:v>0</x:v>
      </x:c>
      <x:c r="Q215" t="n">
        <x:v>2</x:v>
      </x:c>
      <x:c r="R215" t="n">
        <x:v>2</x:v>
      </x:c>
      <x:c r="S215" t="n">
        <x:v>0</x:v>
      </x:c>
      <x:c r="T215" t="n">
        <x:v>0</x:v>
      </x:c>
      <x:c r="U215" s="50" t="n">
        <x:f>IF(D215=0,"",H215/D215)</x:f>
        <x:v>0.67984934086629</x:v>
      </x:c>
      <x:c r="V215" t="n">
        <x:f>MAX(I215:T215)</x:f>
        <x:v>146</x:v>
      </x:c>
      <x:c r="W215" t="n">
        <x:f>H215-V215</x:f>
        <x:v>215</x:v>
      </x:c>
      <x:c r="X215" s="52" t="n">
        <x:f>IF(D215=0,"",(W215)/D215)</x:f>
        <x:v>0.4048964218455744</x:v>
      </x:c>
      <x:c r="Y215" t="str">
        <x:v>SATVEER</x:v>
      </x:c>
      <x:c r="Z215" t="n">
        <x:f>D215-E215-F215</x:f>
        <x:v>0</x:v>
      </x:c>
    </x:row>
    <x:row r="216">
      <x:c r="A216" t="n">
        <x:v>208</x:v>
      </x:c>
      <x:c r="B216" t="str">
        <x:v>INTER COLLEGE T.A. RABUPURA R.NO. 5</x:v>
      </x:c>
      <x:c r="C216" t="n">
        <x:v>668</x:v>
      </x:c>
      <x:c r="D216" t="n">
        <x:v>329</x:v>
      </x:c>
      <x:c r="E216" t="n">
        <x:f>SUM(H216:T216)</x:f>
        <x:v>328</x:v>
      </x:c>
      <x:c r="F216" t="n">
        <x:v>1</x:v>
      </x:c>
      <x:c r="G216" s="50" t="n">
        <x:f>IF(C216="","",IFERROR(D216/C216,0))</x:f>
        <x:v>0.49251497005988026</x:v>
      </x:c>
      <x:c r="H216" s="36" t="n">
        <x:v>73</x:v>
      </x:c>
      <x:c r="I216" t="n">
        <x:v>248</x:v>
      </x:c>
      <x:c r="J216" t="n">
        <x:v>6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1</x:v>
      </x:c>
      <x:c r="R216" t="n">
        <x:v>0</x:v>
      </x:c>
      <x:c r="S216" t="n">
        <x:v>0</x:v>
      </x:c>
      <x:c r="T216" t="n">
        <x:v>0</x:v>
      </x:c>
      <x:c r="U216" s="50" t="n">
        <x:f>IF(D216=0,"",H216/D216)</x:f>
        <x:v>0.22188449848024316</x:v>
      </x:c>
      <x:c r="V216" t="n">
        <x:f>MAX(I216:T216)</x:f>
        <x:v>248</x:v>
      </x:c>
      <x:c r="W216" t="n">
        <x:f>H216-V216</x:f>
        <x:v>-175</x:v>
      </x:c>
      <x:c r="X216" s="52" t="n">
        <x:f>IF(D216=0,"",(W216)/D216)</x:f>
        <x:v>-0.5319148936170213</x:v>
      </x:c>
      <x:c r="Y216" t="str">
        <x:v>DR. MAHESH SHARMA</x:v>
      </x:c>
      <x:c r="Z216" t="n">
        <x:f>D216-E216-F216</x:f>
        <x:v>0</x:v>
      </x:c>
    </x:row>
    <x:row r="217">
      <x:c r="A217" t="n">
        <x:v>209</x:v>
      </x:c>
      <x:c r="B217" t="str">
        <x:v>INTER COLLEGE T.A. RABUPURA R.NO. 6</x:v>
      </x:c>
      <x:c r="C217" t="n">
        <x:v>670</x:v>
      </x:c>
      <x:c r="D217" t="n">
        <x:v>306</x:v>
      </x:c>
      <x:c r="E217" t="n">
        <x:f>SUM(H217:T217)</x:f>
        <x:v>303</x:v>
      </x:c>
      <x:c r="F217" t="n">
        <x:v>3</x:v>
      </x:c>
      <x:c r="G217" s="50" t="n">
        <x:f>IF(C217="","",IFERROR(D217/C217,0))</x:f>
        <x:v>0.45671641791044776</x:v>
      </x:c>
      <x:c r="H217" s="36" t="n">
        <x:v>164</x:v>
      </x:c>
      <x:c r="I217" t="n">
        <x:v>119</x:v>
      </x:c>
      <x:c r="J217" t="n">
        <x:v>7</x:v>
      </x:c>
      <x:c r="K217" t="n">
        <x:v>3</x:v>
      </x:c>
      <x:c r="L217" t="n">
        <x:v>3</x:v>
      </x:c>
      <x:c r="M217" t="n">
        <x:v>1</x:v>
      </x:c>
      <x:c r="N217" t="n">
        <x:v>0</x:v>
      </x:c>
      <x:c r="O217" t="n">
        <x:v>1</x:v>
      </x:c>
      <x:c r="P217" t="n">
        <x:v>2</x:v>
      </x:c>
      <x:c r="Q217" t="n">
        <x:v>1</x:v>
      </x:c>
      <x:c r="R217" t="n">
        <x:v>1</x:v>
      </x:c>
      <x:c r="S217" t="n">
        <x:v>0</x:v>
      </x:c>
      <x:c r="T217" t="n">
        <x:v>1</x:v>
      </x:c>
      <x:c r="U217" s="50" t="n">
        <x:f>IF(D217=0,"",H217/D217)</x:f>
        <x:v>0.5359477124183006</x:v>
      </x:c>
      <x:c r="V217" t="n">
        <x:f>MAX(I217:T217)</x:f>
        <x:v>119</x:v>
      </x:c>
      <x:c r="W217" t="n">
        <x:f>H217-V217</x:f>
        <x:v>45</x:v>
      </x:c>
      <x:c r="X217" s="52" t="n">
        <x:f>IF(D217=0,"",(W217)/D217)</x:f>
        <x:v>0.14705882352941177</x:v>
      </x:c>
      <x:c r="Y217" t="str">
        <x:v>SATVEER</x:v>
      </x:c>
      <x:c r="Z217" t="n">
        <x:f>D217-E217-F217</x:f>
        <x:v>0</x:v>
      </x:c>
    </x:row>
    <x:row r="218">
      <x:c r="A218" t="n">
        <x:v>210</x:v>
      </x:c>
      <x:c r="B218" t="str">
        <x:v>INTER COLLEGE T.A. RABUPURA R.NO. 7</x:v>
      </x:c>
      <x:c r="C218" t="n">
        <x:v>835</x:v>
      </x:c>
      <x:c r="D218" t="n">
        <x:v>480</x:v>
      </x:c>
      <x:c r="E218" t="n">
        <x:f>SUM(H218:T218)</x:f>
        <x:v>480</x:v>
      </x:c>
      <x:c r="F218" t="n">
        <x:v>0</x:v>
      </x:c>
      <x:c r="G218" s="50" t="n">
        <x:f>IF(C218="","",IFERROR(D218/C218,0))</x:f>
        <x:v>0.5748502994011976</x:v>
      </x:c>
      <x:c r="H218" s="36" t="n">
        <x:v>175</x:v>
      </x:c>
      <x:c r="I218" t="n">
        <x:v>282</x:v>
      </x:c>
      <x:c r="J218" t="n">
        <x:v>16</x:v>
      </x:c>
      <x:c r="K218" t="n">
        <x:v>1</x:v>
      </x:c>
      <x:c r="L218" t="n">
        <x:v>0</x:v>
      </x:c>
      <x:c r="M218" t="n">
        <x:v>2</x:v>
      </x:c>
      <x:c r="N218" t="n">
        <x:v>1</x:v>
      </x:c>
      <x:c r="O218" t="n">
        <x:v>0</x:v>
      </x:c>
      <x:c r="P218" t="n">
        <x:v>1</x:v>
      </x:c>
      <x:c r="Q218" t="n">
        <x:v>1</x:v>
      </x:c>
      <x:c r="R218" t="n">
        <x:v>0</x:v>
      </x:c>
      <x:c r="S218" t="n">
        <x:v>1</x:v>
      </x:c>
      <x:c r="T218" t="n">
        <x:v>0</x:v>
      </x:c>
      <x:c r="U218" s="50" t="n">
        <x:f>IF(D218=0,"",H218/D218)</x:f>
        <x:v>0.3645833333333333</x:v>
      </x:c>
      <x:c r="V218" t="n">
        <x:f>MAX(I218:T218)</x:f>
        <x:v>282</x:v>
      </x:c>
      <x:c r="W218" t="n">
        <x:f>H218-V218</x:f>
        <x:v>-107</x:v>
      </x:c>
      <x:c r="X218" s="52" t="n">
        <x:f>IF(D218=0,"",(W218)/D218)</x:f>
        <x:v>-0.22291666666666668</x:v>
      </x:c>
      <x:c r="Y218" t="str">
        <x:v>DR. MAHESH SHARMA</x:v>
      </x:c>
      <x:c r="Z218" t="n">
        <x:f>D218-E218-F218</x:f>
        <x:v>0</x:v>
      </x:c>
    </x:row>
    <x:row r="219">
      <x:c r="A219" t="n">
        <x:v>211</x:v>
      </x:c>
      <x:c r="B219" t="str">
        <x:v>INTER COLLEGE T.A. RABUPURA R.NO. 8</x:v>
      </x:c>
      <x:c r="C219" t="n">
        <x:v>784</x:v>
      </x:c>
      <x:c r="D219" t="n">
        <x:v>404</x:v>
      </x:c>
      <x:c r="E219" t="n">
        <x:f>SUM(H219:T219)</x:f>
        <x:v>401</x:v>
      </x:c>
      <x:c r="F219" t="n">
        <x:v>3</x:v>
      </x:c>
      <x:c r="G219" s="50" t="n">
        <x:f>IF(C219="","",IFERROR(D219/C219,0))</x:f>
        <x:v>0.5153061224489796</x:v>
      </x:c>
      <x:c r="H219" s="36" t="n">
        <x:v>44</x:v>
      </x:c>
      <x:c r="I219" t="n">
        <x:v>337</x:v>
      </x:c>
      <x:c r="J219" t="n">
        <x:v>7</x:v>
      </x:c>
      <x:c r="K219" t="n">
        <x:v>2</x:v>
      </x:c>
      <x:c r="L219" t="n">
        <x:v>0</x:v>
      </x:c>
      <x:c r="M219" t="n">
        <x:v>3</x:v>
      </x:c>
      <x:c r="N219" t="n">
        <x:v>0</x:v>
      </x:c>
      <x:c r="O219" t="n">
        <x:v>0</x:v>
      </x:c>
      <x:c r="P219" t="n">
        <x:v>3</x:v>
      </x:c>
      <x:c r="Q219" t="n">
        <x:v>2</x:v>
      </x:c>
      <x:c r="R219" t="n">
        <x:v>2</x:v>
      </x:c>
      <x:c r="S219" t="n">
        <x:v>1</x:v>
      </x:c>
      <x:c r="T219" t="n">
        <x:v>0</x:v>
      </x:c>
      <x:c r="U219" s="50" t="n">
        <x:f>IF(D219=0,"",H219/D219)</x:f>
        <x:v>0.10891089108910891</x:v>
      </x:c>
      <x:c r="V219" t="n">
        <x:f>MAX(I219:T219)</x:f>
        <x:v>337</x:v>
      </x:c>
      <x:c r="W219" t="n">
        <x:f>H219-V219</x:f>
        <x:v>-293</x:v>
      </x:c>
      <x:c r="X219" s="52" t="n">
        <x:f>IF(D219=0,"",(W219)/D219)</x:f>
        <x:v>-0.7252475247524752</x:v>
      </x:c>
      <x:c r="Y219" t="str">
        <x:v>DR. MAHESH SHARMA</x:v>
      </x:c>
      <x:c r="Z219" t="n">
        <x:f>D219-E219-F219</x:f>
        <x:v>0</x:v>
      </x:c>
    </x:row>
    <x:row r="220">
      <x:c r="A220" t="n">
        <x:v>212</x:v>
      </x:c>
      <x:c r="B220" t="str">
        <x:v>INTER COLLEGE T.A. RABUPURA R.NO. 9</x:v>
      </x:c>
      <x:c r="C220" t="n">
        <x:v>674</x:v>
      </x:c>
      <x:c r="D220" t="n">
        <x:v>346</x:v>
      </x:c>
      <x:c r="E220" t="n">
        <x:f>SUM(H220:T220)</x:f>
        <x:v>343</x:v>
      </x:c>
      <x:c r="F220" t="n">
        <x:v>3</x:v>
      </x:c>
      <x:c r="G220" s="50" t="n">
        <x:f>IF(C220="","",IFERROR(D220/C220,0))</x:f>
        <x:v>0.5133531157270029</x:v>
      </x:c>
      <x:c r="H220" s="36" t="n">
        <x:v>133</x:v>
      </x:c>
      <x:c r="I220" t="n">
        <x:v>189</x:v>
      </x:c>
      <x:c r="J220" t="n">
        <x:v>11</x:v>
      </x:c>
      <x:c r="K220" t="n">
        <x:v>1</x:v>
      </x:c>
      <x:c r="L220" t="n">
        <x:v>4</x:v>
      </x:c>
      <x:c r="M220" t="n">
        <x:v>1</x:v>
      </x:c>
      <x:c r="N220" t="n">
        <x:v>1</x:v>
      </x:c>
      <x:c r="O220" t="n">
        <x:v>1</x:v>
      </x:c>
      <x:c r="P220" t="n">
        <x:v>0</x:v>
      </x:c>
      <x:c r="Q220" t="n">
        <x:v>2</x:v>
      </x:c>
      <x:c r="R220" t="n">
        <x:v>0</x:v>
      </x:c>
      <x:c r="S220" t="n">
        <x:v>0</x:v>
      </x:c>
      <x:c r="T220" t="n">
        <x:v>0</x:v>
      </x:c>
      <x:c r="U220" s="50" t="n">
        <x:f>IF(D220=0,"",H220/D220)</x:f>
        <x:v>0.38439306358381503</x:v>
      </x:c>
      <x:c r="V220" t="n">
        <x:f>MAX(I220:T220)</x:f>
        <x:v>189</x:v>
      </x:c>
      <x:c r="W220" t="n">
        <x:f>H220-V220</x:f>
        <x:v>-56</x:v>
      </x:c>
      <x:c r="X220" s="52" t="n">
        <x:f>IF(D220=0,"",(W220)/D220)</x:f>
        <x:v>-0.16184971098265896</x:v>
      </x:c>
      <x:c r="Y220" t="str">
        <x:v>DR. MAHESH SHARMA</x:v>
      </x:c>
      <x:c r="Z220" t="n">
        <x:f>D220-E220-F220</x:f>
        <x:v>0</x:v>
      </x:c>
    </x:row>
    <x:row r="221">
      <x:c r="A221" t="n">
        <x:v>213</x:v>
      </x:c>
      <x:c r="B221" t="str">
        <x:v>INTER COLLEGE T.A. RABUPURA R.NO. 10</x:v>
      </x:c>
      <x:c r="C221" t="n">
        <x:v>665</x:v>
      </x:c>
      <x:c r="D221" t="n">
        <x:v>365</x:v>
      </x:c>
      <x:c r="E221" t="n">
        <x:f>SUM(H221:T221)</x:f>
        <x:v>359</x:v>
      </x:c>
      <x:c r="F221" t="n">
        <x:v>6</x:v>
      </x:c>
      <x:c r="G221" s="50" t="n">
        <x:f>IF(C221="","",IFERROR(D221/C221,0))</x:f>
        <x:v>0.5488721804511278</x:v>
      </x:c>
      <x:c r="H221" s="36" t="n">
        <x:v>212</x:v>
      </x:c>
      <x:c r="I221" t="n">
        <x:v>128</x:v>
      </x:c>
      <x:c r="J221" t="n">
        <x:v>9</x:v>
      </x:c>
      <x:c r="K221" t="n">
        <x:v>1</x:v>
      </x:c>
      <x:c r="L221" t="n">
        <x:v>3</x:v>
      </x:c>
      <x:c r="M221" t="n">
        <x:v>1</x:v>
      </x:c>
      <x:c r="N221" t="n">
        <x:v>0</x:v>
      </x:c>
      <x:c r="O221" t="n">
        <x:v>0</x:v>
      </x:c>
      <x:c r="P221" t="n">
        <x:v>1</x:v>
      </x:c>
      <x:c r="Q221" t="n">
        <x:v>3</x:v>
      </x:c>
      <x:c r="R221" t="n">
        <x:v>0</x:v>
      </x:c>
      <x:c r="S221" t="n">
        <x:v>0</x:v>
      </x:c>
      <x:c r="T221" t="n">
        <x:v>1</x:v>
      </x:c>
      <x:c r="U221" s="50" t="n">
        <x:f>IF(D221=0,"",H221/D221)</x:f>
        <x:v>0.5808219178082191</x:v>
      </x:c>
      <x:c r="V221" t="n">
        <x:f>MAX(I221:T221)</x:f>
        <x:v>128</x:v>
      </x:c>
      <x:c r="W221" t="n">
        <x:f>H221-V221</x:f>
        <x:v>84</x:v>
      </x:c>
      <x:c r="X221" s="52" t="n">
        <x:f>IF(D221=0,"",(W221)/D221)</x:f>
        <x:v>0.23013698630136986</x:v>
      </x:c>
      <x:c r="Y221" t="str">
        <x:v>SATVEER</x:v>
      </x:c>
      <x:c r="Z221" t="n">
        <x:f>D221-E221-F221</x:f>
        <x:v>0</x:v>
      </x:c>
    </x:row>
    <x:row r="222">
      <x:c r="A222" t="n">
        <x:v>214</x:v>
      </x:c>
      <x:c r="B222" t="str">
        <x:v>SARSWATI SHISHU MANDIR I.C. RABUPURA R. N. 1</x:v>
      </x:c>
      <x:c r="C222" t="n">
        <x:v>741</x:v>
      </x:c>
      <x:c r="D222" t="n">
        <x:v>407</x:v>
      </x:c>
      <x:c r="E222" t="n">
        <x:f>SUM(H222:T222)</x:f>
        <x:v>407</x:v>
      </x:c>
      <x:c r="F222" t="n">
        <x:v>0</x:v>
      </x:c>
      <x:c r="G222" s="50" t="n">
        <x:f>IF(C222="","",IFERROR(D222/C222,0))</x:f>
        <x:v>0.5492577597840755</x:v>
      </x:c>
      <x:c r="H222" s="36" t="n">
        <x:v>134</x:v>
      </x:c>
      <x:c r="I222" t="n">
        <x:v>256</x:v>
      </x:c>
      <x:c r="J222" t="n">
        <x:v>12</x:v>
      </x:c>
      <x:c r="K222" t="n">
        <x:v>0</x:v>
      </x:c>
      <x:c r="L222" t="n">
        <x:v>2</x:v>
      </x:c>
      <x:c r="M222" t="n">
        <x:v>1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1</x:v>
      </x:c>
      <x:c r="S222" t="n">
        <x:v>0</x:v>
      </x:c>
      <x:c r="T222" t="n">
        <x:v>1</x:v>
      </x:c>
      <x:c r="U222" s="50" t="n">
        <x:f>IF(D222=0,"",H222/D222)</x:f>
        <x:v>0.32923832923832924</x:v>
      </x:c>
      <x:c r="V222" t="n">
        <x:f>MAX(I222:T222)</x:f>
        <x:v>256</x:v>
      </x:c>
      <x:c r="W222" t="n">
        <x:f>H222-V222</x:f>
        <x:v>-122</x:v>
      </x:c>
      <x:c r="X222" s="52" t="n">
        <x:f>IF(D222=0,"",(W222)/D222)</x:f>
        <x:v>-0.29975429975429974</x:v>
      </x:c>
      <x:c r="Y222" t="str">
        <x:v>DR. MAHESH SHARMA</x:v>
      </x:c>
      <x:c r="Z222" t="n">
        <x:f>D222-E222-F222</x:f>
        <x:v>0</x:v>
      </x:c>
    </x:row>
    <x:row r="223">
      <x:c r="A223" t="n">
        <x:v>215</x:v>
      </x:c>
      <x:c r="B223" t="str">
        <x:v>SARSWATI SHISHU MANDIR I.C. RABUPURA R. N. 2</x:v>
      </x:c>
      <x:c r="C223" t="n">
        <x:v>715</x:v>
      </x:c>
      <x:c r="D223" t="n">
        <x:v>436</x:v>
      </x:c>
      <x:c r="E223" t="n">
        <x:f>SUM(H223:T223)</x:f>
        <x:v>435</x:v>
      </x:c>
      <x:c r="F223" t="n">
        <x:v>1</x:v>
      </x:c>
      <x:c r="G223" s="50" t="n">
        <x:f>IF(C223="","",IFERROR(D223/C223,0))</x:f>
        <x:v>0.6097902097902098</x:v>
      </x:c>
      <x:c r="H223" s="36" t="n">
        <x:v>196</x:v>
      </x:c>
      <x:c r="I223" t="n">
        <x:v>224</x:v>
      </x:c>
      <x:c r="J223" t="n">
        <x:v>5</x:v>
      </x:c>
      <x:c r="K223" t="n">
        <x:v>5</x:v>
      </x:c>
      <x:c r="L223" t="n">
        <x:v>4</x:v>
      </x:c>
      <x:c r="M223" t="n">
        <x:v>0</x:v>
      </x:c>
      <x:c r="N223" t="n">
        <x:v>1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s="50" t="n">
        <x:f>IF(D223=0,"",H223/D223)</x:f>
        <x:v>0.44954128440366975</x:v>
      </x:c>
      <x:c r="V223" t="n">
        <x:f>MAX(I223:T223)</x:f>
        <x:v>224</x:v>
      </x:c>
      <x:c r="W223" t="n">
        <x:f>H223-V223</x:f>
        <x:v>-28</x:v>
      </x:c>
      <x:c r="X223" s="52" t="n">
        <x:f>IF(D223=0,"",(W223)/D223)</x:f>
        <x:v>-0.06422018348623854</x:v>
      </x:c>
      <x:c r="Y223" t="str">
        <x:v>DR. MAHESH SHARMA</x:v>
      </x:c>
      <x:c r="Z223" t="n">
        <x:f>D223-E223-F223</x:f>
        <x:v>0</x:v>
      </x:c>
    </x:row>
    <x:row r="224">
      <x:c r="A224" t="n">
        <x:v>216</x:v>
      </x:c>
      <x:c r="B224" t="str">
        <x:v>PRY. SCHOOL T.A. RABUPURA R.NO. 1</x:v>
      </x:c>
      <x:c r="C224" t="n">
        <x:v>768</x:v>
      </x:c>
      <x:c r="D224" t="n">
        <x:v>456</x:v>
      </x:c>
      <x:c r="E224" t="n">
        <x:f>SUM(H224:T224)</x:f>
        <x:v>451</x:v>
      </x:c>
      <x:c r="F224" t="n">
        <x:v>5</x:v>
      </x:c>
      <x:c r="G224" s="50" t="n">
        <x:f>IF(C224="","",IFERROR(D224/C224,0))</x:f>
        <x:v>0.59375</x:v>
      </x:c>
      <x:c r="H224" s="36" t="n">
        <x:v>86</x:v>
      </x:c>
      <x:c r="I224" t="n">
        <x:v>352</x:v>
      </x:c>
      <x:c r="J224" t="n">
        <x:v>6</x:v>
      </x:c>
      <x:c r="K224" t="n">
        <x:v>1</x:v>
      </x:c>
      <x:c r="L224" t="n">
        <x:v>1</x:v>
      </x:c>
      <x:c r="M224" t="n">
        <x:v>0</x:v>
      </x:c>
      <x:c r="N224" t="n">
        <x:v>0</x:v>
      </x:c>
      <x:c r="O224" t="n">
        <x:v>3</x:v>
      </x:c>
      <x:c r="P224" t="n">
        <x:v>0</x:v>
      </x:c>
      <x:c r="Q224" t="n">
        <x:v>1</x:v>
      </x:c>
      <x:c r="R224" t="n">
        <x:v>0</x:v>
      </x:c>
      <x:c r="S224" t="n">
        <x:v>0</x:v>
      </x:c>
      <x:c r="T224" t="n">
        <x:v>1</x:v>
      </x:c>
      <x:c r="U224" s="50" t="n">
        <x:f>IF(D224=0,"",H224/D224)</x:f>
        <x:v>0.18859649122807018</x:v>
      </x:c>
      <x:c r="V224" t="n">
        <x:f>MAX(I224:T224)</x:f>
        <x:v>352</x:v>
      </x:c>
      <x:c r="W224" t="n">
        <x:f>H224-V224</x:f>
        <x:v>-266</x:v>
      </x:c>
      <x:c r="X224" s="52" t="n">
        <x:f>IF(D224=0,"",(W224)/D224)</x:f>
        <x:v>-0.5833333333333334</x:v>
      </x:c>
      <x:c r="Y224" t="str">
        <x:v>DR. MAHESH SHARMA</x:v>
      </x:c>
      <x:c r="Z224" t="n">
        <x:f>D224-E224-F224</x:f>
        <x:v>0</x:v>
      </x:c>
    </x:row>
    <x:row r="225">
      <x:c r="A225" t="n">
        <x:v>217</x:v>
      </x:c>
      <x:c r="B225" t="str">
        <x:v>PRY. SCHOOL T.A. RABUPURA R.NO. 2</x:v>
      </x:c>
      <x:c r="C225" t="n">
        <x:v>949</x:v>
      </x:c>
      <x:c r="D225" t="n">
        <x:v>521</x:v>
      </x:c>
      <x:c r="E225" t="n">
        <x:f>SUM(H225:T225)</x:f>
        <x:v>512</x:v>
      </x:c>
      <x:c r="F225" t="n">
        <x:v>9</x:v>
      </x:c>
      <x:c r="G225" s="50" t="n">
        <x:f>IF(C225="","",IFERROR(D225/C225,0))</x:f>
        <x:v>0.5489989462592202</x:v>
      </x:c>
      <x:c r="H225" s="36" t="n">
        <x:v>193</x:v>
      </x:c>
      <x:c r="I225" t="n">
        <x:v>292</x:v>
      </x:c>
      <x:c r="J225" t="n">
        <x:v>18</x:v>
      </x:c>
      <x:c r="K225" t="n">
        <x:v>1</x:v>
      </x:c>
      <x:c r="L225" t="n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n">
        <x:v>1</x:v>
      </x:c>
      <x:c r="R225" t="n">
        <x:v>4</x:v>
      </x:c>
      <x:c r="S225" t="n">
        <x:v>1</x:v>
      </x:c>
      <x:c r="T225" t="n">
        <x:v>1</x:v>
      </x:c>
      <x:c r="U225" s="50" t="n">
        <x:f>IF(D225=0,"",H225/D225)</x:f>
        <x:v>0.3704414587332054</x:v>
      </x:c>
      <x:c r="V225" t="n">
        <x:f>MAX(I225:T225)</x:f>
        <x:v>292</x:v>
      </x:c>
      <x:c r="W225" t="n">
        <x:f>H225-V225</x:f>
        <x:v>-99</x:v>
      </x:c>
      <x:c r="X225" s="52" t="n">
        <x:f>IF(D225=0,"",(W225)/D225)</x:f>
        <x:v>-0.19001919385796545</x:v>
      </x:c>
      <x:c r="Y225" t="str">
        <x:v>DR. MAHESH SHARMA</x:v>
      </x:c>
      <x:c r="Z225" t="n">
        <x:f>D225-E225-F225</x:f>
        <x:v>0</x:v>
      </x:c>
    </x:row>
    <x:row r="226">
      <x:c r="A226" t="n">
        <x:v>218</x:v>
      </x:c>
      <x:c r="B226" t="str">
        <x:v>PRY. SCHOOL T.A. RABUPURA R.NO. 3</x:v>
      </x:c>
      <x:c r="C226" t="n">
        <x:v>911</x:v>
      </x:c>
      <x:c r="D226" t="n">
        <x:v>482</x:v>
      </x:c>
      <x:c r="E226" t="n">
        <x:f>SUM(H226:T226)</x:f>
        <x:v>475</x:v>
      </x:c>
      <x:c r="F226" t="n">
        <x:v>7</x:v>
      </x:c>
      <x:c r="G226" s="50" t="n">
        <x:f>IF(C226="","",IFERROR(D226/C226,0))</x:f>
        <x:v>0.5290889132821076</x:v>
      </x:c>
      <x:c r="H226" s="36" t="n">
        <x:v>308</x:v>
      </x:c>
      <x:c r="I226" t="n">
        <x:v>147</x:v>
      </x:c>
      <x:c r="J226" t="n">
        <x:v>10</x:v>
      </x:c>
      <x:c r="K226" t="n">
        <x:v>0</x:v>
      </x:c>
      <x:c r="L226" t="n">
        <x:v>1</x:v>
      </x:c>
      <x:c r="M226" t="n">
        <x:v>4</x:v>
      </x:c>
      <x:c r="N226" t="n">
        <x:v>0</x:v>
      </x:c>
      <x:c r="O226" t="n">
        <x:v>2</x:v>
      </x:c>
      <x:c r="P226" t="n">
        <x:v>2</x:v>
      </x:c>
      <x:c r="Q226" t="n">
        <x:v>0</x:v>
      </x:c>
      <x:c r="R226" t="n">
        <x:v>1</x:v>
      </x:c>
      <x:c r="S226" t="n">
        <x:v>0</x:v>
      </x:c>
      <x:c r="T226" t="n">
        <x:v>0</x:v>
      </x:c>
      <x:c r="U226" s="50" t="n">
        <x:f>IF(D226=0,"",H226/D226)</x:f>
        <x:v>0.6390041493775933</x:v>
      </x:c>
      <x:c r="V226" t="n">
        <x:f>MAX(I226:T226)</x:f>
        <x:v>147</x:v>
      </x:c>
      <x:c r="W226" t="n">
        <x:f>H226-V226</x:f>
        <x:v>161</x:v>
      </x:c>
      <x:c r="X226" s="52" t="n">
        <x:f>IF(D226=0,"",(W226)/D226)</x:f>
        <x:v>0.33402489626556015</x:v>
      </x:c>
      <x:c r="Y226" t="str">
        <x:v>SATVEER</x:v>
      </x:c>
      <x:c r="Z226" t="n">
        <x:f>D226-E226-F226</x:f>
        <x:v>0</x:v>
      </x:c>
    </x:row>
    <x:row r="227">
      <x:c r="A227" t="n">
        <x:v>219</x:v>
      </x:c>
      <x:c r="B227" t="str">
        <x:v>PRY. SCHOOL BHAIPUR BRAHMNAN R.NO. 1</x:v>
      </x:c>
      <x:c r="C227" t="n">
        <x:v>1093</x:v>
      </x:c>
      <x:c r="D227" t="n">
        <x:v>709</x:v>
      </x:c>
      <x:c r="E227" t="n">
        <x:f>SUM(H227:T227)</x:f>
        <x:v>708</x:v>
      </x:c>
      <x:c r="F227" t="n">
        <x:v>1</x:v>
      </x:c>
      <x:c r="G227" s="50" t="n">
        <x:f>IF(C227="","",IFERROR(D227/C227,0))</x:f>
        <x:v>0.6486733760292772</x:v>
      </x:c>
      <x:c r="H227" s="36" t="n">
        <x:v>22</x:v>
      </x:c>
      <x:c r="I227" t="n">
        <x:v>666</x:v>
      </x:c>
      <x:c r="J227" t="n">
        <x:v>13</x:v>
      </x:c>
      <x:c r="K227" t="n">
        <x:v>0</x:v>
      </x:c>
      <x:c r="L227" t="n">
        <x:v>3</x:v>
      </x:c>
      <x:c r="M227" t="n">
        <x:v>1</x:v>
      </x:c>
      <x:c r="N227" t="n">
        <x:v>2</x:v>
      </x:c>
      <x:c r="O227" t="n">
        <x:v>1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s="50" t="n">
        <x:f>IF(D227=0,"",H227/D227)</x:f>
        <x:v>0.031029619181946404</x:v>
      </x:c>
      <x:c r="V227" t="n">
        <x:f>MAX(I227:T227)</x:f>
        <x:v>666</x:v>
      </x:c>
      <x:c r="W227" t="n">
        <x:f>H227-V227</x:f>
        <x:v>-644</x:v>
      </x:c>
      <x:c r="X227" s="52" t="n">
        <x:f>IF(D227=0,"",(W227)/D227)</x:f>
        <x:v>-0.9083215796897038</x:v>
      </x:c>
      <x:c r="Y227" t="str">
        <x:v>DR. MAHESH SHARMA</x:v>
      </x:c>
      <x:c r="Z227" t="n">
        <x:f>D227-E227-F227</x:f>
        <x:v>0</x:v>
      </x:c>
    </x:row>
    <x:row r="228">
      <x:c r="A228" t="n">
        <x:v>220</x:v>
      </x:c>
      <x:c r="B228" t="str">
        <x:v>J.H. SCHOOL BHAIPUR BRAHMNAN R.NO. 1</x:v>
      </x:c>
      <x:c r="C228" t="n">
        <x:v>761</x:v>
      </x:c>
      <x:c r="D228" t="n">
        <x:v>516</x:v>
      </x:c>
      <x:c r="E228" t="n">
        <x:f>SUM(H228:T228)</x:f>
        <x:v>513</x:v>
      </x:c>
      <x:c r="F228" t="n">
        <x:v>3</x:v>
      </x:c>
      <x:c r="G228" s="50" t="n">
        <x:f>IF(C228="","",IFERROR(D228/C228,0))</x:f>
        <x:v>0.6780551905387647</x:v>
      </x:c>
      <x:c r="H228" s="36" t="n">
        <x:v>158</x:v>
      </x:c>
      <x:c r="I228" t="n">
        <x:v>337</x:v>
      </x:c>
      <x:c r="J228" t="n">
        <x:v>5</x:v>
      </x:c>
      <x:c r="K228" t="n">
        <x:v>2</x:v>
      </x:c>
      <x:c r="L228" t="n">
        <x:v>5</x:v>
      </x:c>
      <x:c r="M228" t="n">
        <x:v>1</x:v>
      </x:c>
      <x:c r="N228" t="n">
        <x:v>1</x:v>
      </x:c>
      <x:c r="O228" t="n">
        <x:v>0</x:v>
      </x:c>
      <x:c r="P228" t="n">
        <x:v>0</x:v>
      </x:c>
      <x:c r="Q228" t="n">
        <x:v>2</x:v>
      </x:c>
      <x:c r="R228" t="n">
        <x:v>0</x:v>
      </x:c>
      <x:c r="S228" t="n">
        <x:v>1</x:v>
      </x:c>
      <x:c r="T228" t="n">
        <x:v>1</x:v>
      </x:c>
      <x:c r="U228" s="50" t="n">
        <x:f>IF(D228=0,"",H228/D228)</x:f>
        <x:v>0.3062015503875969</x:v>
      </x:c>
      <x:c r="V228" t="n">
        <x:f>MAX(I228:T228)</x:f>
        <x:v>337</x:v>
      </x:c>
      <x:c r="W228" t="n">
        <x:f>H228-V228</x:f>
        <x:v>-179</x:v>
      </x:c>
      <x:c r="X228" s="52" t="n">
        <x:f>IF(D228=0,"",(W228)/D228)</x:f>
        <x:v>-0.34689922480620156</x:v>
      </x:c>
      <x:c r="Y228" t="str">
        <x:v>DR. MAHESH SHARMA</x:v>
      </x:c>
      <x:c r="Z228" t="n">
        <x:f>D228-E228-F228</x:f>
        <x:v>0</x:v>
      </x:c>
    </x:row>
    <x:row r="229">
      <x:c r="A229" t="n">
        <x:v>221</x:v>
      </x:c>
      <x:c r="B229" t="str">
        <x:v>J.H. SCHOOL BHAIPUR BRAHMNAN R.NO. 2</x:v>
      </x:c>
      <x:c r="C229" t="n">
        <x:v>564</x:v>
      </x:c>
      <x:c r="D229" t="n">
        <x:v>373</x:v>
      </x:c>
      <x:c r="E229" t="n">
        <x:f>SUM(H229:T229)</x:f>
        <x:v>373</x:v>
      </x:c>
      <x:c r="F229" t="n">
        <x:v>0</x:v>
      </x:c>
      <x:c r="G229" s="50" t="n">
        <x:f>IF(C229="","",IFERROR(D229/C229,0))</x:f>
        <x:v>0.6613475177304965</x:v>
      </x:c>
      <x:c r="H229" s="36" t="n">
        <x:v>17</x:v>
      </x:c>
      <x:c r="I229" t="n">
        <x:v>346</x:v>
      </x:c>
      <x:c r="J229" t="n">
        <x:v>8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2</x:v>
      </x:c>
      <x:c r="S229" t="n">
        <x:v>0</x:v>
      </x:c>
      <x:c r="T229" t="n">
        <x:v>0</x:v>
      </x:c>
      <x:c r="U229" s="50" t="n">
        <x:f>IF(D229=0,"",H229/D229)</x:f>
        <x:v>0.045576407506702415</x:v>
      </x:c>
      <x:c r="V229" t="n">
        <x:f>MAX(I229:T229)</x:f>
        <x:v>346</x:v>
      </x:c>
      <x:c r="W229" t="n">
        <x:f>H229-V229</x:f>
        <x:v>-329</x:v>
      </x:c>
      <x:c r="X229" s="52" t="n">
        <x:f>IF(D229=0,"",(W229)/D229)</x:f>
        <x:v>-0.8820375335120644</x:v>
      </x:c>
      <x:c r="Y229" t="str">
        <x:v>DR. MAHESH SHARMA</x:v>
      </x:c>
      <x:c r="Z229" t="n">
        <x:f>D229-E229-F229</x:f>
        <x:v>0</x:v>
      </x:c>
    </x:row>
    <x:row r="230">
      <x:c r="A230" t="n">
        <x:v>222</x:v>
      </x:c>
      <x:c r="B230" t="str">
        <x:v>PRY. SCHOOL MENHADIPUR BANGAR R.NO. 1</x:v>
      </x:c>
      <x:c r="C230" t="n">
        <x:v>1009</x:v>
      </x:c>
      <x:c r="D230" t="n">
        <x:v>701</x:v>
      </x:c>
      <x:c r="E230" t="n">
        <x:f>SUM(H230:T230)</x:f>
        <x:v>694</x:v>
      </x:c>
      <x:c r="F230" t="n">
        <x:v>7</x:v>
      </x:c>
      <x:c r="G230" s="50" t="n">
        <x:f>IF(C230="","",IFERROR(D230/C230,0))</x:f>
        <x:v>0.6947472745292369</x:v>
      </x:c>
      <x:c r="H230" s="36" t="n">
        <x:v>651</x:v>
      </x:c>
      <x:c r="I230" t="n">
        <x:v>19</x:v>
      </x:c>
      <x:c r="J230" t="n">
        <x:v>7</x:v>
      </x:c>
      <x:c r="K230" t="n">
        <x:v>5</x:v>
      </x:c>
      <x:c r="L230" t="n">
        <x:v>2</x:v>
      </x:c>
      <x:c r="M230" t="n">
        <x:v>6</x:v>
      </x:c>
      <x:c r="N230" t="n">
        <x:v>0</x:v>
      </x:c>
      <x:c r="O230" t="n">
        <x:v>2</x:v>
      </x:c>
      <x:c r="P230" t="n">
        <x:v>0</x:v>
      </x:c>
      <x:c r="Q230" t="n">
        <x:v>0</x:v>
      </x:c>
      <x:c r="R230" t="n">
        <x:v>2</x:v>
      </x:c>
      <x:c r="S230" t="n">
        <x:v>0</x:v>
      </x:c>
      <x:c r="T230" t="n">
        <x:v>0</x:v>
      </x:c>
      <x:c r="U230" s="50" t="n">
        <x:f>IF(D230=0,"",H230/D230)</x:f>
        <x:v>0.9286733238231099</x:v>
      </x:c>
      <x:c r="V230" t="n">
        <x:f>MAX(I230:T230)</x:f>
        <x:v>19</x:v>
      </x:c>
      <x:c r="W230" t="n">
        <x:f>H230-V230</x:f>
        <x:v>632</x:v>
      </x:c>
      <x:c r="X230" s="52" t="n">
        <x:f>IF(D230=0,"",(W230)/D230)</x:f>
        <x:v>0.9015691868758916</x:v>
      </x:c>
      <x:c r="Y230" t="str">
        <x:v>SATVEER</x:v>
      </x:c>
      <x:c r="Z230" t="n">
        <x:f>D230-E230-F230</x:f>
        <x:v>0</x:v>
      </x:c>
    </x:row>
    <x:row r="231">
      <x:c r="A231" t="n">
        <x:v>223</x:v>
      </x:c>
      <x:c r="B231" t="str">
        <x:v>PRY. SCHOOL MENHADIPUR BANGAR R.NO. 2</x:v>
      </x:c>
      <x:c r="C231" t="n">
        <x:v>923</x:v>
      </x:c>
      <x:c r="D231" t="n">
        <x:v>693</x:v>
      </x:c>
      <x:c r="E231" t="n">
        <x:f>SUM(H231:T231)</x:f>
        <x:v>692</x:v>
      </x:c>
      <x:c r="F231" t="n">
        <x:v>1</x:v>
      </x:c>
      <x:c r="G231" s="50" t="n">
        <x:f>IF(C231="","",IFERROR(D231/C231,0))</x:f>
        <x:v>0.7508125677139762</x:v>
      </x:c>
      <x:c r="H231" s="36" t="n">
        <x:v>680</x:v>
      </x:c>
      <x:c r="I231" t="n">
        <x:v>2</x:v>
      </x:c>
      <x:c r="J231" t="n">
        <x:v>3</x:v>
      </x:c>
      <x:c r="K231" t="n">
        <x:v>3</x:v>
      </x:c>
      <x:c r="L231" t="n">
        <x:v>0</x:v>
      </x:c>
      <x:c r="M231" t="n">
        <x:v>3</x:v>
      </x:c>
      <x:c r="N231" t="n">
        <x:v>0</x:v>
      </x:c>
      <x:c r="O231" t="n">
        <x:v>1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s="50" t="n">
        <x:f>IF(D231=0,"",H231/D231)</x:f>
        <x:v>0.9812409812409812</x:v>
      </x:c>
      <x:c r="V231" t="n">
        <x:f>MAX(I231:T231)</x:f>
        <x:v>3</x:v>
      </x:c>
      <x:c r="W231" t="n">
        <x:f>H231-V231</x:f>
        <x:v>677</x:v>
      </x:c>
      <x:c r="X231" s="52" t="n">
        <x:f>IF(D231=0,"",(W231)/D231)</x:f>
        <x:v>0.976911976911977</x:v>
      </x:c>
      <x:c r="Y231" t="str">
        <x:v>SATVEER</x:v>
      </x:c>
      <x:c r="Z231" t="n">
        <x:f>D231-E231-F231</x:f>
        <x:v>0</x:v>
      </x:c>
    </x:row>
    <x:row r="232">
      <x:c r="A232" t="n">
        <x:v>224</x:v>
      </x:c>
      <x:c r="B232" t="str">
        <x:v>PRY. SCHOOL MENHADIPUR BANGAR R.NO. 3</x:v>
      </x:c>
      <x:c r="C232" t="n">
        <x:v>937</x:v>
      </x:c>
      <x:c r="D232" t="n">
        <x:v>599</x:v>
      </x:c>
      <x:c r="E232" t="n">
        <x:f>SUM(H232:T232)</x:f>
        <x:v>594</x:v>
      </x:c>
      <x:c r="F232" t="n">
        <x:v>5</x:v>
      </x:c>
      <x:c r="G232" s="50" t="n">
        <x:f>IF(C232="","",IFERROR(D232/C232,0))</x:f>
        <x:v>0.6392742796157951</x:v>
      </x:c>
      <x:c r="H232" s="36" t="n">
        <x:v>390</x:v>
      </x:c>
      <x:c r="I232" t="n">
        <x:v>186</x:v>
      </x:c>
      <x:c r="J232" t="n">
        <x:v>7</x:v>
      </x:c>
      <x:c r="K232" t="n">
        <x:v>4</x:v>
      </x:c>
      <x:c r="L232" t="n">
        <x:v>0</x:v>
      </x:c>
      <x:c r="M232" t="n">
        <x:v>1</x:v>
      </x:c>
      <x:c r="N232" t="n">
        <x:v>1</x:v>
      </x:c>
      <x:c r="O232" t="n">
        <x:v>0</x:v>
      </x:c>
      <x:c r="P232" t="n">
        <x:v>1</x:v>
      </x:c>
      <x:c r="Q232" t="n">
        <x:v>2</x:v>
      </x:c>
      <x:c r="R232" t="n">
        <x:v>0</x:v>
      </x:c>
      <x:c r="S232" t="n">
        <x:v>1</x:v>
      </x:c>
      <x:c r="T232" t="n">
        <x:v>1</x:v>
      </x:c>
      <x:c r="U232" s="50" t="n">
        <x:f>IF(D232=0,"",H232/D232)</x:f>
        <x:v>0.6510851419031719</x:v>
      </x:c>
      <x:c r="V232" t="n">
        <x:f>MAX(I232:T232)</x:f>
        <x:v>186</x:v>
      </x:c>
      <x:c r="W232" t="n">
        <x:f>H232-V232</x:f>
        <x:v>204</x:v>
      </x:c>
      <x:c r="X232" s="52" t="n">
        <x:f>IF(D232=0,"",(W232)/D232)</x:f>
        <x:v>0.34056761268781305</x:v>
      </x:c>
      <x:c r="Y232" t="str">
        <x:v>SATVEER</x:v>
      </x:c>
      <x:c r="Z232" t="n">
        <x:f>D232-E232-F232</x:f>
        <x:v>0</x:v>
      </x:c>
    </x:row>
    <x:row r="233">
      <x:c r="A233" t="n">
        <x:v>225</x:v>
      </x:c>
      <x:c r="B233" t="str">
        <x:v>PRY. SCHOOL SIRAULI BANGAR R.NO. 1</x:v>
      </x:c>
      <x:c r="C233" t="n">
        <x:v>1133</x:v>
      </x:c>
      <x:c r="D233" t="n">
        <x:v>755</x:v>
      </x:c>
      <x:c r="E233" t="n">
        <x:f>SUM(H233:T233)</x:f>
        <x:v>752</x:v>
      </x:c>
      <x:c r="F233" t="n">
        <x:v>3</x:v>
      </x:c>
      <x:c r="G233" s="50" t="n">
        <x:f>IF(C233="","",IFERROR(D233/C233,0))</x:f>
        <x:v>0.6663724624889673</x:v>
      </x:c>
      <x:c r="H233" s="36" t="n">
        <x:v>306</x:v>
      </x:c>
      <x:c r="I233" t="n">
        <x:v>420</x:v>
      </x:c>
      <x:c r="J233" t="n">
        <x:v>1</x:v>
      </x:c>
      <x:c r="K233" t="n">
        <x:v>4</x:v>
      </x:c>
      <x:c r="L233" t="n">
        <x:v>8</x:v>
      </x:c>
      <x:c r="M233" t="n">
        <x:v>6</x:v>
      </x:c>
      <x:c r="N233" t="n">
        <x:v>2</x:v>
      </x:c>
      <x:c r="O233" t="n">
        <x:v>0</x:v>
      </x:c>
      <x:c r="P233" t="n">
        <x:v>2</x:v>
      </x:c>
      <x:c r="Q233" t="n">
        <x:v>1</x:v>
      </x:c>
      <x:c r="R233" t="n">
        <x:v>2</x:v>
      </x:c>
      <x:c r="S233" t="n">
        <x:v>0</x:v>
      </x:c>
      <x:c r="T233" t="n">
        <x:v>0</x:v>
      </x:c>
      <x:c r="U233" s="50" t="n">
        <x:f>IF(D233=0,"",H233/D233)</x:f>
        <x:v>0.4052980132450331</x:v>
      </x:c>
      <x:c r="V233" t="n">
        <x:f>MAX(I233:T233)</x:f>
        <x:v>420</x:v>
      </x:c>
      <x:c r="W233" t="n">
        <x:f>H233-V233</x:f>
        <x:v>-114</x:v>
      </x:c>
      <x:c r="X233" s="52" t="n">
        <x:f>IF(D233=0,"",(W233)/D233)</x:f>
        <x:v>-0.1509933774834437</x:v>
      </x:c>
      <x:c r="Y233" t="str">
        <x:v>DR. MAHESH SHARMA</x:v>
      </x:c>
      <x:c r="Z233" t="n">
        <x:f>D233-E233-F233</x:f>
        <x:v>0</x:v>
      </x:c>
    </x:row>
    <x:row r="234">
      <x:c r="A234" t="n">
        <x:v>226</x:v>
      </x:c>
      <x:c r="B234" t="str">
        <x:v>PRY. SCHOOL DHANPURA R.NO. 1</x:v>
      </x:c>
      <x:c r="C234" t="n">
        <x:v>388</x:v>
      </x:c>
      <x:c r="D234" t="n">
        <x:v>260</x:v>
      </x:c>
      <x:c r="E234" t="n">
        <x:f>SUM(H234:T234)</x:f>
        <x:v>260</x:v>
      </x:c>
      <x:c r="F234" t="n">
        <x:v>0</x:v>
      </x:c>
      <x:c r="G234" s="50" t="n">
        <x:f>IF(C234="","",IFERROR(D234/C234,0))</x:f>
        <x:v>0.6701030927835051</x:v>
      </x:c>
      <x:c r="H234" s="36" t="n">
        <x:v>242</x:v>
      </x:c>
      <x:c r="I234" t="n">
        <x:v>12</x:v>
      </x:c>
      <x:c r="J234" t="n">
        <x:v>2</x:v>
      </x:c>
      <x:c r="K234" t="n">
        <x:v>0</x:v>
      </x:c>
      <x:c r="L234" t="n">
        <x:v>0</x:v>
      </x:c>
      <x:c r="M234" t="n">
        <x:v>3</x:v>
      </x:c>
      <x:c r="N234" t="n">
        <x:v>0</x:v>
      </x:c>
      <x:c r="O234" t="n">
        <x:v>0</x:v>
      </x:c>
      <x:c r="P234" t="n">
        <x:v>0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s="50" t="n">
        <x:f>IF(D234=0,"",H234/D234)</x:f>
        <x:v>0.9307692307692308</x:v>
      </x:c>
      <x:c r="V234" t="n">
        <x:f>MAX(I234:T234)</x:f>
        <x:v>12</x:v>
      </x:c>
      <x:c r="W234" t="n">
        <x:f>H234-V234</x:f>
        <x:v>230</x:v>
      </x:c>
      <x:c r="X234" s="52" t="n">
        <x:f>IF(D234=0,"",(W234)/D234)</x:f>
        <x:v>0.8846153846153846</x:v>
      </x:c>
      <x:c r="Y234" t="str">
        <x:v>SATVEER</x:v>
      </x:c>
      <x:c r="Z234" t="n">
        <x:f>D234-E234-F234</x:f>
        <x:v>0</x:v>
      </x:c>
    </x:row>
    <x:row r="235">
      <x:c r="A235" t="n">
        <x:v>227</x:v>
      </x:c>
      <x:c r="B235" t="str">
        <x:v>PRY. SCHOOL TIRTHALI R.NO. 1</x:v>
      </x:c>
      <x:c r="C235" t="n">
        <x:v>674</x:v>
      </x:c>
      <x:c r="D235" t="n">
        <x:v>484</x:v>
      </x:c>
      <x:c r="E235" t="n">
        <x:f>SUM(H235:T235)</x:f>
        <x:v>482</x:v>
      </x:c>
      <x:c r="F235" t="n">
        <x:v>2</x:v>
      </x:c>
      <x:c r="G235" s="50" t="n">
        <x:f>IF(C235="","",IFERROR(D235/C235,0))</x:f>
        <x:v>0.7181008902077152</x:v>
      </x:c>
      <x:c r="H235" s="36" t="n">
        <x:v>314</x:v>
      </x:c>
      <x:c r="I235" t="n">
        <x:v>153</x:v>
      </x:c>
      <x:c r="J235" t="n">
        <x:v>6</x:v>
      </x:c>
      <x:c r="K235" t="n">
        <x:v>4</x:v>
      </x:c>
      <x:c r="L235" t="n">
        <x:v>3</x:v>
      </x:c>
      <x:c r="M235" t="n">
        <x:v>1</x:v>
      </x:c>
      <x:c r="N235" t="n">
        <x:v>0</x:v>
      </x:c>
      <x:c r="O235" t="n">
        <x:v>1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s="50" t="n">
        <x:f>IF(D235=0,"",H235/D235)</x:f>
        <x:v>0.6487603305785123</x:v>
      </x:c>
      <x:c r="V235" t="n">
        <x:f>MAX(I235:T235)</x:f>
        <x:v>153</x:v>
      </x:c>
      <x:c r="W235" t="n">
        <x:f>H235-V235</x:f>
        <x:v>161</x:v>
      </x:c>
      <x:c r="X235" s="52" t="n">
        <x:f>IF(D235=0,"",(W235)/D235)</x:f>
        <x:v>0.33264462809917356</x:v>
      </x:c>
      <x:c r="Y235" t="str">
        <x:v>SATVEER</x:v>
      </x:c>
      <x:c r="Z235" t="n">
        <x:f>D235-E235-F235</x:f>
        <x:v>0</x:v>
      </x:c>
    </x:row>
    <x:row r="236">
      <x:c r="A236" t="n">
        <x:v>228</x:v>
      </x:c>
      <x:c r="B236" t="str">
        <x:v>PRY. SCHOOL TIRTHALI R.NO. 2</x:v>
      </x:c>
      <x:c r="C236" t="n">
        <x:v>679</x:v>
      </x:c>
      <x:c r="D236" t="n">
        <x:v>486</x:v>
      </x:c>
      <x:c r="E236" t="n">
        <x:f>SUM(H236:T236)</x:f>
        <x:v>486</x:v>
      </x:c>
      <x:c r="F236" t="n">
        <x:v>0</x:v>
      </x:c>
      <x:c r="G236" s="50" t="n">
        <x:f>IF(C236="","",IFERROR(D236/C236,0))</x:f>
        <x:v>0.7157584683357879</x:v>
      </x:c>
      <x:c r="H236" s="36" t="n">
        <x:v>397</x:v>
      </x:c>
      <x:c r="I236" t="n">
        <x:v>76</x:v>
      </x:c>
      <x:c r="J236" t="n">
        <x:v>5</x:v>
      </x:c>
      <x:c r="K236" t="n">
        <x:v>1</x:v>
      </x:c>
      <x:c r="L236" t="n">
        <x:v>1</x:v>
      </x:c>
      <x:c r="M236" t="n">
        <x:v>2</x:v>
      </x:c>
      <x:c r="N236" t="n">
        <x:v>1</x:v>
      </x:c>
      <x:c r="O236" t="n">
        <x:v>0</x:v>
      </x:c>
      <x:c r="P236" t="n">
        <x:v>1</x:v>
      </x:c>
      <x:c r="Q236" t="n">
        <x:v>0</x:v>
      </x:c>
      <x:c r="R236" t="n">
        <x:v>1</x:v>
      </x:c>
      <x:c r="S236" t="n">
        <x:v>1</x:v>
      </x:c>
      <x:c r="T236" t="n">
        <x:v>0</x:v>
      </x:c>
      <x:c r="U236" s="50" t="n">
        <x:f>IF(D236=0,"",H236/D236)</x:f>
        <x:v>0.8168724279835391</x:v>
      </x:c>
      <x:c r="V236" t="n">
        <x:f>MAX(I236:T236)</x:f>
        <x:v>76</x:v>
      </x:c>
      <x:c r="W236" t="n">
        <x:f>H236-V236</x:f>
        <x:v>321</x:v>
      </x:c>
      <x:c r="X236" s="52" t="n">
        <x:f>IF(D236=0,"",(W236)/D236)</x:f>
        <x:v>0.6604938271604939</x:v>
      </x:c>
      <x:c r="Y236" t="str">
        <x:v>SATVEER</x:v>
      </x:c>
      <x:c r="Z236" t="n">
        <x:f>D236-E236-F236</x:f>
        <x:v>0</x:v>
      </x:c>
    </x:row>
    <x:row r="237">
      <x:c r="A237" t="n">
        <x:v>229</x:v>
      </x:c>
      <x:c r="B237" t="str">
        <x:v>J.H. SCHOOL TIRTHALI R.NO. 1</x:v>
      </x:c>
      <x:c r="C237" t="n">
        <x:v>742</x:v>
      </x:c>
      <x:c r="D237" t="n">
        <x:v>519</x:v>
      </x:c>
      <x:c r="E237" t="n">
        <x:f>SUM(H237:T237)</x:f>
        <x:v>517</x:v>
      </x:c>
      <x:c r="F237" t="n">
        <x:v>2</x:v>
      </x:c>
      <x:c r="G237" s="50" t="n">
        <x:f>IF(C237="","",IFERROR(D237/C237,0))</x:f>
        <x:v>0.6994609164420486</x:v>
      </x:c>
      <x:c r="H237" s="36" t="n">
        <x:v>442</x:v>
      </x:c>
      <x:c r="I237" t="n">
        <x:v>61</x:v>
      </x:c>
      <x:c r="J237" t="n">
        <x:v>6</x:v>
      </x:c>
      <x:c r="K237" t="n">
        <x:v>2</x:v>
      </x:c>
      <x:c r="L237" t="n">
        <x:v>0</x:v>
      </x:c>
      <x:c r="M237" t="n">
        <x:v>3</x:v>
      </x:c>
      <x:c r="N237" t="n">
        <x:v>1</x:v>
      </x:c>
      <x:c r="O237" t="n">
        <x:v>0</x:v>
      </x:c>
      <x:c r="P237" t="n">
        <x:v>0</x:v>
      </x:c>
      <x:c r="Q237" t="n">
        <x:v>1</x:v>
      </x:c>
      <x:c r="R237" t="n">
        <x:v>1</x:v>
      </x:c>
      <x:c r="S237" t="n">
        <x:v>0</x:v>
      </x:c>
      <x:c r="T237" t="n">
        <x:v>0</x:v>
      </x:c>
      <x:c r="U237" s="50" t="n">
        <x:f>IF(D237=0,"",H237/D237)</x:f>
        <x:v>0.8516377649325626</x:v>
      </x:c>
      <x:c r="V237" t="n">
        <x:f>MAX(I237:T237)</x:f>
        <x:v>61</x:v>
      </x:c>
      <x:c r="W237" t="n">
        <x:f>H237-V237</x:f>
        <x:v>381</x:v>
      </x:c>
      <x:c r="X237" s="52" t="n">
        <x:f>IF(D237=0,"",(W237)/D237)</x:f>
        <x:v>0.7341040462427746</x:v>
      </x:c>
      <x:c r="Y237" t="str">
        <x:v>SATVEER</x:v>
      </x:c>
      <x:c r="Z237" t="n">
        <x:f>D237-E237-F237</x:f>
        <x:v>0</x:v>
      </x:c>
    </x:row>
    <x:row r="238">
      <x:c r="A238" t="n">
        <x:v>230</x:v>
      </x:c>
      <x:c r="B238" t="str">
        <x:v>J.H. SCHOOL TIRTHALI R.NO. 2</x:v>
      </x:c>
      <x:c r="C238" t="n">
        <x:v>606</x:v>
      </x:c>
      <x:c r="D238" t="n">
        <x:v>454</x:v>
      </x:c>
      <x:c r="E238" t="n">
        <x:f>SUM(H238:T238)</x:f>
        <x:v>454</x:v>
      </x:c>
      <x:c r="F238" t="n">
        <x:v>0</x:v>
      </x:c>
      <x:c r="G238" s="50" t="n">
        <x:f>IF(C238="","",IFERROR(D238/C238,0))</x:f>
        <x:v>0.7491749174917491</x:v>
      </x:c>
      <x:c r="H238" s="36" t="n">
        <x:v>333</x:v>
      </x:c>
      <x:c r="I238" t="n">
        <x:v>117</x:v>
      </x:c>
      <x:c r="J238" t="n">
        <x:v>1</x:v>
      </x:c>
      <x:c r="K238" t="n">
        <x:v>0</x:v>
      </x:c>
      <x:c r="L238" t="n">
        <x:v>0</x:v>
      </x:c>
      <x:c r="M238" t="n">
        <x:v>1</x:v>
      </x:c>
      <x:c r="N238" t="n">
        <x:v>0</x:v>
      </x:c>
      <x:c r="O238" t="n">
        <x:v>0</x:v>
      </x:c>
      <x:c r="P238" t="n">
        <x:v>1</x:v>
      </x:c>
      <x:c r="Q238" t="n">
        <x:v>0</x:v>
      </x:c>
      <x:c r="R238" t="n">
        <x:v>0</x:v>
      </x:c>
      <x:c r="S238" t="n">
        <x:v>0</x:v>
      </x:c>
      <x:c r="T238" t="n">
        <x:v>1</x:v>
      </x:c>
      <x:c r="U238" s="50" t="n">
        <x:f>IF(D238=0,"",H238/D238)</x:f>
        <x:v>0.7334801762114538</x:v>
      </x:c>
      <x:c r="V238" t="n">
        <x:f>MAX(I238:T238)</x:f>
        <x:v>117</x:v>
      </x:c>
      <x:c r="W238" t="n">
        <x:f>H238-V238</x:f>
        <x:v>216</x:v>
      </x:c>
      <x:c r="X238" s="52" t="n">
        <x:f>IF(D238=0,"",(W238)/D238)</x:f>
        <x:v>0.47577092511013214</x:v>
      </x:c>
      <x:c r="Y238" t="str">
        <x:v>SATVEER</x:v>
      </x:c>
      <x:c r="Z238" t="n">
        <x:f>D238-E238-F238</x:f>
        <x:v>0</x:v>
      </x:c>
    </x:row>
    <x:row r="239">
      <x:c r="A239" t="n">
        <x:v>231</x:v>
      </x:c>
      <x:c r="B239" t="str">
        <x:v>PRY. SCHOOL BHUNNATAGA R.NO. 1</x:v>
      </x:c>
      <x:c r="C239" t="n">
        <x:v>703</x:v>
      </x:c>
      <x:c r="D239" t="n">
        <x:v>457</x:v>
      </x:c>
      <x:c r="E239" t="n">
        <x:f>SUM(H239:T239)</x:f>
        <x:v>457</x:v>
      </x:c>
      <x:c r="F239" t="n">
        <x:v>0</x:v>
      </x:c>
      <x:c r="G239" s="50" t="n">
        <x:f>IF(C239="","",IFERROR(D239/C239,0))</x:f>
        <x:v>0.6500711237553343</x:v>
      </x:c>
      <x:c r="H239" s="36" t="n">
        <x:v>34</x:v>
      </x:c>
      <x:c r="I239" t="n">
        <x:v>417</x:v>
      </x:c>
      <x:c r="J239" t="n">
        <x:v>5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1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s="50" t="n">
        <x:f>IF(D239=0,"",H239/D239)</x:f>
        <x:v>0.07439824945295405</x:v>
      </x:c>
      <x:c r="V239" t="n">
        <x:f>MAX(I239:T239)</x:f>
        <x:v>417</x:v>
      </x:c>
      <x:c r="W239" t="n">
        <x:f>H239-V239</x:f>
        <x:v>-383</x:v>
      </x:c>
      <x:c r="X239" s="52" t="n">
        <x:f>IF(D239=0,"",(W239)/D239)</x:f>
        <x:v>-0.838074398249453</x:v>
      </x:c>
      <x:c r="Y239" t="str">
        <x:v>DR. MAHESH SHARMA</x:v>
      </x:c>
      <x:c r="Z239" t="n">
        <x:f>D239-E239-F239</x:f>
        <x:v>0</x:v>
      </x:c>
    </x:row>
    <x:row r="240">
      <x:c r="A240" t="n">
        <x:v>232</x:v>
      </x:c>
      <x:c r="B240" t="str">
        <x:v>PRY. SCHOOL BHUNNATAGA R.NO. 2</x:v>
      </x:c>
      <x:c r="C240" t="n">
        <x:v>605</x:v>
      </x:c>
      <x:c r="D240" t="n">
        <x:v>369</x:v>
      </x:c>
      <x:c r="E240" t="n">
        <x:f>SUM(H240:T240)</x:f>
        <x:v>368</x:v>
      </x:c>
      <x:c r="F240" t="n">
        <x:v>1</x:v>
      </x:c>
      <x:c r="G240" s="50" t="n">
        <x:f>IF(C240="","",IFERROR(D240/C240,0))</x:f>
        <x:v>0.6099173553719008</x:v>
      </x:c>
      <x:c r="H240" s="36" t="n">
        <x:v>232</x:v>
      </x:c>
      <x:c r="I240" t="n">
        <x:v>124</x:v>
      </x:c>
      <x:c r="J240" t="n">
        <x:v>7</x:v>
      </x:c>
      <x:c r="K240" t="n">
        <x:v>2</x:v>
      </x:c>
      <x:c r="L240" t="n">
        <x:v>0</x:v>
      </x:c>
      <x:c r="M240" t="n">
        <x:v>2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1</x:v>
      </x:c>
      <x:c r="S240" t="n">
        <x:v>0</x:v>
      </x:c>
      <x:c r="T240" t="n">
        <x:v>0</x:v>
      </x:c>
      <x:c r="U240" s="50" t="n">
        <x:f>IF(D240=0,"",H240/D240)</x:f>
        <x:v>0.6287262872628726</x:v>
      </x:c>
      <x:c r="V240" t="n">
        <x:f>MAX(I240:T240)</x:f>
        <x:v>124</x:v>
      </x:c>
      <x:c r="W240" t="n">
        <x:f>H240-V240</x:f>
        <x:v>108</x:v>
      </x:c>
      <x:c r="X240" s="52" t="n">
        <x:f>IF(D240=0,"",(W240)/D240)</x:f>
        <x:v>0.2926829268292683</x:v>
      </x:c>
      <x:c r="Y240" t="str">
        <x:v>SATVEER</x:v>
      </x:c>
      <x:c r="Z240" t="n">
        <x:f>D240-E240-F240</x:f>
        <x:v>0</x:v>
      </x:c>
    </x:row>
    <x:row r="241">
      <x:c r="A241" t="n">
        <x:v>233</x:v>
      </x:c>
      <x:c r="B241" t="str">
        <x:v>PRY. SCHOOL MAKSOODPUR R.NO. 1</x:v>
      </x:c>
      <x:c r="C241" t="n">
        <x:v>508</x:v>
      </x:c>
      <x:c r="D241" t="n">
        <x:v>315</x:v>
      </x:c>
      <x:c r="E241" t="n">
        <x:f>SUM(H241:T241)</x:f>
        <x:v>313</x:v>
      </x:c>
      <x:c r="F241" t="n">
        <x:v>2</x:v>
      </x:c>
      <x:c r="G241" s="50" t="n">
        <x:f>IF(C241="","",IFERROR(D241/C241,0))</x:f>
        <x:v>0.6200787401574803</x:v>
      </x:c>
      <x:c r="H241" s="36" t="n">
        <x:v>115</x:v>
      </x:c>
      <x:c r="I241" t="n">
        <x:v>191</x:v>
      </x:c>
      <x:c r="J241" t="n">
        <x:v>3</x:v>
      </x:c>
      <x:c r="K241" t="n">
        <x:v>0</x:v>
      </x:c>
      <x:c r="L241" t="n">
        <x:v>2</x:v>
      </x:c>
      <x:c r="M241" t="n">
        <x:v>1</x:v>
      </x:c>
      <x:c r="N241" t="n">
        <x:v>0</x:v>
      </x:c>
      <x:c r="O241" t="n">
        <x:v>0</x:v>
      </x:c>
      <x:c r="P241" t="n">
        <x:v>0</x:v>
      </x:c>
      <x:c r="Q241" t="n">
        <x:v>1</x:v>
      </x:c>
      <x:c r="R241" t="n">
        <x:v>0</x:v>
      </x:c>
      <x:c r="S241" t="n">
        <x:v>0</x:v>
      </x:c>
      <x:c r="T241" t="n">
        <x:v>0</x:v>
      </x:c>
      <x:c r="U241" s="50" t="n">
        <x:f>IF(D241=0,"",H241/D241)</x:f>
        <x:v>0.36507936507936506</x:v>
      </x:c>
      <x:c r="V241" t="n">
        <x:f>MAX(I241:T241)</x:f>
        <x:v>191</x:v>
      </x:c>
      <x:c r="W241" t="n">
        <x:f>H241-V241</x:f>
        <x:v>-76</x:v>
      </x:c>
      <x:c r="X241" s="52" t="n">
        <x:f>IF(D241=0,"",(W241)/D241)</x:f>
        <x:v>-0.24126984126984127</x:v>
      </x:c>
      <x:c r="Y241" t="str">
        <x:v>DR. MAHESH SHARMA</x:v>
      </x:c>
      <x:c r="Z241" t="n">
        <x:f>D241-E241-F241</x:f>
        <x:v>0</x:v>
      </x:c>
    </x:row>
    <x:row r="242">
      <x:c r="A242" t="n">
        <x:v>234</x:v>
      </x:c>
      <x:c r="B242" t="str">
        <x:v>PRY. SCHOOL MYANA R.NO. 1</x:v>
      </x:c>
      <x:c r="C242" t="n">
        <x:v>1183</x:v>
      </x:c>
      <x:c r="D242" t="n">
        <x:v>716</x:v>
      </x:c>
      <x:c r="E242" t="n">
        <x:f>SUM(H242:T242)</x:f>
        <x:v>712</x:v>
      </x:c>
      <x:c r="F242" t="n">
        <x:v>4</x:v>
      </x:c>
      <x:c r="G242" s="50" t="n">
        <x:f>IF(C242="","",IFERROR(D242/C242,0))</x:f>
        <x:v>0.6052409129332206</x:v>
      </x:c>
      <x:c r="H242" s="36" t="n">
        <x:v>264</x:v>
      </x:c>
      <x:c r="I242" t="n">
        <x:v>424</x:v>
      </x:c>
      <x:c r="J242" t="n">
        <x:v>9</x:v>
      </x:c>
      <x:c r="K242" t="n">
        <x:v>2</x:v>
      </x:c>
      <x:c r="L242" t="n">
        <x:v>8</x:v>
      </x:c>
      <x:c r="M242" t="n">
        <x:v>0</x:v>
      </x:c>
      <x:c r="N242" t="n">
        <x:v>1</x:v>
      </x:c>
      <x:c r="O242" t="n">
        <x:v>2</x:v>
      </x:c>
      <x:c r="P242" t="n">
        <x:v>0</x:v>
      </x:c>
      <x:c r="Q242" t="n">
        <x:v>1</x:v>
      </x:c>
      <x:c r="R242" t="n">
        <x:v>1</x:v>
      </x:c>
      <x:c r="S242" t="n">
        <x:v>0</x:v>
      </x:c>
      <x:c r="T242" t="n">
        <x:v>0</x:v>
      </x:c>
      <x:c r="U242" s="50" t="n">
        <x:f>IF(D242=0,"",H242/D242)</x:f>
        <x:v>0.3687150837988827</x:v>
      </x:c>
      <x:c r="V242" t="n">
        <x:f>MAX(I242:T242)</x:f>
        <x:v>424</x:v>
      </x:c>
      <x:c r="W242" t="n">
        <x:f>H242-V242</x:f>
        <x:v>-160</x:v>
      </x:c>
      <x:c r="X242" s="52" t="n">
        <x:f>IF(D242=0,"",(W242)/D242)</x:f>
        <x:v>-0.22346368715083798</x:v>
      </x:c>
      <x:c r="Y242" t="str">
        <x:v>DR. MAHESH SHARMA</x:v>
      </x:c>
      <x:c r="Z242" t="n">
        <x:f>D242-E242-F242</x:f>
        <x:v>0</x:v>
      </x:c>
    </x:row>
    <x:row r="243">
      <x:c r="A243" t="n">
        <x:v>235</x:v>
      </x:c>
      <x:c r="B243" t="str">
        <x:v>PRY. SCHOOL KALUPURA R.NO. 1</x:v>
      </x:c>
      <x:c r="C243" t="n">
        <x:v>1152</x:v>
      </x:c>
      <x:c r="D243" t="n">
        <x:v>835</x:v>
      </x:c>
      <x:c r="E243" t="n">
        <x:f>SUM(H243:T243)</x:f>
        <x:v>832</x:v>
      </x:c>
      <x:c r="F243" t="n">
        <x:v>3</x:v>
      </x:c>
      <x:c r="G243" s="50" t="n">
        <x:f>IF(C243="","",IFERROR(D243/C243,0))</x:f>
        <x:v>0.7248263888888888</x:v>
      </x:c>
      <x:c r="H243" s="36" t="n">
        <x:v>150</x:v>
      </x:c>
      <x:c r="I243" t="n">
        <x:v>655</x:v>
      </x:c>
      <x:c r="J243" t="n">
        <x:v>23</x:v>
      </x:c>
      <x:c r="K243" t="n">
        <x:v>2</x:v>
      </x:c>
      <x:c r="L243" t="n">
        <x:v>0</x:v>
      </x:c>
      <x:c r="M243" t="n">
        <x:v>1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1</x:v>
      </x:c>
      <x:c r="T243" t="n">
        <x:v>0</x:v>
      </x:c>
      <x:c r="U243" s="50" t="n">
        <x:f>IF(D243=0,"",H243/D243)</x:f>
        <x:v>0.17964071856287425</x:v>
      </x:c>
      <x:c r="V243" t="n">
        <x:f>MAX(I243:T243)</x:f>
        <x:v>655</x:v>
      </x:c>
      <x:c r="W243" t="n">
        <x:f>H243-V243</x:f>
        <x:v>-505</x:v>
      </x:c>
      <x:c r="X243" s="52" t="n">
        <x:f>IF(D243=0,"",(W243)/D243)</x:f>
        <x:v>-0.6047904191616766</x:v>
      </x:c>
      <x:c r="Y243" t="str">
        <x:v>DR. MAHESH SHARMA</x:v>
      </x:c>
      <x:c r="Z243" t="n">
        <x:f>D243-E243-F243</x:f>
        <x:v>0</x:v>
      </x:c>
    </x:row>
    <x:row r="244">
      <x:c r="A244" t="n">
        <x:v>236</x:v>
      </x:c>
      <x:c r="B244" t="str">
        <x:v>PRY. SCHOOL KALUPURA R.NO. 2</x:v>
      </x:c>
      <x:c r="C244" t="n">
        <x:v>836</x:v>
      </x:c>
      <x:c r="D244" t="n">
        <x:v>561</x:v>
      </x:c>
      <x:c r="E244" t="n">
        <x:f>SUM(H244:T244)</x:f>
        <x:v>559</x:v>
      </x:c>
      <x:c r="F244" t="n">
        <x:v>2</x:v>
      </x:c>
      <x:c r="G244" s="50" t="n">
        <x:f>IF(C244="","",IFERROR(D244/C244,0))</x:f>
        <x:v>0.6710526315789473</x:v>
      </x:c>
      <x:c r="H244" s="36" t="n">
        <x:v>308</x:v>
      </x:c>
      <x:c r="I244" t="n">
        <x:v>238</x:v>
      </x:c>
      <x:c r="J244" t="n">
        <x:v>7</x:v>
      </x:c>
      <x:c r="K244" t="n">
        <x:v>4</x:v>
      </x:c>
      <x:c r="L244" t="n">
        <x:v>0</x:v>
      </x:c>
      <x:c r="M244" t="n">
        <x:v>1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1</x:v>
      </x:c>
      <x:c r="S244" t="n">
        <x:v>0</x:v>
      </x:c>
      <x:c r="T244" t="n">
        <x:v>0</x:v>
      </x:c>
      <x:c r="U244" s="50" t="n">
        <x:f>IF(D244=0,"",H244/D244)</x:f>
        <x:v>0.5490196078431373</x:v>
      </x:c>
      <x:c r="V244" t="n">
        <x:f>MAX(I244:T244)</x:f>
        <x:v>238</x:v>
      </x:c>
      <x:c r="W244" t="n">
        <x:f>H244-V244</x:f>
        <x:v>70</x:v>
      </x:c>
      <x:c r="X244" s="52" t="n">
        <x:f>IF(D244=0,"",(W244)/D244)</x:f>
        <x:v>0.12477718360071301</x:v>
      </x:c>
      <x:c r="Y244" t="str">
        <x:v>SATVEER</x:v>
      </x:c>
      <x:c r="Z244" t="n">
        <x:f>D244-E244-F244</x:f>
        <x:v>0</x:v>
      </x:c>
    </x:row>
    <x:row r="245">
      <x:c r="A245" t="n">
        <x:v>237</x:v>
      </x:c>
      <x:c r="B245" t="str">
        <x:v>PRY. SCHOOL JAUNCHANA R.NO. 1</x:v>
      </x:c>
      <x:c r="C245" t="n">
        <x:v>1089</x:v>
      </x:c>
      <x:c r="D245" t="n">
        <x:v>627</x:v>
      </x:c>
      <x:c r="E245" t="n">
        <x:f>SUM(H245:T245)</x:f>
        <x:v>620</x:v>
      </x:c>
      <x:c r="F245" t="n">
        <x:v>7</x:v>
      </x:c>
      <x:c r="G245" s="50" t="n">
        <x:f>IF(C245="","",IFERROR(D245/C245,0))</x:f>
        <x:v>0.5757575757575758</x:v>
      </x:c>
      <x:c r="H245" s="36" t="n">
        <x:v>244</x:v>
      </x:c>
      <x:c r="I245" t="n">
        <x:v>363</x:v>
      </x:c>
      <x:c r="J245" t="n">
        <x:v>10</x:v>
      </x:c>
      <x:c r="K245" t="n">
        <x:v>3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s="50" t="n">
        <x:f>IF(D245=0,"",H245/D245)</x:f>
        <x:v>0.38915470494417864</x:v>
      </x:c>
      <x:c r="V245" t="n">
        <x:f>MAX(I245:T245)</x:f>
        <x:v>363</x:v>
      </x:c>
      <x:c r="W245" t="n">
        <x:f>H245-V245</x:f>
        <x:v>-119</x:v>
      </x:c>
      <x:c r="X245" s="52" t="n">
        <x:f>IF(D245=0,"",(W245)/D245)</x:f>
        <x:v>-0.189792663476874</x:v>
      </x:c>
      <x:c r="Y245" t="str">
        <x:v>DR. MAHESH SHARMA</x:v>
      </x:c>
      <x:c r="Z245" t="n">
        <x:f>D245-E245-F245</x:f>
        <x:v>0</x:v>
      </x:c>
    </x:row>
    <x:row r="246">
      <x:c r="A246" t="n">
        <x:v>238</x:v>
      </x:c>
      <x:c r="B246" t="str">
        <x:v>PRY. SCHOOL CHACHURA R.NO. 1</x:v>
      </x:c>
      <x:c r="C246" t="n">
        <x:v>911</x:v>
      </x:c>
      <x:c r="D246" t="n">
        <x:v>574</x:v>
      </x:c>
      <x:c r="E246" t="n">
        <x:f>SUM(H246:T246)</x:f>
        <x:v>570</x:v>
      </x:c>
      <x:c r="F246" t="n">
        <x:v>4</x:v>
      </x:c>
      <x:c r="G246" s="50" t="n">
        <x:f>IF(C246="","",IFERROR(D246/C246,0))</x:f>
        <x:v>0.6300768386388584</x:v>
      </x:c>
      <x:c r="H246" s="36" t="n">
        <x:v>452</x:v>
      </x:c>
      <x:c r="I246" t="n">
        <x:v>90</x:v>
      </x:c>
      <x:c r="J246" t="n">
        <x:v>21</x:v>
      </x:c>
      <x:c r="K246" t="n">
        <x:v>4</x:v>
      </x:c>
      <x:c r="L246" t="n">
        <x:v>1</x:v>
      </x:c>
      <x:c r="M246" t="n">
        <x:v>1</x:v>
      </x:c>
      <x:c r="N246" t="n">
        <x:v>1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s="50" t="n">
        <x:f>IF(D246=0,"",H246/D246)</x:f>
        <x:v>0.7874564459930313</x:v>
      </x:c>
      <x:c r="V246" t="n">
        <x:f>MAX(I246:T246)</x:f>
        <x:v>90</x:v>
      </x:c>
      <x:c r="W246" t="n">
        <x:f>H246-V246</x:f>
        <x:v>362</x:v>
      </x:c>
      <x:c r="X246" s="52" t="n">
        <x:f>IF(D246=0,"",(W246)/D246)</x:f>
        <x:v>0.6306620209059234</x:v>
      </x:c>
      <x:c r="Y246" t="str">
        <x:v>SATVEER</x:v>
      </x:c>
      <x:c r="Z246" t="n">
        <x:f>D246-E246-F246</x:f>
        <x:v>0</x:v>
      </x:c>
    </x:row>
    <x:row r="247">
      <x:c r="A247" t="n">
        <x:v>239</x:v>
      </x:c>
      <x:c r="B247" t="str">
        <x:v>PRY. SCHOOL AMANULLAPUR URF MARHARA R.NO. 1</x:v>
      </x:c>
      <x:c r="C247" t="n">
        <x:v>760</x:v>
      </x:c>
      <x:c r="D247" t="n">
        <x:v>559</x:v>
      </x:c>
      <x:c r="E247" t="n">
        <x:f>SUM(H247:T247)</x:f>
        <x:v>558</x:v>
      </x:c>
      <x:c r="F247" t="n">
        <x:v>1</x:v>
      </x:c>
      <x:c r="G247" s="50" t="n">
        <x:f>IF(C247="","",IFERROR(D247/C247,0))</x:f>
        <x:v>0.7355263157894737</x:v>
      </x:c>
      <x:c r="H247" s="36" t="n">
        <x:v>210</x:v>
      </x:c>
      <x:c r="I247" t="n">
        <x:v>346</x:v>
      </x:c>
      <x:c r="J247" t="n">
        <x:v>2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s="50" t="n">
        <x:f>IF(D247=0,"",H247/D247)</x:f>
        <x:v>0.3756708407871199</x:v>
      </x:c>
      <x:c r="V247" t="n">
        <x:f>MAX(I247:T247)</x:f>
        <x:v>346</x:v>
      </x:c>
      <x:c r="W247" t="n">
        <x:f>H247-V247</x:f>
        <x:v>-136</x:v>
      </x:c>
      <x:c r="X247" s="52" t="n">
        <x:f>IF(D247=0,"",(W247)/D247)</x:f>
        <x:v>-0.24329159212880144</x:v>
      </x:c>
      <x:c r="Y247" t="str">
        <x:v>DR. MAHESH SHARMA</x:v>
      </x:c>
      <x:c r="Z247" t="n">
        <x:f>D247-E247-F247</x:f>
        <x:v>0</x:v>
      </x:c>
    </x:row>
    <x:row r="248">
      <x:c r="A248" t="n">
        <x:v>240</x:v>
      </x:c>
      <x:c r="B248" t="str">
        <x:v>PRY. SCHOOL AMANULLAPUR URF MARHARA R.NO. 2</x:v>
      </x:c>
      <x:c r="C248" t="n">
        <x:v>673</x:v>
      </x:c>
      <x:c r="D248" t="n">
        <x:v>407</x:v>
      </x:c>
      <x:c r="E248" t="n">
        <x:f>SUM(H248:T248)</x:f>
        <x:v>407</x:v>
      </x:c>
      <x:c r="F248" t="n">
        <x:v>0</x:v>
      </x:c>
      <x:c r="G248" s="50" t="n">
        <x:f>IF(C248="","",IFERROR(D248/C248,0))</x:f>
        <x:v>0.6047548291233283</x:v>
      </x:c>
      <x:c r="H248" s="36" t="n">
        <x:v>9</x:v>
      </x:c>
      <x:c r="I248" t="n">
        <x:v>394</x:v>
      </x:c>
      <x:c r="J248" t="n">
        <x:v>3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1</x:v>
      </x:c>
      <x:c r="R248" t="n">
        <x:v>0</x:v>
      </x:c>
      <x:c r="S248" t="n">
        <x:v>0</x:v>
      </x:c>
      <x:c r="T248" t="n">
        <x:v>0</x:v>
      </x:c>
      <x:c r="U248" s="50" t="n">
        <x:f>IF(D248=0,"",H248/D248)</x:f>
        <x:v>0.022113022113022112</x:v>
      </x:c>
      <x:c r="V248" t="n">
        <x:f>MAX(I248:T248)</x:f>
        <x:v>394</x:v>
      </x:c>
      <x:c r="W248" t="n">
        <x:f>H248-V248</x:f>
        <x:v>-385</x:v>
      </x:c>
      <x:c r="X248" s="52" t="n">
        <x:f>IF(D248=0,"",(W248)/D248)</x:f>
        <x:v>-0.9459459459459459</x:v>
      </x:c>
      <x:c r="Y248" t="str">
        <x:v>DR. MAHESH SHARMA</x:v>
      </x:c>
      <x:c r="Z248" t="n">
        <x:f>D248-E248-F248</x:f>
        <x:v>0</x:v>
      </x:c>
    </x:row>
    <x:row r="249">
      <x:c r="A249" t="n">
        <x:v>241</x:v>
      </x:c>
      <x:c r="B249" t="str">
        <x:v>PRY. SCHOOL BHIKANPUR R.NO. 1</x:v>
      </x:c>
      <x:c r="C249" t="n">
        <x:v>874</x:v>
      </x:c>
      <x:c r="D249" t="n">
        <x:v>584</x:v>
      </x:c>
      <x:c r="E249" t="n">
        <x:f>SUM(H249:T249)</x:f>
        <x:v>579</x:v>
      </x:c>
      <x:c r="F249" t="n">
        <x:v>5</x:v>
      </x:c>
      <x:c r="G249" s="50" t="n">
        <x:f>IF(C249="","",IFERROR(D249/C249,0))</x:f>
        <x:v>0.6681922196796338</x:v>
      </x:c>
      <x:c r="H249" s="36" t="n">
        <x:v>289</x:v>
      </x:c>
      <x:c r="I249" t="n">
        <x:v>283</x:v>
      </x:c>
      <x:c r="J249" t="n">
        <x:v>3</x:v>
      </x:c>
      <x:c r="K249" t="n">
        <x:v>2</x:v>
      </x:c>
      <x:c r="L249" t="n">
        <x:v>1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1</x:v>
      </x:c>
      <x:c r="U249" s="50" t="n">
        <x:f>IF(D249=0,"",H249/D249)</x:f>
        <x:v>0.4948630136986301</x:v>
      </x:c>
      <x:c r="V249" t="n">
        <x:f>MAX(I249:T249)</x:f>
        <x:v>283</x:v>
      </x:c>
      <x:c r="W249" t="n">
        <x:f>H249-V249</x:f>
        <x:v>6</x:v>
      </x:c>
      <x:c r="X249" s="52" t="n">
        <x:f>IF(D249=0,"",(W249)/D249)</x:f>
        <x:v>0.010273972602739725</x:v>
      </x:c>
      <x:c r="Y249" t="str">
        <x:v>SATVEER</x:v>
      </x:c>
      <x:c r="Z249" t="n">
        <x:f>D249-E249-F249</x:f>
        <x:v>0</x:v>
      </x:c>
    </x:row>
    <x:row r="250">
      <x:c r="A250" t="n">
        <x:v>242</x:v>
      </x:c>
      <x:c r="B250" t="str">
        <x:v>PRY. SCHOOL AKALPUR R.NO. 1</x:v>
      </x:c>
      <x:c r="C250" t="n">
        <x:v>681</x:v>
      </x:c>
      <x:c r="D250" t="n">
        <x:v>460</x:v>
      </x:c>
      <x:c r="E250" t="n">
        <x:f>SUM(H250:T250)</x:f>
        <x:v>460</x:v>
      </x:c>
      <x:c r="F250" t="n">
        <x:v>0</x:v>
      </x:c>
      <x:c r="G250" s="50" t="n">
        <x:f>IF(C250="","",IFERROR(D250/C250,0))</x:f>
        <x:v>0.6754772393538914</x:v>
      </x:c>
      <x:c r="H250" s="36" t="n">
        <x:v>27</x:v>
      </x:c>
      <x:c r="I250" t="n">
        <x:v>427</x:v>
      </x:c>
      <x:c r="J250" t="n">
        <x:v>1</x:v>
      </x:c>
      <x:c r="K250" t="n">
        <x:v>1</x:v>
      </x:c>
      <x:c r="L250" t="n">
        <x:v>1</x:v>
      </x:c>
      <x:c r="M250" t="n">
        <x:v>0</x:v>
      </x:c>
      <x:c r="N250" t="n">
        <x:v>0</x:v>
      </x:c>
      <x:c r="O250" t="n">
        <x:v>2</x:v>
      </x:c>
      <x:c r="P250" t="n">
        <x:v>0</x:v>
      </x:c>
      <x:c r="Q250" t="n">
        <x:v>1</x:v>
      </x:c>
      <x:c r="R250" t="n">
        <x:v>0</x:v>
      </x:c>
      <x:c r="S250" t="n">
        <x:v>0</x:v>
      </x:c>
      <x:c r="T250" t="n">
        <x:v>0</x:v>
      </x:c>
      <x:c r="U250" s="50" t="n">
        <x:f>IF(D250=0,"",H250/D250)</x:f>
        <x:v>0.058695652173913045</x:v>
      </x:c>
      <x:c r="V250" t="n">
        <x:f>MAX(I250:T250)</x:f>
        <x:v>427</x:v>
      </x:c>
      <x:c r="W250" t="n">
        <x:f>H250-V250</x:f>
        <x:v>-400</x:v>
      </x:c>
      <x:c r="X250" s="52" t="n">
        <x:f>IF(D250=0,"",(W250)/D250)</x:f>
        <x:v>-0.8695652173913043</x:v>
      </x:c>
      <x:c r="Y250" t="str">
        <x:v>DR. MAHESH SHARMA</x:v>
      </x:c>
      <x:c r="Z250" t="n">
        <x:f>D250-E250-F250</x:f>
        <x:v>0</x:v>
      </x:c>
    </x:row>
    <x:row r="251">
      <x:c r="A251" t="n">
        <x:v>243</x:v>
      </x:c>
      <x:c r="B251" t="str">
        <x:v>PRY. SCHOOL AKALPUR R.NO. 2</x:v>
      </x:c>
      <x:c r="C251" t="n">
        <x:v>621</x:v>
      </x:c>
      <x:c r="D251" t="n">
        <x:v>415</x:v>
      </x:c>
      <x:c r="E251" t="n">
        <x:f>SUM(H251:T251)</x:f>
        <x:v>414</x:v>
      </x:c>
      <x:c r="F251" t="n">
        <x:v>1</x:v>
      </x:c>
      <x:c r="G251" s="50" t="n">
        <x:f>IF(C251="","",IFERROR(D251/C251,0))</x:f>
        <x:v>0.6682769726247987</x:v>
      </x:c>
      <x:c r="H251" s="36" t="n">
        <x:v>119</x:v>
      </x:c>
      <x:c r="I251" t="n">
        <x:v>285</x:v>
      </x:c>
      <x:c r="J251" t="n">
        <x:v>6</x:v>
      </x:c>
      <x:c r="K251" t="n">
        <x:v>2</x:v>
      </x:c>
      <x:c r="L251" t="n">
        <x:v>2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s="50" t="n">
        <x:f>IF(D251=0,"",H251/D251)</x:f>
        <x:v>0.28674698795180725</x:v>
      </x:c>
      <x:c r="V251" t="n">
        <x:f>MAX(I251:T251)</x:f>
        <x:v>285</x:v>
      </x:c>
      <x:c r="W251" t="n">
        <x:f>H251-V251</x:f>
        <x:v>-166</x:v>
      </x:c>
      <x:c r="X251" s="52" t="n">
        <x:f>IF(D251=0,"",(W251)/D251)</x:f>
        <x:v>-0.4</x:v>
      </x:c>
      <x:c r="Y251" t="str">
        <x:v>DR. MAHESH SHARMA</x:v>
      </x:c>
      <x:c r="Z251" t="n">
        <x:f>D251-E251-F251</x:f>
        <x:v>0</x:v>
      </x:c>
    </x:row>
    <x:row r="252">
      <x:c r="A252" t="n">
        <x:v>244</x:v>
      </x:c>
      <x:c r="B252" t="str">
        <x:v>PRY. SCHOOL MUDRAH R.NO. 1</x:v>
      </x:c>
      <x:c r="C252" t="n">
        <x:v>674</x:v>
      </x:c>
      <x:c r="D252" t="n">
        <x:v>315</x:v>
      </x:c>
      <x:c r="E252" t="n">
        <x:f>SUM(H252:T252)</x:f>
        <x:v>308</x:v>
      </x:c>
      <x:c r="F252" t="n">
        <x:v>7</x:v>
      </x:c>
      <x:c r="G252" s="50" t="n">
        <x:f>IF(C252="","",IFERROR(D252/C252,0))</x:f>
        <x:v>0.46735905044510384</x:v>
      </x:c>
      <x:c r="H252" s="36" t="n">
        <x:v>207</x:v>
      </x:c>
      <x:c r="I252" t="n">
        <x:v>68</x:v>
      </x:c>
      <x:c r="J252" t="n">
        <x:v>20</x:v>
      </x:c>
      <x:c r="K252" t="n">
        <x:v>5</x:v>
      </x:c>
      <x:c r="L252" t="n">
        <x:v>4</x:v>
      </x:c>
      <x:c r="M252" t="n">
        <x:v>2</x:v>
      </x:c>
      <x:c r="N252" t="n">
        <x:v>1</x:v>
      </x:c>
      <x:c r="O252" t="n">
        <x:v>1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s="50" t="n">
        <x:f>IF(D252=0,"",H252/D252)</x:f>
        <x:v>0.6571428571428571</x:v>
      </x:c>
      <x:c r="V252" t="n">
        <x:f>MAX(I252:T252)</x:f>
        <x:v>68</x:v>
      </x:c>
      <x:c r="W252" t="n">
        <x:f>H252-V252</x:f>
        <x:v>139</x:v>
      </x:c>
      <x:c r="X252" s="52" t="n">
        <x:f>IF(D252=0,"",(W252)/D252)</x:f>
        <x:v>0.44126984126984126</x:v>
      </x:c>
      <x:c r="Y252" t="str">
        <x:v>SATVEER</x:v>
      </x:c>
      <x:c r="Z252" t="n">
        <x:f>D252-E252-F252</x:f>
        <x:v>0</x:v>
      </x:c>
    </x:row>
    <x:row r="253">
      <x:c r="A253" t="n">
        <x:v>245</x:v>
      </x:c>
      <x:c r="B253" t="str">
        <x:v>PRY. SCHOOL MUDRAH R.NO. 2</x:v>
      </x:c>
      <x:c r="C253" t="n">
        <x:v>1004</x:v>
      </x:c>
      <x:c r="D253" t="n">
        <x:v>590</x:v>
      </x:c>
      <x:c r="E253" t="n">
        <x:f>SUM(H253:T253)</x:f>
        <x:v>589</x:v>
      </x:c>
      <x:c r="F253" t="n">
        <x:v>1</x:v>
      </x:c>
      <x:c r="G253" s="50" t="n">
        <x:f>IF(C253="","",IFERROR(D253/C253,0))</x:f>
        <x:v>0.5876494023904383</x:v>
      </x:c>
      <x:c r="H253" s="36" t="n">
        <x:v>109</x:v>
      </x:c>
      <x:c r="I253" t="n">
        <x:v>477</x:v>
      </x:c>
      <x:c r="J253" t="n">
        <x:v>1</x:v>
      </x:c>
      <x:c r="K253" t="n">
        <x:v>2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s="50" t="n">
        <x:f>IF(D253=0,"",H253/D253)</x:f>
        <x:v>0.1847457627118644</x:v>
      </x:c>
      <x:c r="V253" t="n">
        <x:f>MAX(I253:T253)</x:f>
        <x:v>477</x:v>
      </x:c>
      <x:c r="W253" t="n">
        <x:f>H253-V253</x:f>
        <x:v>-368</x:v>
      </x:c>
      <x:c r="X253" s="52" t="n">
        <x:f>IF(D253=0,"",(W253)/D253)</x:f>
        <x:v>-0.6237288135593221</x:v>
      </x:c>
      <x:c r="Y253" t="str">
        <x:v>DR. MAHESH SHARMA</x:v>
      </x:c>
      <x:c r="Z253" t="n">
        <x:f>D253-E253-F253</x:f>
        <x:v>0</x:v>
      </x:c>
    </x:row>
    <x:row r="254">
      <x:c r="A254" t="n">
        <x:v>246</x:v>
      </x:c>
      <x:c r="B254" t="str">
        <x:v>PRY. SCHOOL ISMAILNAGAR URF BHOYRA R.NO. 1</x:v>
      </x:c>
      <x:c r="C254" t="n">
        <x:v>403</x:v>
      </x:c>
      <x:c r="D254" t="n">
        <x:v>288</x:v>
      </x:c>
      <x:c r="E254" t="n">
        <x:f>SUM(H254:T254)</x:f>
        <x:v>288</x:v>
      </x:c>
      <x:c r="F254" t="n">
        <x:v>0</x:v>
      </x:c>
      <x:c r="G254" s="50" t="n">
        <x:f>IF(C254="","",IFERROR(D254/C254,0))</x:f>
        <x:v>0.7146401985111662</x:v>
      </x:c>
      <x:c r="H254" s="36" t="n">
        <x:v>8</x:v>
      </x:c>
      <x:c r="I254" t="n">
        <x:v>275</x:v>
      </x:c>
      <x:c r="J254" t="n">
        <x:v>3</x:v>
      </x:c>
      <x:c r="K254" t="n">
        <x:v>0</x:v>
      </x:c>
      <x:c r="L254" t="n">
        <x:v>1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s="50" t="n">
        <x:f>IF(D254=0,"",H254/D254)</x:f>
        <x:v>0.027777777777777776</x:v>
      </x:c>
      <x:c r="V254" t="n">
        <x:f>MAX(I254:T254)</x:f>
        <x:v>275</x:v>
      </x:c>
      <x:c r="W254" t="n">
        <x:f>H254-V254</x:f>
        <x:v>-267</x:v>
      </x:c>
      <x:c r="X254" s="52" t="n">
        <x:f>IF(D254=0,"",(W254)/D254)</x:f>
        <x:v>-0.9270833333333334</x:v>
      </x:c>
      <x:c r="Y254" t="str">
        <x:v>DR. MAHESH SHARMA</x:v>
      </x:c>
      <x:c r="Z254" t="n">
        <x:f>D254-E254-F254</x:f>
        <x:v>0</x:v>
      </x:c>
    </x:row>
    <x:row r="255">
      <x:c r="A255" t="n">
        <x:v>247</x:v>
      </x:c>
      <x:c r="B255" t="str">
        <x:v>PRY. SCHOOL KANPUR R.NO. 1</x:v>
      </x:c>
      <x:c r="C255" t="n">
        <x:v>676</x:v>
      </x:c>
      <x:c r="D255" t="n">
        <x:v>452</x:v>
      </x:c>
      <x:c r="E255" t="n">
        <x:f>SUM(H255:T255)</x:f>
        <x:v>452</x:v>
      </x:c>
      <x:c r="F255" t="n">
        <x:v>0</x:v>
      </x:c>
      <x:c r="G255" s="50" t="n">
        <x:f>IF(C255="","",IFERROR(D255/C255,0))</x:f>
        <x:v>0.6686390532544378</x:v>
      </x:c>
      <x:c r="H255" s="36" t="n">
        <x:v>9</x:v>
      </x:c>
      <x:c r="I255" t="n">
        <x:v>441</x:v>
      </x:c>
      <x:c r="J255" t="n">
        <x:v>2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s="50" t="n">
        <x:f>IF(D255=0,"",H255/D255)</x:f>
        <x:v>0.01991150442477876</x:v>
      </x:c>
      <x:c r="V255" t="n">
        <x:f>MAX(I255:T255)</x:f>
        <x:v>441</x:v>
      </x:c>
      <x:c r="W255" t="n">
        <x:f>H255-V255</x:f>
        <x:v>-432</x:v>
      </x:c>
      <x:c r="X255" s="52" t="n">
        <x:f>IF(D255=0,"",(W255)/D255)</x:f>
        <x:v>-0.9557522123893806</x:v>
      </x:c>
      <x:c r="Y255" t="str">
        <x:v>DR. MAHESH SHARMA</x:v>
      </x:c>
      <x:c r="Z255" t="n">
        <x:f>D255-E255-F255</x:f>
        <x:v>0</x:v>
      </x:c>
    </x:row>
    <x:row r="256">
      <x:c r="A256" t="n">
        <x:v>248</x:v>
      </x:c>
      <x:c r="B256" t="str">
        <x:v>PRY. SCHOOL KANPUR R.NO. 2</x:v>
      </x:c>
      <x:c r="C256" t="n">
        <x:v>579</x:v>
      </x:c>
      <x:c r="D256" t="n">
        <x:v>434</x:v>
      </x:c>
      <x:c r="E256" t="n">
        <x:f>SUM(H256:T256)</x:f>
        <x:v>434</x:v>
      </x:c>
      <x:c r="F256" t="n">
        <x:v>0</x:v>
      </x:c>
      <x:c r="G256" s="50" t="n">
        <x:f>IF(C256="","",IFERROR(D256/C256,0))</x:f>
        <x:v>0.7495682210708118</x:v>
      </x:c>
      <x:c r="H256" s="36" t="n">
        <x:v>280</x:v>
      </x:c>
      <x:c r="I256" t="n">
        <x:v>144</x:v>
      </x:c>
      <x:c r="J256" t="n">
        <x:v>3</x:v>
      </x:c>
      <x:c r="K256" t="n">
        <x:v>0</x:v>
      </x:c>
      <x:c r="L256" t="n">
        <x:v>1</x:v>
      </x:c>
      <x:c r="M256" t="n">
        <x:v>3</x:v>
      </x:c>
      <x:c r="N256" t="n">
        <x:v>0</x:v>
      </x:c>
      <x:c r="O256" t="n">
        <x:v>1</x:v>
      </x:c>
      <x:c r="P256" t="n">
        <x:v>0</x:v>
      </x:c>
      <x:c r="Q256" t="n">
        <x:v>1</x:v>
      </x:c>
      <x:c r="R256" t="n">
        <x:v>1</x:v>
      </x:c>
      <x:c r="S256" t="n">
        <x:v>0</x:v>
      </x:c>
      <x:c r="T256" t="n">
        <x:v>0</x:v>
      </x:c>
      <x:c r="U256" s="50" t="n">
        <x:f>IF(D256=0,"",H256/D256)</x:f>
        <x:v>0.6451612903225806</x:v>
      </x:c>
      <x:c r="V256" t="n">
        <x:f>MAX(I256:T256)</x:f>
        <x:v>144</x:v>
      </x:c>
      <x:c r="W256" t="n">
        <x:f>H256-V256</x:f>
        <x:v>136</x:v>
      </x:c>
      <x:c r="X256" s="52" t="n">
        <x:f>IF(D256=0,"",(W256)/D256)</x:f>
        <x:v>0.31336405529953915</x:v>
      </x:c>
      <x:c r="Y256" t="str">
        <x:v>SATVEER</x:v>
      </x:c>
      <x:c r="Z256" t="n">
        <x:f>D256-E256-F256</x:f>
        <x:v>0</x:v>
      </x:c>
    </x:row>
    <x:row r="257">
      <x:c r="A257" t="n">
        <x:v>249</x:v>
      </x:c>
      <x:c r="B257" t="str">
        <x:v>PRY. SCHOOL NAGLA SHAHPUR R.NO. 1</x:v>
      </x:c>
      <x:c r="C257" t="n">
        <x:v>860</x:v>
      </x:c>
      <x:c r="D257" t="n">
        <x:v>634</x:v>
      </x:c>
      <x:c r="E257" t="n">
        <x:f>SUM(H257:T257)</x:f>
        <x:v>633</x:v>
      </x:c>
      <x:c r="F257" t="n">
        <x:v>1</x:v>
      </x:c>
      <x:c r="G257" s="50" t="n">
        <x:f>IF(C257="","",IFERROR(D257/C257,0))</x:f>
        <x:v>0.7372093023255814</x:v>
      </x:c>
      <x:c r="H257" s="36" t="n">
        <x:v>165</x:v>
      </x:c>
      <x:c r="I257" t="n">
        <x:v>455</x:v>
      </x:c>
      <x:c r="J257" t="n">
        <x:v>7</x:v>
      </x:c>
      <x:c r="K257" t="n">
        <x:v>0</x:v>
      </x:c>
      <x:c r="L257" t="n">
        <x:v>1</x:v>
      </x:c>
      <x:c r="M257" t="n">
        <x:v>3</x:v>
      </x:c>
      <x:c r="N257" t="n">
        <x:v>0</x:v>
      </x:c>
      <x:c r="O257" t="n">
        <x:v>1</x:v>
      </x:c>
      <x:c r="P257" t="n">
        <x:v>0</x:v>
      </x:c>
      <x:c r="Q257" t="n">
        <x:v>0</x:v>
      </x:c>
      <x:c r="R257" t="n">
        <x:v>1</x:v>
      </x:c>
      <x:c r="S257" t="n">
        <x:v>0</x:v>
      </x:c>
      <x:c r="T257" t="n">
        <x:v>0</x:v>
      </x:c>
      <x:c r="U257" s="50" t="n">
        <x:f>IF(D257=0,"",H257/D257)</x:f>
        <x:v>0.26025236593059936</x:v>
      </x:c>
      <x:c r="V257" t="n">
        <x:f>MAX(I257:T257)</x:f>
        <x:v>455</x:v>
      </x:c>
      <x:c r="W257" t="n">
        <x:f>H257-V257</x:f>
        <x:v>-290</x:v>
      </x:c>
      <x:c r="X257" s="52" t="n">
        <x:f>IF(D257=0,"",(W257)/D257)</x:f>
        <x:v>-0.45741324921135645</x:v>
      </x:c>
      <x:c r="Y257" t="str">
        <x:v>DR. MAHESH SHARMA</x:v>
      </x:c>
      <x:c r="Z257" t="n">
        <x:f>D257-E257-F257</x:f>
        <x:v>0</x:v>
      </x:c>
    </x:row>
    <x:row r="258">
      <x:c r="A258" t="n">
        <x:v>250</x:v>
      </x:c>
      <x:c r="B258" t="str">
        <x:v>PRY. SCHOOL BIRAMPUR R.NO. 1</x:v>
      </x:c>
      <x:c r="C258" t="n">
        <x:v>853</x:v>
      </x:c>
      <x:c r="D258" t="n">
        <x:v>548</x:v>
      </x:c>
      <x:c r="E258" t="n">
        <x:f>SUM(H258:T258)</x:f>
        <x:v>546</x:v>
      </x:c>
      <x:c r="F258" t="n">
        <x:v>2</x:v>
      </x:c>
      <x:c r="G258" s="50" t="n">
        <x:f>IF(C258="","",IFERROR(D258/C258,0))</x:f>
        <x:v>0.6424384525205158</x:v>
      </x:c>
      <x:c r="H258" s="36" t="n">
        <x:v>337</x:v>
      </x:c>
      <x:c r="I258" t="n">
        <x:v>196</x:v>
      </x:c>
      <x:c r="J258" t="n">
        <x:v>4</x:v>
      </x:c>
      <x:c r="K258" t="n">
        <x:v>3</x:v>
      </x:c>
      <x:c r="L258" t="n">
        <x:v>2</x:v>
      </x:c>
      <x:c r="M258" t="n">
        <x:v>1</x:v>
      </x:c>
      <x:c r="N258" t="n">
        <x:v>1</x:v>
      </x:c>
      <x:c r="O258" t="n">
        <x:v>0</x:v>
      </x:c>
      <x:c r="P258" t="n">
        <x:v>2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s="50" t="n">
        <x:f>IF(D258=0,"",H258/D258)</x:f>
        <x:v>0.614963503649635</x:v>
      </x:c>
      <x:c r="V258" t="n">
        <x:f>MAX(I258:T258)</x:f>
        <x:v>196</x:v>
      </x:c>
      <x:c r="W258" t="n">
        <x:f>H258-V258</x:f>
        <x:v>141</x:v>
      </x:c>
      <x:c r="X258" s="52" t="n">
        <x:f>IF(D258=0,"",(W258)/D258)</x:f>
        <x:v>0.2572992700729927</x:v>
      </x:c>
      <x:c r="Y258" t="str">
        <x:v>SATVEER</x:v>
      </x:c>
      <x:c r="Z258" t="n">
        <x:f>D258-E258-F258</x:f>
        <x:v>0</x:v>
      </x:c>
    </x:row>
    <x:row r="259">
      <x:c r="A259" t="n">
        <x:v>251</x:v>
      </x:c>
      <x:c r="B259" t="str">
        <x:v>PRY. SCHOOL BIRAMPUR R.NO. 2</x:v>
      </x:c>
      <x:c r="C259" t="n">
        <x:v>749</x:v>
      </x:c>
      <x:c r="D259" t="n">
        <x:v>543</x:v>
      </x:c>
      <x:c r="E259" t="n">
        <x:f>SUM(H259:T259)</x:f>
        <x:v>543</x:v>
      </x:c>
      <x:c r="F259" t="n">
        <x:v>0</x:v>
      </x:c>
      <x:c r="G259" s="50" t="n">
        <x:f>IF(C259="","",IFERROR(D259/C259,0))</x:f>
        <x:v>0.7249666221628839</x:v>
      </x:c>
      <x:c r="H259" s="36" t="n">
        <x:v>181</x:v>
      </x:c>
      <x:c r="I259" t="n">
        <x:v>334</x:v>
      </x:c>
      <x:c r="J259" t="n">
        <x:v>24</x:v>
      </x:c>
      <x:c r="K259" t="n">
        <x:v>0</x:v>
      </x:c>
      <x:c r="L259" t="n">
        <x:v>2</x:v>
      </x:c>
      <x:c r="M259" t="n">
        <x:v>2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s="50" t="n">
        <x:f>IF(D259=0,"",H259/D259)</x:f>
        <x:v>0.3333333333333333</x:v>
      </x:c>
      <x:c r="V259" t="n">
        <x:f>MAX(I259:T259)</x:f>
        <x:v>334</x:v>
      </x:c>
      <x:c r="W259" t="n">
        <x:f>H259-V259</x:f>
        <x:v>-153</x:v>
      </x:c>
      <x:c r="X259" s="52" t="n">
        <x:f>IF(D259=0,"",(W259)/D259)</x:f>
        <x:v>-0.281767955801105</x:v>
      </x:c>
      <x:c r="Y259" t="str">
        <x:v>DR. MAHESH SHARMA</x:v>
      </x:c>
      <x:c r="Z259" t="n">
        <x:f>D259-E259-F259</x:f>
        <x:v>0</x:v>
      </x:c>
    </x:row>
    <x:row r="260">
      <x:c r="A260" t="n">
        <x:v>252</x:v>
      </x:c>
      <x:c r="B260" t="str">
        <x:v>PRY. SCHOOL CHAKBIRAMPUR R.NO. 1</x:v>
      </x:c>
      <x:c r="C260" t="n">
        <x:v>1064</x:v>
      </x:c>
      <x:c r="D260" t="n">
        <x:v>756</x:v>
      </x:c>
      <x:c r="E260" t="n">
        <x:f>SUM(H260:T260)</x:f>
        <x:v>756</x:v>
      </x:c>
      <x:c r="F260" t="n">
        <x:v>0</x:v>
      </x:c>
      <x:c r="G260" s="50" t="n">
        <x:f>IF(C260="","",IFERROR(D260/C260,0))</x:f>
        <x:v>0.7105263157894737</x:v>
      </x:c>
      <x:c r="H260" s="36" t="n">
        <x:v>273</x:v>
      </x:c>
      <x:c r="I260" t="n">
        <x:v>475</x:v>
      </x:c>
      <x:c r="J260" t="n">
        <x:v>1</x:v>
      </x:c>
      <x:c r="K260" t="n">
        <x:v>0</x:v>
      </x:c>
      <x:c r="L260" t="n">
        <x:v>2</x:v>
      </x:c>
      <x:c r="M260" t="n">
        <x:v>1</x:v>
      </x:c>
      <x:c r="N260" t="n">
        <x:v>1</x:v>
      </x:c>
      <x:c r="O260" t="n">
        <x:v>1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2</x:v>
      </x:c>
      <x:c r="U260" s="50" t="n">
        <x:f>IF(D260=0,"",H260/D260)</x:f>
        <x:v>0.3611111111111111</x:v>
      </x:c>
      <x:c r="V260" t="n">
        <x:f>MAX(I260:T260)</x:f>
        <x:v>475</x:v>
      </x:c>
      <x:c r="W260" t="n">
        <x:f>H260-V260</x:f>
        <x:v>-202</x:v>
      </x:c>
      <x:c r="X260" s="52" t="n">
        <x:f>IF(D260=0,"",(W260)/D260)</x:f>
        <x:v>-0.2671957671957672</x:v>
      </x:c>
      <x:c r="Y260" t="str">
        <x:v>DR. MAHESH SHARMA</x:v>
      </x:c>
      <x:c r="Z260" t="n">
        <x:f>D260-E260-F260</x:f>
        <x:v>0</x:v>
      </x:c>
    </x:row>
    <x:row r="261">
      <x:c r="A261" t="n">
        <x:v>253</x:v>
      </x:c>
      <x:c r="B261" t="str">
        <x:v>PRY. SCHOOL MURADGARHI R.NO. 1</x:v>
      </x:c>
      <x:c r="C261" t="n">
        <x:v>620</x:v>
      </x:c>
      <x:c r="D261" t="n">
        <x:v>397</x:v>
      </x:c>
      <x:c r="E261" t="n">
        <x:f>SUM(H261:T261)</x:f>
        <x:v>393</x:v>
      </x:c>
      <x:c r="F261" t="n">
        <x:v>4</x:v>
      </x:c>
      <x:c r="G261" s="50" t="n">
        <x:f>IF(C261="","",IFERROR(D261/C261,0))</x:f>
        <x:v>0.6403225806451613</x:v>
      </x:c>
      <x:c r="H261" s="36" t="n">
        <x:v>49</x:v>
      </x:c>
      <x:c r="I261" t="n">
        <x:v>333</x:v>
      </x:c>
      <x:c r="J261" t="n">
        <x:v>3</x:v>
      </x:c>
      <x:c r="K261" t="n">
        <x:v>2</x:v>
      </x:c>
      <x:c r="L261" t="n">
        <x:v>2</x:v>
      </x:c>
      <x:c r="M261" t="n">
        <x:v>1</x:v>
      </x:c>
      <x:c r="N261" t="n">
        <x:v>0</x:v>
      </x:c>
      <x:c r="O261" t="n">
        <x:v>1</x:v>
      </x:c>
      <x:c r="P261" t="n">
        <x:v>1</x:v>
      </x:c>
      <x:c r="Q261" t="n">
        <x:v>0</x:v>
      </x:c>
      <x:c r="R261" t="n">
        <x:v>1</x:v>
      </x:c>
      <x:c r="S261" t="n">
        <x:v>0</x:v>
      </x:c>
      <x:c r="T261" t="n">
        <x:v>0</x:v>
      </x:c>
      <x:c r="U261" s="50" t="n">
        <x:f>IF(D261=0,"",H261/D261)</x:f>
        <x:v>0.12342569269521411</x:v>
      </x:c>
      <x:c r="V261" t="n">
        <x:f>MAX(I261:T261)</x:f>
        <x:v>333</x:v>
      </x:c>
      <x:c r="W261" t="n">
        <x:f>H261-V261</x:f>
        <x:v>-284</x:v>
      </x:c>
      <x:c r="X261" s="52" t="n">
        <x:f>IF(D261=0,"",(W261)/D261)</x:f>
        <x:v>-0.7153652392947103</x:v>
      </x:c>
      <x:c r="Y261" t="str">
        <x:v>DR. MAHESH SHARMA</x:v>
      </x:c>
      <x:c r="Z261" t="n">
        <x:f>D261-E261-F261</x:f>
        <x:v>0</x:v>
      </x:c>
    </x:row>
    <x:row r="262">
      <x:c r="A262" t="n">
        <x:v>254</x:v>
      </x:c>
      <x:c r="B262" t="str">
        <x:v>PRY. SCHOOL MURADGARHI R.NO. 2</x:v>
      </x:c>
      <x:c r="C262" t="n">
        <x:v>607</x:v>
      </x:c>
      <x:c r="D262" t="n">
        <x:v>353</x:v>
      </x:c>
      <x:c r="E262" t="n">
        <x:f>SUM(H262:T262)</x:f>
        <x:v>352</x:v>
      </x:c>
      <x:c r="F262" t="n">
        <x:v>1</x:v>
      </x:c>
      <x:c r="G262" s="50" t="n">
        <x:f>IF(C262="","",IFERROR(D262/C262,0))</x:f>
        <x:v>0.5815485996705108</x:v>
      </x:c>
      <x:c r="H262" s="36" t="n">
        <x:v>77</x:v>
      </x:c>
      <x:c r="I262" t="n">
        <x:v>260</x:v>
      </x:c>
      <x:c r="J262" t="n">
        <x:v>7</x:v>
      </x:c>
      <x:c r="K262" t="n">
        <x:v>5</x:v>
      </x:c>
      <x:c r="L262" t="n">
        <x:v>2</x:v>
      </x:c>
      <x:c r="M262" t="n">
        <x:v>0</x:v>
      </x:c>
      <x:c r="N262" t="n">
        <x:v>0</x:v>
      </x:c>
      <x:c r="O262" t="n">
        <x:v>1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s="50" t="n">
        <x:f>IF(D262=0,"",H262/D262)</x:f>
        <x:v>0.21813031161473087</x:v>
      </x:c>
      <x:c r="V262" t="n">
        <x:f>MAX(I262:T262)</x:f>
        <x:v>260</x:v>
      </x:c>
      <x:c r="W262" t="n">
        <x:f>H262-V262</x:f>
        <x:v>-183</x:v>
      </x:c>
      <x:c r="X262" s="52" t="n">
        <x:f>IF(D262=0,"",(W262)/D262)</x:f>
        <x:v>-0.5184135977337111</x:v>
      </x:c>
      <x:c r="Y262" t="str">
        <x:v>DR. MAHESH SHARMA</x:v>
      </x:c>
      <x:c r="Z262" t="n">
        <x:f>D262-E262-F262</x:f>
        <x:v>0</x:v>
      </x:c>
    </x:row>
    <x:row r="263">
      <x:c r="A263" t="n">
        <x:v>255</x:v>
      </x:c>
      <x:c r="B263" t="str">
        <x:v>PRY. SCHOOL NAGLA BHATONA MAZRA KARAULI BANGAR R.NO. 1</x:v>
      </x:c>
      <x:c r="C263" t="n">
        <x:v>706</x:v>
      </x:c>
      <x:c r="D263" t="n">
        <x:v>547</x:v>
      </x:c>
      <x:c r="E263" t="n">
        <x:f>SUM(H263:T263)</x:f>
        <x:v>547</x:v>
      </x:c>
      <x:c r="F263" t="n">
        <x:v>0</x:v>
      </x:c>
      <x:c r="G263" s="50" t="n">
        <x:f>IF(C263="","",IFERROR(D263/C263,0))</x:f>
        <x:v>0.7747875354107648</x:v>
      </x:c>
      <x:c r="H263" s="36" t="n">
        <x:v>126</x:v>
      </x:c>
      <x:c r="I263" t="n">
        <x:v>405</x:v>
      </x:c>
      <x:c r="J263" t="n">
        <x:v>12</x:v>
      </x:c>
      <x:c r="K263" t="n">
        <x:v>2</x:v>
      </x:c>
      <x:c r="L263" t="n">
        <x:v>2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s="50" t="n">
        <x:f>IF(D263=0,"",H263/D263)</x:f>
        <x:v>0.2303473491773309</x:v>
      </x:c>
      <x:c r="V263" t="n">
        <x:f>MAX(I263:T263)</x:f>
        <x:v>405</x:v>
      </x:c>
      <x:c r="W263" t="n">
        <x:f>H263-V263</x:f>
        <x:v>-279</x:v>
      </x:c>
      <x:c r="X263" s="52" t="n">
        <x:f>IF(D263=0,"",(W263)/D263)</x:f>
        <x:v>-0.5100548446069469</x:v>
      </x:c>
      <x:c r="Y263" t="str">
        <x:v>DR. MAHESH SHARMA</x:v>
      </x:c>
      <x:c r="Z263" t="n">
        <x:f>D263-E263-F263</x:f>
        <x:v>0</x:v>
      </x:c>
    </x:row>
    <x:row r="264">
      <x:c r="A264" t="n">
        <x:v>256</x:v>
      </x:c>
      <x:c r="B264" t="str">
        <x:v>PRY. SCHOOL NAGLA HUKAM SINGH MAZRA KARAULI BANGAR R.NO. 1</x:v>
      </x:c>
      <x:c r="C264" t="n">
        <x:v>1075</x:v>
      </x:c>
      <x:c r="D264" t="n">
        <x:v>589</x:v>
      </x:c>
      <x:c r="E264" t="n">
        <x:f>SUM(H264:T264)</x:f>
        <x:v>588</x:v>
      </x:c>
      <x:c r="F264" t="n">
        <x:v>1</x:v>
      </x:c>
      <x:c r="G264" s="50" t="n">
        <x:f>IF(C264="","",IFERROR(D264/C264,0))</x:f>
        <x:v>0.5479069767441861</x:v>
      </x:c>
      <x:c r="H264" s="36" t="n">
        <x:v>103</x:v>
      </x:c>
      <x:c r="I264" t="n">
        <x:v>471</x:v>
      </x:c>
      <x:c r="J264" t="n">
        <x:v>8</x:v>
      </x:c>
      <x:c r="K264" t="n">
        <x:v>0</x:v>
      </x:c>
      <x:c r="L264" t="n">
        <x:v>4</x:v>
      </x:c>
      <x:c r="M264" t="n">
        <x:v>1</x:v>
      </x:c>
      <x:c r="N264" t="n">
        <x:v>0</x:v>
      </x:c>
      <x:c r="O264" t="n">
        <x:v>1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s="50" t="n">
        <x:f>IF(D264=0,"",H264/D264)</x:f>
        <x:v>0.17487266553480477</x:v>
      </x:c>
      <x:c r="V264" t="n">
        <x:f>MAX(I264:T264)</x:f>
        <x:v>471</x:v>
      </x:c>
      <x:c r="W264" t="n">
        <x:f>H264-V264</x:f>
        <x:v>-368</x:v>
      </x:c>
      <x:c r="X264" s="52" t="n">
        <x:f>IF(D264=0,"",(W264)/D264)</x:f>
        <x:v>-0.6247877758913413</x:v>
      </x:c>
      <x:c r="Y264" t="str">
        <x:v>DR. MAHESH SHARMA</x:v>
      </x:c>
      <x:c r="Z264" t="n">
        <x:f>D264-E264-F264</x:f>
        <x:v>0</x:v>
      </x:c>
    </x:row>
    <x:row r="265">
      <x:c r="A265" t="n">
        <x:v>257</x:v>
      </x:c>
      <x:c r="B265" t="str">
        <x:v>PRY. SCHOOL NAGLA HUKAM SINGH MAZRA KARAULI BANGAR R.NO. 2</x:v>
      </x:c>
      <x:c r="C265" t="n">
        <x:v>690</x:v>
      </x:c>
      <x:c r="D265" t="n">
        <x:v>443</x:v>
      </x:c>
      <x:c r="E265" t="n">
        <x:f>SUM(H265:T265)</x:f>
        <x:v>442</x:v>
      </x:c>
      <x:c r="F265" t="n">
        <x:v>1</x:v>
      </x:c>
      <x:c r="G265" s="50" t="n">
        <x:f>IF(C265="","",IFERROR(D265/C265,0))</x:f>
        <x:v>0.6420289855072464</x:v>
      </x:c>
      <x:c r="H265" s="36" t="n">
        <x:v>357</x:v>
      </x:c>
      <x:c r="I265" t="n">
        <x:v>76</x:v>
      </x:c>
      <x:c r="J265" t="n">
        <x:v>4</x:v>
      </x:c>
      <x:c r="K265" t="n">
        <x:v>1</x:v>
      </x:c>
      <x:c r="L265" t="n">
        <x:v>0</x:v>
      </x:c>
      <x:c r="M265" t="n">
        <x:v>1</x:v>
      </x:c>
      <x:c r="N265" t="n">
        <x:v>0</x:v>
      </x:c>
      <x:c r="O265" t="n">
        <x:v>0</x:v>
      </x:c>
      <x:c r="P265" t="n">
        <x:v>0</x:v>
      </x:c>
      <x:c r="Q265" t="n">
        <x:v>1</x:v>
      </x:c>
      <x:c r="R265" t="n">
        <x:v>0</x:v>
      </x:c>
      <x:c r="S265" t="n">
        <x:v>0</x:v>
      </x:c>
      <x:c r="T265" t="n">
        <x:v>2</x:v>
      </x:c>
      <x:c r="U265" s="50" t="n">
        <x:f>IF(D265=0,"",H265/D265)</x:f>
        <x:v>0.8058690744920993</x:v>
      </x:c>
      <x:c r="V265" t="n">
        <x:f>MAX(I265:T265)</x:f>
        <x:v>76</x:v>
      </x:c>
      <x:c r="W265" t="n">
        <x:f>H265-V265</x:f>
        <x:v>281</x:v>
      </x:c>
      <x:c r="X265" s="52" t="n">
        <x:f>IF(D265=0,"",(W265)/D265)</x:f>
        <x:v>0.6343115124153499</x:v>
      </x:c>
      <x:c r="Y265" t="str">
        <x:v>SATVEER</x:v>
      </x:c>
      <x:c r="Z265" t="n">
        <x:f>D265-E265-F265</x:f>
        <x:v>0</x:v>
      </x:c>
    </x:row>
    <x:row r="266">
      <x:c r="A266" t="n">
        <x:v>258</x:v>
      </x:c>
      <x:c r="B266" t="str">
        <x:v>PRY. SCHOOL NAGLA KANCHAN MAZRA KARAULI BANGAR R.NO. 1</x:v>
      </x:c>
      <x:c r="C266" t="n">
        <x:v>856</x:v>
      </x:c>
      <x:c r="D266" t="n">
        <x:v>603</x:v>
      </x:c>
      <x:c r="E266" t="n">
        <x:f>SUM(H266:T266)</x:f>
        <x:v>601</x:v>
      </x:c>
      <x:c r="F266" t="n">
        <x:v>2</x:v>
      </x:c>
      <x:c r="G266" s="50" t="n">
        <x:f>IF(C266="","",IFERROR(D266/C266,0))</x:f>
        <x:v>0.7044392523364486</x:v>
      </x:c>
      <x:c r="H266" s="36" t="n">
        <x:v>208</x:v>
      </x:c>
      <x:c r="I266" t="n">
        <x:v>377</x:v>
      </x:c>
      <x:c r="J266" t="n">
        <x:v>11</x:v>
      </x:c>
      <x:c r="K266" t="n">
        <x:v>1</x:v>
      </x:c>
      <x:c r="L266" t="n">
        <x:v>1</x:v>
      </x:c>
      <x:c r="M266" t="n">
        <x:v>2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1</x:v>
      </x:c>
      <x:c r="S266" t="n">
        <x:v>0</x:v>
      </x:c>
      <x:c r="T266" t="n">
        <x:v>0</x:v>
      </x:c>
      <x:c r="U266" s="50" t="n">
        <x:f>IF(D266=0,"",H266/D266)</x:f>
        <x:v>0.3449419568822554</x:v>
      </x:c>
      <x:c r="V266" t="n">
        <x:f>MAX(I266:T266)</x:f>
        <x:v>377</x:v>
      </x:c>
      <x:c r="W266" t="n">
        <x:f>H266-V266</x:f>
        <x:v>-169</x:v>
      </x:c>
      <x:c r="X266" s="52" t="n">
        <x:f>IF(D266=0,"",(W266)/D266)</x:f>
        <x:v>-0.2802653399668325</x:v>
      </x:c>
      <x:c r="Y266" t="str">
        <x:v>DR. MAHESH SHARMA</x:v>
      </x:c>
      <x:c r="Z266" t="n">
        <x:f>D266-E266-F266</x:f>
        <x:v>0</x:v>
      </x:c>
    </x:row>
    <x:row r="267">
      <x:c r="A267" t="n">
        <x:v>259</x:v>
      </x:c>
      <x:c r="B267" t="str">
        <x:v>PRY. SCHOOL NAGLA CHANDAN MAZRA KARAULI BANGAR R.NO. 1</x:v>
      </x:c>
      <x:c r="C267" t="n">
        <x:v>584</x:v>
      </x:c>
      <x:c r="D267" t="n">
        <x:v>392</x:v>
      </x:c>
      <x:c r="E267" t="n">
        <x:f>SUM(H267:T267)</x:f>
        <x:v>392</x:v>
      </x:c>
      <x:c r="F267" t="n">
        <x:v>0</x:v>
      </x:c>
      <x:c r="G267" s="50" t="n">
        <x:f>IF(C267="","",IFERROR(D267/C267,0))</x:f>
        <x:v>0.6712328767123288</x:v>
      </x:c>
      <x:c r="H267" s="36" t="n">
        <x:v>69</x:v>
      </x:c>
      <x:c r="I267" t="n">
        <x:v>311</x:v>
      </x:c>
      <x:c r="J267" t="n">
        <x:v>8</x:v>
      </x:c>
      <x:c r="K267" t="n">
        <x:v>0</x:v>
      </x:c>
      <x:c r="L267" t="n">
        <x:v>2</x:v>
      </x:c>
      <x:c r="M267" t="n">
        <x:v>1</x:v>
      </x:c>
      <x:c r="N267" t="n">
        <x:v>0</x:v>
      </x:c>
      <x:c r="O267" t="n">
        <x:v>0</x:v>
      </x:c>
      <x:c r="P267" t="n">
        <x:v>0</x:v>
      </x:c>
      <x:c r="Q267" t="n">
        <x:v>1</x:v>
      </x:c>
      <x:c r="R267" t="n">
        <x:v>0</x:v>
      </x:c>
      <x:c r="S267" t="n">
        <x:v>0</x:v>
      </x:c>
      <x:c r="T267" t="n">
        <x:v>0</x:v>
      </x:c>
      <x:c r="U267" s="50" t="n">
        <x:f>IF(D267=0,"",H267/D267)</x:f>
        <x:v>0.1760204081632653</x:v>
      </x:c>
      <x:c r="V267" t="n">
        <x:f>MAX(I267:T267)</x:f>
        <x:v>311</x:v>
      </x:c>
      <x:c r="W267" t="n">
        <x:f>H267-V267</x:f>
        <x:v>-242</x:v>
      </x:c>
      <x:c r="X267" s="52" t="n">
        <x:f>IF(D267=0,"",(W267)/D267)</x:f>
        <x:v>-0.6173469387755102</x:v>
      </x:c>
      <x:c r="Y267" t="str">
        <x:v>DR. MAHESH SHARMA</x:v>
      </x:c>
      <x:c r="Z267" t="n">
        <x:f>D267-E267-F267</x:f>
        <x:v>0</x:v>
      </x:c>
    </x:row>
    <x:row r="268">
      <x:c r="A268" t="n">
        <x:v>260</x:v>
      </x:c>
      <x:c r="B268" t="str">
        <x:v>J. H. SCHOOL FALAINDA BANGAR R.NO. 1</x:v>
      </x:c>
      <x:c r="C268" t="n">
        <x:v>910</x:v>
      </x:c>
      <x:c r="D268" t="n">
        <x:v>659</x:v>
      </x:c>
      <x:c r="E268" t="n">
        <x:f>SUM(H268:T268)</x:f>
        <x:v>655</x:v>
      </x:c>
      <x:c r="F268" t="n">
        <x:v>4</x:v>
      </x:c>
      <x:c r="G268" s="50" t="n">
        <x:f>IF(C268="","",IFERROR(D268/C268,0))</x:f>
        <x:v>0.7241758241758242</x:v>
      </x:c>
      <x:c r="H268" s="36" t="n">
        <x:v>446</x:v>
      </x:c>
      <x:c r="I268" t="n">
        <x:v>192</x:v>
      </x:c>
      <x:c r="J268" t="n">
        <x:v>2</x:v>
      </x:c>
      <x:c r="K268" t="n">
        <x:v>3</x:v>
      </x:c>
      <x:c r="L268" t="n">
        <x:v>4</x:v>
      </x:c>
      <x:c r="M268" t="n">
        <x:v>2</x:v>
      </x:c>
      <x:c r="N268" t="n">
        <x:v>0</x:v>
      </x:c>
      <x:c r="O268" t="n">
        <x:v>1</x:v>
      </x:c>
      <x:c r="P268" t="n">
        <x:v>0</x:v>
      </x:c>
      <x:c r="Q268" t="n">
        <x:v>3</x:v>
      </x:c>
      <x:c r="R268" t="n">
        <x:v>1</x:v>
      </x:c>
      <x:c r="S268" t="n">
        <x:v>1</x:v>
      </x:c>
      <x:c r="T268" t="n">
        <x:v>0</x:v>
      </x:c>
      <x:c r="U268" s="50" t="n">
        <x:f>IF(D268=0,"",H268/D268)</x:f>
        <x:v>0.6767830045523521</x:v>
      </x:c>
      <x:c r="V268" t="n">
        <x:f>MAX(I268:T268)</x:f>
        <x:v>192</x:v>
      </x:c>
      <x:c r="W268" t="n">
        <x:f>H268-V268</x:f>
        <x:v>254</x:v>
      </x:c>
      <x:c r="X268" s="52" t="n">
        <x:f>IF(D268=0,"",(W268)/D268)</x:f>
        <x:v>0.38543247344461307</x:v>
      </x:c>
      <x:c r="Y268" t="str">
        <x:v>SATVEER</x:v>
      </x:c>
      <x:c r="Z268" t="n">
        <x:f>D268-E268-F268</x:f>
        <x:v>0</x:v>
      </x:c>
    </x:row>
    <x:row r="269">
      <x:c r="A269" t="n">
        <x:v>261</x:v>
      </x:c>
      <x:c r="B269" t="str">
        <x:v>J. H. SCHOOL FALAINDA BANGAR R.NO. 2</x:v>
      </x:c>
      <x:c r="C269" t="n">
        <x:v>778</x:v>
      </x:c>
      <x:c r="D269" t="n">
        <x:v>490</x:v>
      </x:c>
      <x:c r="E269" t="n">
        <x:f>SUM(H269:T269)</x:f>
        <x:v>489</x:v>
      </x:c>
      <x:c r="F269" t="n">
        <x:v>1</x:v>
      </x:c>
      <x:c r="G269" s="50" t="n">
        <x:f>IF(C269="","",IFERROR(D269/C269,0))</x:f>
        <x:v>0.6298200514138818</x:v>
      </x:c>
      <x:c r="H269" s="36" t="n">
        <x:v>60</x:v>
      </x:c>
      <x:c r="I269" t="n">
        <x:v>418</x:v>
      </x:c>
      <x:c r="J269" t="n">
        <x:v>4</x:v>
      </x:c>
      <x:c r="K269" t="n">
        <x:v>1</x:v>
      </x:c>
      <x:c r="L269" t="n">
        <x:v>1</x:v>
      </x:c>
      <x:c r="M269" t="n">
        <x:v>1</x:v>
      </x:c>
      <x:c r="N269" t="n">
        <x:v>1</x:v>
      </x:c>
      <x:c r="O269" t="n">
        <x:v>1</x:v>
      </x:c>
      <x:c r="P269" t="n">
        <x:v>0</x:v>
      </x:c>
      <x:c r="Q269" t="n">
        <x:v>1</x:v>
      </x:c>
      <x:c r="R269" t="n">
        <x:v>0</x:v>
      </x:c>
      <x:c r="S269" t="n">
        <x:v>0</x:v>
      </x:c>
      <x:c r="T269" t="n">
        <x:v>1</x:v>
      </x:c>
      <x:c r="U269" s="50" t="n">
        <x:f>IF(D269=0,"",H269/D269)</x:f>
        <x:v>0.12244897959183673</x:v>
      </x:c>
      <x:c r="V269" t="n">
        <x:f>MAX(I269:T269)</x:f>
        <x:v>418</x:v>
      </x:c>
      <x:c r="W269" t="n">
        <x:f>H269-V269</x:f>
        <x:v>-358</x:v>
      </x:c>
      <x:c r="X269" s="52" t="n">
        <x:f>IF(D269=0,"",(W269)/D269)</x:f>
        <x:v>-0.7306122448979592</x:v>
      </x:c>
      <x:c r="Y269" t="str">
        <x:v>DR. MAHESH SHARMA</x:v>
      </x:c>
      <x:c r="Z269" t="n">
        <x:f>D269-E269-F269</x:f>
        <x:v>0</x:v>
      </x:c>
    </x:row>
    <x:row r="270">
      <x:c r="A270" t="n">
        <x:v>262</x:v>
      </x:c>
      <x:c r="B270" t="str">
        <x:v>J. H. SCHOOL FALAINDA BANGAR R.NO. 3</x:v>
      </x:c>
      <x:c r="C270" t="n">
        <x:v>1085</x:v>
      </x:c>
      <x:c r="D270" t="n">
        <x:v>715</x:v>
      </x:c>
      <x:c r="E270" t="n">
        <x:f>SUM(H270:T270)</x:f>
        <x:v>713</x:v>
      </x:c>
      <x:c r="F270" t="n">
        <x:v>2</x:v>
      </x:c>
      <x:c r="G270" s="50" t="n">
        <x:f>IF(C270="","",IFERROR(D270/C270,0))</x:f>
        <x:v>0.6589861751152074</x:v>
      </x:c>
      <x:c r="H270" s="36" t="n">
        <x:v>240</x:v>
      </x:c>
      <x:c r="I270" t="n">
        <x:v>444</x:v>
      </x:c>
      <x:c r="J270" t="n">
        <x:v>18</x:v>
      </x:c>
      <x:c r="K270" t="n">
        <x:v>1</x:v>
      </x:c>
      <x:c r="L270" t="n">
        <x:v>2</x:v>
      </x:c>
      <x:c r="M270" t="n">
        <x:v>3</x:v>
      </x:c>
      <x:c r="N270" t="n">
        <x:v>0</x:v>
      </x:c>
      <x:c r="O270" t="n">
        <x:v>0</x:v>
      </x:c>
      <x:c r="P270" t="n">
        <x:v>1</x:v>
      </x:c>
      <x:c r="Q270" t="n">
        <x:v>2</x:v>
      </x:c>
      <x:c r="R270" t="n">
        <x:v>2</x:v>
      </x:c>
      <x:c r="S270" t="n">
        <x:v>0</x:v>
      </x:c>
      <x:c r="T270" t="n">
        <x:v>0</x:v>
      </x:c>
      <x:c r="U270" s="50" t="n">
        <x:f>IF(D270=0,"",H270/D270)</x:f>
        <x:v>0.3356643356643357</x:v>
      </x:c>
      <x:c r="V270" t="n">
        <x:f>MAX(I270:T270)</x:f>
        <x:v>444</x:v>
      </x:c>
      <x:c r="W270" t="n">
        <x:f>H270-V270</x:f>
        <x:v>-204</x:v>
      </x:c>
      <x:c r="X270" s="52" t="n">
        <x:f>IF(D270=0,"",(W270)/D270)</x:f>
        <x:v>-0.2853146853146853</x:v>
      </x:c>
      <x:c r="Y270" t="str">
        <x:v>DR. MAHESH SHARMA</x:v>
      </x:c>
      <x:c r="Z270" t="n">
        <x:f>D270-E270-F270</x:f>
        <x:v>0</x:v>
      </x:c>
    </x:row>
    <x:row r="271">
      <x:c r="A271" t="n">
        <x:v>263</x:v>
      </x:c>
      <x:c r="B271" t="str">
        <x:v>J. H. SCHOOL FALAINDA BANGAR R.NO. 4</x:v>
      </x:c>
      <x:c r="C271" t="n">
        <x:v>781</x:v>
      </x:c>
      <x:c r="D271" t="n">
        <x:v>485</x:v>
      </x:c>
      <x:c r="E271" t="n">
        <x:f>SUM(H271:T271)</x:f>
        <x:v>484</x:v>
      </x:c>
      <x:c r="F271" t="n">
        <x:v>1</x:v>
      </x:c>
      <x:c r="G271" s="50" t="n">
        <x:f>IF(C271="","",IFERROR(D271/C271,0))</x:f>
        <x:v>0.6209987195902689</x:v>
      </x:c>
      <x:c r="H271" s="36" t="n">
        <x:v>32</x:v>
      </x:c>
      <x:c r="I271" t="n">
        <x:v>445</x:v>
      </x:c>
      <x:c r="J271" t="n">
        <x:v>1</x:v>
      </x:c>
      <x:c r="K271" t="n">
        <x:v>0</x:v>
      </x:c>
      <x:c r="L271" t="n">
        <x:v>0</x:v>
      </x:c>
      <x:c r="M271" t="n">
        <x:v>4</x:v>
      </x:c>
      <x:c r="N271" t="n">
        <x:v>1</x:v>
      </x:c>
      <x:c r="O271" t="n">
        <x:v>0</x:v>
      </x:c>
      <x:c r="P271" t="n">
        <x:v>0</x:v>
      </x:c>
      <x:c r="Q271" t="n">
        <x:v>0</x:v>
      </x:c>
      <x:c r="R271" t="n">
        <x:v>1</x:v>
      </x:c>
      <x:c r="S271" t="n">
        <x:v>0</x:v>
      </x:c>
      <x:c r="T271" t="n">
        <x:v>0</x:v>
      </x:c>
      <x:c r="U271" s="50" t="n">
        <x:f>IF(D271=0,"",H271/D271)</x:f>
        <x:v>0.06597938144329897</x:v>
      </x:c>
      <x:c r="V271" t="n">
        <x:f>MAX(I271:T271)</x:f>
        <x:v>445</x:v>
      </x:c>
      <x:c r="W271" t="n">
        <x:f>H271-V271</x:f>
        <x:v>-413</x:v>
      </x:c>
      <x:c r="X271" s="52" t="n">
        <x:f>IF(D271=0,"",(W271)/D271)</x:f>
        <x:v>-0.8515463917525773</x:v>
      </x:c>
      <x:c r="Y271" t="str">
        <x:v>DR. MAHESH SHARMA</x:v>
      </x:c>
      <x:c r="Z271" t="n">
        <x:f>D271-E271-F271</x:f>
        <x:v>0</x:v>
      </x:c>
    </x:row>
    <x:row r="272">
      <x:c r="A272" t="n">
        <x:v>264</x:v>
      </x:c>
      <x:c r="B272" t="str">
        <x:v>J. H. SCHOOL FALAINDA BANGAR R.NO. 5</x:v>
      </x:c>
      <x:c r="C272" t="n">
        <x:v>1102</x:v>
      </x:c>
      <x:c r="D272" t="n">
        <x:v>663</x:v>
      </x:c>
      <x:c r="E272" t="n">
        <x:f>SUM(H272:T272)</x:f>
        <x:v>663</x:v>
      </x:c>
      <x:c r="F272" t="n">
        <x:v>0</x:v>
      </x:c>
      <x:c r="G272" s="50" t="n">
        <x:f>IF(C272="","",IFERROR(D272/C272,0))</x:f>
        <x:v>0.6016333938294011</x:v>
      </x:c>
      <x:c r="H272" s="36" t="n">
        <x:v>50</x:v>
      </x:c>
      <x:c r="I272" t="n">
        <x:v>600</x:v>
      </x:c>
      <x:c r="J272" t="n">
        <x:v>5</x:v>
      </x:c>
      <x:c r="K272" t="n">
        <x:v>3</x:v>
      </x:c>
      <x:c r="L272" t="n">
        <x:v>3</x:v>
      </x:c>
      <x:c r="M272" t="n">
        <x:v>0</x:v>
      </x:c>
      <x:c r="N272" t="n">
        <x:v>1</x:v>
      </x:c>
      <x:c r="O272" t="n">
        <x:v>0</x:v>
      </x:c>
      <x:c r="P272" t="n">
        <x:v>1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s="50" t="n">
        <x:f>IF(D272=0,"",H272/D272)</x:f>
        <x:v>0.07541478129713423</x:v>
      </x:c>
      <x:c r="V272" t="n">
        <x:f>MAX(I272:T272)</x:f>
        <x:v>600</x:v>
      </x:c>
      <x:c r="W272" t="n">
        <x:f>H272-V272</x:f>
        <x:v>-550</x:v>
      </x:c>
      <x:c r="X272" s="52" t="n">
        <x:f>IF(D272=0,"",(W272)/D272)</x:f>
        <x:v>-0.8295625942684767</x:v>
      </x:c>
      <x:c r="Y272" t="str">
        <x:v>DR. MAHESH SHARMA</x:v>
      </x:c>
      <x:c r="Z272" t="n">
        <x:f>D272-E272-F272</x:f>
        <x:v>0</x:v>
      </x:c>
    </x:row>
    <x:row r="273">
      <x:c r="A273" t="n">
        <x:v>265</x:v>
      </x:c>
      <x:c r="B273" t="str">
        <x:v>PRY. SCHOOL NAGLA HANDA MAZRA KURAIB R.NO. 1</x:v>
      </x:c>
      <x:c r="C273" t="n">
        <x:v>714</x:v>
      </x:c>
      <x:c r="D273" t="n">
        <x:v>515</x:v>
      </x:c>
      <x:c r="E273" t="n">
        <x:f>SUM(H273:T273)</x:f>
        <x:v>510</x:v>
      </x:c>
      <x:c r="F273" t="n">
        <x:v>5</x:v>
      </x:c>
      <x:c r="G273" s="50" t="n">
        <x:f>IF(C273="","",IFERROR(D273/C273,0))</x:f>
        <x:v>0.7212885154061625</x:v>
      </x:c>
      <x:c r="H273" s="36" t="n">
        <x:v>471</x:v>
      </x:c>
      <x:c r="I273" t="n">
        <x:v>29</x:v>
      </x:c>
      <x:c r="J273" t="n">
        <x:v>1</x:v>
      </x:c>
      <x:c r="K273" t="n">
        <x:v>0</x:v>
      </x:c>
      <x:c r="L273" t="n">
        <x:v>1</x:v>
      </x:c>
      <x:c r="M273" t="n">
        <x:v>6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1</x:v>
      </x:c>
      <x:c r="S273" t="n">
        <x:v>0</x:v>
      </x:c>
      <x:c r="T273" t="n">
        <x:v>1</x:v>
      </x:c>
      <x:c r="U273" s="50" t="n">
        <x:f>IF(D273=0,"",H273/D273)</x:f>
        <x:v>0.9145631067961165</x:v>
      </x:c>
      <x:c r="V273" t="n">
        <x:f>MAX(I273:T273)</x:f>
        <x:v>29</x:v>
      </x:c>
      <x:c r="W273" t="n">
        <x:f>H273-V273</x:f>
        <x:v>442</x:v>
      </x:c>
      <x:c r="X273" s="52" t="n">
        <x:f>IF(D273=0,"",(W273)/D273)</x:f>
        <x:v>0.858252427184466</x:v>
      </x:c>
      <x:c r="Y273" t="str">
        <x:v>SATVEER</x:v>
      </x:c>
      <x:c r="Z273" t="n">
        <x:f>D273-E273-F273</x:f>
        <x:v>0</x:v>
      </x:c>
    </x:row>
    <x:row r="274">
      <x:c r="A274" t="n">
        <x:v>266</x:v>
      </x:c>
      <x:c r="B274" t="str">
        <x:v>PRY. SCHOOL KURAIB R.NO. 1</x:v>
      </x:c>
      <x:c r="C274" t="n">
        <x:v>1001</x:v>
      </x:c>
      <x:c r="D274" t="n">
        <x:v>688</x:v>
      </x:c>
      <x:c r="E274" t="n">
        <x:f>SUM(H274:T274)</x:f>
        <x:v>675</x:v>
      </x:c>
      <x:c r="F274" t="n">
        <x:v>13</x:v>
      </x:c>
      <x:c r="G274" s="50" t="n">
        <x:f>IF(C274="","",IFERROR(D274/C274,0))</x:f>
        <x:v>0.6873126873126874</x:v>
      </x:c>
      <x:c r="H274" s="36" t="n">
        <x:v>641</x:v>
      </x:c>
      <x:c r="I274" t="n">
        <x:v>10</x:v>
      </x:c>
      <x:c r="J274" t="n">
        <x:v>4</x:v>
      </x:c>
      <x:c r="K274" t="n">
        <x:v>7</x:v>
      </x:c>
      <x:c r="L274" t="n">
        <x:v>2</x:v>
      </x:c>
      <x:c r="M274" t="n">
        <x:v>3</x:v>
      </x:c>
      <x:c r="N274" t="n">
        <x:v>0</x:v>
      </x:c>
      <x:c r="O274" t="n">
        <x:v>0</x:v>
      </x:c>
      <x:c r="P274" t="n">
        <x:v>2</x:v>
      </x:c>
      <x:c r="Q274" t="n">
        <x:v>3</x:v>
      </x:c>
      <x:c r="R274" t="n">
        <x:v>3</x:v>
      </x:c>
      <x:c r="S274" t="n">
        <x:v>0</x:v>
      </x:c>
      <x:c r="T274" t="n">
        <x:v>0</x:v>
      </x:c>
      <x:c r="U274" s="50" t="n">
        <x:f>IF(D274=0,"",H274/D274)</x:f>
        <x:v>0.9316860465116279</x:v>
      </x:c>
      <x:c r="V274" t="n">
        <x:f>MAX(I274:T274)</x:f>
        <x:v>10</x:v>
      </x:c>
      <x:c r="W274" t="n">
        <x:f>H274-V274</x:f>
        <x:v>631</x:v>
      </x:c>
      <x:c r="X274" s="52" t="n">
        <x:f>IF(D274=0,"",(W274)/D274)</x:f>
        <x:v>0.9171511627906976</x:v>
      </x:c>
      <x:c r="Y274" t="str">
        <x:v>SATVEER</x:v>
      </x:c>
      <x:c r="Z274" t="n">
        <x:f>D274-E274-F274</x:f>
        <x:v>0</x:v>
      </x:c>
    </x:row>
    <x:row r="275">
      <x:c r="A275" t="n">
        <x:v>267</x:v>
      </x:c>
      <x:c r="B275" t="str">
        <x:v>J. H. S. KURAIB R.N. 1</x:v>
      </x:c>
      <x:c r="C275" t="n">
        <x:v>1113</x:v>
      </x:c>
      <x:c r="D275" t="n">
        <x:v>708</x:v>
      </x:c>
      <x:c r="E275" t="n">
        <x:f>SUM(H275:T275)</x:f>
        <x:v>705</x:v>
      </x:c>
      <x:c r="F275" t="n">
        <x:v>3</x:v>
      </x:c>
      <x:c r="G275" s="50" t="n">
        <x:f>IF(C275="","",IFERROR(D275/C275,0))</x:f>
        <x:v>0.6361185983827493</x:v>
      </x:c>
      <x:c r="H275" s="36" t="n">
        <x:v>630</x:v>
      </x:c>
      <x:c r="I275" t="n">
        <x:v>57</x:v>
      </x:c>
      <x:c r="J275" t="n">
        <x:v>2</x:v>
      </x:c>
      <x:c r="K275" t="n">
        <x:v>6</x:v>
      </x:c>
      <x:c r="L275" t="n">
        <x:v>1</x:v>
      </x:c>
      <x:c r="M275" t="n">
        <x:v>6</x:v>
      </x:c>
      <x:c r="N275" t="n">
        <x:v>1</x:v>
      </x:c>
      <x:c r="O275" t="n">
        <x:v>0</x:v>
      </x:c>
      <x:c r="P275" t="n">
        <x:v>0</x:v>
      </x:c>
      <x:c r="Q275" t="n">
        <x:v>1</x:v>
      </x:c>
      <x:c r="R275" t="n">
        <x:v>1</x:v>
      </x:c>
      <x:c r="S275" t="n">
        <x:v>0</x:v>
      </x:c>
      <x:c r="T275" t="n">
        <x:v>0</x:v>
      </x:c>
      <x:c r="U275" s="50" t="n">
        <x:f>IF(D275=0,"",H275/D275)</x:f>
        <x:v>0.8898305084745762</x:v>
      </x:c>
      <x:c r="V275" t="n">
        <x:f>MAX(I275:T275)</x:f>
        <x:v>57</x:v>
      </x:c>
      <x:c r="W275" t="n">
        <x:f>H275-V275</x:f>
        <x:v>573</x:v>
      </x:c>
      <x:c r="X275" s="52" t="n">
        <x:f>IF(D275=0,"",(W275)/D275)</x:f>
        <x:v>0.809322033898305</x:v>
      </x:c>
      <x:c r="Y275" t="str">
        <x:v>SATVEER</x:v>
      </x:c>
      <x:c r="Z275" t="n">
        <x:f>D275-E275-F275</x:f>
        <x:v>0</x:v>
      </x:c>
    </x:row>
    <x:row r="276">
      <x:c r="A276" t="n">
        <x:v>268</x:v>
      </x:c>
      <x:c r="B276" t="str">
        <x:v>J. H. S. KURAIB R.N. 2</x:v>
      </x:c>
      <x:c r="C276" t="n">
        <x:v>1170</x:v>
      </x:c>
      <x:c r="D276" t="n">
        <x:v>724</x:v>
      </x:c>
      <x:c r="E276" t="n">
        <x:f>SUM(H276:T276)</x:f>
        <x:v>724</x:v>
      </x:c>
      <x:c r="F276" t="n">
        <x:v>0</x:v>
      </x:c>
      <x:c r="G276" s="50" t="n">
        <x:f>IF(C276="","",IFERROR(D276/C276,0))</x:f>
        <x:v>0.6188034188034188</x:v>
      </x:c>
      <x:c r="H276" s="36" t="n">
        <x:v>122</x:v>
      </x:c>
      <x:c r="I276" t="n">
        <x:v>596</x:v>
      </x:c>
      <x:c r="J276" t="n">
        <x:v>4</x:v>
      </x:c>
      <x:c r="K276" t="n">
        <x:v>1</x:v>
      </x:c>
      <x:c r="L276" t="n">
        <x:v>0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s="50" t="n">
        <x:f>IF(D276=0,"",H276/D276)</x:f>
        <x:v>0.1685082872928177</x:v>
      </x:c>
      <x:c r="V276" t="n">
        <x:f>MAX(I276:T276)</x:f>
        <x:v>596</x:v>
      </x:c>
      <x:c r="W276" t="n">
        <x:f>H276-V276</x:f>
        <x:v>-474</x:v>
      </x:c>
      <x:c r="X276" s="52" t="n">
        <x:f>IF(D276=0,"",(W276)/D276)</x:f>
        <x:v>-0.6546961325966851</x:v>
      </x:c>
      <x:c r="Y276" t="str">
        <x:v>DR. MAHESH SHARMA</x:v>
      </x:c>
      <x:c r="Z276" t="n">
        <x:f>D276-E276-F276</x:f>
        <x:v>0</x:v>
      </x:c>
    </x:row>
    <x:row r="277">
      <x:c r="A277" t="n">
        <x:v>269</x:v>
      </x:c>
      <x:c r="B277" t="str">
        <x:v>PRY. SCHOOL RANHAIRA R.NO. 1</x:v>
      </x:c>
      <x:c r="C277" t="n">
        <x:v>730</x:v>
      </x:c>
      <x:c r="D277" t="n">
        <x:v>410</x:v>
      </x:c>
      <x:c r="E277" t="n">
        <x:f>SUM(H277:T277)</x:f>
        <x:v>409</x:v>
      </x:c>
      <x:c r="F277" t="n">
        <x:v>1</x:v>
      </x:c>
      <x:c r="G277" s="50" t="n">
        <x:f>IF(C277="","",IFERROR(D277/C277,0))</x:f>
        <x:v>0.5616438356164384</x:v>
      </x:c>
      <x:c r="H277" s="36" t="n">
        <x:v>184</x:v>
      </x:c>
      <x:c r="I277" t="n">
        <x:v>213</x:v>
      </x:c>
      <x:c r="J277" t="n">
        <x:v>9</x:v>
      </x:c>
      <x:c r="K277" t="n">
        <x:v>1</x:v>
      </x:c>
      <x:c r="L277" t="n">
        <x:v>0</x:v>
      </x:c>
      <x:c r="M277" t="n">
        <x:v>1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1</x:v>
      </x:c>
      <x:c r="U277" s="50" t="n">
        <x:f>IF(D277=0,"",H277/D277)</x:f>
        <x:v>0.44878048780487806</x:v>
      </x:c>
      <x:c r="V277" t="n">
        <x:f>MAX(I277:T277)</x:f>
        <x:v>213</x:v>
      </x:c>
      <x:c r="W277" t="n">
        <x:f>H277-V277</x:f>
        <x:v>-29</x:v>
      </x:c>
      <x:c r="X277" s="52" t="n">
        <x:f>IF(D277=0,"",(W277)/D277)</x:f>
        <x:v>-0.07073170731707316</x:v>
      </x:c>
      <x:c r="Y277" t="str">
        <x:v>DR. MAHESH SHARMA</x:v>
      </x:c>
      <x:c r="Z277" t="n">
        <x:f>D277-E277-F277</x:f>
        <x:v>0</x:v>
      </x:c>
    </x:row>
    <x:row r="278">
      <x:c r="A278" t="n">
        <x:v>270</x:v>
      </x:c>
      <x:c r="B278" t="str">
        <x:v>PRY. SCHOOL RANHAIRA R.NO. 2</x:v>
      </x:c>
      <x:c r="C278" t="n">
        <x:v>755</x:v>
      </x:c>
      <x:c r="D278" t="n">
        <x:v>438</x:v>
      </x:c>
      <x:c r="E278" t="n">
        <x:f>SUM(H278:T278)</x:f>
        <x:v>436</x:v>
      </x:c>
      <x:c r="F278" t="n">
        <x:v>2</x:v>
      </x:c>
      <x:c r="G278" s="50" t="n">
        <x:f>IF(C278="","",IFERROR(D278/C278,0))</x:f>
        <x:v>0.5801324503311258</x:v>
      </x:c>
      <x:c r="H278" s="36" t="n">
        <x:v>68</x:v>
      </x:c>
      <x:c r="I278" t="n">
        <x:v>355</x:v>
      </x:c>
      <x:c r="J278" t="n">
        <x:v>10</x:v>
      </x:c>
      <x:c r="K278" t="n">
        <x:v>1</x:v>
      </x:c>
      <x:c r="L278" t="n">
        <x:v>1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s="50" t="n">
        <x:f>IF(D278=0,"",H278/D278)</x:f>
        <x:v>0.1552511415525114</x:v>
      </x:c>
      <x:c r="V278" t="n">
        <x:f>MAX(I278:T278)</x:f>
        <x:v>355</x:v>
      </x:c>
      <x:c r="W278" t="n">
        <x:f>H278-V278</x:f>
        <x:v>-287</x:v>
      </x:c>
      <x:c r="X278" s="52" t="n">
        <x:f>IF(D278=0,"",(W278)/D278)</x:f>
        <x:v>-0.6552511415525114</x:v>
      </x:c>
      <x:c r="Y278" t="str">
        <x:v>DR. MAHESH SHARMA</x:v>
      </x:c>
      <x:c r="Z278" t="n">
        <x:f>D278-E278-F278</x:f>
        <x:v>0</x:v>
      </x:c>
    </x:row>
    <x:row r="279">
      <x:c r="A279" t="n">
        <x:v>271</x:v>
      </x:c>
      <x:c r="B279" t="str">
        <x:v>PRY. SCHOOL RANHAIRA R.NO. 3</x:v>
      </x:c>
      <x:c r="C279" t="n">
        <x:v>933</x:v>
      </x:c>
      <x:c r="D279" t="n">
        <x:v>511</x:v>
      </x:c>
      <x:c r="E279" t="n">
        <x:f>SUM(H279:T279)</x:f>
        <x:v>507</x:v>
      </x:c>
      <x:c r="F279" t="n">
        <x:v>4</x:v>
      </x:c>
      <x:c r="G279" s="50" t="n">
        <x:f>IF(C279="","",IFERROR(D279/C279,0))</x:f>
        <x:v>0.5476956055734191</x:v>
      </x:c>
      <x:c r="H279" s="36" t="n">
        <x:v>96</x:v>
      </x:c>
      <x:c r="I279" t="n">
        <x:v>392</x:v>
      </x:c>
      <x:c r="J279" t="n">
        <x:v>12</x:v>
      </x:c>
      <x:c r="K279" t="n">
        <x:v>1</x:v>
      </x:c>
      <x:c r="L279" t="n">
        <x:v>1</x:v>
      </x:c>
      <x:c r="M279" t="n">
        <x:v>0</x:v>
      </x:c>
      <x:c r="N279" t="n">
        <x:v>2</x:v>
      </x:c>
      <x:c r="O279" t="n">
        <x:v>0</x:v>
      </x:c>
      <x:c r="P279" t="n">
        <x:v>0</x:v>
      </x:c>
      <x:c r="Q279" t="n">
        <x:v>1</x:v>
      </x:c>
      <x:c r="R279" t="n">
        <x:v>1</x:v>
      </x:c>
      <x:c r="S279" t="n">
        <x:v>0</x:v>
      </x:c>
      <x:c r="T279" t="n">
        <x:v>1</x:v>
      </x:c>
      <x:c r="U279" s="50" t="n">
        <x:f>IF(D279=0,"",H279/D279)</x:f>
        <x:v>0.18786692759295498</x:v>
      </x:c>
      <x:c r="V279" t="n">
        <x:f>MAX(I279:T279)</x:f>
        <x:v>392</x:v>
      </x:c>
      <x:c r="W279" t="n">
        <x:f>H279-V279</x:f>
        <x:v>-296</x:v>
      </x:c>
      <x:c r="X279" s="52" t="n">
        <x:f>IF(D279=0,"",(W279)/D279)</x:f>
        <x:v>-0.5792563600782779</x:v>
      </x:c>
      <x:c r="Y279" t="str">
        <x:v>DR. MAHESH SHARMA</x:v>
      </x:c>
      <x:c r="Z279" t="n">
        <x:f>D279-E279-F279</x:f>
        <x:v>0</x:v>
      </x:c>
    </x:row>
    <x:row r="280">
      <x:c r="A280" t="n">
        <x:v>272</x:v>
      </x:c>
      <x:c r="B280" t="str">
        <x:v>PRY. SCHOOL RANHAIRA R.NO. 4</x:v>
      </x:c>
      <x:c r="C280" t="n">
        <x:v>821</x:v>
      </x:c>
      <x:c r="D280" t="n">
        <x:v>436</x:v>
      </x:c>
      <x:c r="E280" t="n">
        <x:f>SUM(H280:T280)</x:f>
        <x:v>435</x:v>
      </x:c>
      <x:c r="F280" t="n">
        <x:v>1</x:v>
      </x:c>
      <x:c r="G280" s="50" t="n">
        <x:f>IF(C280="","",IFERROR(D280/C280,0))</x:f>
        <x:v>0.5310596833130329</x:v>
      </x:c>
      <x:c r="H280" s="36" t="n">
        <x:v>63</x:v>
      </x:c>
      <x:c r="I280" t="n">
        <x:v>364</x:v>
      </x:c>
      <x:c r="J280" t="n">
        <x:v>7</x:v>
      </x:c>
      <x:c r="K280" t="n">
        <x:v>0</x:v>
      </x:c>
      <x:c r="L280" t="n">
        <x:v>1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s="50" t="n">
        <x:f>IF(D280=0,"",H280/D280)</x:f>
        <x:v>0.1444954128440367</x:v>
      </x:c>
      <x:c r="V280" t="n">
        <x:f>MAX(I280:T280)</x:f>
        <x:v>364</x:v>
      </x:c>
      <x:c r="W280" t="n">
        <x:f>H280-V280</x:f>
        <x:v>-301</x:v>
      </x:c>
      <x:c r="X280" s="52" t="n">
        <x:f>IF(D280=0,"",(W280)/D280)</x:f>
        <x:v>-0.6903669724770642</x:v>
      </x:c>
      <x:c r="Y280" t="str">
        <x:v>DR. MAHESH SHARMA</x:v>
      </x:c>
      <x:c r="Z280" t="n">
        <x:f>D280-E280-F280</x:f>
        <x:v>0</x:v>
      </x:c>
    </x:row>
    <x:row r="281">
      <x:c r="A281" t="n">
        <x:v>273</x:v>
      </x:c>
      <x:c r="B281" t="str">
        <x:v>PRY. SCHOOL DAYANATPUR R.NO. 1</x:v>
      </x:c>
      <x:c r="C281" t="n">
        <x:v>1022</x:v>
      </x:c>
      <x:c r="D281" t="n">
        <x:v>584</x:v>
      </x:c>
      <x:c r="E281" t="n">
        <x:f>SUM(H281:T281)</x:f>
        <x:v>581</x:v>
      </x:c>
      <x:c r="F281" t="n">
        <x:v>3</x:v>
      </x:c>
      <x:c r="G281" s="50" t="n">
        <x:f>IF(C281="","",IFERROR(D281/C281,0))</x:f>
        <x:v>0.5714285714285714</x:v>
      </x:c>
      <x:c r="H281" s="36" t="n">
        <x:v>81</x:v>
      </x:c>
      <x:c r="I281" t="n">
        <x:v>458</x:v>
      </x:c>
      <x:c r="J281" t="n">
        <x:v>36</x:v>
      </x:c>
      <x:c r="K281" t="n">
        <x:v>2</x:v>
      </x:c>
      <x:c r="L281" t="n">
        <x:v>2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1</x:v>
      </x:c>
      <x:c r="S281" t="n">
        <x:v>1</x:v>
      </x:c>
      <x:c r="T281" t="n">
        <x:v>0</x:v>
      </x:c>
      <x:c r="U281" s="50" t="n">
        <x:f>IF(D281=0,"",H281/D281)</x:f>
        <x:v>0.1386986301369863</x:v>
      </x:c>
      <x:c r="V281" t="n">
        <x:f>MAX(I281:T281)</x:f>
        <x:v>458</x:v>
      </x:c>
      <x:c r="W281" t="n">
        <x:f>H281-V281</x:f>
        <x:v>-377</x:v>
      </x:c>
      <x:c r="X281" s="52" t="n">
        <x:f>IF(D281=0,"",(W281)/D281)</x:f>
        <x:v>-0.6455479452054794</x:v>
      </x:c>
      <x:c r="Y281" t="str">
        <x:v>DR. MAHESH SHARMA</x:v>
      </x:c>
      <x:c r="Z281" t="n">
        <x:f>D281-E281-F281</x:f>
        <x:v>0</x:v>
      </x:c>
    </x:row>
    <x:row r="282">
      <x:c r="A282" t="n">
        <x:v>274</x:v>
      </x:c>
      <x:c r="B282" t="str">
        <x:v>PRY. SCHOOL DAYANATPUR R.NO. 2</x:v>
      </x:c>
      <x:c r="C282" t="n">
        <x:v>1113</x:v>
      </x:c>
      <x:c r="D282" t="n">
        <x:v>702</x:v>
      </x:c>
      <x:c r="E282" t="n">
        <x:f>SUM(H282:T282)</x:f>
        <x:v>696</x:v>
      </x:c>
      <x:c r="F282" t="n">
        <x:v>6</x:v>
      </x:c>
      <x:c r="G282" s="50" t="n">
        <x:f>IF(C282="","",IFERROR(D282/C282,0))</x:f>
        <x:v>0.6307277628032345</x:v>
      </x:c>
      <x:c r="H282" s="36" t="n">
        <x:v>63</x:v>
      </x:c>
      <x:c r="I282" t="n">
        <x:v>620</x:v>
      </x:c>
      <x:c r="J282" t="n">
        <x:v>7</x:v>
      </x:c>
      <x:c r="K282" t="n">
        <x:v>0</x:v>
      </x:c>
      <x:c r="L282" t="n">
        <x:v>2</x:v>
      </x:c>
      <x:c r="M282" t="n">
        <x:v>1</x:v>
      </x:c>
      <x:c r="N282" t="n">
        <x:v>2</x:v>
      </x:c>
      <x:c r="O282" t="n">
        <x:v>0</x:v>
      </x:c>
      <x:c r="P282" t="n">
        <x:v>0</x:v>
      </x:c>
      <x:c r="Q282" t="n">
        <x:v>0</x:v>
      </x:c>
      <x:c r="R282" t="n">
        <x:v>1</x:v>
      </x:c>
      <x:c r="S282" t="n">
        <x:v>0</x:v>
      </x:c>
      <x:c r="T282" t="n">
        <x:v>0</x:v>
      </x:c>
      <x:c r="U282" s="50" t="n">
        <x:f>IF(D282=0,"",H282/D282)</x:f>
        <x:v>0.08974358974358974</x:v>
      </x:c>
      <x:c r="V282" t="n">
        <x:f>MAX(I282:T282)</x:f>
        <x:v>620</x:v>
      </x:c>
      <x:c r="W282" t="n">
        <x:f>H282-V282</x:f>
        <x:v>-557</x:v>
      </x:c>
      <x:c r="X282" s="52" t="n">
        <x:f>IF(D282=0,"",(W282)/D282)</x:f>
        <x:v>-0.7934472934472935</x:v>
      </x:c>
      <x:c r="Y282" t="str">
        <x:v>DR. MAHESH SHARMA</x:v>
      </x:c>
      <x:c r="Z282" t="n">
        <x:f>D282-E282-F282</x:f>
        <x:v>0</x:v>
      </x:c>
    </x:row>
    <x:row r="283">
      <x:c r="A283" t="n">
        <x:v>275</x:v>
      </x:c>
      <x:c r="B283" t="str">
        <x:v>INTER COLLEGE DAYANATPUR R.NO. 1</x:v>
      </x:c>
      <x:c r="C283" t="n">
        <x:v>1034</x:v>
      </x:c>
      <x:c r="D283" t="n">
        <x:v>717</x:v>
      </x:c>
      <x:c r="E283" t="n">
        <x:f>SUM(H283:T283)</x:f>
        <x:v>710</x:v>
      </x:c>
      <x:c r="F283" t="n">
        <x:v>7</x:v>
      </x:c>
      <x:c r="G283" s="50" t="n">
        <x:f>IF(C283="","",IFERROR(D283/C283,0))</x:f>
        <x:v>0.6934235976789168</x:v>
      </x:c>
      <x:c r="H283" s="36" t="n">
        <x:v>684</x:v>
      </x:c>
      <x:c r="I283" t="n">
        <x:v>14</x:v>
      </x:c>
      <x:c r="J283" t="n">
        <x:v>2</x:v>
      </x:c>
      <x:c r="K283" t="n">
        <x:v>6</x:v>
      </x:c>
      <x:c r="L283" t="n">
        <x:v>1</x:v>
      </x:c>
      <x:c r="M283" t="n">
        <x:v>1</x:v>
      </x:c>
      <x:c r="N283" t="n">
        <x:v>0</x:v>
      </x:c>
      <x:c r="O283" t="n">
        <x:v>0</x:v>
      </x:c>
      <x:c r="P283" t="n">
        <x:v>1</x:v>
      </x:c>
      <x:c r="Q283" t="n">
        <x:v>0</x:v>
      </x:c>
      <x:c r="R283" t="n">
        <x:v>0</x:v>
      </x:c>
      <x:c r="S283" t="n">
        <x:v>0</x:v>
      </x:c>
      <x:c r="T283" t="n">
        <x:v>1</x:v>
      </x:c>
      <x:c r="U283" s="50" t="n">
        <x:f>IF(D283=0,"",H283/D283)</x:f>
        <x:v>0.9539748953974896</x:v>
      </x:c>
      <x:c r="V283" t="n">
        <x:f>MAX(I283:T283)</x:f>
        <x:v>14</x:v>
      </x:c>
      <x:c r="W283" t="n">
        <x:f>H283-V283</x:f>
        <x:v>670</x:v>
      </x:c>
      <x:c r="X283" s="52" t="n">
        <x:f>IF(D283=0,"",(W283)/D283)</x:f>
        <x:v>0.9344490934449093</x:v>
      </x:c>
      <x:c r="Y283" t="str">
        <x:v>SATVEER</x:v>
      </x:c>
      <x:c r="Z283" t="n">
        <x:f>D283-E283-F283</x:f>
        <x:v>0</x:v>
      </x:c>
    </x:row>
    <x:row r="284">
      <x:c r="A284" t="n">
        <x:v>276</x:v>
      </x:c>
      <x:c r="B284" t="str">
        <x:v>INTER COLLEGE DAYANATPUR R.NO. 2</x:v>
      </x:c>
      <x:c r="C284" t="n">
        <x:v>727</x:v>
      </x:c>
      <x:c r="D284" t="n">
        <x:v>487</x:v>
      </x:c>
      <x:c r="E284" t="n">
        <x:f>SUM(H284:T284)</x:f>
        <x:v>486</x:v>
      </x:c>
      <x:c r="F284" t="n">
        <x:v>1</x:v>
      </x:c>
      <x:c r="G284" s="50" t="n">
        <x:f>IF(C284="","",IFERROR(D284/C284,0))</x:f>
        <x:v>0.6698762035763411</x:v>
      </x:c>
      <x:c r="H284" s="36" t="n">
        <x:v>198</x:v>
      </x:c>
      <x:c r="I284" t="n">
        <x:v>278</x:v>
      </x:c>
      <x:c r="J284" t="n">
        <x:v>6</x:v>
      </x:c>
      <x:c r="K284" t="n">
        <x:v>1</x:v>
      </x:c>
      <x:c r="L284" t="n">
        <x:v>2</x:v>
      </x:c>
      <x:c r="M284" t="n">
        <x:v>0</x:v>
      </x:c>
      <x:c r="N284" t="n">
        <x:v>0</x:v>
      </x:c>
      <x:c r="O284" t="n">
        <x:v>0</x:v>
      </x:c>
      <x:c r="P284" t="n">
        <x:v>1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s="50" t="n">
        <x:f>IF(D284=0,"",H284/D284)</x:f>
        <x:v>0.406570841889117</x:v>
      </x:c>
      <x:c r="V284" t="n">
        <x:f>MAX(I284:T284)</x:f>
        <x:v>278</x:v>
      </x:c>
      <x:c r="W284" t="n">
        <x:f>H284-V284</x:f>
        <x:v>-80</x:v>
      </x:c>
      <x:c r="X284" s="52" t="n">
        <x:f>IF(D284=0,"",(W284)/D284)</x:f>
        <x:v>-0.16427104722792607</x:v>
      </x:c>
      <x:c r="Y284" t="str">
        <x:v>DR. MAHESH SHARMA</x:v>
      </x:c>
      <x:c r="Z284" t="n">
        <x:f>D284-E284-F284</x:f>
        <x:v>0</x:v>
      </x:c>
    </x:row>
    <x:row r="285">
      <x:c r="A285" t="n">
        <x:v>277</x:v>
      </x:c>
      <x:c r="B285" t="str">
        <x:v>INTER COLLEGE DAYANATPUR R.NO. 3</x:v>
      </x:c>
      <x:c r="C285" t="n">
        <x:v>668</x:v>
      </x:c>
      <x:c r="D285" t="n">
        <x:v>412</x:v>
      </x:c>
      <x:c r="E285" t="n">
        <x:f>SUM(H285:T285)</x:f>
        <x:v>407</x:v>
      </x:c>
      <x:c r="F285" t="n">
        <x:v>5</x:v>
      </x:c>
      <x:c r="G285" s="50" t="n">
        <x:f>IF(C285="","",IFERROR(D285/C285,0))</x:f>
        <x:v>0.6167664670658682</x:v>
      </x:c>
      <x:c r="H285" s="36" t="n">
        <x:v>218</x:v>
      </x:c>
      <x:c r="I285" t="n">
        <x:v>165</x:v>
      </x:c>
      <x:c r="J285" t="n">
        <x:v>15</x:v>
      </x:c>
      <x:c r="K285" t="n">
        <x:v>3</x:v>
      </x:c>
      <x:c r="L285" t="n">
        <x:v>1</x:v>
      </x:c>
      <x:c r="M285" t="n">
        <x:v>2</x:v>
      </x:c>
      <x:c r="N285" t="n">
        <x:v>3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s="50" t="n">
        <x:f>IF(D285=0,"",H285/D285)</x:f>
        <x:v>0.529126213592233</x:v>
      </x:c>
      <x:c r="V285" t="n">
        <x:f>MAX(I285:T285)</x:f>
        <x:v>165</x:v>
      </x:c>
      <x:c r="W285" t="n">
        <x:f>H285-V285</x:f>
        <x:v>53</x:v>
      </x:c>
      <x:c r="X285" s="52" t="n">
        <x:f>IF(D285=0,"",(W285)/D285)</x:f>
        <x:v>0.12864077669902912</x:v>
      </x:c>
      <x:c r="Y285" t="str">
        <x:v>SATVEER</x:v>
      </x:c>
      <x:c r="Z285" t="n">
        <x:f>D285-E285-F285</x:f>
        <x:v>0</x:v>
      </x:c>
    </x:row>
    <x:row r="286">
      <x:c r="A286" t="n">
        <x:v>278</x:v>
      </x:c>
      <x:c r="B286" t="str">
        <x:v>PRY. SCHOOL BEGMABAD MAZRA DAYANATPUR R.NO. 1</x:v>
      </x:c>
      <x:c r="C286" t="n">
        <x:v>550</x:v>
      </x:c>
      <x:c r="D286" t="n">
        <x:v>362</x:v>
      </x:c>
      <x:c r="E286" t="n">
        <x:f>SUM(H286:T286)</x:f>
        <x:v>358</x:v>
      </x:c>
      <x:c r="F286" t="n">
        <x:v>4</x:v>
      </x:c>
      <x:c r="G286" s="50" t="n">
        <x:f>IF(C286="","",IFERROR(D286/C286,0))</x:f>
        <x:v>0.6581818181818182</x:v>
      </x:c>
      <x:c r="H286" s="36" t="n">
        <x:v>87</x:v>
      </x:c>
      <x:c r="I286" t="n">
        <x:v>258</x:v>
      </x:c>
      <x:c r="J286" t="n">
        <x:v>3</x:v>
      </x:c>
      <x:c r="K286" t="n">
        <x:v>2</x:v>
      </x:c>
      <x:c r="L286" t="n">
        <x:v>4</x:v>
      </x:c>
      <x:c r="M286" t="n">
        <x:v>1</x:v>
      </x:c>
      <x:c r="N286" t="n">
        <x:v>0</x:v>
      </x:c>
      <x:c r="O286" t="n">
        <x:v>1</x:v>
      </x:c>
      <x:c r="P286" t="n">
        <x:v>0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s="50" t="n">
        <x:f>IF(D286=0,"",H286/D286)</x:f>
        <x:v>0.24033149171270718</x:v>
      </x:c>
      <x:c r="V286" t="n">
        <x:f>MAX(I286:T286)</x:f>
        <x:v>258</x:v>
      </x:c>
      <x:c r="W286" t="n">
        <x:f>H286-V286</x:f>
        <x:v>-171</x:v>
      </x:c>
      <x:c r="X286" s="52" t="n">
        <x:f>IF(D286=0,"",(W286)/D286)</x:f>
        <x:v>-0.4723756906077348</x:v>
      </x:c>
      <x:c r="Y286" t="str">
        <x:v>DR. MAHESH SHARMA</x:v>
      </x:c>
      <x:c r="Z286" t="n">
        <x:f>D286-E286-F286</x:f>
        <x:v>0</x:v>
      </x:c>
    </x:row>
    <x:row r="287">
      <x:c r="A287" t="n">
        <x:v>279</x:v>
      </x:c>
      <x:c r="B287" t="str">
        <x:v>J.H. SCHOOL NAGLA SHAREEF KHAN MAJRA DAYANATPUR R.NO. 1</x:v>
      </x:c>
      <x:c r="C287" t="n">
        <x:v>880</x:v>
      </x:c>
      <x:c r="D287" t="n">
        <x:v>570</x:v>
      </x:c>
      <x:c r="E287" t="n">
        <x:f>SUM(H287:T287)</x:f>
        <x:v>558</x:v>
      </x:c>
      <x:c r="F287" t="n">
        <x:v>12</x:v>
      </x:c>
      <x:c r="G287" s="50" t="n">
        <x:f>IF(C287="","",IFERROR(D287/C287,0))</x:f>
        <x:v>0.6477272727272727</x:v>
      </x:c>
      <x:c r="H287" s="36" t="n">
        <x:v>525</x:v>
      </x:c>
      <x:c r="I287" t="n">
        <x:v>9</x:v>
      </x:c>
      <x:c r="J287" t="n">
        <x:v>8</x:v>
      </x:c>
      <x:c r="K287" t="n">
        <x:v>9</x:v>
      </x:c>
      <x:c r="L287" t="n">
        <x:v>0</x:v>
      </x:c>
      <x:c r="M287" t="n">
        <x:v>4</x:v>
      </x:c>
      <x:c r="N287" t="n">
        <x:v>1</x:v>
      </x:c>
      <x:c r="O287" t="n">
        <x:v>0</x:v>
      </x:c>
      <x:c r="P287" t="n">
        <x:v>0</x:v>
      </x:c>
      <x:c r="Q287" t="n">
        <x:v>1</x:v>
      </x:c>
      <x:c r="R287" t="n">
        <x:v>0</x:v>
      </x:c>
      <x:c r="S287" t="n">
        <x:v>0</x:v>
      </x:c>
      <x:c r="T287" t="n">
        <x:v>1</x:v>
      </x:c>
      <x:c r="U287" s="50" t="n">
        <x:f>IF(D287=0,"",H287/D287)</x:f>
        <x:v>0.9210526315789473</x:v>
      </x:c>
      <x:c r="V287" t="n">
        <x:f>MAX(I287:T287)</x:f>
        <x:v>9</x:v>
      </x:c>
      <x:c r="W287" t="n">
        <x:f>H287-V287</x:f>
        <x:v>516</x:v>
      </x:c>
      <x:c r="X287" s="52" t="n">
        <x:f>IF(D287=0,"",(W287)/D287)</x:f>
        <x:v>0.9052631578947369</x:v>
      </x:c>
      <x:c r="Y287" t="str">
        <x:v>SATVEER</x:v>
      </x:c>
      <x:c r="Z287" t="n">
        <x:f>D287-E287-F287</x:f>
        <x:v>0</x:v>
      </x:c>
    </x:row>
    <x:row r="288">
      <x:c r="A288" t="n">
        <x:v>280</x:v>
      </x:c>
      <x:c r="B288" t="str">
        <x:v>PRY SCHOOL NAGLA SHAREEF KHAN MAJRA DAYANATPUR R.N. 1</x:v>
      </x:c>
      <x:c r="C288" t="n">
        <x:v>817</x:v>
      </x:c>
      <x:c r="D288" t="n">
        <x:v>620</x:v>
      </x:c>
      <x:c r="E288" t="n">
        <x:f>SUM(H288:T288)</x:f>
        <x:v>619</x:v>
      </x:c>
      <x:c r="F288" t="n">
        <x:v>1</x:v>
      </x:c>
      <x:c r="G288" s="50" t="n">
        <x:f>IF(C288="","",IFERROR(D288/C288,0))</x:f>
        <x:v>0.758873929008568</x:v>
      </x:c>
      <x:c r="H288" s="36" t="n">
        <x:v>600</x:v>
      </x:c>
      <x:c r="I288" t="n">
        <x:v>4</x:v>
      </x:c>
      <x:c r="J288" t="n">
        <x:v>3</x:v>
      </x:c>
      <x:c r="K288" t="n">
        <x:v>6</x:v>
      </x:c>
      <x:c r="L288" t="n">
        <x:v>0</x:v>
      </x:c>
      <x:c r="M288" t="n">
        <x:v>4</x:v>
      </x:c>
      <x:c r="N288" t="n">
        <x:v>0</x:v>
      </x:c>
      <x:c r="O288" t="n">
        <x:v>0</x:v>
      </x:c>
      <x:c r="P288" t="n">
        <x:v>0</x:v>
      </x:c>
      <x:c r="Q288" t="n">
        <x:v>1</x:v>
      </x:c>
      <x:c r="R288" t="n">
        <x:v>0</x:v>
      </x:c>
      <x:c r="S288" t="n">
        <x:v>1</x:v>
      </x:c>
      <x:c r="T288" t="n">
        <x:v>0</x:v>
      </x:c>
      <x:c r="U288" s="50" t="n">
        <x:f>IF(D288=0,"",H288/D288)</x:f>
        <x:v>0.967741935483871</x:v>
      </x:c>
      <x:c r="V288" t="n">
        <x:f>MAX(I288:T288)</x:f>
        <x:v>6</x:v>
      </x:c>
      <x:c r="W288" t="n">
        <x:f>H288-V288</x:f>
        <x:v>594</x:v>
      </x:c>
      <x:c r="X288" s="52" t="n">
        <x:f>IF(D288=0,"",(W288)/D288)</x:f>
        <x:v>0.9580645161290322</x:v>
      </x:c>
      <x:c r="Y288" t="str">
        <x:v>SATVEER</x:v>
      </x:c>
      <x:c r="Z288" t="n">
        <x:f>D288-E288-F288</x:f>
        <x:v>0</x:v>
      </x:c>
    </x:row>
    <x:row r="289">
      <x:c r="A289" t="n">
        <x:v>281</x:v>
      </x:c>
      <x:c r="B289" t="str">
        <x:v>PRY. SCHOOL RAMPUR BANGAR R.NO. 1</x:v>
      </x:c>
      <x:c r="C289" t="n">
        <x:v>985</x:v>
      </x:c>
      <x:c r="D289" t="n">
        <x:v>640</x:v>
      </x:c>
      <x:c r="E289" t="n">
        <x:f>SUM(H289:T289)</x:f>
        <x:v>633</x:v>
      </x:c>
      <x:c r="F289" t="n">
        <x:v>7</x:v>
      </x:c>
      <x:c r="G289" s="50" t="n">
        <x:f>IF(C289="","",IFERROR(D289/C289,0))</x:f>
        <x:v>0.649746192893401</x:v>
      </x:c>
      <x:c r="H289" s="36" t="n">
        <x:v>47</x:v>
      </x:c>
      <x:c r="I289" t="n">
        <x:v>572</x:v>
      </x:c>
      <x:c r="J289" t="n">
        <x:v>8</x:v>
      </x:c>
      <x:c r="K289" t="n">
        <x:v>2</x:v>
      </x:c>
      <x:c r="L289" t="n">
        <x:v>4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s="50" t="n">
        <x:f>IF(D289=0,"",H289/D289)</x:f>
        <x:v>0.0734375</x:v>
      </x:c>
      <x:c r="V289" t="n">
        <x:f>MAX(I289:T289)</x:f>
        <x:v>572</x:v>
      </x:c>
      <x:c r="W289" t="n">
        <x:f>H289-V289</x:f>
        <x:v>-525</x:v>
      </x:c>
      <x:c r="X289" s="52" t="n">
        <x:f>IF(D289=0,"",(W289)/D289)</x:f>
        <x:v>-0.8203125</x:v>
      </x:c>
      <x:c r="Y289" t="str">
        <x:v>DR. MAHESH SHARMA</x:v>
      </x:c>
      <x:c r="Z289" t="n">
        <x:f>D289-E289-F289</x:f>
        <x:v>0</x:v>
      </x:c>
    </x:row>
    <x:row r="290">
      <x:c r="A290" t="n">
        <x:v>282</x:v>
      </x:c>
      <x:c r="B290" t="str">
        <x:v>PRY. SCHOOL RAMPUR BANGAR R.NO. 2</x:v>
      </x:c>
      <x:c r="C290" t="n">
        <x:v>772</x:v>
      </x:c>
      <x:c r="D290" t="n">
        <x:v>547</x:v>
      </x:c>
      <x:c r="E290" t="n">
        <x:f>SUM(H290:T290)</x:f>
        <x:v>546</x:v>
      </x:c>
      <x:c r="F290" t="n">
        <x:v>1</x:v>
      </x:c>
      <x:c r="G290" s="50" t="n">
        <x:f>IF(C290="","",IFERROR(D290/C290,0))</x:f>
        <x:v>0.7085492227979274</x:v>
      </x:c>
      <x:c r="H290" s="36" t="n">
        <x:v>310</x:v>
      </x:c>
      <x:c r="I290" t="n">
        <x:v>221</x:v>
      </x:c>
      <x:c r="J290" t="n">
        <x:v>6</x:v>
      </x:c>
      <x:c r="K290" t="n">
        <x:v>1</x:v>
      </x:c>
      <x:c r="L290" t="n">
        <x:v>1</x:v>
      </x:c>
      <x:c r="M290" t="n">
        <x:v>3</x:v>
      </x:c>
      <x:c r="N290" t="n">
        <x:v>0</x:v>
      </x:c>
      <x:c r="O290" t="n">
        <x:v>1</x:v>
      </x:c>
      <x:c r="P290" t="n">
        <x:v>1</x:v>
      </x:c>
      <x:c r="Q290" t="n">
        <x:v>0</x:v>
      </x:c>
      <x:c r="R290" t="n">
        <x:v>0</x:v>
      </x:c>
      <x:c r="S290" t="n">
        <x:v>1</x:v>
      </x:c>
      <x:c r="T290" t="n">
        <x:v>1</x:v>
      </x:c>
      <x:c r="U290" s="50" t="n">
        <x:f>IF(D290=0,"",H290/D290)</x:f>
        <x:v>0.56672760511883</x:v>
      </x:c>
      <x:c r="V290" t="n">
        <x:f>MAX(I290:T290)</x:f>
        <x:v>221</x:v>
      </x:c>
      <x:c r="W290" t="n">
        <x:f>H290-V290</x:f>
        <x:v>89</x:v>
      </x:c>
      <x:c r="X290" s="52" t="n">
        <x:f>IF(D290=0,"",(W290)/D290)</x:f>
        <x:v>0.16270566727605118</x:v>
      </x:c>
      <x:c r="Y290" t="str">
        <x:v>SATVEER</x:v>
      </x:c>
      <x:c r="Z290" t="n">
        <x:f>D290-E290-F290</x:f>
        <x:v>0</x:v>
      </x:c>
    </x:row>
    <x:row r="291">
      <x:c r="A291" t="n">
        <x:v>283</x:v>
      </x:c>
      <x:c r="B291" t="str">
        <x:v>PRY. SCHOOL BALLABHNAGAR URF KARROL BANGAR R.NO. 1</x:v>
      </x:c>
      <x:c r="C291" t="n">
        <x:v>1053</x:v>
      </x:c>
      <x:c r="D291" t="n">
        <x:v>735</x:v>
      </x:c>
      <x:c r="E291" t="n">
        <x:f>SUM(H291:T291)</x:f>
        <x:v>728</x:v>
      </x:c>
      <x:c r="F291" t="n">
        <x:v>7</x:v>
      </x:c>
      <x:c r="G291" s="50" t="n">
        <x:f>IF(C291="","",IFERROR(D291/C291,0))</x:f>
        <x:v>0.698005698005698</x:v>
      </x:c>
      <x:c r="H291" s="36" t="n">
        <x:v>222</x:v>
      </x:c>
      <x:c r="I291" t="n">
        <x:v>482</x:v>
      </x:c>
      <x:c r="J291" t="n">
        <x:v>5</x:v>
      </x:c>
      <x:c r="K291" t="n">
        <x:v>5</x:v>
      </x:c>
      <x:c r="L291" t="n">
        <x:v>10</x:v>
      </x:c>
      <x:c r="M291" t="n">
        <x:v>1</x:v>
      </x:c>
      <x:c r="N291" t="n">
        <x:v>0</x:v>
      </x:c>
      <x:c r="O291" t="n">
        <x:v>0</x:v>
      </x:c>
      <x:c r="P291" t="n">
        <x:v>1</x:v>
      </x:c>
      <x:c r="Q291" t="n">
        <x:v>0</x:v>
      </x:c>
      <x:c r="R291" t="n">
        <x:v>0</x:v>
      </x:c>
      <x:c r="S291" t="n">
        <x:v>2</x:v>
      </x:c>
      <x:c r="T291" t="n">
        <x:v>0</x:v>
      </x:c>
      <x:c r="U291" s="50" t="n">
        <x:f>IF(D291=0,"",H291/D291)</x:f>
        <x:v>0.3020408163265306</x:v>
      </x:c>
      <x:c r="V291" t="n">
        <x:f>MAX(I291:T291)</x:f>
        <x:v>482</x:v>
      </x:c>
      <x:c r="W291" t="n">
        <x:f>H291-V291</x:f>
        <x:v>-260</x:v>
      </x:c>
      <x:c r="X291" s="52" t="n">
        <x:f>IF(D291=0,"",(W291)/D291)</x:f>
        <x:v>-0.35374149659863946</x:v>
      </x:c>
      <x:c r="Y291" t="str">
        <x:v>DR. MAHESH SHARMA</x:v>
      </x:c>
      <x:c r="Z291" t="n">
        <x:f>D291-E291-F291</x:f>
        <x:v>0</x:v>
      </x:c>
    </x:row>
    <x:row r="292">
      <x:c r="A292" t="n">
        <x:v>284</x:v>
      </x:c>
      <x:c r="B292" t="str">
        <x:v>PRY. SCHOOL SIRSA MACHHIPUR R.NO. 1</x:v>
      </x:c>
      <x:c r="C292" t="n">
        <x:v>999</x:v>
      </x:c>
      <x:c r="D292" t="n">
        <x:v>648</x:v>
      </x:c>
      <x:c r="E292" t="n">
        <x:f>SUM(H292:T292)</x:f>
        <x:v>644</x:v>
      </x:c>
      <x:c r="F292" t="n">
        <x:v>4</x:v>
      </x:c>
      <x:c r="G292" s="50" t="n">
        <x:f>IF(C292="","",IFERROR(D292/C292,0))</x:f>
        <x:v>0.6486486486486487</x:v>
      </x:c>
      <x:c r="H292" s="36" t="n">
        <x:v>72</x:v>
      </x:c>
      <x:c r="I292" t="n">
        <x:v>554</x:v>
      </x:c>
      <x:c r="J292" t="n">
        <x:v>6</x:v>
      </x:c>
      <x:c r="K292" t="n">
        <x:v>4</x:v>
      </x:c>
      <x:c r="L292" t="n">
        <x:v>1</x:v>
      </x:c>
      <x:c r="M292" t="n">
        <x:v>0</x:v>
      </x:c>
      <x:c r="N292" t="n">
        <x:v>2</x:v>
      </x:c>
      <x:c r="O292" t="n">
        <x:v>1</x:v>
      </x:c>
      <x:c r="P292" t="n">
        <x:v>0</x:v>
      </x:c>
      <x:c r="Q292" t="n">
        <x:v>0</x:v>
      </x:c>
      <x:c r="R292" t="n">
        <x:v>3</x:v>
      </x:c>
      <x:c r="S292" t="n">
        <x:v>1</x:v>
      </x:c>
      <x:c r="T292" t="n">
        <x:v>0</x:v>
      </x:c>
      <x:c r="U292" s="50" t="n">
        <x:f>IF(D292=0,"",H292/D292)</x:f>
        <x:v>0.1111111111111111</x:v>
      </x:c>
      <x:c r="V292" t="n">
        <x:f>MAX(I292:T292)</x:f>
        <x:v>554</x:v>
      </x:c>
      <x:c r="W292" t="n">
        <x:f>H292-V292</x:f>
        <x:v>-482</x:v>
      </x:c>
      <x:c r="X292" s="52" t="n">
        <x:f>IF(D292=0,"",(W292)/D292)</x:f>
        <x:v>-0.7438271604938271</x:v>
      </x:c>
      <x:c r="Y292" t="str">
        <x:v>DR. MAHESH SHARMA</x:v>
      </x:c>
      <x:c r="Z292" t="n">
        <x:f>D292-E292-F292</x:f>
        <x:v>0</x:v>
      </x:c>
    </x:row>
    <x:row r="293">
      <x:c r="A293" t="n">
        <x:v>285</x:v>
      </x:c>
      <x:c r="B293" t="str">
        <x:v>PRY. SCHOOL SIRSA MACHHIPUR R.NO. 2</x:v>
      </x:c>
      <x:c r="C293" t="n">
        <x:v>381</x:v>
      </x:c>
      <x:c r="D293" t="n">
        <x:v>311</x:v>
      </x:c>
      <x:c r="E293" t="n">
        <x:f>SUM(H293:T293)</x:f>
        <x:v>311</x:v>
      </x:c>
      <x:c r="F293" t="n">
        <x:v>0</x:v>
      </x:c>
      <x:c r="G293" s="50" t="n">
        <x:f>IF(C293="","",IFERROR(D293/C293,0))</x:f>
        <x:v>0.8162729658792651</x:v>
      </x:c>
      <x:c r="H293" s="36" t="n">
        <x:v>27</x:v>
      </x:c>
      <x:c r="I293" t="n">
        <x:v>275</x:v>
      </x:c>
      <x:c r="J293" t="n">
        <x:v>2</x:v>
      </x:c>
      <x:c r="K293" t="n">
        <x:v>1</x:v>
      </x:c>
      <x:c r="L293" t="n">
        <x:v>1</x:v>
      </x:c>
      <x:c r="M293" t="n">
        <x:v>0</x:v>
      </x:c>
      <x:c r="N293" t="n">
        <x:v>0</x:v>
      </x:c>
      <x:c r="O293" t="n">
        <x:v>4</x:v>
      </x:c>
      <x:c r="P293" t="n">
        <x:v>0</x:v>
      </x:c>
      <x:c r="Q293" t="n">
        <x:v>1</x:v>
      </x:c>
      <x:c r="R293" t="n">
        <x:v>0</x:v>
      </x:c>
      <x:c r="S293" t="n">
        <x:v>0</x:v>
      </x:c>
      <x:c r="T293" t="n">
        <x:v>0</x:v>
      </x:c>
      <x:c r="U293" s="50" t="n">
        <x:f>IF(D293=0,"",H293/D293)</x:f>
        <x:v>0.08681672025723473</x:v>
      </x:c>
      <x:c r="V293" t="n">
        <x:f>MAX(I293:T293)</x:f>
        <x:v>275</x:v>
      </x:c>
      <x:c r="W293" t="n">
        <x:f>H293-V293</x:f>
        <x:v>-248</x:v>
      </x:c>
      <x:c r="X293" s="52" t="n">
        <x:f>IF(D293=0,"",(W293)/D293)</x:f>
        <x:v>-0.797427652733119</x:v>
      </x:c>
      <x:c r="Y293" t="str">
        <x:v>DR. MAHESH SHARMA</x:v>
      </x:c>
      <x:c r="Z293" t="n">
        <x:f>D293-E293-F293</x:f>
        <x:v>0</x:v>
      </x:c>
    </x:row>
    <x:row r="294">
      <x:c r="A294" t="n">
        <x:v>286</x:v>
      </x:c>
      <x:c r="B294" t="str">
        <x:v>PRY. SCHOOL KISHORPUR R.NO. 1</x:v>
      </x:c>
      <x:c r="C294" t="n">
        <x:v>732</x:v>
      </x:c>
      <x:c r="D294" t="n">
        <x:v>533</x:v>
      </x:c>
      <x:c r="E294" t="n">
        <x:f>SUM(H294:T294)</x:f>
        <x:v>531</x:v>
      </x:c>
      <x:c r="F294" t="n">
        <x:v>2</x:v>
      </x:c>
      <x:c r="G294" s="50" t="n">
        <x:f>IF(C294="","",IFERROR(D294/C294,0))</x:f>
        <x:v>0.7281420765027322</x:v>
      </x:c>
      <x:c r="H294" s="36" t="n">
        <x:v>430</x:v>
      </x:c>
      <x:c r="I294" t="n">
        <x:v>81</x:v>
      </x:c>
      <x:c r="J294" t="n">
        <x:v>4</x:v>
      </x:c>
      <x:c r="K294" t="n">
        <x:v>9</x:v>
      </x:c>
      <x:c r="L294" t="n">
        <x:v>0</x:v>
      </x:c>
      <x:c r="M294" t="n">
        <x:v>2</x:v>
      </x:c>
      <x:c r="N294" t="n">
        <x:v>1</x:v>
      </x:c>
      <x:c r="O294" t="n">
        <x:v>1</x:v>
      </x:c>
      <x:c r="P294" t="n">
        <x:v>0</x:v>
      </x:c>
      <x:c r="Q294" t="n">
        <x:v>1</x:v>
      </x:c>
      <x:c r="R294" t="n">
        <x:v>1</x:v>
      </x:c>
      <x:c r="S294" t="n">
        <x:v>1</x:v>
      </x:c>
      <x:c r="T294" t="n">
        <x:v>0</x:v>
      </x:c>
      <x:c r="U294" s="50" t="n">
        <x:f>IF(D294=0,"",H294/D294)</x:f>
        <x:v>0.8067542213883677</x:v>
      </x:c>
      <x:c r="V294" t="n">
        <x:f>MAX(I294:T294)</x:f>
        <x:v>81</x:v>
      </x:c>
      <x:c r="W294" t="n">
        <x:f>H294-V294</x:f>
        <x:v>349</x:v>
      </x:c>
      <x:c r="X294" s="52" t="n">
        <x:f>IF(D294=0,"",(W294)/D294)</x:f>
        <x:v>0.6547842401500938</x:v>
      </x:c>
      <x:c r="Y294" t="str">
        <x:v>SATVEER</x:v>
      </x:c>
      <x:c r="Z294" t="n">
        <x:f>D294-E294-F294</x:f>
        <x:v>0</x:v>
      </x:c>
    </x:row>
    <x:row r="295">
      <x:c r="A295" t="n">
        <x:v>287</x:v>
      </x:c>
      <x:c r="B295" t="str">
        <x:v>PRY. SCHOOL KISHORPUR R.NO. 2</x:v>
      </x:c>
      <x:c r="C295" t="n">
        <x:v>585</x:v>
      </x:c>
      <x:c r="D295" t="n">
        <x:v>352</x:v>
      </x:c>
      <x:c r="E295" t="n">
        <x:f>SUM(H295:T295)</x:f>
        <x:v>351</x:v>
      </x:c>
      <x:c r="F295" t="n">
        <x:v>1</x:v>
      </x:c>
      <x:c r="G295" s="50" t="n">
        <x:f>IF(C295="","",IFERROR(D295/C295,0))</x:f>
        <x:v>0.6017094017094017</x:v>
      </x:c>
      <x:c r="H295" s="36" t="n">
        <x:v>141</x:v>
      </x:c>
      <x:c r="I295" t="n">
        <x:v>187</x:v>
      </x:c>
      <x:c r="J295" t="n">
        <x:v>9</x:v>
      </x:c>
      <x:c r="K295" t="n">
        <x:v>1</x:v>
      </x:c>
      <x:c r="L295" t="n">
        <x:v>3</x:v>
      </x:c>
      <x:c r="M295" t="n">
        <x:v>3</x:v>
      </x:c>
      <x:c r="N295" t="n">
        <x:v>6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1</x:v>
      </x:c>
      <x:c r="T295" t="n">
        <x:v>0</x:v>
      </x:c>
      <x:c r="U295" s="50" t="n">
        <x:f>IF(D295=0,"",H295/D295)</x:f>
        <x:v>0.4005681818181818</x:v>
      </x:c>
      <x:c r="V295" t="n">
        <x:f>MAX(I295:T295)</x:f>
        <x:v>187</x:v>
      </x:c>
      <x:c r="W295" t="n">
        <x:f>H295-V295</x:f>
        <x:v>-46</x:v>
      </x:c>
      <x:c r="X295" s="52" t="n">
        <x:f>IF(D295=0,"",(W295)/D295)</x:f>
        <x:v>-0.13068181818181818</x:v>
      </x:c>
      <x:c r="Y295" t="str">
        <x:v>DR. MAHESH SHARMA</x:v>
      </x:c>
      <x:c r="Z295" t="n">
        <x:f>D295-E295-F295</x:f>
        <x:v>0</x:v>
      </x:c>
    </x:row>
    <x:row r="296">
      <x:c r="A296" t="n">
        <x:v>288</x:v>
      </x:c>
      <x:c r="B296" t="str">
        <x:v>PRY. SCHOOL SABAUTA MUSTFABAD R.NO. 1</x:v>
      </x:c>
      <x:c r="C296" t="n">
        <x:v>894</x:v>
      </x:c>
      <x:c r="D296" t="n">
        <x:v>579</x:v>
      </x:c>
      <x:c r="E296" t="n">
        <x:f>SUM(H296:T296)</x:f>
        <x:v>577</x:v>
      </x:c>
      <x:c r="F296" t="n">
        <x:v>2</x:v>
      </x:c>
      <x:c r="G296" s="50" t="n">
        <x:f>IF(C296="","",IFERROR(D296/C296,0))</x:f>
        <x:v>0.6476510067114094</x:v>
      </x:c>
      <x:c r="H296" s="36" t="n">
        <x:v>106</x:v>
      </x:c>
      <x:c r="I296" t="n">
        <x:v>397</x:v>
      </x:c>
      <x:c r="J296" t="n">
        <x:v>6</x:v>
      </x:c>
      <x:c r="K296" t="n">
        <x:v>4</x:v>
      </x:c>
      <x:c r="L296" t="n">
        <x:v>0</x:v>
      </x:c>
      <x:c r="M296" t="n">
        <x:v>0</x:v>
      </x:c>
      <x:c r="N296" t="n">
        <x:v>52</x:v>
      </x:c>
      <x:c r="O296" t="n">
        <x:v>6</x:v>
      </x:c>
      <x:c r="P296" t="n">
        <x:v>1</x:v>
      </x:c>
      <x:c r="Q296" t="n">
        <x:v>0</x:v>
      </x:c>
      <x:c r="R296" t="n">
        <x:v>3</x:v>
      </x:c>
      <x:c r="S296" t="n">
        <x:v>2</x:v>
      </x:c>
      <x:c r="T296" t="n">
        <x:v>0</x:v>
      </x:c>
      <x:c r="U296" s="50" t="n">
        <x:f>IF(D296=0,"",H296/D296)</x:f>
        <x:v>0.18307426597582038</x:v>
      </x:c>
      <x:c r="V296" t="n">
        <x:f>MAX(I296:T296)</x:f>
        <x:v>397</x:v>
      </x:c>
      <x:c r="W296" t="n">
        <x:f>H296-V296</x:f>
        <x:v>-291</x:v>
      </x:c>
      <x:c r="X296" s="52" t="n">
        <x:f>IF(D296=0,"",(W296)/D296)</x:f>
        <x:v>-0.5025906735751295</x:v>
      </x:c>
      <x:c r="Y296" t="str">
        <x:v>DR. MAHESH SHARMA</x:v>
      </x:c>
      <x:c r="Z296" t="n">
        <x:f>D296-E296-F296</x:f>
        <x:v>0</x:v>
      </x:c>
    </x:row>
    <x:row r="297">
      <x:c r="A297" t="n">
        <x:v>289</x:v>
      </x:c>
      <x:c r="B297" t="str">
        <x:v>PRY. SCHOOL SABAUTA MUSTFABAD R.NO. 2</x:v>
      </x:c>
      <x:c r="C297" t="n">
        <x:v>777</x:v>
      </x:c>
      <x:c r="D297" t="n">
        <x:v>496</x:v>
      </x:c>
      <x:c r="E297" t="n">
        <x:f>SUM(H297:T297)</x:f>
        <x:v>494</x:v>
      </x:c>
      <x:c r="F297" t="n">
        <x:v>2</x:v>
      </x:c>
      <x:c r="G297" s="50" t="n">
        <x:f>IF(C297="","",IFERROR(D297/C297,0))</x:f>
        <x:v>0.6383526383526383</x:v>
      </x:c>
      <x:c r="H297" s="36" t="n">
        <x:v>172</x:v>
      </x:c>
      <x:c r="I297" t="n">
        <x:v>311</x:v>
      </x:c>
      <x:c r="J297" t="n">
        <x:v>5</x:v>
      </x:c>
      <x:c r="K297" t="n">
        <x:v>2</x:v>
      </x:c>
      <x:c r="L297" t="n">
        <x:v>1</x:v>
      </x:c>
      <x:c r="M297" t="n">
        <x:v>1</x:v>
      </x:c>
      <x:c r="N297" t="n">
        <x:v>1</x:v>
      </x:c>
      <x:c r="O297" t="n">
        <x:v>1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s="50" t="n">
        <x:f>IF(D297=0,"",H297/D297)</x:f>
        <x:v>0.3467741935483871</x:v>
      </x:c>
      <x:c r="V297" t="n">
        <x:f>MAX(I297:T297)</x:f>
        <x:v>311</x:v>
      </x:c>
      <x:c r="W297" t="n">
        <x:f>H297-V297</x:f>
        <x:v>-139</x:v>
      </x:c>
      <x:c r="X297" s="52" t="n">
        <x:f>IF(D297=0,"",(W297)/D297)</x:f>
        <x:v>-0.28024193548387094</x:v>
      </x:c>
      <x:c r="Y297" t="str">
        <x:v>DR. MAHESH SHARMA</x:v>
      </x:c>
      <x:c r="Z297" t="n">
        <x:f>D297-E297-F297</x:f>
        <x:v>0</x:v>
      </x:c>
    </x:row>
    <x:row r="298">
      <x:c r="A298" t="n">
        <x:v>290</x:v>
      </x:c>
      <x:c r="B298" t="str">
        <x:v>PRY. SCHOOL SABAUTA MUSTFABAD R.NO. 3</x:v>
      </x:c>
      <x:c r="C298" t="n">
        <x:v>915</x:v>
      </x:c>
      <x:c r="D298" t="n">
        <x:v>564</x:v>
      </x:c>
      <x:c r="E298" t="n">
        <x:f>SUM(H298:T298)</x:f>
        <x:v>564</x:v>
      </x:c>
      <x:c r="F298" t="n">
        <x:v>0</x:v>
      </x:c>
      <x:c r="G298" s="50" t="n">
        <x:f>IF(C298="","",IFERROR(D298/C298,0))</x:f>
        <x:v>0.6163934426229508</x:v>
      </x:c>
      <x:c r="H298" s="36" t="n">
        <x:v>406</x:v>
      </x:c>
      <x:c r="I298" t="n">
        <x:v>122</x:v>
      </x:c>
      <x:c r="J298" t="n">
        <x:v>3</x:v>
      </x:c>
      <x:c r="K298" t="n">
        <x:v>3</x:v>
      </x:c>
      <x:c r="L298" t="n">
        <x:v>1</x:v>
      </x:c>
      <x:c r="M298" t="n">
        <x:v>2</x:v>
      </x:c>
      <x:c r="N298" t="n">
        <x:v>26</x:v>
      </x:c>
      <x:c r="O298" t="n">
        <x:v>0</x:v>
      </x:c>
      <x:c r="P298" t="n">
        <x:v>0</x:v>
      </x:c>
      <x:c r="Q298" t="n">
        <x:v>1</x:v>
      </x:c>
      <x:c r="R298" t="n">
        <x:v>0</x:v>
      </x:c>
      <x:c r="S298" t="n">
        <x:v>0</x:v>
      </x:c>
      <x:c r="T298" t="n">
        <x:v>0</x:v>
      </x:c>
      <x:c r="U298" s="50" t="n">
        <x:f>IF(D298=0,"",H298/D298)</x:f>
        <x:v>0.7198581560283688</x:v>
      </x:c>
      <x:c r="V298" t="n">
        <x:f>MAX(I298:T298)</x:f>
        <x:v>122</x:v>
      </x:c>
      <x:c r="W298" t="n">
        <x:f>H298-V298</x:f>
        <x:v>284</x:v>
      </x:c>
      <x:c r="X298" s="52" t="n">
        <x:f>IF(D298=0,"",(W298)/D298)</x:f>
        <x:v>0.5035460992907801</x:v>
      </x:c>
      <x:c r="Y298" t="str">
        <x:v>SATVEER</x:v>
      </x:c>
      <x:c r="Z298" t="n">
        <x:f>D298-E298-F298</x:f>
        <x:v>0</x:v>
      </x:c>
    </x:row>
    <x:row r="299">
      <x:c r="A299" t="n">
        <x:v>291</x:v>
      </x:c>
      <x:c r="B299" t="str">
        <x:v>PRY. SCHOOL MUKIMPUR SHIVARA R.NO. 1</x:v>
      </x:c>
      <x:c r="C299" t="n">
        <x:v>836</x:v>
      </x:c>
      <x:c r="D299" t="n">
        <x:v>504</x:v>
      </x:c>
      <x:c r="E299" t="n">
        <x:f>SUM(H299:T299)</x:f>
        <x:v>503</x:v>
      </x:c>
      <x:c r="F299" t="n">
        <x:v>1</x:v>
      </x:c>
      <x:c r="G299" s="50" t="n">
        <x:f>IF(C299="","",IFERROR(D299/C299,0))</x:f>
        <x:v>0.6028708133971292</x:v>
      </x:c>
      <x:c r="H299" s="36" t="n">
        <x:v>45</x:v>
      </x:c>
      <x:c r="I299" t="n">
        <x:v>441</x:v>
      </x:c>
      <x:c r="J299" t="n">
        <x:v>10</x:v>
      </x:c>
      <x:c r="K299" t="n">
        <x:v>3</x:v>
      </x:c>
      <x:c r="L299" t="n">
        <x:v>0</x:v>
      </x:c>
      <x:c r="M299" t="n">
        <x:v>1</x:v>
      </x:c>
      <x:c r="N299" t="n">
        <x:v>1</x:v>
      </x:c>
      <x:c r="O299" t="n">
        <x:v>1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1</x:v>
      </x:c>
      <x:c r="U299" s="50" t="n">
        <x:f>IF(D299=0,"",H299/D299)</x:f>
        <x:v>0.08928571428571429</x:v>
      </x:c>
      <x:c r="V299" t="n">
        <x:f>MAX(I299:T299)</x:f>
        <x:v>441</x:v>
      </x:c>
      <x:c r="W299" t="n">
        <x:f>H299-V299</x:f>
        <x:v>-396</x:v>
      </x:c>
      <x:c r="X299" s="52" t="n">
        <x:f>IF(D299=0,"",(W299)/D299)</x:f>
        <x:v>-0.7857142857142857</x:v>
      </x:c>
      <x:c r="Y299" t="str">
        <x:v>DR. MAHESH SHARMA</x:v>
      </x:c>
      <x:c r="Z299" t="n">
        <x:f>D299-E299-F299</x:f>
        <x:v>0</x:v>
      </x:c>
    </x:row>
    <x:row r="300">
      <x:c r="A300" t="n">
        <x:v>292</x:v>
      </x:c>
      <x:c r="B300" t="str">
        <x:v>PRY. SCHOOL ALAUDDINNAGAR URF DURHERA R.NO. 1</x:v>
      </x:c>
      <x:c r="C300" t="n">
        <x:v>661</x:v>
      </x:c>
      <x:c r="D300" t="n">
        <x:v>470</x:v>
      </x:c>
      <x:c r="E300" t="n">
        <x:f>SUM(H300:T300)</x:f>
        <x:v>468</x:v>
      </x:c>
      <x:c r="F300" t="n">
        <x:v>2</x:v>
      </x:c>
      <x:c r="G300" s="50" t="n">
        <x:f>IF(C300="","",IFERROR(D300/C300,0))</x:f>
        <x:v>0.7110438729198184</x:v>
      </x:c>
      <x:c r="H300" s="36" t="n">
        <x:v>78</x:v>
      </x:c>
      <x:c r="I300" t="n">
        <x:v>364</x:v>
      </x:c>
      <x:c r="J300" t="n">
        <x:v>23</x:v>
      </x:c>
      <x:c r="K300" t="n">
        <x:v>0</x:v>
      </x:c>
      <x:c r="L300" t="n">
        <x:v>2</x:v>
      </x:c>
      <x:c r="M300" t="n">
        <x:v>1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s="50" t="n">
        <x:f>IF(D300=0,"",H300/D300)</x:f>
        <x:v>0.16595744680851063</x:v>
      </x:c>
      <x:c r="V300" t="n">
        <x:f>MAX(I300:T300)</x:f>
        <x:v>364</x:v>
      </x:c>
      <x:c r="W300" t="n">
        <x:f>H300-V300</x:f>
        <x:v>-286</x:v>
      </x:c>
      <x:c r="X300" s="52" t="n">
        <x:f>IF(D300=0,"",(W300)/D300)</x:f>
        <x:v>-0.6085106382978723</x:v>
      </x:c>
      <x:c r="Y300" t="str">
        <x:v>DR. MAHESH SHARMA</x:v>
      </x:c>
      <x:c r="Z300" t="n">
        <x:f>D300-E300-F300</x:f>
        <x:v>0</x:v>
      </x:c>
    </x:row>
    <x:row r="301">
      <x:c r="A301" t="n">
        <x:v>293</x:v>
      </x:c>
      <x:c r="B301" t="str">
        <x:v>PRY. SCHOOL ALAUDDINNAGAR URF DURHERA R.NO. 2</x:v>
      </x:c>
      <x:c r="C301" t="n">
        <x:v>672</x:v>
      </x:c>
      <x:c r="D301" t="n">
        <x:v>501</x:v>
      </x:c>
      <x:c r="E301" t="n">
        <x:f>SUM(H301:T301)</x:f>
        <x:v>499</x:v>
      </x:c>
      <x:c r="F301" t="n">
        <x:v>2</x:v>
      </x:c>
      <x:c r="G301" s="50" t="n">
        <x:f>IF(C301="","",IFERROR(D301/C301,0))</x:f>
        <x:v>0.7455357142857143</x:v>
      </x:c>
      <x:c r="H301" s="36" t="n">
        <x:v>405</x:v>
      </x:c>
      <x:c r="I301" t="n">
        <x:v>80</x:v>
      </x:c>
      <x:c r="J301" t="n">
        <x:v>7</x:v>
      </x:c>
      <x:c r="K301" t="n">
        <x:v>3</x:v>
      </x:c>
      <x:c r="L301" t="n">
        <x:v>0</x:v>
      </x:c>
      <x:c r="M301" t="n">
        <x:v>3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1</x:v>
      </x:c>
      <x:c r="T301" t="n">
        <x:v>0</x:v>
      </x:c>
      <x:c r="U301" s="50" t="n">
        <x:f>IF(D301=0,"",H301/D301)</x:f>
        <x:v>0.8083832335329342</x:v>
      </x:c>
      <x:c r="V301" t="n">
        <x:f>MAX(I301:T301)</x:f>
        <x:v>80</x:v>
      </x:c>
      <x:c r="W301" t="n">
        <x:f>H301-V301</x:f>
        <x:v>325</x:v>
      </x:c>
      <x:c r="X301" s="52" t="n">
        <x:f>IF(D301=0,"",(W301)/D301)</x:f>
        <x:v>0.6487025948103793</x:v>
      </x:c>
      <x:c r="Y301" t="str">
        <x:v>SATVEER</x:v>
      </x:c>
      <x:c r="Z301" t="n">
        <x:f>D301-E301-F301</x:f>
        <x:v>0</x:v>
      </x:c>
    </x:row>
    <x:row r="302">
      <x:c r="A302" t="n">
        <x:v>294</x:v>
      </x:c>
      <x:c r="B302" t="str">
        <x:v>PRY. SCHOOL ROHI R.NO. 1</x:v>
      </x:c>
      <x:c r="C302" t="n">
        <x:v>613</x:v>
      </x:c>
      <x:c r="D302" t="n">
        <x:v>340</x:v>
      </x:c>
      <x:c r="E302" t="n">
        <x:f>SUM(H302:T302)</x:f>
        <x:v>340</x:v>
      </x:c>
      <x:c r="F302" t="n">
        <x:v>0</x:v>
      </x:c>
      <x:c r="G302" s="50" t="n">
        <x:f>IF(C302="","",IFERROR(D302/C302,0))</x:f>
        <x:v>0.5546492659053833</x:v>
      </x:c>
      <x:c r="H302" s="36" t="n">
        <x:v>33</x:v>
      </x:c>
      <x:c r="I302" t="n">
        <x:v>299</x:v>
      </x:c>
      <x:c r="J302" t="n">
        <x:v>4</x:v>
      </x:c>
      <x:c r="K302" t="n">
        <x:v>4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s="50" t="n">
        <x:f>IF(D302=0,"",H302/D302)</x:f>
        <x:v>0.09705882352941177</x:v>
      </x:c>
      <x:c r="V302" t="n">
        <x:f>MAX(I302:T302)</x:f>
        <x:v>299</x:v>
      </x:c>
      <x:c r="W302" t="n">
        <x:f>H302-V302</x:f>
        <x:v>-266</x:v>
      </x:c>
      <x:c r="X302" s="52" t="n">
        <x:f>IF(D302=0,"",(W302)/D302)</x:f>
        <x:v>-0.7823529411764706</x:v>
      </x:c>
      <x:c r="Y302" t="str">
        <x:v>DR. MAHESH SHARMA</x:v>
      </x:c>
      <x:c r="Z302" t="n">
        <x:f>D302-E302-F302</x:f>
        <x:v>0</x:v>
      </x:c>
    </x:row>
    <x:row r="303">
      <x:c r="A303" t="n">
        <x:v>295</x:v>
      </x:c>
      <x:c r="B303" t="str">
        <x:v>PRY. SCHOOL ROHI R.NO. 2</x:v>
      </x:c>
      <x:c r="C303" t="n">
        <x:v>955</x:v>
      </x:c>
      <x:c r="D303" t="n">
        <x:v>621</x:v>
      </x:c>
      <x:c r="E303" t="n">
        <x:f>SUM(H303:T303)</x:f>
        <x:v>616</x:v>
      </x:c>
      <x:c r="F303" t="n">
        <x:v>5</x:v>
      </x:c>
      <x:c r="G303" s="50" t="n">
        <x:f>IF(C303="","",IFERROR(D303/C303,0))</x:f>
        <x:v>0.650261780104712</x:v>
      </x:c>
      <x:c r="H303" s="36" t="n">
        <x:v>163</x:v>
      </x:c>
      <x:c r="I303" t="n">
        <x:v>432</x:v>
      </x:c>
      <x:c r="J303" t="n">
        <x:v>6</x:v>
      </x:c>
      <x:c r="K303" t="n">
        <x:v>4</x:v>
      </x:c>
      <x:c r="L303" t="n">
        <x:v>3</x:v>
      </x:c>
      <x:c r="M303" t="n">
        <x:v>5</x:v>
      </x:c>
      <x:c r="N303" t="n">
        <x:v>0</x:v>
      </x:c>
      <x:c r="O303" t="n">
        <x:v>1</x:v>
      </x:c>
      <x:c r="P303" t="n">
        <x:v>0</x:v>
      </x:c>
      <x:c r="Q303" t="n">
        <x:v>0</x:v>
      </x:c>
      <x:c r="R303" t="n">
        <x:v>1</x:v>
      </x:c>
      <x:c r="S303" t="n">
        <x:v>0</x:v>
      </x:c>
      <x:c r="T303" t="n">
        <x:v>1</x:v>
      </x:c>
      <x:c r="U303" s="50" t="n">
        <x:f>IF(D303=0,"",H303/D303)</x:f>
        <x:v>0.26247987117552335</x:v>
      </x:c>
      <x:c r="V303" t="n">
        <x:f>MAX(I303:T303)</x:f>
        <x:v>432</x:v>
      </x:c>
      <x:c r="W303" t="n">
        <x:f>H303-V303</x:f>
        <x:v>-269</x:v>
      </x:c>
      <x:c r="X303" s="52" t="n">
        <x:f>IF(D303=0,"",(W303)/D303)</x:f>
        <x:v>-0.4331723027375201</x:v>
      </x:c>
      <x:c r="Y303" t="str">
        <x:v>DR. MAHESH SHARMA</x:v>
      </x:c>
      <x:c r="Z303" t="n">
        <x:f>D303-E303-F303</x:f>
        <x:v>0</x:v>
      </x:c>
    </x:row>
    <x:row r="304">
      <x:c r="A304" t="n">
        <x:v>296</x:v>
      </x:c>
      <x:c r="B304" t="str">
        <x:v>PRY. SCHOOL NAGLA GANESHI MAZRA ROHI R.NO. 1</x:v>
      </x:c>
      <x:c r="C304" t="n">
        <x:v>632</x:v>
      </x:c>
      <x:c r="D304" t="n">
        <x:v>485</x:v>
      </x:c>
      <x:c r="E304" t="n">
        <x:f>SUM(H304:T304)</x:f>
        <x:v>485</x:v>
      </x:c>
      <x:c r="F304" t="n">
        <x:v>0</x:v>
      </x:c>
      <x:c r="G304" s="50" t="n">
        <x:f>IF(C304="","",IFERROR(D304/C304,0))</x:f>
        <x:v>0.7674050632911392</x:v>
      </x:c>
      <x:c r="H304" s="36" t="n">
        <x:v>174</x:v>
      </x:c>
      <x:c r="I304" t="n">
        <x:v>302</x:v>
      </x:c>
      <x:c r="J304" t="n">
        <x:v>7</x:v>
      </x:c>
      <x:c r="K304" t="n">
        <x:v>0</x:v>
      </x:c>
      <x:c r="L304" t="n">
        <x:v>0</x:v>
      </x:c>
      <x:c r="M304" t="n">
        <x:v>1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1</x:v>
      </x:c>
      <x:c r="U304" s="50" t="n">
        <x:f>IF(D304=0,"",H304/D304)</x:f>
        <x:v>0.35876288659793815</x:v>
      </x:c>
      <x:c r="V304" t="n">
        <x:f>MAX(I304:T304)</x:f>
        <x:v>302</x:v>
      </x:c>
      <x:c r="W304" t="n">
        <x:f>H304-V304</x:f>
        <x:v>-128</x:v>
      </x:c>
      <x:c r="X304" s="52" t="n">
        <x:f>IF(D304=0,"",(W304)/D304)</x:f>
        <x:v>-0.2639175257731959</x:v>
      </x:c>
      <x:c r="Y304" t="str">
        <x:v>DR. MAHESH SHARMA</x:v>
      </x:c>
      <x:c r="Z304" t="n">
        <x:f>D304-E304-F304</x:f>
        <x:v>0</x:v>
      </x:c>
    </x:row>
    <x:row r="305">
      <x:c r="A305" t="n">
        <x:v>297</x:v>
      </x:c>
      <x:c r="B305" t="str">
        <x:v>PRY. SCHOOL PAROHI R.NO. 1</x:v>
      </x:c>
      <x:c r="C305" t="n">
        <x:v>330</x:v>
      </x:c>
      <x:c r="D305" t="n">
        <x:v>208</x:v>
      </x:c>
      <x:c r="E305" t="n">
        <x:f>SUM(H305:T305)</x:f>
        <x:v>208</x:v>
      </x:c>
      <x:c r="F305" t="n">
        <x:v>0</x:v>
      </x:c>
      <x:c r="G305" s="50" t="n">
        <x:f>IF(C305="","",IFERROR(D305/C305,0))</x:f>
        <x:v>0.6303030303030303</x:v>
      </x:c>
      <x:c r="H305" s="36" t="n">
        <x:v>128</x:v>
      </x:c>
      <x:c r="I305" t="n">
        <x:v>75</x:v>
      </x:c>
      <x:c r="J305" t="n">
        <x:v>0</x:v>
      </x:c>
      <x:c r="K305" t="n">
        <x:v>2</x:v>
      </x:c>
      <x:c r="L305" t="n">
        <x:v>0</x:v>
      </x:c>
      <x:c r="M305" t="n">
        <x:v>2</x:v>
      </x:c>
      <x:c r="N305" t="n">
        <x:v>1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s="50" t="n">
        <x:f>IF(D305=0,"",H305/D305)</x:f>
        <x:v>0.6153846153846154</x:v>
      </x:c>
      <x:c r="V305" t="n">
        <x:f>MAX(I305:T305)</x:f>
        <x:v>75</x:v>
      </x:c>
      <x:c r="W305" t="n">
        <x:f>H305-V305</x:f>
        <x:v>53</x:v>
      </x:c>
      <x:c r="X305" s="52" t="n">
        <x:f>IF(D305=0,"",(W305)/D305)</x:f>
        <x:v>0.2548076923076923</x:v>
      </x:c>
      <x:c r="Y305" t="str">
        <x:v>SATVEER</x:v>
      </x:c>
      <x:c r="Z305" t="n">
        <x:f>D305-E305-F305</x:f>
        <x:v>0</x:v>
      </x:c>
    </x:row>
    <x:row r="306">
      <x:c r="A306" t="n">
        <x:v>298</x:v>
      </x:c>
      <x:c r="B306" t="str">
        <x:v>PRY. SCHOOL BANVARIVAS R.NO. 1</x:v>
      </x:c>
      <x:c r="C306" t="n">
        <x:v>734</x:v>
      </x:c>
      <x:c r="D306" t="n">
        <x:v>459</x:v>
      </x:c>
      <x:c r="E306" t="n">
        <x:f>SUM(H306:T306)</x:f>
        <x:v>458</x:v>
      </x:c>
      <x:c r="F306" t="n">
        <x:v>1</x:v>
      </x:c>
      <x:c r="G306" s="50" t="n">
        <x:f>IF(C306="","",IFERROR(D306/C306,0))</x:f>
        <x:v>0.6253405994550408</x:v>
      </x:c>
      <x:c r="H306" s="36" t="n">
        <x:v>39</x:v>
      </x:c>
      <x:c r="I306" t="n">
        <x:v>400</x:v>
      </x:c>
      <x:c r="J306" t="n">
        <x:v>13</x:v>
      </x:c>
      <x:c r="K306" t="n">
        <x:v>5</x:v>
      </x:c>
      <x:c r="L306" t="n">
        <x:v>1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s="50" t="n">
        <x:f>IF(D306=0,"",H306/D306)</x:f>
        <x:v>0.08496732026143791</x:v>
      </x:c>
      <x:c r="V306" t="n">
        <x:f>MAX(I306:T306)</x:f>
        <x:v>400</x:v>
      </x:c>
      <x:c r="W306" t="n">
        <x:f>H306-V306</x:f>
        <x:v>-361</x:v>
      </x:c>
      <x:c r="X306" s="52" t="n">
        <x:f>IF(D306=0,"",(W306)/D306)</x:f>
        <x:v>-0.7864923747276689</x:v>
      </x:c>
      <x:c r="Y306" t="str">
        <x:v>DR. MAHESH SHARMA</x:v>
      </x:c>
      <x:c r="Z306" t="n">
        <x:f>D306-E306-F306</x:f>
        <x:v>0</x:v>
      </x:c>
    </x:row>
    <x:row r="307">
      <x:c r="A307" t="n">
        <x:v>299</x:v>
      </x:c>
      <x:c r="B307" t="str">
        <x:v>PRY. SCHOOL BANVARIVAS R.NO. 2</x:v>
      </x:c>
      <x:c r="C307" t="n">
        <x:v>602</x:v>
      </x:c>
      <x:c r="D307" t="n">
        <x:v>401</x:v>
      </x:c>
      <x:c r="E307" t="n">
        <x:f>SUM(H307:T307)</x:f>
        <x:v>399</x:v>
      </x:c>
      <x:c r="F307" t="n">
        <x:v>2</x:v>
      </x:c>
      <x:c r="G307" s="50" t="n">
        <x:f>IF(C307="","",IFERROR(D307/C307,0))</x:f>
        <x:v>0.6661129568106312</x:v>
      </x:c>
      <x:c r="H307" s="36" t="n">
        <x:v>105</x:v>
      </x:c>
      <x:c r="I307" t="n">
        <x:v>286</x:v>
      </x:c>
      <x:c r="J307" t="n">
        <x:v>7</x:v>
      </x:c>
      <x:c r="K307" t="n">
        <x:v>1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s="50" t="n">
        <x:f>IF(D307=0,"",H307/D307)</x:f>
        <x:v>0.26184538653366585</x:v>
      </x:c>
      <x:c r="V307" t="n">
        <x:f>MAX(I307:T307)</x:f>
        <x:v>286</x:v>
      </x:c>
      <x:c r="W307" t="n">
        <x:f>H307-V307</x:f>
        <x:v>-181</x:v>
      </x:c>
      <x:c r="X307" s="52" t="n">
        <x:f>IF(D307=0,"",(W307)/D307)</x:f>
        <x:v>-0.4513715710723192</x:v>
      </x:c>
      <x:c r="Y307" t="str">
        <x:v>DR. MAHESH SHARMA</x:v>
      </x:c>
      <x:c r="Z307" t="n">
        <x:f>D307-E307-F307</x:f>
        <x:v>0</x:v>
      </x:c>
    </x:row>
    <x:row r="308">
      <x:c r="A308" t="n">
        <x:v>300</x:v>
      </x:c>
      <x:c r="B308" t="str">
        <x:v>PRY. SCHOOL RAMNER R.NO. 1</x:v>
      </x:c>
      <x:c r="C308" t="n">
        <x:v>1242</x:v>
      </x:c>
      <x:c r="D308" t="n">
        <x:v>842</x:v>
      </x:c>
      <x:c r="E308" t="n">
        <x:f>SUM(H308:T308)</x:f>
        <x:v>838</x:v>
      </x:c>
      <x:c r="F308" t="n">
        <x:v>4</x:v>
      </x:c>
      <x:c r="G308" s="50" t="n">
        <x:f>IF(C308="","",IFERROR(D308/C308,0))</x:f>
        <x:v>0.677938808373591</x:v>
      </x:c>
      <x:c r="H308" s="36" t="n">
        <x:v>524</x:v>
      </x:c>
      <x:c r="I308" t="n">
        <x:v>297</x:v>
      </x:c>
      <x:c r="J308" t="n">
        <x:v>5</x:v>
      </x:c>
      <x:c r="K308" t="n">
        <x:v>5</x:v>
      </x:c>
      <x:c r="L308" t="n">
        <x:v>3</x:v>
      </x:c>
      <x:c r="M308" t="n">
        <x:v>3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1</x:v>
      </x:c>
      <x:c r="S308" t="n">
        <x:v>0</x:v>
      </x:c>
      <x:c r="T308" t="n">
        <x:v>0</x:v>
      </x:c>
      <x:c r="U308" s="50" t="n">
        <x:f>IF(D308=0,"",H308/D308)</x:f>
        <x:v>0.6223277909738717</x:v>
      </x:c>
      <x:c r="V308" t="n">
        <x:f>MAX(I308:T308)</x:f>
        <x:v>297</x:v>
      </x:c>
      <x:c r="W308" t="n">
        <x:f>H308-V308</x:f>
        <x:v>227</x:v>
      </x:c>
      <x:c r="X308" s="52" t="n">
        <x:f>IF(D308=0,"",(W308)/D308)</x:f>
        <x:v>0.2695961995249406</x:v>
      </x:c>
      <x:c r="Y308" t="str">
        <x:v>SATVEER</x:v>
      </x:c>
      <x:c r="Z308" t="n">
        <x:f>D308-E308-F308</x:f>
        <x:v>0</x:v>
      </x:c>
    </x:row>
    <x:row r="309">
      <x:c r="A309" t="n">
        <x:v>301</x:v>
      </x:c>
      <x:c r="B309" t="str">
        <x:v>PRY. SCHOOL DHANSIYA R.NO. 1</x:v>
      </x:c>
      <x:c r="C309" t="n">
        <x:v>782</x:v>
      </x:c>
      <x:c r="D309" t="n">
        <x:v>568</x:v>
      </x:c>
      <x:c r="E309" t="n">
        <x:f>SUM(H309:T309)</x:f>
        <x:v>565</x:v>
      </x:c>
      <x:c r="F309" t="n">
        <x:v>3</x:v>
      </x:c>
      <x:c r="G309" s="50" t="n">
        <x:f>IF(C309="","",IFERROR(D309/C309,0))</x:f>
        <x:v>0.7263427109974424</x:v>
      </x:c>
      <x:c r="H309" s="36" t="n">
        <x:v>292</x:v>
      </x:c>
      <x:c r="I309" t="n">
        <x:v>256</x:v>
      </x:c>
      <x:c r="J309" t="n">
        <x:v>12</x:v>
      </x:c>
      <x:c r="K309" t="n">
        <x:v>3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1</x:v>
      </x:c>
      <x:c r="T309" t="n">
        <x:v>1</x:v>
      </x:c>
      <x:c r="U309" s="50" t="n">
        <x:f>IF(D309=0,"",H309/D309)</x:f>
        <x:v>0.5140845070422535</x:v>
      </x:c>
      <x:c r="V309" t="n">
        <x:f>MAX(I309:T309)</x:f>
        <x:v>256</x:v>
      </x:c>
      <x:c r="W309" t="n">
        <x:f>H309-V309</x:f>
        <x:v>36</x:v>
      </x:c>
      <x:c r="X309" s="52" t="n">
        <x:f>IF(D309=0,"",(W309)/D309)</x:f>
        <x:v>0.06338028169014084</x:v>
      </x:c>
      <x:c r="Y309" t="str">
        <x:v>SATVEER</x:v>
      </x:c>
      <x:c r="Z309" t="n">
        <x:f>D309-E309-F309</x:f>
        <x:v>0</x:v>
      </x:c>
    </x:row>
    <x:row r="310">
      <x:c r="A310" t="n">
        <x:v>302</x:v>
      </x:c>
      <x:c r="B310" t="str">
        <x:v>PRY. SCHOOL DASTAMPUR R.NO. 1</x:v>
      </x:c>
      <x:c r="C310" t="n">
        <x:v>679</x:v>
      </x:c>
      <x:c r="D310" t="n">
        <x:v>495</x:v>
      </x:c>
      <x:c r="E310" t="n">
        <x:f>SUM(H310:T310)</x:f>
        <x:v>495</x:v>
      </x:c>
      <x:c r="F310" t="n">
        <x:v>0</x:v>
      </x:c>
      <x:c r="G310" s="50" t="n">
        <x:f>IF(C310="","",IFERROR(D310/C310,0))</x:f>
        <x:v>0.7290132547864506</x:v>
      </x:c>
      <x:c r="H310" s="36" t="n">
        <x:v>292</x:v>
      </x:c>
      <x:c r="I310" t="n">
        <x:v>196</x:v>
      </x:c>
      <x:c r="J310" t="n">
        <x:v>3</x:v>
      </x:c>
      <x:c r="K310" t="n">
        <x:v>0</x:v>
      </x:c>
      <x:c r="L310" t="n">
        <x:v>0</x:v>
      </x:c>
      <x:c r="M310" t="n">
        <x:v>1</x:v>
      </x:c>
      <x:c r="N310" t="n">
        <x:v>1</x:v>
      </x:c>
      <x:c r="O310" t="n">
        <x:v>0</x:v>
      </x:c>
      <x:c r="P310" t="n">
        <x:v>0</x:v>
      </x:c>
      <x:c r="Q310" t="n">
        <x:v>0</x:v>
      </x:c>
      <x:c r="R310" t="n">
        <x:v>1</x:v>
      </x:c>
      <x:c r="S310" t="n">
        <x:v>1</x:v>
      </x:c>
      <x:c r="T310" t="n">
        <x:v>0</x:v>
      </x:c>
      <x:c r="U310" s="50" t="n">
        <x:f>IF(D310=0,"",H310/D310)</x:f>
        <x:v>0.5898989898989899</x:v>
      </x:c>
      <x:c r="V310" t="n">
        <x:f>MAX(I310:T310)</x:f>
        <x:v>196</x:v>
      </x:c>
      <x:c r="W310" t="n">
        <x:f>H310-V310</x:f>
        <x:v>96</x:v>
      </x:c>
      <x:c r="X310" s="52" t="n">
        <x:f>IF(D310=0,"",(W310)/D310)</x:f>
        <x:v>0.19393939393939394</x:v>
      </x:c>
      <x:c r="Y310" t="str">
        <x:v>SATVEER</x:v>
      </x:c>
      <x:c r="Z310" t="n">
        <x:f>D310-E310-F310</x:f>
        <x:v>0</x:v>
      </x:c>
    </x:row>
    <x:row r="311">
      <x:c r="A311" t="n">
        <x:v>303</x:v>
      </x:c>
      <x:c r="B311" t="str">
        <x:v>PRY. SCHOOL DASTAMPUR R.NO. 2</x:v>
      </x:c>
      <x:c r="C311" t="n">
        <x:v>699</x:v>
      </x:c>
      <x:c r="D311" t="n">
        <x:v>490</x:v>
      </x:c>
      <x:c r="E311" t="n">
        <x:f>SUM(H311:T311)</x:f>
        <x:v>486</x:v>
      </x:c>
      <x:c r="F311" t="n">
        <x:v>4</x:v>
      </x:c>
      <x:c r="G311" s="50" t="n">
        <x:f>IF(C311="","",IFERROR(D311/C311,0))</x:f>
        <x:v>0.7010014306151645</x:v>
      </x:c>
      <x:c r="H311" s="36" t="n">
        <x:v>183</x:v>
      </x:c>
      <x:c r="I311" t="n">
        <x:v>291</x:v>
      </x:c>
      <x:c r="J311" t="n">
        <x:v>8</x:v>
      </x:c>
      <x:c r="K311" t="n">
        <x:v>1</x:v>
      </x:c>
      <x:c r="L311" t="n">
        <x:v>2</x:v>
      </x:c>
      <x:c r="M311" t="n">
        <x:v>1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s="50" t="n">
        <x:f>IF(D311=0,"",H311/D311)</x:f>
        <x:v>0.373469387755102</x:v>
      </x:c>
      <x:c r="V311" t="n">
        <x:f>MAX(I311:T311)</x:f>
        <x:v>291</x:v>
      </x:c>
      <x:c r="W311" t="n">
        <x:f>H311-V311</x:f>
        <x:v>-108</x:v>
      </x:c>
      <x:c r="X311" s="52" t="n">
        <x:f>IF(D311=0,"",(W311)/D311)</x:f>
        <x:v>-0.22040816326530613</x:v>
      </x:c>
      <x:c r="Y311" t="str">
        <x:v>DR. MAHESH SHARMA</x:v>
      </x:c>
      <x:c r="Z311" t="n">
        <x:f>D311-E311-F311</x:f>
        <x:v>0</x:v>
      </x:c>
    </x:row>
    <x:row r="312">
      <x:c r="A312" t="n">
        <x:v>304</x:v>
      </x:c>
      <x:c r="B312" t="str">
        <x:v>PRY. SCHOOL MOHBALIPUR R.NO. 1</x:v>
      </x:c>
      <x:c r="C312" t="n">
        <x:v>1164</x:v>
      </x:c>
      <x:c r="D312" t="n">
        <x:v>744</x:v>
      </x:c>
      <x:c r="E312" t="n">
        <x:f>SUM(H312:T312)</x:f>
        <x:v>740</x:v>
      </x:c>
      <x:c r="F312" t="n">
        <x:v>4</x:v>
      </x:c>
      <x:c r="G312" s="50" t="n">
        <x:f>IF(C312="","",IFERROR(D312/C312,0))</x:f>
        <x:v>0.6391752577319587</x:v>
      </x:c>
      <x:c r="H312" s="36" t="n">
        <x:v>103</x:v>
      </x:c>
      <x:c r="I312" t="n">
        <x:v>620</x:v>
      </x:c>
      <x:c r="J312" t="n">
        <x:v>12</x:v>
      </x:c>
      <x:c r="K312" t="n">
        <x:v>1</x:v>
      </x:c>
      <x:c r="L312" t="n">
        <x:v>2</x:v>
      </x:c>
      <x:c r="M312" t="n">
        <x:v>1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1</x:v>
      </x:c>
      <x:c r="U312" s="50" t="n">
        <x:f>IF(D312=0,"",H312/D312)</x:f>
        <x:v>0.13844086021505375</x:v>
      </x:c>
      <x:c r="V312" t="n">
        <x:f>MAX(I312:T312)</x:f>
        <x:v>620</x:v>
      </x:c>
      <x:c r="W312" t="n">
        <x:f>H312-V312</x:f>
        <x:v>-517</x:v>
      </x:c>
      <x:c r="X312" s="52" t="n">
        <x:f>IF(D312=0,"",(W312)/D312)</x:f>
        <x:v>-0.6948924731182796</x:v>
      </x:c>
      <x:c r="Y312" t="str">
        <x:v>DR. MAHESH SHARMA</x:v>
      </x:c>
      <x:c r="Z312" t="n">
        <x:f>D312-E312-F312</x:f>
        <x:v>0</x:v>
      </x:c>
    </x:row>
    <x:row r="313">
      <x:c r="A313" t="n">
        <x:v>305</x:v>
      </x:c>
      <x:c r="B313" t="str">
        <x:v>PRY. SCHOOL MILK KARIMABAD R.NO. 1</x:v>
      </x:c>
      <x:c r="C313" t="n">
        <x:v>246</x:v>
      </x:c>
      <x:c r="D313" t="n">
        <x:v>190</x:v>
      </x:c>
      <x:c r="E313" t="n">
        <x:f>SUM(H313:T313)</x:f>
        <x:v>189</x:v>
      </x:c>
      <x:c r="F313" t="n">
        <x:v>1</x:v>
      </x:c>
      <x:c r="G313" s="50" t="n">
        <x:f>IF(C313="","",IFERROR(D313/C313,0))</x:f>
        <x:v>0.7723577235772358</x:v>
      </x:c>
      <x:c r="H313" s="36" t="n">
        <x:v>73</x:v>
      </x:c>
      <x:c r="I313" t="n">
        <x:v>113</x:v>
      </x:c>
      <x:c r="J313" t="n">
        <x:v>0</x:v>
      </x:c>
      <x:c r="K313" t="n">
        <x:v>1</x:v>
      </x:c>
      <x:c r="L313" t="n">
        <x:v>1</x:v>
      </x:c>
      <x:c r="M313" t="n">
        <x:v>0</x:v>
      </x:c>
      <x:c r="N313" t="n">
        <x:v>0</x:v>
      </x:c>
      <x:c r="O313" t="n">
        <x:v>0</x:v>
      </x:c>
      <x:c r="P313" t="n">
        <x:v>1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s="50" t="n">
        <x:f>IF(D313=0,"",H313/D313)</x:f>
        <x:v>0.38421052631578945</x:v>
      </x:c>
      <x:c r="V313" t="n">
        <x:f>MAX(I313:T313)</x:f>
        <x:v>113</x:v>
      </x:c>
      <x:c r="W313" t="n">
        <x:f>H313-V313</x:f>
        <x:v>-40</x:v>
      </x:c>
      <x:c r="X313" s="52" t="n">
        <x:f>IF(D313=0,"",(W313)/D313)</x:f>
        <x:v>-0.21052631578947367</x:v>
      </x:c>
      <x:c r="Y313" t="str">
        <x:v>DR. MAHESH SHARMA</x:v>
      </x:c>
      <x:c r="Z313" t="n">
        <x:f>D313-E313-F313</x:f>
        <x:v>0</x:v>
      </x:c>
    </x:row>
    <x:row r="314">
      <x:c r="A314" t="n">
        <x:v>306</x:v>
      </x:c>
      <x:c r="B314" t="str">
        <x:v>PRY. SCHOOL ALI AHMADPUR URF GARHI R.NO. 1</x:v>
      </x:c>
      <x:c r="C314" t="n">
        <x:v>991</x:v>
      </x:c>
      <x:c r="D314" t="n">
        <x:v>641</x:v>
      </x:c>
      <x:c r="E314" t="n">
        <x:f>SUM(H314:T314)</x:f>
        <x:v>637</x:v>
      </x:c>
      <x:c r="F314" t="n">
        <x:v>4</x:v>
      </x:c>
      <x:c r="G314" s="50" t="n">
        <x:f>IF(C314="","",IFERROR(D314/C314,0))</x:f>
        <x:v>0.6468213925327951</x:v>
      </x:c>
      <x:c r="H314" s="36" t="n">
        <x:v>177</x:v>
      </x:c>
      <x:c r="I314" t="n">
        <x:v>428</x:v>
      </x:c>
      <x:c r="J314" t="n">
        <x:v>17</x:v>
      </x:c>
      <x:c r="K314" t="n">
        <x:v>4</x:v>
      </x:c>
      <x:c r="L314" t="n">
        <x:v>5</x:v>
      </x:c>
      <x:c r="M314" t="n">
        <x:v>3</x:v>
      </x:c>
      <x:c r="N314" t="n">
        <x:v>0</x:v>
      </x:c>
      <x:c r="O314" t="n">
        <x:v>1</x:v>
      </x:c>
      <x:c r="P314" t="n">
        <x:v>1</x:v>
      </x:c>
      <x:c r="Q314" t="n">
        <x:v>0</x:v>
      </x:c>
      <x:c r="R314" t="n">
        <x:v>0</x:v>
      </x:c>
      <x:c r="S314" t="n">
        <x:v>1</x:v>
      </x:c>
      <x:c r="T314" t="n">
        <x:v>0</x:v>
      </x:c>
      <x:c r="U314" s="50" t="n">
        <x:f>IF(D314=0,"",H314/D314)</x:f>
        <x:v>0.27613104524180965</x:v>
      </x:c>
      <x:c r="V314" t="n">
        <x:f>MAX(I314:T314)</x:f>
        <x:v>428</x:v>
      </x:c>
      <x:c r="W314" t="n">
        <x:f>H314-V314</x:f>
        <x:v>-251</x:v>
      </x:c>
      <x:c r="X314" s="52" t="n">
        <x:f>IF(D314=0,"",(W314)/D314)</x:f>
        <x:v>-0.3915756630265211</x:v>
      </x:c>
      <x:c r="Y314" t="str">
        <x:v>DR. MAHESH SHARMA</x:v>
      </x:c>
      <x:c r="Z314" t="n">
        <x:f>D314-E314-F314</x:f>
        <x:v>0</x:v>
      </x:c>
    </x:row>
    <x:row r="315">
      <x:c r="A315" t="n">
        <x:v>307</x:v>
      </x:c>
      <x:c r="B315" t="str">
        <x:v>PRY. SCHOOL NO. 1 THAURA R.NO. 1</x:v>
      </x:c>
      <x:c r="C315" t="n">
        <x:v>1055</x:v>
      </x:c>
      <x:c r="D315" t="n">
        <x:v>740</x:v>
      </x:c>
      <x:c r="E315" t="n">
        <x:f>SUM(H315:T315)</x:f>
        <x:v>739</x:v>
      </x:c>
      <x:c r="F315" t="n">
        <x:v>1</x:v>
      </x:c>
      <x:c r="G315" s="50" t="n">
        <x:f>IF(C315="","",IFERROR(D315/C315,0))</x:f>
        <x:v>0.7014218009478673</x:v>
      </x:c>
      <x:c r="H315" s="36" t="n">
        <x:v>95</x:v>
      </x:c>
      <x:c r="I315" t="n">
        <x:v>627</x:v>
      </x:c>
      <x:c r="J315" t="n">
        <x:v>12</x:v>
      </x:c>
      <x:c r="K315" t="n">
        <x:v>3</x:v>
      </x:c>
      <x:c r="L315" t="n">
        <x:v>0</x:v>
      </x:c>
      <x:c r="M315" t="n">
        <x:v>2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s="50" t="n">
        <x:f>IF(D315=0,"",H315/D315)</x:f>
        <x:v>0.12837837837837837</x:v>
      </x:c>
      <x:c r="V315" t="n">
        <x:f>MAX(I315:T315)</x:f>
        <x:v>627</x:v>
      </x:c>
      <x:c r="W315" t="n">
        <x:f>H315-V315</x:f>
        <x:v>-532</x:v>
      </x:c>
      <x:c r="X315" s="52" t="n">
        <x:f>IF(D315=0,"",(W315)/D315)</x:f>
        <x:v>-0.7189189189189189</x:v>
      </x:c>
      <x:c r="Y315" t="str">
        <x:v>DR. MAHESH SHARMA</x:v>
      </x:c>
      <x:c r="Z315" t="n">
        <x:f>D315-E315-F315</x:f>
        <x:v>0</x:v>
      </x:c>
    </x:row>
    <x:row r="316">
      <x:c r="A316" t="n">
        <x:v>308</x:v>
      </x:c>
      <x:c r="B316" t="str">
        <x:v>PRY. SCHOOL NO. 1 THAURA R.NO. 2</x:v>
      </x:c>
      <x:c r="C316" t="n">
        <x:v>882</x:v>
      </x:c>
      <x:c r="D316" t="n">
        <x:v>567</x:v>
      </x:c>
      <x:c r="E316" t="n">
        <x:f>SUM(H316:T316)</x:f>
        <x:v>564</x:v>
      </x:c>
      <x:c r="F316" t="n">
        <x:v>3</x:v>
      </x:c>
      <x:c r="G316" s="50" t="n">
        <x:f>IF(C316="","",IFERROR(D316/C316,0))</x:f>
        <x:v>0.6428571428571429</x:v>
      </x:c>
      <x:c r="H316" s="36" t="n">
        <x:v>26</x:v>
      </x:c>
      <x:c r="I316" t="n">
        <x:v>521</x:v>
      </x:c>
      <x:c r="J316" t="n">
        <x:v>15</x:v>
      </x:c>
      <x:c r="K316" t="n">
        <x:v>1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1</x:v>
      </x:c>
      <x:c r="T316" t="n">
        <x:v>0</x:v>
      </x:c>
      <x:c r="U316" s="50" t="n">
        <x:f>IF(D316=0,"",H316/D316)</x:f>
        <x:v>0.04585537918871252</x:v>
      </x:c>
      <x:c r="V316" t="n">
        <x:f>MAX(I316:T316)</x:f>
        <x:v>521</x:v>
      </x:c>
      <x:c r="W316" t="n">
        <x:f>H316-V316</x:f>
        <x:v>-495</x:v>
      </x:c>
      <x:c r="X316" s="52" t="n">
        <x:f>IF(D316=0,"",(W316)/D316)</x:f>
        <x:v>-0.873015873015873</x:v>
      </x:c>
      <x:c r="Y316" t="str">
        <x:v>DR. MAHESH SHARMA</x:v>
      </x:c>
      <x:c r="Z316" t="n">
        <x:f>D316-E316-F316</x:f>
        <x:v>0</x:v>
      </x:c>
    </x:row>
    <x:row r="317">
      <x:c r="A317" t="n">
        <x:v>309</x:v>
      </x:c>
      <x:c r="B317" t="str">
        <x:v>PRY. SCHOOL NO. 2 THAURA R.NO. 1</x:v>
      </x:c>
      <x:c r="C317" t="n">
        <x:v>888</x:v>
      </x:c>
      <x:c r="D317" t="n">
        <x:v>550</x:v>
      </x:c>
      <x:c r="E317" t="n">
        <x:f>SUM(H317:T317)</x:f>
        <x:v>547</x:v>
      </x:c>
      <x:c r="F317" t="n">
        <x:v>3</x:v>
      </x:c>
      <x:c r="G317" s="50" t="n">
        <x:f>IF(C317="","",IFERROR(D317/C317,0))</x:f>
        <x:v>0.6193693693693694</x:v>
      </x:c>
      <x:c r="H317" s="36" t="n">
        <x:v>91</x:v>
      </x:c>
      <x:c r="I317" t="n">
        <x:v>438</x:v>
      </x:c>
      <x:c r="J317" t="n">
        <x:v>10</x:v>
      </x:c>
      <x:c r="K317" t="n">
        <x:v>5</x:v>
      </x:c>
      <x:c r="L317" t="n">
        <x:v>0</x:v>
      </x:c>
      <x:c r="M317" t="n">
        <x:v>2</x:v>
      </x:c>
      <x:c r="N317" t="n">
        <x:v>0</x:v>
      </x:c>
      <x:c r="O317" t="n">
        <x:v>1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s="50" t="n">
        <x:f>IF(D317=0,"",H317/D317)</x:f>
        <x:v>0.16545454545454547</x:v>
      </x:c>
      <x:c r="V317" t="n">
        <x:f>MAX(I317:T317)</x:f>
        <x:v>438</x:v>
      </x:c>
      <x:c r="W317" t="n">
        <x:f>H317-V317</x:f>
        <x:v>-347</x:v>
      </x:c>
      <x:c r="X317" s="52" t="n">
        <x:f>IF(D317=0,"",(W317)/D317)</x:f>
        <x:v>-0.6309090909090909</x:v>
      </x:c>
      <x:c r="Y317" t="str">
        <x:v>DR. MAHESH SHARMA</x:v>
      </x:c>
      <x:c r="Z317" t="n">
        <x:f>D317-E317-F317</x:f>
        <x:v>0</x:v>
      </x:c>
    </x:row>
    <x:row r="318">
      <x:c r="A318" t="n">
        <x:v>310</x:v>
      </x:c>
      <x:c r="B318" t="str">
        <x:v>PRY. SCHOOL NO. 2 THAURA R.NO. 2</x:v>
      </x:c>
      <x:c r="C318" t="n">
        <x:v>712</x:v>
      </x:c>
      <x:c r="D318" t="n">
        <x:v>475</x:v>
      </x:c>
      <x:c r="E318" t="n">
        <x:f>SUM(H318:T318)</x:f>
        <x:v>470</x:v>
      </x:c>
      <x:c r="F318" t="n">
        <x:v>5</x:v>
      </x:c>
      <x:c r="G318" s="50" t="n">
        <x:f>IF(C318="","",IFERROR(D318/C318,0))</x:f>
        <x:v>0.6671348314606742</x:v>
      </x:c>
      <x:c r="H318" s="36" t="n">
        <x:v>236</x:v>
      </x:c>
      <x:c r="I318" t="n">
        <x:v>220</x:v>
      </x:c>
      <x:c r="J318" t="n">
        <x:v>3</x:v>
      </x:c>
      <x:c r="K318" t="n">
        <x:v>4</x:v>
      </x:c>
      <x:c r="L318" t="n">
        <x:v>2</x:v>
      </x:c>
      <x:c r="M318" t="n">
        <x:v>1</x:v>
      </x:c>
      <x:c r="N318" t="n">
        <x:v>2</x:v>
      </x:c>
      <x:c r="O318" t="n">
        <x:v>0</x:v>
      </x:c>
      <x:c r="P318" t="n">
        <x:v>0</x:v>
      </x:c>
      <x:c r="Q318" t="n">
        <x:v>1</x:v>
      </x:c>
      <x:c r="R318" t="n">
        <x:v>1</x:v>
      </x:c>
      <x:c r="S318" t="n">
        <x:v>0</x:v>
      </x:c>
      <x:c r="T318" t="n">
        <x:v>0</x:v>
      </x:c>
      <x:c r="U318" s="50" t="n">
        <x:f>IF(D318=0,"",H318/D318)</x:f>
        <x:v>0.4968421052631579</x:v>
      </x:c>
      <x:c r="V318" t="n">
        <x:f>MAX(I318:T318)</x:f>
        <x:v>220</x:v>
      </x:c>
      <x:c r="W318" t="n">
        <x:f>H318-V318</x:f>
        <x:v>16</x:v>
      </x:c>
      <x:c r="X318" s="52" t="n">
        <x:f>IF(D318=0,"",(W318)/D318)</x:f>
        <x:v>0.03368421052631579</x:v>
      </x:c>
      <x:c r="Y318" t="str">
        <x:v>SATVEER</x:v>
      </x:c>
      <x:c r="Z318" t="n">
        <x:f>D318-E318-F318</x:f>
        <x:v>0</x:v>
      </x:c>
    </x:row>
    <x:row r="319">
      <x:c r="A319" t="n">
        <x:v>311</x:v>
      </x:c>
      <x:c r="B319" t="str">
        <x:v>PRY. SCHOOL NO. 2 THAURA R.NO. 3</x:v>
      </x:c>
      <x:c r="C319" t="n">
        <x:v>826</x:v>
      </x:c>
      <x:c r="D319" t="n">
        <x:v>545</x:v>
      </x:c>
      <x:c r="E319" t="n">
        <x:f>SUM(H319:T319)</x:f>
        <x:v>541</x:v>
      </x:c>
      <x:c r="F319" t="n">
        <x:v>4</x:v>
      </x:c>
      <x:c r="G319" s="50" t="n">
        <x:f>IF(C319="","",IFERROR(D319/C319,0))</x:f>
        <x:v>0.6598062953995157</x:v>
      </x:c>
      <x:c r="H319" s="36" t="n">
        <x:v>327</x:v>
      </x:c>
      <x:c r="I319" t="n">
        <x:v>195</x:v>
      </x:c>
      <x:c r="J319" t="n">
        <x:v>10</x:v>
      </x:c>
      <x:c r="K319" t="n">
        <x:v>1</x:v>
      </x:c>
      <x:c r="L319" t="n">
        <x:v>4</x:v>
      </x:c>
      <x:c r="M319" t="n">
        <x:v>1</x:v>
      </x:c>
      <x:c r="N319" t="n">
        <x:v>0</x:v>
      </x:c>
      <x:c r="O319" t="n">
        <x:v>1</x:v>
      </x:c>
      <x:c r="P319" t="n">
        <x:v>1</x:v>
      </x:c>
      <x:c r="Q319" t="n">
        <x:v>1</x:v>
      </x:c>
      <x:c r="R319" t="n">
        <x:v>0</x:v>
      </x:c>
      <x:c r="S319" t="n">
        <x:v>0</x:v>
      </x:c>
      <x:c r="T319" t="n">
        <x:v>0</x:v>
      </x:c>
      <x:c r="U319" s="50" t="n">
        <x:f>IF(D319=0,"",H319/D319)</x:f>
        <x:v>0.6</x:v>
      </x:c>
      <x:c r="V319" t="n">
        <x:f>MAX(I319:T319)</x:f>
        <x:v>195</x:v>
      </x:c>
      <x:c r="W319" t="n">
        <x:f>H319-V319</x:f>
        <x:v>132</x:v>
      </x:c>
      <x:c r="X319" s="52" t="n">
        <x:f>IF(D319=0,"",(W319)/D319)</x:f>
        <x:v>0.24220183486238533</x:v>
      </x:c>
      <x:c r="Y319" t="str">
        <x:v>SATVEER</x:v>
      </x:c>
      <x:c r="Z319" t="n">
        <x:f>D319-E319-F319</x:f>
        <x:v>0</x:v>
      </x:c>
    </x:row>
    <x:row r="320">
      <x:c r="A320" t="n">
        <x:v>312</x:v>
      </x:c>
      <x:c r="B320" t="str">
        <x:v>PRY. SCHOOL BANKAPUR R.NO. 1</x:v>
      </x:c>
      <x:c r="C320" t="n">
        <x:v>712</x:v>
      </x:c>
      <x:c r="D320" t="n">
        <x:v>482</x:v>
      </x:c>
      <x:c r="E320" t="n">
        <x:f>SUM(H320:T320)</x:f>
        <x:v>478</x:v>
      </x:c>
      <x:c r="F320" t="n">
        <x:v>4</x:v>
      </x:c>
      <x:c r="G320" s="50" t="n">
        <x:f>IF(C320="","",IFERROR(D320/C320,0))</x:f>
        <x:v>0.6769662921348315</x:v>
      </x:c>
      <x:c r="H320" s="36" t="n">
        <x:v>55</x:v>
      </x:c>
      <x:c r="I320" t="n">
        <x:v>415</x:v>
      </x:c>
      <x:c r="J320" t="n">
        <x:v>4</x:v>
      </x:c>
      <x:c r="K320" t="n">
        <x:v>0</x:v>
      </x:c>
      <x:c r="L320" t="n">
        <x:v>0</x:v>
      </x:c>
      <x:c r="M320" t="n">
        <x:v>2</x:v>
      </x:c>
      <x:c r="N320" t="n">
        <x:v>0</x:v>
      </x:c>
      <x:c r="O320" t="n">
        <x:v>0</x:v>
      </x:c>
      <x:c r="P320" t="n">
        <x:v>0</x:v>
      </x:c>
      <x:c r="Q320" t="n">
        <x:v>1</x:v>
      </x:c>
      <x:c r="R320" t="n">
        <x:v>1</x:v>
      </x:c>
      <x:c r="S320" t="n">
        <x:v>0</x:v>
      </x:c>
      <x:c r="T320" t="n">
        <x:v>0</x:v>
      </x:c>
      <x:c r="U320" s="50" t="n">
        <x:f>IF(D320=0,"",H320/D320)</x:f>
        <x:v>0.11410788381742738</x:v>
      </x:c>
      <x:c r="V320" t="n">
        <x:f>MAX(I320:T320)</x:f>
        <x:v>415</x:v>
      </x:c>
      <x:c r="W320" t="n">
        <x:f>H320-V320</x:f>
        <x:v>-360</x:v>
      </x:c>
      <x:c r="X320" s="52" t="n">
        <x:f>IF(D320=0,"",(W320)/D320)</x:f>
        <x:v>-0.7468879668049793</x:v>
      </x:c>
      <x:c r="Y320" t="str">
        <x:v>DR. MAHESH SHARMA</x:v>
      </x:c>
      <x:c r="Z320" t="n">
        <x:f>D320-E320-F320</x:f>
        <x:v>0</x:v>
      </x:c>
    </x:row>
    <x:row r="321">
      <x:c r="A321" t="n">
        <x:v>313</x:v>
      </x:c>
      <x:c r="B321" t="str">
        <x:v>PRY. SCHOOL BANKAPUR R.NO. 2</x:v>
      </x:c>
      <x:c r="C321" t="n">
        <x:v>629</x:v>
      </x:c>
      <x:c r="D321" t="n">
        <x:v>423</x:v>
      </x:c>
      <x:c r="E321" t="n">
        <x:f>SUM(H321:T321)</x:f>
        <x:v>421</x:v>
      </x:c>
      <x:c r="F321" t="n">
        <x:v>2</x:v>
      </x:c>
      <x:c r="G321" s="50" t="n">
        <x:f>IF(C321="","",IFERROR(D321/C321,0))</x:f>
        <x:v>0.6724960254372019</x:v>
      </x:c>
      <x:c r="H321" s="36" t="n">
        <x:v>138</x:v>
      </x:c>
      <x:c r="I321" t="n">
        <x:v>277</x:v>
      </x:c>
      <x:c r="J321" t="n">
        <x:v>4</x:v>
      </x:c>
      <x:c r="K321" t="n">
        <x:v>2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s="50" t="n">
        <x:f>IF(D321=0,"",H321/D321)</x:f>
        <x:v>0.3262411347517731</x:v>
      </x:c>
      <x:c r="V321" t="n">
        <x:f>MAX(I321:T321)</x:f>
        <x:v>277</x:v>
      </x:c>
      <x:c r="W321" t="n">
        <x:f>H321-V321</x:f>
        <x:v>-139</x:v>
      </x:c>
      <x:c r="X321" s="52" t="n">
        <x:f>IF(D321=0,"",(W321)/D321)</x:f>
        <x:v>-0.32860520094562645</x:v>
      </x:c>
      <x:c r="Y321" t="str">
        <x:v>DR. MAHESH SHARMA</x:v>
      </x:c>
      <x:c r="Z321" t="n">
        <x:f>D321-E321-F321</x:f>
        <x:v>0</x:v>
      </x:c>
    </x:row>
    <x:row r="322">
      <x:c r="A322" t="n">
        <x:v>314</x:v>
      </x:c>
      <x:c r="B322" t="str">
        <x:v>PRY. SCHOOL NEEMKA SHAHJAHANPUR R.NO. 1</x:v>
      </x:c>
      <x:c r="C322" t="n">
        <x:v>1056</x:v>
      </x:c>
      <x:c r="D322" t="n">
        <x:v>754</x:v>
      </x:c>
      <x:c r="E322" t="n">
        <x:f>SUM(H322:T322)</x:f>
        <x:v>751</x:v>
      </x:c>
      <x:c r="F322" t="n">
        <x:v>3</x:v>
      </x:c>
      <x:c r="G322" s="50" t="n">
        <x:f>IF(C322="","",IFERROR(D322/C322,0))</x:f>
        <x:v>0.7140151515151515</x:v>
      </x:c>
      <x:c r="H322" s="36" t="n">
        <x:v>448</x:v>
      </x:c>
      <x:c r="I322" t="n">
        <x:v>283</x:v>
      </x:c>
      <x:c r="J322" t="n">
        <x:v>11</x:v>
      </x:c>
      <x:c r="K322" t="n">
        <x:v>0</x:v>
      </x:c>
      <x:c r="L322" t="n">
        <x:v>1</x:v>
      </x:c>
      <x:c r="M322" t="n">
        <x:v>5</x:v>
      </x:c>
      <x:c r="N322" t="n">
        <x:v>0</x:v>
      </x:c>
      <x:c r="O322" t="n">
        <x:v>1</x:v>
      </x:c>
      <x:c r="P322" t="n">
        <x:v>0</x:v>
      </x:c>
      <x:c r="Q322" t="n">
        <x:v>2</x:v>
      </x:c>
      <x:c r="R322" t="n">
        <x:v>0</x:v>
      </x:c>
      <x:c r="S322" t="n">
        <x:v>0</x:v>
      </x:c>
      <x:c r="T322" t="n">
        <x:v>0</x:v>
      </x:c>
      <x:c r="U322" s="50" t="n">
        <x:f>IF(D322=0,"",H322/D322)</x:f>
        <x:v>0.5941644562334217</x:v>
      </x:c>
      <x:c r="V322" t="n">
        <x:f>MAX(I322:T322)</x:f>
        <x:v>283</x:v>
      </x:c>
      <x:c r="W322" t="n">
        <x:f>H322-V322</x:f>
        <x:v>165</x:v>
      </x:c>
      <x:c r="X322" s="52" t="n">
        <x:f>IF(D322=0,"",(W322)/D322)</x:f>
        <x:v>0.21883289124668434</x:v>
      </x:c>
      <x:c r="Y322" t="str">
        <x:v>SATVEER</x:v>
      </x:c>
      <x:c r="Z322" t="n">
        <x:f>D322-E322-F322</x:f>
        <x:v>0</x:v>
      </x:c>
    </x:row>
    <x:row r="323">
      <x:c r="A323" t="n">
        <x:v>315</x:v>
      </x:c>
      <x:c r="B323" t="str">
        <x:v>PRY. SCHOOL NEEMKA SHAHJAHANPUR R.NO. 2</x:v>
      </x:c>
      <x:c r="C323" t="n">
        <x:v>957</x:v>
      </x:c>
      <x:c r="D323" t="n">
        <x:v>662</x:v>
      </x:c>
      <x:c r="E323" t="n">
        <x:f>SUM(H323:T323)</x:f>
        <x:v>660</x:v>
      </x:c>
      <x:c r="F323" t="n">
        <x:v>2</x:v>
      </x:c>
      <x:c r="G323" s="50" t="n">
        <x:f>IF(C323="","",IFERROR(D323/C323,0))</x:f>
        <x:v>0.6917450365726228</x:v>
      </x:c>
      <x:c r="H323" s="36" t="n">
        <x:v>119</x:v>
      </x:c>
      <x:c r="I323" t="n">
        <x:v>522</x:v>
      </x:c>
      <x:c r="J323" t="n">
        <x:v>16</x:v>
      </x:c>
      <x:c r="K323" t="n">
        <x:v>0</x:v>
      </x:c>
      <x:c r="L323" t="n">
        <x:v>1</x:v>
      </x:c>
      <x:c r="M323" t="n">
        <x:v>2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s="50" t="n">
        <x:f>IF(D323=0,"",H323/D323)</x:f>
        <x:v>0.1797583081570997</x:v>
      </x:c>
      <x:c r="V323" t="n">
        <x:f>MAX(I323:T323)</x:f>
        <x:v>522</x:v>
      </x:c>
      <x:c r="W323" t="n">
        <x:f>H323-V323</x:f>
        <x:v>-403</x:v>
      </x:c>
      <x:c r="X323" s="52" t="n">
        <x:f>IF(D323=0,"",(W323)/D323)</x:f>
        <x:v>-0.6087613293051359</x:v>
      </x:c>
      <x:c r="Y323" t="str">
        <x:v>DR. MAHESH SHARMA</x:v>
      </x:c>
      <x:c r="Z323" t="n">
        <x:f>D323-E323-F323</x:f>
        <x:v>0</x:v>
      </x:c>
    </x:row>
    <x:row r="324">
      <x:c r="A324" t="n">
        <x:v>316</x:v>
      </x:c>
      <x:c r="B324" t="str">
        <x:v>J. H. SCHOOL NEEMKA SHAHJAHANPUR R.NO. 1</x:v>
      </x:c>
      <x:c r="C324" t="n">
        <x:v>653</x:v>
      </x:c>
      <x:c r="D324" t="n">
        <x:v>451</x:v>
      </x:c>
      <x:c r="E324" t="n">
        <x:f>SUM(H324:T324)</x:f>
        <x:v>448</x:v>
      </x:c>
      <x:c r="F324" t="n">
        <x:v>3</x:v>
      </x:c>
      <x:c r="G324" s="50" t="n">
        <x:f>IF(C324="","",IFERROR(D324/C324,0))</x:f>
        <x:v>0.6906584992343032</x:v>
      </x:c>
      <x:c r="H324" s="36" t="n">
        <x:v>121</x:v>
      </x:c>
      <x:c r="I324" t="n">
        <x:v>311</x:v>
      </x:c>
      <x:c r="J324" t="n">
        <x:v>9</x:v>
      </x:c>
      <x:c r="K324" t="n">
        <x:v>0</x:v>
      </x:c>
      <x:c r="L324" t="n">
        <x:v>0</x:v>
      </x:c>
      <x:c r="M324" t="n">
        <x:v>2</x:v>
      </x:c>
      <x:c r="N324" t="n">
        <x:v>0</x:v>
      </x:c>
      <x:c r="O324" t="n">
        <x:v>0</x:v>
      </x:c>
      <x:c r="P324" t="n">
        <x:v>1</x:v>
      </x:c>
      <x:c r="Q324" t="n">
        <x:v>0</x:v>
      </x:c>
      <x:c r="R324" t="n">
        <x:v>2</x:v>
      </x:c>
      <x:c r="S324" t="n">
        <x:v>0</x:v>
      </x:c>
      <x:c r="T324" t="n">
        <x:v>2</x:v>
      </x:c>
      <x:c r="U324" s="50" t="n">
        <x:f>IF(D324=0,"",H324/D324)</x:f>
        <x:v>0.2682926829268293</x:v>
      </x:c>
      <x:c r="V324" t="n">
        <x:f>MAX(I324:T324)</x:f>
        <x:v>311</x:v>
      </x:c>
      <x:c r="W324" t="n">
        <x:f>H324-V324</x:f>
        <x:v>-190</x:v>
      </x:c>
      <x:c r="X324" s="52" t="n">
        <x:f>IF(D324=0,"",(W324)/D324)</x:f>
        <x:v>-0.4212860310421286</x:v>
      </x:c>
      <x:c r="Y324" t="str">
        <x:v>DR. MAHESH SHARMA</x:v>
      </x:c>
      <x:c r="Z324" t="n">
        <x:f>D324-E324-F324</x:f>
        <x:v>0</x:v>
      </x:c>
    </x:row>
    <x:row r="325">
      <x:c r="A325" t="n">
        <x:v>317</x:v>
      </x:c>
      <x:c r="B325" t="str">
        <x:v>PRY. SCHOOL SADULLAPUR URF MODELPUR R.NO. 1</x:v>
      </x:c>
      <x:c r="C325" t="n">
        <x:v>828</x:v>
      </x:c>
      <x:c r="D325" t="n">
        <x:v>528</x:v>
      </x:c>
      <x:c r="E325" t="n">
        <x:f>SUM(H325:T325)</x:f>
        <x:v>522</x:v>
      </x:c>
      <x:c r="F325" t="n">
        <x:v>6</x:v>
      </x:c>
      <x:c r="G325" s="50" t="n">
        <x:f>IF(C325="","",IFERROR(D325/C325,0))</x:f>
        <x:v>0.6376811594202898</x:v>
      </x:c>
      <x:c r="H325" s="36" t="n">
        <x:v>63</x:v>
      </x:c>
      <x:c r="I325" t="n">
        <x:v>439</x:v>
      </x:c>
      <x:c r="J325" t="n">
        <x:v>9</x:v>
      </x:c>
      <x:c r="K325" t="n">
        <x:v>0</x:v>
      </x:c>
      <x:c r="L325" t="n">
        <x:v>6</x:v>
      </x:c>
      <x:c r="M325" t="n">
        <x:v>0</x:v>
      </x:c>
      <x:c r="N325" t="n">
        <x:v>1</x:v>
      </x:c>
      <x:c r="O325" t="n">
        <x:v>3</x:v>
      </x:c>
      <x:c r="P325" t="n">
        <x:v>0</x:v>
      </x:c>
      <x:c r="Q325" t="n">
        <x:v>1</x:v>
      </x:c>
      <x:c r="R325" t="n">
        <x:v>0</x:v>
      </x:c>
      <x:c r="S325" t="n">
        <x:v>0</x:v>
      </x:c>
      <x:c r="T325" t="n">
        <x:v>0</x:v>
      </x:c>
      <x:c r="U325" s="50" t="n">
        <x:f>IF(D325=0,"",H325/D325)</x:f>
        <x:v>0.11931818181818182</x:v>
      </x:c>
      <x:c r="V325" t="n">
        <x:f>MAX(I325:T325)</x:f>
        <x:v>439</x:v>
      </x:c>
      <x:c r="W325" t="n">
        <x:f>H325-V325</x:f>
        <x:v>-376</x:v>
      </x:c>
      <x:c r="X325" s="52" t="n">
        <x:f>IF(D325=0,"",(W325)/D325)</x:f>
        <x:v>-0.7121212121212122</x:v>
      </x:c>
      <x:c r="Y325" t="str">
        <x:v>DR. MAHESH SHARMA</x:v>
      </x:c>
      <x:c r="Z325" t="n">
        <x:f>D325-E325-F325</x:f>
        <x:v>0</x:v>
      </x:c>
    </x:row>
    <x:row r="326">
      <x:c r="A326" t="n">
        <x:v>318</x:v>
      </x:c>
      <x:c r="B326" t="str">
        <x:v>PRY. SCHOOL KHWAJPUR R.NO. 1</x:v>
      </x:c>
      <x:c r="C326" t="n">
        <x:v>877</x:v>
      </x:c>
      <x:c r="D326" t="n">
        <x:v>614</x:v>
      </x:c>
      <x:c r="E326" t="n">
        <x:f>SUM(H326:T326)</x:f>
        <x:v>612</x:v>
      </x:c>
      <x:c r="F326" t="n">
        <x:v>2</x:v>
      </x:c>
      <x:c r="G326" s="50" t="n">
        <x:f>IF(C326="","",IFERROR(D326/C326,0))</x:f>
        <x:v>0.7001140250855188</x:v>
      </x:c>
      <x:c r="H326" s="36" t="n">
        <x:v>54</x:v>
      </x:c>
      <x:c r="I326" t="n">
        <x:v>554</x:v>
      </x:c>
      <x:c r="J326" t="n">
        <x:v>2</x:v>
      </x:c>
      <x:c r="K326" t="n">
        <x:v>2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s="50" t="n">
        <x:f>IF(D326=0,"",H326/D326)</x:f>
        <x:v>0.08794788273615635</x:v>
      </x:c>
      <x:c r="V326" t="n">
        <x:f>MAX(I326:T326)</x:f>
        <x:v>554</x:v>
      </x:c>
      <x:c r="W326" t="n">
        <x:f>H326-V326</x:f>
        <x:v>-500</x:v>
      </x:c>
      <x:c r="X326" s="52" t="n">
        <x:f>IF(D326=0,"",(W326)/D326)</x:f>
        <x:v>-0.8143322475570033</x:v>
      </x:c>
      <x:c r="Y326" t="str">
        <x:v>DR. MAHESH SHARMA</x:v>
      </x:c>
      <x:c r="Z326" t="n">
        <x:f>D326-E326-F326</x:f>
        <x:v>0</x:v>
      </x:c>
    </x:row>
    <x:row r="327">
      <x:c r="A327" t="n">
        <x:v>319</x:v>
      </x:c>
      <x:c r="B327" t="str">
        <x:v>PRY. SCHOOL KHWAJPUR R.NO. 2</x:v>
      </x:c>
      <x:c r="C327" t="n">
        <x:v>774</x:v>
      </x:c>
      <x:c r="D327" t="n">
        <x:v>516</x:v>
      </x:c>
      <x:c r="E327" t="n">
        <x:f>SUM(H327:T327)</x:f>
        <x:v>514</x:v>
      </x:c>
      <x:c r="F327" t="n">
        <x:v>2</x:v>
      </x:c>
      <x:c r="G327" s="50" t="n">
        <x:f>IF(C327="","",IFERROR(D327/C327,0))</x:f>
        <x:v>0.6666666666666666</x:v>
      </x:c>
      <x:c r="H327" s="36" t="n">
        <x:v>358</x:v>
      </x:c>
      <x:c r="I327" t="n">
        <x:v>140</x:v>
      </x:c>
      <x:c r="J327" t="n">
        <x:v>5</x:v>
      </x:c>
      <x:c r="K327" t="n">
        <x:v>6</x:v>
      </x:c>
      <x:c r="L327" t="n">
        <x:v>1</x:v>
      </x:c>
      <x:c r="M327" t="n">
        <x:v>1</x:v>
      </x:c>
      <x:c r="N327" t="n">
        <x:v>0</x:v>
      </x:c>
      <x:c r="O327" t="n">
        <x:v>2</x:v>
      </x:c>
      <x:c r="P327" t="n">
        <x:v>0</x:v>
      </x:c>
      <x:c r="Q327" t="n">
        <x:v>1</x:v>
      </x:c>
      <x:c r="R327" t="n">
        <x:v>0</x:v>
      </x:c>
      <x:c r="S327" t="n">
        <x:v>0</x:v>
      </x:c>
      <x:c r="T327" t="n">
        <x:v>0</x:v>
      </x:c>
      <x:c r="U327" s="50" t="n">
        <x:f>IF(D327=0,"",H327/D327)</x:f>
        <x:v>0.6937984496124031</x:v>
      </x:c>
      <x:c r="V327" t="n">
        <x:f>MAX(I327:T327)</x:f>
        <x:v>140</x:v>
      </x:c>
      <x:c r="W327" t="n">
        <x:f>H327-V327</x:f>
        <x:v>218</x:v>
      </x:c>
      <x:c r="X327" s="52" t="n">
        <x:f>IF(D327=0,"",(W327)/D327)</x:f>
        <x:v>0.42248062015503873</x:v>
      </x:c>
      <x:c r="Y327" t="str">
        <x:v>SATVEER</x:v>
      </x:c>
      <x:c r="Z327" t="n">
        <x:f>D327-E327-F327</x:f>
        <x:v>0</x:v>
      </x:c>
    </x:row>
    <x:row r="328">
      <x:c r="A328" t="n">
        <x:v>320</x:v>
      </x:c>
      <x:c r="B328" t="str">
        <x:v>PRY. SCHOOL JEWAR KHADAR R.NO. 1</x:v>
      </x:c>
      <x:c r="C328" t="n">
        <x:v>667</x:v>
      </x:c>
      <x:c r="D328" t="n">
        <x:v>507</x:v>
      </x:c>
      <x:c r="E328" t="n">
        <x:f>SUM(H328:T328)</x:f>
        <x:v>507</x:v>
      </x:c>
      <x:c r="F328" t="n">
        <x:v>0</x:v>
      </x:c>
      <x:c r="G328" s="50" t="n">
        <x:f>IF(C328="","",IFERROR(D328/C328,0))</x:f>
        <x:v>0.760119940029985</x:v>
      </x:c>
      <x:c r="H328" s="36" t="n">
        <x:v>30</x:v>
      </x:c>
      <x:c r="I328" t="n">
        <x:v>472</x:v>
      </x:c>
      <x:c r="J328" t="n">
        <x:v>1</x:v>
      </x:c>
      <x:c r="K328" t="n">
        <x:v>0</x:v>
      </x:c>
      <x:c r="L328" t="n">
        <x:v>2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1</x:v>
      </x:c>
      <x:c r="R328" t="n">
        <x:v>1</x:v>
      </x:c>
      <x:c r="S328" t="n">
        <x:v>0</x:v>
      </x:c>
      <x:c r="T328" t="n">
        <x:v>0</x:v>
      </x:c>
      <x:c r="U328" s="50" t="n">
        <x:f>IF(D328=0,"",H328/D328)</x:f>
        <x:v>0.05917159763313609</x:v>
      </x:c>
      <x:c r="V328" t="n">
        <x:f>MAX(I328:T328)</x:f>
        <x:v>472</x:v>
      </x:c>
      <x:c r="W328" t="n">
        <x:f>H328-V328</x:f>
        <x:v>-442</x:v>
      </x:c>
      <x:c r="X328" s="52" t="n">
        <x:f>IF(D328=0,"",(W328)/D328)</x:f>
        <x:v>-0.8717948717948718</x:v>
      </x:c>
      <x:c r="Y328" t="str">
        <x:v>DR. MAHESH SHARMA</x:v>
      </x:c>
      <x:c r="Z328" t="n">
        <x:f>D328-E328-F328</x:f>
        <x:v>0</x:v>
      </x:c>
    </x:row>
    <x:row r="329">
      <x:c r="A329" t="n">
        <x:v>321</x:v>
      </x:c>
      <x:c r="B329" t="str">
        <x:v>PRY. SCHOOL JEWAR KHADAR R.NO. 2</x:v>
      </x:c>
      <x:c r="C329" t="n">
        <x:v>568</x:v>
      </x:c>
      <x:c r="D329" t="n">
        <x:v>433</x:v>
      </x:c>
      <x:c r="E329" t="n">
        <x:f>SUM(H329:T329)</x:f>
        <x:v>432</x:v>
      </x:c>
      <x:c r="F329" t="n">
        <x:v>1</x:v>
      </x:c>
      <x:c r="G329" s="50" t="n">
        <x:f>IF(C329="","",IFERROR(D329/C329,0))</x:f>
        <x:v>0.7623239436619719</x:v>
      </x:c>
      <x:c r="H329" s="36" t="n">
        <x:v>15</x:v>
      </x:c>
      <x:c r="I329" t="n">
        <x:v>414</x:v>
      </x:c>
      <x:c r="J329" t="n">
        <x:v>2</x:v>
      </x:c>
      <x:c r="K329" t="n">
        <x:v>0</x:v>
      </x:c>
      <x:c r="L329" t="n">
        <x:v>1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s="50" t="n">
        <x:f>IF(D329=0,"",H329/D329)</x:f>
        <x:v>0.03464203233256351</x:v>
      </x:c>
      <x:c r="V329" t="n">
        <x:f>MAX(I329:T329)</x:f>
        <x:v>414</x:v>
      </x:c>
      <x:c r="W329" t="n">
        <x:f>H329-V329</x:f>
        <x:v>-399</x:v>
      </x:c>
      <x:c r="X329" s="52" t="n">
        <x:f>IF(D329=0,"",(W329)/D329)</x:f>
        <x:v>-0.9214780600461894</x:v>
      </x:c>
      <x:c r="Y329" t="str">
        <x:v>DR. MAHESH SHARMA</x:v>
      </x:c>
      <x:c r="Z329" t="n">
        <x:f>D329-E329-F329</x:f>
        <x:v>0</x:v>
      </x:c>
    </x:row>
    <x:row r="330">
      <x:c r="A330" t="n">
        <x:v>322</x:v>
      </x:c>
      <x:c r="B330" t="str">
        <x:v>SARSWATI SHISHU MANDIR T.A. JEWAR R.NO. 1</x:v>
      </x:c>
      <x:c r="C330" t="n">
        <x:v>1067</x:v>
      </x:c>
      <x:c r="D330" t="n">
        <x:v>712</x:v>
      </x:c>
      <x:c r="E330" t="n">
        <x:f>SUM(H330:T330)</x:f>
        <x:v>709</x:v>
      </x:c>
      <x:c r="F330" t="n">
        <x:v>3</x:v>
      </x:c>
      <x:c r="G330" s="50" t="n">
        <x:f>IF(C330="","",IFERROR(D330/C330,0))</x:f>
        <x:v>0.6672914714151827</x:v>
      </x:c>
      <x:c r="H330" s="36" t="n">
        <x:v>485</x:v>
      </x:c>
      <x:c r="I330" t="n">
        <x:v>204</x:v>
      </x:c>
      <x:c r="J330" t="n">
        <x:v>3</x:v>
      </x:c>
      <x:c r="K330" t="n">
        <x:v>5</x:v>
      </x:c>
      <x:c r="L330" t="n">
        <x:v>1</x:v>
      </x:c>
      <x:c r="M330" t="n">
        <x:v>2</x:v>
      </x:c>
      <x:c r="N330" t="n">
        <x:v>2</x:v>
      </x:c>
      <x:c r="O330" t="n">
        <x:v>3</x:v>
      </x:c>
      <x:c r="P330" t="n">
        <x:v>0</x:v>
      </x:c>
      <x:c r="Q330" t="n">
        <x:v>1</x:v>
      </x:c>
      <x:c r="R330" t="n">
        <x:v>2</x:v>
      </x:c>
      <x:c r="S330" t="n">
        <x:v>1</x:v>
      </x:c>
      <x:c r="T330" t="n">
        <x:v>0</x:v>
      </x:c>
      <x:c r="U330" s="50" t="n">
        <x:f>IF(D330=0,"",H330/D330)</x:f>
        <x:v>0.6811797752808989</x:v>
      </x:c>
      <x:c r="V330" t="n">
        <x:f>MAX(I330:T330)</x:f>
        <x:v>204</x:v>
      </x:c>
      <x:c r="W330" t="n">
        <x:f>H330-V330</x:f>
        <x:v>281</x:v>
      </x:c>
      <x:c r="X330" s="52" t="n">
        <x:f>IF(D330=0,"",(W330)/D330)</x:f>
        <x:v>0.3946629213483146</x:v>
      </x:c>
      <x:c r="Y330" t="str">
        <x:v>SATVEER</x:v>
      </x:c>
      <x:c r="Z330" t="n">
        <x:f>D330-E330-F330</x:f>
        <x:v>0</x:v>
      </x:c>
    </x:row>
    <x:row r="331">
      <x:c r="A331" t="n">
        <x:v>323</x:v>
      </x:c>
      <x:c r="B331" t="str">
        <x:v>SARSWATI SHISHU MANDIR T.A. JEWAR R.NO. 2</x:v>
      </x:c>
      <x:c r="C331" t="n">
        <x:v>1071</x:v>
      </x:c>
      <x:c r="D331" t="n">
        <x:v>681</x:v>
      </x:c>
      <x:c r="E331" t="n">
        <x:f>SUM(H331:T331)</x:f>
        <x:v>676</x:v>
      </x:c>
      <x:c r="F331" t="n">
        <x:v>5</x:v>
      </x:c>
      <x:c r="G331" s="50" t="n">
        <x:f>IF(C331="","",IFERROR(D331/C331,0))</x:f>
        <x:v>0.6358543417366946</x:v>
      </x:c>
      <x:c r="H331" s="36" t="n">
        <x:v>197</x:v>
      </x:c>
      <x:c r="I331" t="n">
        <x:v>450</x:v>
      </x:c>
      <x:c r="J331" t="n">
        <x:v>17</x:v>
      </x:c>
      <x:c r="K331" t="n">
        <x:v>1</x:v>
      </x:c>
      <x:c r="L331" t="n">
        <x:v>6</x:v>
      </x:c>
      <x:c r="M331" t="n">
        <x:v>3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2</x:v>
      </x:c>
      <x:c r="S331" t="n">
        <x:v>0</x:v>
      </x:c>
      <x:c r="T331" t="n">
        <x:v>0</x:v>
      </x:c>
      <x:c r="U331" s="50" t="n">
        <x:f>IF(D331=0,"",H331/D331)</x:f>
        <x:v>0.28928046989721</x:v>
      </x:c>
      <x:c r="V331" t="n">
        <x:f>MAX(I331:T331)</x:f>
        <x:v>450</x:v>
      </x:c>
      <x:c r="W331" t="n">
        <x:f>H331-V331</x:f>
        <x:v>-253</x:v>
      </x:c>
      <x:c r="X331" s="52" t="n">
        <x:f>IF(D331=0,"",(W331)/D331)</x:f>
        <x:v>-0.37151248164464024</x:v>
      </x:c>
      <x:c r="Y331" t="str">
        <x:v>DR. MAHESH SHARMA</x:v>
      </x:c>
      <x:c r="Z331" t="n">
        <x:f>D331-E331-F331</x:f>
        <x:v>0</x:v>
      </x:c>
    </x:row>
    <x:row r="332">
      <x:c r="A332" t="n">
        <x:v>324</x:v>
      </x:c>
      <x:c r="B332" t="str">
        <x:v>SARSWATI SHISHU MANDIR T.A. JEWAR R.NO. 3</x:v>
      </x:c>
      <x:c r="C332" t="n">
        <x:v>800</x:v>
      </x:c>
      <x:c r="D332" t="n">
        <x:v>530</x:v>
      </x:c>
      <x:c r="E332" t="n">
        <x:f>SUM(H332:T332)</x:f>
        <x:v>526</x:v>
      </x:c>
      <x:c r="F332" t="n">
        <x:v>4</x:v>
      </x:c>
      <x:c r="G332" s="50" t="n">
        <x:f>IF(C332="","",IFERROR(D332/C332,0))</x:f>
        <x:v>0.6625</x:v>
      </x:c>
      <x:c r="H332" s="36" t="n">
        <x:v>283</x:v>
      </x:c>
      <x:c r="I332" t="n">
        <x:v>220</x:v>
      </x:c>
      <x:c r="J332" t="n">
        <x:v>9</x:v>
      </x:c>
      <x:c r="K332" t="n">
        <x:v>2</x:v>
      </x:c>
      <x:c r="L332" t="n">
        <x:v>4</x:v>
      </x:c>
      <x:c r="M332" t="n">
        <x:v>4</x:v>
      </x:c>
      <x:c r="N332" t="n">
        <x:v>1</x:v>
      </x:c>
      <x:c r="O332" t="n">
        <x:v>1</x:v>
      </x:c>
      <x:c r="P332" t="n">
        <x:v>0</x:v>
      </x:c>
      <x:c r="Q332" t="n">
        <x:v>0</x:v>
      </x:c>
      <x:c r="R332" t="n">
        <x:v>2</x:v>
      </x:c>
      <x:c r="S332" t="n">
        <x:v>0</x:v>
      </x:c>
      <x:c r="T332" t="n">
        <x:v>0</x:v>
      </x:c>
      <x:c r="U332" s="50" t="n">
        <x:f>IF(D332=0,"",H332/D332)</x:f>
        <x:v>0.5339622641509434</x:v>
      </x:c>
      <x:c r="V332" t="n">
        <x:f>MAX(I332:T332)</x:f>
        <x:v>220</x:v>
      </x:c>
      <x:c r="W332" t="n">
        <x:f>H332-V332</x:f>
        <x:v>63</x:v>
      </x:c>
      <x:c r="X332" s="52" t="n">
        <x:f>IF(D332=0,"",(W332)/D332)</x:f>
        <x:v>0.11886792452830189</x:v>
      </x:c>
      <x:c r="Y332" t="str">
        <x:v>SATVEER</x:v>
      </x:c>
      <x:c r="Z332" t="n">
        <x:f>D332-E332-F332</x:f>
        <x:v>0</x:v>
      </x:c>
    </x:row>
    <x:row r="333">
      <x:c r="A333" t="n">
        <x:v>325</x:v>
      </x:c>
      <x:c r="B333" t="str">
        <x:v>SARSWATI SHISHU MANDIR T.A. JEWAR R.NO. 4</x:v>
      </x:c>
      <x:c r="C333" t="n">
        <x:v>883</x:v>
      </x:c>
      <x:c r="D333" t="n">
        <x:v>552</x:v>
      </x:c>
      <x:c r="E333" t="n">
        <x:f>SUM(H333:T333)</x:f>
        <x:v>550</x:v>
      </x:c>
      <x:c r="F333" t="n">
        <x:v>2</x:v>
      </x:c>
      <x:c r="G333" s="50" t="n">
        <x:f>IF(C333="","",IFERROR(D333/C333,0))</x:f>
        <x:v>0.6251415628539071</x:v>
      </x:c>
      <x:c r="H333" s="36" t="n">
        <x:v>468</x:v>
      </x:c>
      <x:c r="I333" t="n">
        <x:v>62</x:v>
      </x:c>
      <x:c r="J333" t="n">
        <x:v>7</x:v>
      </x:c>
      <x:c r="K333" t="n">
        <x:v>2</x:v>
      </x:c>
      <x:c r="L333" t="n">
        <x:v>3</x:v>
      </x:c>
      <x:c r="M333" t="n">
        <x:v>5</x:v>
      </x:c>
      <x:c r="N333" t="n">
        <x:v>0</x:v>
      </x:c>
      <x:c r="O333" t="n">
        <x:v>0</x:v>
      </x:c>
      <x:c r="P333" t="n">
        <x:v>0</x:v>
      </x:c>
      <x:c r="Q333" t="n">
        <x:v>3</x:v>
      </x:c>
      <x:c r="R333" t="n">
        <x:v>0</x:v>
      </x:c>
      <x:c r="S333" t="n">
        <x:v>0</x:v>
      </x:c>
      <x:c r="T333" t="n">
        <x:v>0</x:v>
      </x:c>
      <x:c r="U333" s="50" t="n">
        <x:f>IF(D333=0,"",H333/D333)</x:f>
        <x:v>0.8478260869565217</x:v>
      </x:c>
      <x:c r="V333" t="n">
        <x:f>MAX(I333:T333)</x:f>
        <x:v>62</x:v>
      </x:c>
      <x:c r="W333" t="n">
        <x:f>H333-V333</x:f>
        <x:v>406</x:v>
      </x:c>
      <x:c r="X333" s="52" t="n">
        <x:f>IF(D333=0,"",(W333)/D333)</x:f>
        <x:v>0.7355072463768116</x:v>
      </x:c>
      <x:c r="Y333" t="str">
        <x:v>SATVEER</x:v>
      </x:c>
      <x:c r="Z333" t="n">
        <x:f>D333-E333-F333</x:f>
        <x:v>0</x:v>
      </x:c>
    </x:row>
    <x:row r="334">
      <x:c r="A334" t="n">
        <x:v>326</x:v>
      </x:c>
      <x:c r="B334" t="str">
        <x:v>SARSWATI SHISHU MANDIR T.A. JEWAR R.NO. 5</x:v>
      </x:c>
      <x:c r="C334" t="n">
        <x:v>556</x:v>
      </x:c>
      <x:c r="D334" t="n">
        <x:v>374</x:v>
      </x:c>
      <x:c r="E334" t="n">
        <x:f>SUM(H334:T334)</x:f>
        <x:v>371</x:v>
      </x:c>
      <x:c r="F334" t="n">
        <x:v>3</x:v>
      </x:c>
      <x:c r="G334" s="50" t="n">
        <x:f>IF(C334="","",IFERROR(D334/C334,0))</x:f>
        <x:v>0.6726618705035972</x:v>
      </x:c>
      <x:c r="H334" s="36" t="n">
        <x:v>107</x:v>
      </x:c>
      <x:c r="I334" t="n">
        <x:v>247</x:v>
      </x:c>
      <x:c r="J334" t="n">
        <x:v>16</x:v>
      </x:c>
      <x:c r="K334" t="n">
        <x:v>0</x:v>
      </x:c>
      <x:c r="L334" t="n">
        <x:v>1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s="50" t="n">
        <x:f>IF(D334=0,"",H334/D334)</x:f>
        <x:v>0.28609625668449196</x:v>
      </x:c>
      <x:c r="V334" t="n">
        <x:f>MAX(I334:T334)</x:f>
        <x:v>247</x:v>
      </x:c>
      <x:c r="W334" t="n">
        <x:f>H334-V334</x:f>
        <x:v>-140</x:v>
      </x:c>
      <x:c r="X334" s="52" t="n">
        <x:f>IF(D334=0,"",(W334)/D334)</x:f>
        <x:v>-0.37433155080213903</x:v>
      </x:c>
      <x:c r="Y334" t="str">
        <x:v>DR. MAHESH SHARMA</x:v>
      </x:c>
      <x:c r="Z334" t="n">
        <x:f>D334-E334-F334</x:f>
        <x:v>0</x:v>
      </x:c>
    </x:row>
    <x:row r="335">
      <x:c r="A335" t="n">
        <x:v>327</x:v>
      </x:c>
      <x:c r="B335" t="str">
        <x:v>SARSWATI SHISHU MANDIR T.A. JEWAR R.NO. 6</x:v>
      </x:c>
      <x:c r="C335" t="n">
        <x:v>712</x:v>
      </x:c>
      <x:c r="D335" t="n">
        <x:v>443</x:v>
      </x:c>
      <x:c r="E335" t="n">
        <x:f>SUM(H335:T335)</x:f>
        <x:v>439</x:v>
      </x:c>
      <x:c r="F335" t="n">
        <x:v>4</x:v>
      </x:c>
      <x:c r="G335" s="50" t="n">
        <x:f>IF(C335="","",IFERROR(D335/C335,0))</x:f>
        <x:v>0.6221910112359551</x:v>
      </x:c>
      <x:c r="H335" s="36" t="n">
        <x:v>92</x:v>
      </x:c>
      <x:c r="I335" t="n">
        <x:v>344</x:v>
      </x:c>
      <x:c r="J335" t="n">
        <x:v>1</x:v>
      </x:c>
      <x:c r="K335" t="n">
        <x:v>0</x:v>
      </x:c>
      <x:c r="L335" t="n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s="50" t="n">
        <x:f>IF(D335=0,"",H335/D335)</x:f>
        <x:v>0.2076749435665914</x:v>
      </x:c>
      <x:c r="V335" t="n">
        <x:f>MAX(I335:T335)</x:f>
        <x:v>344</x:v>
      </x:c>
      <x:c r="W335" t="n">
        <x:f>H335-V335</x:f>
        <x:v>-252</x:v>
      </x:c>
      <x:c r="X335" s="52" t="n">
        <x:f>IF(D335=0,"",(W335)/D335)</x:f>
        <x:v>-0.5688487584650113</x:v>
      </x:c>
      <x:c r="Y335" t="str">
        <x:v>DR. MAHESH SHARMA</x:v>
      </x:c>
      <x:c r="Z335" t="n">
        <x:f>D335-E335-F335</x:f>
        <x:v>0</x:v>
      </x:c>
    </x:row>
    <x:row r="336">
      <x:c r="A336" t="n">
        <x:v>328</x:v>
      </x:c>
      <x:c r="B336" t="str">
        <x:v>SARSWATI SHISHU MANDIR T.A. JEWAR R.NO. 7</x:v>
      </x:c>
      <x:c r="C336" t="n">
        <x:v>629</x:v>
      </x:c>
      <x:c r="D336" t="n">
        <x:v>414</x:v>
      </x:c>
      <x:c r="E336" t="n">
        <x:f>SUM(H336:T336)</x:f>
        <x:v>413</x:v>
      </x:c>
      <x:c r="F336" t="n">
        <x:v>1</x:v>
      </x:c>
      <x:c r="G336" s="50" t="n">
        <x:f>IF(C336="","",IFERROR(D336/C336,0))</x:f>
        <x:v>0.6581875993640699</x:v>
      </x:c>
      <x:c r="H336" s="36" t="n">
        <x:v>65</x:v>
      </x:c>
      <x:c r="I336" t="n">
        <x:v>343</x:v>
      </x:c>
      <x:c r="J336" t="n">
        <x:v>4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1</x:v>
      </x:c>
      <x:c r="S336" t="n">
        <x:v>0</x:v>
      </x:c>
      <x:c r="T336" t="n">
        <x:v>0</x:v>
      </x:c>
      <x:c r="U336" s="50" t="n">
        <x:f>IF(D336=0,"",H336/D336)</x:f>
        <x:v>0.1570048309178744</x:v>
      </x:c>
      <x:c r="V336" t="n">
        <x:f>MAX(I336:T336)</x:f>
        <x:v>343</x:v>
      </x:c>
      <x:c r="W336" t="n">
        <x:f>H336-V336</x:f>
        <x:v>-278</x:v>
      </x:c>
      <x:c r="X336" s="52" t="n">
        <x:f>IF(D336=0,"",(W336)/D336)</x:f>
        <x:v>-0.6714975845410628</x:v>
      </x:c>
      <x:c r="Y336" t="str">
        <x:v>DR. MAHESH SHARMA</x:v>
      </x:c>
      <x:c r="Z336" t="n">
        <x:f>D336-E336-F336</x:f>
        <x:v>0</x:v>
      </x:c>
    </x:row>
    <x:row r="337">
      <x:c r="A337" t="n">
        <x:v>329</x:v>
      </x:c>
      <x:c r="B337" t="str">
        <x:v>PRY. SCHOOL JAFRABAD R.NO. 1</x:v>
      </x:c>
      <x:c r="C337" t="n">
        <x:v>595</x:v>
      </x:c>
      <x:c r="D337" t="n">
        <x:v>315</x:v>
      </x:c>
      <x:c r="E337" t="n">
        <x:f>SUM(H337:T337)</x:f>
        <x:v>314</x:v>
      </x:c>
      <x:c r="F337" t="n">
        <x:v>1</x:v>
      </x:c>
      <x:c r="G337" s="50" t="n">
        <x:f>IF(C337="","",IFERROR(D337/C337,0))</x:f>
        <x:v>0.5294117647058824</x:v>
      </x:c>
      <x:c r="H337" s="36" t="n">
        <x:v>75</x:v>
      </x:c>
      <x:c r="I337" t="n">
        <x:v>231</x:v>
      </x:c>
      <x:c r="J337" t="n">
        <x:v>6</x:v>
      </x:c>
      <x:c r="K337" t="n">
        <x:v>0</x:v>
      </x:c>
      <x:c r="L337" t="n">
        <x:v>0</x:v>
      </x:c>
      <x:c r="M337" t="n">
        <x:v>0</x:v>
      </x:c>
      <x:c r="N337" t="n">
        <x:v>1</x:v>
      </x:c>
      <x:c r="O337" t="n">
        <x:v>0</x:v>
      </x:c>
      <x:c r="P337" t="n">
        <x:v>0</x:v>
      </x:c>
      <x:c r="Q337" t="n">
        <x:v>1</x:v>
      </x:c>
      <x:c r="R337" t="n">
        <x:v>0</x:v>
      </x:c>
      <x:c r="S337" t="n">
        <x:v>0</x:v>
      </x:c>
      <x:c r="T337" t="n">
        <x:v>0</x:v>
      </x:c>
      <x:c r="U337" s="50" t="n">
        <x:f>IF(D337=0,"",H337/D337)</x:f>
        <x:v>0.23809523809523808</x:v>
      </x:c>
      <x:c r="V337" t="n">
        <x:f>MAX(I337:T337)</x:f>
        <x:v>231</x:v>
      </x:c>
      <x:c r="W337" t="n">
        <x:f>H337-V337</x:f>
        <x:v>-156</x:v>
      </x:c>
      <x:c r="X337" s="52" t="n">
        <x:f>IF(D337=0,"",(W337)/D337)</x:f>
        <x:v>-0.49523809523809526</x:v>
      </x:c>
      <x:c r="Y337" t="str">
        <x:v>DR. MAHESH SHARMA</x:v>
      </x:c>
      <x:c r="Z337" t="n">
        <x:f>D337-E337-F337</x:f>
        <x:v>0</x:v>
      </x:c>
    </x:row>
    <x:row r="338">
      <x:c r="A338" t="n">
        <x:v>330</x:v>
      </x:c>
      <x:c r="B338" t="str">
        <x:v>PRY. SCHOOL SAHABNAGAR R.NO. 1</x:v>
      </x:c>
      <x:c r="C338" t="n">
        <x:v>698</x:v>
      </x:c>
      <x:c r="D338" t="n">
        <x:v>555</x:v>
      </x:c>
      <x:c r="E338" t="n">
        <x:f>SUM(H338:T338)</x:f>
        <x:v>550</x:v>
      </x:c>
      <x:c r="F338" t="n">
        <x:v>5</x:v>
      </x:c>
      <x:c r="G338" s="50" t="n">
        <x:f>IF(C338="","",IFERROR(D338/C338,0))</x:f>
        <x:v>0.7951289398280802</x:v>
      </x:c>
      <x:c r="H338" s="36" t="n">
        <x:v>29</x:v>
      </x:c>
      <x:c r="I338" t="n">
        <x:v>502</x:v>
      </x:c>
      <x:c r="J338" t="n">
        <x:v>8</x:v>
      </x:c>
      <x:c r="K338" t="n">
        <x:v>2</x:v>
      </x:c>
      <x:c r="L338" t="n">
        <x:v>3</x:v>
      </x:c>
      <x:c r="M338" t="n">
        <x:v>2</x:v>
      </x:c>
      <x:c r="N338" t="n">
        <x:v>0</x:v>
      </x:c>
      <x:c r="O338" t="n">
        <x:v>2</x:v>
      </x:c>
      <x:c r="P338" t="n">
        <x:v>1</x:v>
      </x:c>
      <x:c r="Q338" t="n">
        <x:v>0</x:v>
      </x:c>
      <x:c r="R338" t="n">
        <x:v>1</x:v>
      </x:c>
      <x:c r="S338" t="n">
        <x:v>0</x:v>
      </x:c>
      <x:c r="T338" t="n">
        <x:v>0</x:v>
      </x:c>
      <x:c r="U338" s="50" t="n">
        <x:f>IF(D338=0,"",H338/D338)</x:f>
        <x:v>0.05225225225225225</x:v>
      </x:c>
      <x:c r="V338" t="n">
        <x:f>MAX(I338:T338)</x:f>
        <x:v>502</x:v>
      </x:c>
      <x:c r="W338" t="n">
        <x:f>H338-V338</x:f>
        <x:v>-473</x:v>
      </x:c>
      <x:c r="X338" s="52" t="n">
        <x:f>IF(D338=0,"",(W338)/D338)</x:f>
        <x:v>-0.8522522522522522</x:v>
      </x:c>
      <x:c r="Y338" t="str">
        <x:v>DR. MAHESH SHARMA</x:v>
      </x:c>
      <x:c r="Z338" t="n">
        <x:f>D338-E338-F338</x:f>
        <x:v>0</x:v>
      </x:c>
    </x:row>
    <x:row r="339">
      <x:c r="A339" t="n">
        <x:v>331</x:v>
      </x:c>
      <x:c r="B339" t="str">
        <x:v>ADARSH KANYA I. C. T.A. JEWAR R.NO. 1</x:v>
      </x:c>
      <x:c r="C339" t="n">
        <x:v>1207</x:v>
      </x:c>
      <x:c r="D339" t="n">
        <x:v>616</x:v>
      </x:c>
      <x:c r="E339" t="n">
        <x:f>SUM(H339:T339)</x:f>
        <x:v>613</x:v>
      </x:c>
      <x:c r="F339" t="n">
        <x:v>3</x:v>
      </x:c>
      <x:c r="G339" s="50" t="n">
        <x:f>IF(C339="","",IFERROR(D339/C339,0))</x:f>
        <x:v>0.5103562551781275</x:v>
      </x:c>
      <x:c r="H339" s="36" t="n">
        <x:v>579</x:v>
      </x:c>
      <x:c r="I339" t="n">
        <x:v>20</x:v>
      </x:c>
      <x:c r="J339" t="n">
        <x:v>9</x:v>
      </x:c>
      <x:c r="K339" t="n">
        <x:v>1</x:v>
      </x:c>
      <x:c r="L339" t="n">
        <x:v>1</x:v>
      </x:c>
      <x:c r="M339" t="n">
        <x:v>1</x:v>
      </x:c>
      <x:c r="N339" t="n">
        <x:v>1</x:v>
      </x:c>
      <x:c r="O339" t="n">
        <x:v>0</x:v>
      </x:c>
      <x:c r="P339" t="n">
        <x:v>0</x:v>
      </x:c>
      <x:c r="Q339" t="n">
        <x:v>0</x:v>
      </x:c>
      <x:c r="R339" t="n">
        <x:v>1</x:v>
      </x:c>
      <x:c r="S339" t="n">
        <x:v>0</x:v>
      </x:c>
      <x:c r="T339" t="n">
        <x:v>0</x:v>
      </x:c>
      <x:c r="U339" s="50" t="n">
        <x:f>IF(D339=0,"",H339/D339)</x:f>
        <x:v>0.939935064935065</x:v>
      </x:c>
      <x:c r="V339" t="n">
        <x:f>MAX(I339:T339)</x:f>
        <x:v>20</x:v>
      </x:c>
      <x:c r="W339" t="n">
        <x:f>H339-V339</x:f>
        <x:v>559</x:v>
      </x:c>
      <x:c r="X339" s="52" t="n">
        <x:f>IF(D339=0,"",(W339)/D339)</x:f>
        <x:v>0.9074675324675324</x:v>
      </x:c>
      <x:c r="Y339" t="str">
        <x:v>SATVEER</x:v>
      </x:c>
      <x:c r="Z339" t="n">
        <x:f>D339-E339-F339</x:f>
        <x:v>0</x:v>
      </x:c>
    </x:row>
    <x:row r="340">
      <x:c r="A340" t="n">
        <x:v>332</x:v>
      </x:c>
      <x:c r="B340" t="str">
        <x:v>ADARSH KANYA I. C. T.A. JEWAR R.NO. 2</x:v>
      </x:c>
      <x:c r="C340" t="n">
        <x:v>1026</x:v>
      </x:c>
      <x:c r="D340" t="n">
        <x:v>651</x:v>
      </x:c>
      <x:c r="E340" t="n">
        <x:f>SUM(H340:T340)</x:f>
        <x:v>650</x:v>
      </x:c>
      <x:c r="F340" t="n">
        <x:v>1</x:v>
      </x:c>
      <x:c r="G340" s="50" t="n">
        <x:f>IF(C340="","",IFERROR(D340/C340,0))</x:f>
        <x:v>0.6345029239766082</x:v>
      </x:c>
      <x:c r="H340" s="36" t="n">
        <x:v>61</x:v>
      </x:c>
      <x:c r="I340" t="n">
        <x:v>573</x:v>
      </x:c>
      <x:c r="J340" t="n">
        <x:v>13</x:v>
      </x:c>
      <x:c r="K340" t="n">
        <x:v>1</x:v>
      </x:c>
      <x:c r="L340" t="n">
        <x:v>0</x:v>
      </x:c>
      <x:c r="M340" t="n">
        <x:v>2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s="50" t="n">
        <x:f>IF(D340=0,"",H340/D340)</x:f>
        <x:v>0.09370199692780339</x:v>
      </x:c>
      <x:c r="V340" t="n">
        <x:f>MAX(I340:T340)</x:f>
        <x:v>573</x:v>
      </x:c>
      <x:c r="W340" t="n">
        <x:f>H340-V340</x:f>
        <x:v>-512</x:v>
      </x:c>
      <x:c r="X340" s="52" t="n">
        <x:f>IF(D340=0,"",(W340)/D340)</x:f>
        <x:v>-0.7864823348694316</x:v>
      </x:c>
      <x:c r="Y340" t="str">
        <x:v>DR. MAHESH SHARMA</x:v>
      </x:c>
      <x:c r="Z340" t="n">
        <x:f>D340-E340-F340</x:f>
        <x:v>0</x:v>
      </x:c>
    </x:row>
    <x:row r="341">
      <x:c r="A341" t="n">
        <x:v>333</x:v>
      </x:c>
      <x:c r="B341" t="str">
        <x:v>ADARSH KANYA I. C. T.A. JEWAR R.NO. 3</x:v>
      </x:c>
      <x:c r="C341" t="n">
        <x:v>1054</x:v>
      </x:c>
      <x:c r="D341" t="n">
        <x:v>706</x:v>
      </x:c>
      <x:c r="E341" t="n">
        <x:f>SUM(H341:T341)</x:f>
        <x:v>701</x:v>
      </x:c>
      <x:c r="F341" t="n">
        <x:v>5</x:v>
      </x:c>
      <x:c r="G341" s="50" t="n">
        <x:f>IF(C341="","",IFERROR(D341/C341,0))</x:f>
        <x:v>0.6698292220113852</x:v>
      </x:c>
      <x:c r="H341" s="36" t="n">
        <x:v>131</x:v>
      </x:c>
      <x:c r="I341" t="n">
        <x:v>543</x:v>
      </x:c>
      <x:c r="J341" t="n">
        <x:v>23</x:v>
      </x:c>
      <x:c r="K341" t="n">
        <x:v>0</x:v>
      </x:c>
      <x:c r="L341" t="n">
        <x:v>2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s="50" t="n">
        <x:f>IF(D341=0,"",H341/D341)</x:f>
        <x:v>0.18555240793201133</x:v>
      </x:c>
      <x:c r="V341" t="n">
        <x:f>MAX(I341:T341)</x:f>
        <x:v>543</x:v>
      </x:c>
      <x:c r="W341" t="n">
        <x:f>H341-V341</x:f>
        <x:v>-412</x:v>
      </x:c>
      <x:c r="X341" s="52" t="n">
        <x:f>IF(D341=0,"",(W341)/D341)</x:f>
        <x:v>-0.5835694050991501</x:v>
      </x:c>
      <x:c r="Y341" t="str">
        <x:v>DR. MAHESH SHARMA</x:v>
      </x:c>
      <x:c r="Z341" t="n">
        <x:f>D341-E341-F341</x:f>
        <x:v>0</x:v>
      </x:c>
    </x:row>
    <x:row r="342">
      <x:c r="A342" t="n">
        <x:v>334</x:v>
      </x:c>
      <x:c r="B342" t="str">
        <x:v>ADARSH KANYA I. C. T.A. JEWAR R.NO. 4</x:v>
      </x:c>
      <x:c r="C342" t="n">
        <x:v>1184</x:v>
      </x:c>
      <x:c r="D342" t="n">
        <x:v>682</x:v>
      </x:c>
      <x:c r="E342" t="n">
        <x:f>SUM(H342:T342)</x:f>
        <x:v>677</x:v>
      </x:c>
      <x:c r="F342" t="n">
        <x:v>5</x:v>
      </x:c>
      <x:c r="G342" s="50" t="n">
        <x:f>IF(C342="","",IFERROR(D342/C342,0))</x:f>
        <x:v>0.5760135135135135</x:v>
      </x:c>
      <x:c r="H342" s="36" t="n">
        <x:v>340</x:v>
      </x:c>
      <x:c r="I342" t="n">
        <x:v>313</x:v>
      </x:c>
      <x:c r="J342" t="n">
        <x:v>12</x:v>
      </x:c>
      <x:c r="K342" t="n">
        <x:v>0</x:v>
      </x:c>
      <x:c r="L342" t="n">
        <x:v>1</x:v>
      </x:c>
      <x:c r="M342" t="n">
        <x:v>2</x:v>
      </x:c>
      <x:c r="N342" t="n">
        <x:v>1</x:v>
      </x:c>
      <x:c r="O342" t="n">
        <x:v>3</x:v>
      </x:c>
      <x:c r="P342" t="n">
        <x:v>0</x:v>
      </x:c>
      <x:c r="Q342" t="n">
        <x:v>3</x:v>
      </x:c>
      <x:c r="R342" t="n">
        <x:v>2</x:v>
      </x:c>
      <x:c r="S342" t="n">
        <x:v>0</x:v>
      </x:c>
      <x:c r="T342" t="n">
        <x:v>0</x:v>
      </x:c>
      <x:c r="U342" s="50" t="n">
        <x:f>IF(D342=0,"",H342/D342)</x:f>
        <x:v>0.49853372434017595</x:v>
      </x:c>
      <x:c r="V342" t="n">
        <x:f>MAX(I342:T342)</x:f>
        <x:v>313</x:v>
      </x:c>
      <x:c r="W342" t="n">
        <x:f>H342-V342</x:f>
        <x:v>27</x:v>
      </x:c>
      <x:c r="X342" s="52" t="n">
        <x:f>IF(D342=0,"",(W342)/D342)</x:f>
        <x:v>0.039589442815249266</x:v>
      </x:c>
      <x:c r="Y342" t="str">
        <x:v>SATVEER</x:v>
      </x:c>
      <x:c r="Z342" t="n">
        <x:f>D342-E342-F342</x:f>
        <x:v>0</x:v>
      </x:c>
    </x:row>
    <x:row r="343">
      <x:c r="A343" t="n">
        <x:v>335</x:v>
      </x:c>
      <x:c r="B343" t="str">
        <x:v>ADARSH KANYA I. C. T.A. JEWAR R.NO. 5</x:v>
      </x:c>
      <x:c r="C343" t="n">
        <x:v>1193</x:v>
      </x:c>
      <x:c r="D343" t="n">
        <x:v>716</x:v>
      </x:c>
      <x:c r="E343" t="n">
        <x:f>SUM(H343:T343)</x:f>
        <x:v>712</x:v>
      </x:c>
      <x:c r="F343" t="n">
        <x:v>4</x:v>
      </x:c>
      <x:c r="G343" s="50" t="n">
        <x:f>IF(C343="","",IFERROR(D343/C343,0))</x:f>
        <x:v>0.6001676445934618</x:v>
      </x:c>
      <x:c r="H343" s="36" t="n">
        <x:v>587</x:v>
      </x:c>
      <x:c r="I343" t="n">
        <x:v>111</x:v>
      </x:c>
      <x:c r="J343" t="n">
        <x:v>6</x:v>
      </x:c>
      <x:c r="K343" t="n">
        <x:v>3</x:v>
      </x:c>
      <x:c r="L343" t="n">
        <x:v>0</x:v>
      </x:c>
      <x:c r="M343" t="n">
        <x:v>4</x:v>
      </x:c>
      <x:c r="N343" t="n">
        <x:v>0</x:v>
      </x:c>
      <x:c r="O343" t="n">
        <x:v>0</x:v>
      </x:c>
      <x:c r="P343" t="n">
        <x:v>0</x:v>
      </x:c>
      <x:c r="Q343" t="n">
        <x:v>1</x:v>
      </x:c>
      <x:c r="R343" t="n">
        <x:v>0</x:v>
      </x:c>
      <x:c r="S343" t="n">
        <x:v>0</x:v>
      </x:c>
      <x:c r="T343" t="n">
        <x:v>0</x:v>
      </x:c>
      <x:c r="U343" s="50" t="n">
        <x:f>IF(D343=0,"",H343/D343)</x:f>
        <x:v>0.8198324022346368</x:v>
      </x:c>
      <x:c r="V343" t="n">
        <x:f>MAX(I343:T343)</x:f>
        <x:v>111</x:v>
      </x:c>
      <x:c r="W343" t="n">
        <x:f>H343-V343</x:f>
        <x:v>476</x:v>
      </x:c>
      <x:c r="X343" s="52" t="n">
        <x:f>IF(D343=0,"",(W343)/D343)</x:f>
        <x:v>0.664804469273743</x:v>
      </x:c>
      <x:c r="Y343" t="str">
        <x:v>SATVEER</x:v>
      </x:c>
      <x:c r="Z343" t="n">
        <x:f>D343-E343-F343</x:f>
        <x:v>0</x:v>
      </x:c>
    </x:row>
    <x:row r="344">
      <x:c r="A344" t="n">
        <x:v>336</x:v>
      </x:c>
      <x:c r="B344" t="str">
        <x:v>PRY. SCHOOL T.A. JEWAR R.NO. 1</x:v>
      </x:c>
      <x:c r="C344" t="n">
        <x:v>778</x:v>
      </x:c>
      <x:c r="D344" t="n">
        <x:v>451</x:v>
      </x:c>
      <x:c r="E344" t="n">
        <x:f>SUM(H344:T344)</x:f>
        <x:v>448</x:v>
      </x:c>
      <x:c r="F344" t="n">
        <x:v>3</x:v>
      </x:c>
      <x:c r="G344" s="50" t="n">
        <x:f>IF(C344="","",IFERROR(D344/C344,0))</x:f>
        <x:v>0.5796915167095116</x:v>
      </x:c>
      <x:c r="H344" s="36" t="n">
        <x:v>63</x:v>
      </x:c>
      <x:c r="I344" t="n">
        <x:v>373</x:v>
      </x:c>
      <x:c r="J344" t="n">
        <x:v>6</x:v>
      </x:c>
      <x:c r="K344" t="n">
        <x:v>3</x:v>
      </x:c>
      <x:c r="L344" t="n">
        <x:v>2</x:v>
      </x:c>
      <x:c r="M344" t="n">
        <x:v>1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s="50" t="n">
        <x:f>IF(D344=0,"",H344/D344)</x:f>
        <x:v>0.13968957871396895</x:v>
      </x:c>
      <x:c r="V344" t="n">
        <x:f>MAX(I344:T344)</x:f>
        <x:v>373</x:v>
      </x:c>
      <x:c r="W344" t="n">
        <x:f>H344-V344</x:f>
        <x:v>-310</x:v>
      </x:c>
      <x:c r="X344" s="52" t="n">
        <x:f>IF(D344=0,"",(W344)/D344)</x:f>
        <x:v>-0.6873614190687362</x:v>
      </x:c>
      <x:c r="Y344" t="str">
        <x:v>DR. MAHESH SHARMA</x:v>
      </x:c>
      <x:c r="Z344" t="n">
        <x:f>D344-E344-F344</x:f>
        <x:v>0</x:v>
      </x:c>
    </x:row>
    <x:row r="345">
      <x:c r="A345" t="n">
        <x:v>337</x:v>
      </x:c>
      <x:c r="B345" t="str">
        <x:v>PRY. SCHOOL T.A. JEWAR R.NO. 2</x:v>
      </x:c>
      <x:c r="C345" t="n">
        <x:v>1130</x:v>
      </x:c>
      <x:c r="D345" t="n">
        <x:v>718</x:v>
      </x:c>
      <x:c r="E345" t="n">
        <x:f>SUM(H345:T345)</x:f>
        <x:v>717</x:v>
      </x:c>
      <x:c r="F345" t="n">
        <x:v>1</x:v>
      </x:c>
      <x:c r="G345" s="50" t="n">
        <x:f>IF(C345="","",IFERROR(D345/C345,0))</x:f>
        <x:v>0.6353982300884956</x:v>
      </x:c>
      <x:c r="H345" s="36" t="n">
        <x:v>559</x:v>
      </x:c>
      <x:c r="I345" t="n">
        <x:v>139</x:v>
      </x:c>
      <x:c r="J345" t="n">
        <x:v>7</x:v>
      </x:c>
      <x:c r="K345" t="n">
        <x:v>1</x:v>
      </x:c>
      <x:c r="L345" t="n">
        <x:v>2</x:v>
      </x:c>
      <x:c r="M345" t="n">
        <x:v>4</x:v>
      </x:c>
      <x:c r="N345" t="n">
        <x:v>0</x:v>
      </x:c>
      <x:c r="O345" t="n">
        <x:v>1</x:v>
      </x:c>
      <x:c r="P345" t="n">
        <x:v>2</x:v>
      </x:c>
      <x:c r="Q345" t="n">
        <x:v>0</x:v>
      </x:c>
      <x:c r="R345" t="n">
        <x:v>1</x:v>
      </x:c>
      <x:c r="S345" t="n">
        <x:v>1</x:v>
      </x:c>
      <x:c r="T345" t="n">
        <x:v>0</x:v>
      </x:c>
      <x:c r="U345" s="50" t="n">
        <x:f>IF(D345=0,"",H345/D345)</x:f>
        <x:v>0.7785515320334262</x:v>
      </x:c>
      <x:c r="V345" t="n">
        <x:f>MAX(I345:T345)</x:f>
        <x:v>139</x:v>
      </x:c>
      <x:c r="W345" t="n">
        <x:f>H345-V345</x:f>
        <x:v>420</x:v>
      </x:c>
      <x:c r="X345" s="52" t="n">
        <x:f>IF(D345=0,"",(W345)/D345)</x:f>
        <x:v>0.584958217270195</x:v>
      </x:c>
      <x:c r="Y345" t="str">
        <x:v>SATVEER</x:v>
      </x:c>
      <x:c r="Z345" t="n">
        <x:f>D345-E345-F345</x:f>
        <x:v>0</x:v>
      </x:c>
    </x:row>
    <x:row r="346">
      <x:c r="A346" t="n">
        <x:v>338</x:v>
      </x:c>
      <x:c r="B346" t="str">
        <x:v>JANTA I. C. T. A. JEWAR R.NO. 1</x:v>
      </x:c>
      <x:c r="C346" t="n">
        <x:v>955</x:v>
      </x:c>
      <x:c r="D346" t="n">
        <x:v>636</x:v>
      </x:c>
      <x:c r="E346" t="n">
        <x:f>SUM(H346:T346)</x:f>
        <x:v>629</x:v>
      </x:c>
      <x:c r="F346" t="n">
        <x:v>7</x:v>
      </x:c>
      <x:c r="G346" s="50" t="n">
        <x:f>IF(C346="","",IFERROR(D346/C346,0))</x:f>
        <x:v>0.6659685863874345</x:v>
      </x:c>
      <x:c r="H346" s="36" t="n">
        <x:v>279</x:v>
      </x:c>
      <x:c r="I346" t="n">
        <x:v>313</x:v>
      </x:c>
      <x:c r="J346" t="n">
        <x:v>11</x:v>
      </x:c>
      <x:c r="K346" t="n">
        <x:v>7</x:v>
      </x:c>
      <x:c r="L346" t="n">
        <x:v>4</x:v>
      </x:c>
      <x:c r="M346" t="n">
        <x:v>5</x:v>
      </x:c>
      <x:c r="N346" t="n">
        <x:v>1</x:v>
      </x:c>
      <x:c r="O346" t="n">
        <x:v>0</x:v>
      </x:c>
      <x:c r="P346" t="n">
        <x:v>2</x:v>
      </x:c>
      <x:c r="Q346" t="n">
        <x:v>1</x:v>
      </x:c>
      <x:c r="R346" t="n">
        <x:v>2</x:v>
      </x:c>
      <x:c r="S346" t="n">
        <x:v>1</x:v>
      </x:c>
      <x:c r="T346" t="n">
        <x:v>3</x:v>
      </x:c>
      <x:c r="U346" s="50" t="n">
        <x:f>IF(D346=0,"",H346/D346)</x:f>
        <x:v>0.4386792452830189</x:v>
      </x:c>
      <x:c r="V346" t="n">
        <x:f>MAX(I346:T346)</x:f>
        <x:v>313</x:v>
      </x:c>
      <x:c r="W346" t="n">
        <x:f>H346-V346</x:f>
        <x:v>-34</x:v>
      </x:c>
      <x:c r="X346" s="52" t="n">
        <x:f>IF(D346=0,"",(W346)/D346)</x:f>
        <x:v>-0.05345911949685535</x:v>
      </x:c>
      <x:c r="Y346" t="str">
        <x:v>DR. MAHESH SHARMA</x:v>
      </x:c>
      <x:c r="Z346" t="n">
        <x:f>D346-E346-F346</x:f>
        <x:v>0</x:v>
      </x:c>
    </x:row>
    <x:row r="347">
      <x:c r="A347" t="n">
        <x:v>339</x:v>
      </x:c>
      <x:c r="B347" t="str">
        <x:v>JANTA I. C. T. A. JEWAR R.NO. 2</x:v>
      </x:c>
      <x:c r="C347" t="n">
        <x:v>942</x:v>
      </x:c>
      <x:c r="D347" t="n">
        <x:v>449</x:v>
      </x:c>
      <x:c r="E347" t="n">
        <x:f>SUM(H347:T347)</x:f>
        <x:v>442</x:v>
      </x:c>
      <x:c r="F347" t="n">
        <x:v>7</x:v>
      </x:c>
      <x:c r="G347" s="50" t="n">
        <x:f>IF(C347="","",IFERROR(D347/C347,0))</x:f>
        <x:v>0.47664543524416136</x:v>
      </x:c>
      <x:c r="H347" s="36" t="n">
        <x:v>263</x:v>
      </x:c>
      <x:c r="I347" t="n">
        <x:v>167</x:v>
      </x:c>
      <x:c r="J347" t="n">
        <x:v>3</x:v>
      </x:c>
      <x:c r="K347" t="n">
        <x:v>2</x:v>
      </x:c>
      <x:c r="L347" t="n">
        <x:v>3</x:v>
      </x:c>
      <x:c r="M347" t="n">
        <x:v>2</x:v>
      </x:c>
      <x:c r="N347" t="n">
        <x:v>0</x:v>
      </x:c>
      <x:c r="O347" t="n">
        <x:v>0</x:v>
      </x:c>
      <x:c r="P347" t="n">
        <x:v>1</x:v>
      </x:c>
      <x:c r="Q347" t="n">
        <x:v>0</x:v>
      </x:c>
      <x:c r="R347" t="n">
        <x:v>1</x:v>
      </x:c>
      <x:c r="S347" t="n">
        <x:v>0</x:v>
      </x:c>
      <x:c r="T347" t="n">
        <x:v>0</x:v>
      </x:c>
      <x:c r="U347" s="50" t="n">
        <x:f>IF(D347=0,"",H347/D347)</x:f>
        <x:v>0.5857461024498887</x:v>
      </x:c>
      <x:c r="V347" t="n">
        <x:f>MAX(I347:T347)</x:f>
        <x:v>167</x:v>
      </x:c>
      <x:c r="W347" t="n">
        <x:f>H347-V347</x:f>
        <x:v>96</x:v>
      </x:c>
      <x:c r="X347" s="52" t="n">
        <x:f>IF(D347=0,"",(W347)/D347)</x:f>
        <x:v>0.21380846325167038</x:v>
      </x:c>
      <x:c r="Y347" t="str">
        <x:v>SATVEER</x:v>
      </x:c>
      <x:c r="Z347" t="n">
        <x:f>D347-E347-F347</x:f>
        <x:v>0</x:v>
      </x:c>
    </x:row>
    <x:row r="348">
      <x:c r="A348" t="n">
        <x:v>340</x:v>
      </x:c>
      <x:c r="B348" t="str">
        <x:v>JANTA I. C. T. A. JEWAR R.NO. 3</x:v>
      </x:c>
      <x:c r="C348" t="n">
        <x:v>864</x:v>
      </x:c>
      <x:c r="D348" t="n">
        <x:v>514</x:v>
      </x:c>
      <x:c r="E348" t="n">
        <x:f>SUM(H348:T348)</x:f>
        <x:v>512</x:v>
      </x:c>
      <x:c r="F348" t="n">
        <x:v>2</x:v>
      </x:c>
      <x:c r="G348" s="50" t="n">
        <x:f>IF(C348="","",IFERROR(D348/C348,0))</x:f>
        <x:v>0.5949074074074074</x:v>
      </x:c>
      <x:c r="H348" s="36" t="n">
        <x:v>181</x:v>
      </x:c>
      <x:c r="I348" t="n">
        <x:v>313</x:v>
      </x:c>
      <x:c r="J348" t="n">
        <x:v>15</x:v>
      </x:c>
      <x:c r="K348" t="n">
        <x:v>0</x:v>
      </x:c>
      <x:c r="L348" t="n">
        <x:v>1</x:v>
      </x:c>
      <x:c r="M348" t="n">
        <x:v>1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1</x:v>
      </x:c>
      <x:c r="S348" t="n">
        <x:v>0</x:v>
      </x:c>
      <x:c r="T348" t="n">
        <x:v>0</x:v>
      </x:c>
      <x:c r="U348" s="50" t="n">
        <x:f>IF(D348=0,"",H348/D348)</x:f>
        <x:v>0.3521400778210117</x:v>
      </x:c>
      <x:c r="V348" t="n">
        <x:f>MAX(I348:T348)</x:f>
        <x:v>313</x:v>
      </x:c>
      <x:c r="W348" t="n">
        <x:f>H348-V348</x:f>
        <x:v>-132</x:v>
      </x:c>
      <x:c r="X348" s="52" t="n">
        <x:f>IF(D348=0,"",(W348)/D348)</x:f>
        <x:v>-0.25680933852140075</x:v>
      </x:c>
      <x:c r="Y348" t="str">
        <x:v>DR. MAHESH SHARMA</x:v>
      </x:c>
      <x:c r="Z348" t="n">
        <x:f>D348-E348-F348</x:f>
        <x:v>0</x:v>
      </x:c>
    </x:row>
    <x:row r="349">
      <x:c r="A349" t="n">
        <x:v>341</x:v>
      </x:c>
      <x:c r="B349" t="str">
        <x:v>JANTA I. C. T. A. JEWAR R.NO. 4</x:v>
      </x:c>
      <x:c r="C349" t="n">
        <x:v>789</x:v>
      </x:c>
      <x:c r="D349" t="n">
        <x:v>418</x:v>
      </x:c>
      <x:c r="E349" t="n">
        <x:f>SUM(H349:T349)</x:f>
        <x:v>412</x:v>
      </x:c>
      <x:c r="F349" t="n">
        <x:v>6</x:v>
      </x:c>
      <x:c r="G349" s="50" t="n">
        <x:f>IF(C349="","",IFERROR(D349/C349,0))</x:f>
        <x:v>0.5297845373891001</x:v>
      </x:c>
      <x:c r="H349" s="36" t="n">
        <x:v>71</x:v>
      </x:c>
      <x:c r="I349" t="n">
        <x:v>324</x:v>
      </x:c>
      <x:c r="J349" t="n">
        <x:v>15</x:v>
      </x:c>
      <x:c r="K349" t="n">
        <x:v>0</x:v>
      </x:c>
      <x:c r="L349" t="n">
        <x:v>1</x:v>
      </x:c>
      <x:c r="M349" t="n">
        <x:v>1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s="50" t="n">
        <x:f>IF(D349=0,"",H349/D349)</x:f>
        <x:v>0.16985645933014354</x:v>
      </x:c>
      <x:c r="V349" t="n">
        <x:f>MAX(I349:T349)</x:f>
        <x:v>324</x:v>
      </x:c>
      <x:c r="W349" t="n">
        <x:f>H349-V349</x:f>
        <x:v>-253</x:v>
      </x:c>
      <x:c r="X349" s="52" t="n">
        <x:f>IF(D349=0,"",(W349)/D349)</x:f>
        <x:v>-0.6052631578947368</x:v>
      </x:c>
      <x:c r="Y349" t="str">
        <x:v>DR. MAHESH SHARMA</x:v>
      </x:c>
      <x:c r="Z349" t="n">
        <x:f>D349-E349-F349</x:f>
        <x:v>0</x:v>
      </x:c>
    </x:row>
    <x:row r="350">
      <x:c r="A350" t="n">
        <x:v>342</x:v>
      </x:c>
      <x:c r="B350" t="str">
        <x:v>JANTA I. C. T. A. JEWAR R.NO. 5</x:v>
      </x:c>
      <x:c r="C350" t="n">
        <x:v>1016</x:v>
      </x:c>
      <x:c r="D350" t="n">
        <x:v>575</x:v>
      </x:c>
      <x:c r="E350" t="n">
        <x:f>SUM(H350:T350)</x:f>
        <x:v>569</x:v>
      </x:c>
      <x:c r="F350" t="n">
        <x:v>6</x:v>
      </x:c>
      <x:c r="G350" s="50" t="n">
        <x:f>IF(C350="","",IFERROR(D350/C350,0))</x:f>
        <x:v>0.5659448818897638</x:v>
      </x:c>
      <x:c r="H350" s="36" t="n">
        <x:v>497</x:v>
      </x:c>
      <x:c r="I350" t="n">
        <x:v>55</x:v>
      </x:c>
      <x:c r="J350" t="n">
        <x:v>9</x:v>
      </x:c>
      <x:c r="K350" t="n">
        <x:v>4</x:v>
      </x:c>
      <x:c r="L350" t="n">
        <x:v>0</x:v>
      </x:c>
      <x:c r="M350" t="n">
        <x:v>2</x:v>
      </x:c>
      <x:c r="N350" t="n">
        <x:v>0</x:v>
      </x:c>
      <x:c r="O350" t="n">
        <x:v>0</x:v>
      </x:c>
      <x:c r="P350" t="n">
        <x:v>0</x:v>
      </x:c>
      <x:c r="Q350" t="n">
        <x:v>2</x:v>
      </x:c>
      <x:c r="R350" t="n">
        <x:v>0</x:v>
      </x:c>
      <x:c r="S350" t="n">
        <x:v>0</x:v>
      </x:c>
      <x:c r="T350" t="n">
        <x:v>0</x:v>
      </x:c>
      <x:c r="U350" s="50" t="n">
        <x:f>IF(D350=0,"",H350/D350)</x:f>
        <x:v>0.8643478260869565</x:v>
      </x:c>
      <x:c r="V350" t="n">
        <x:f>MAX(I350:T350)</x:f>
        <x:v>55</x:v>
      </x:c>
      <x:c r="W350" t="n">
        <x:f>H350-V350</x:f>
        <x:v>442</x:v>
      </x:c>
      <x:c r="X350" s="52" t="n">
        <x:f>IF(D350=0,"",(W350)/D350)</x:f>
        <x:v>0.768695652173913</x:v>
      </x:c>
      <x:c r="Y350" t="str">
        <x:v>SATVEER</x:v>
      </x:c>
      <x:c r="Z350" t="n">
        <x:f>D350-E350-F350</x:f>
        <x:v>0</x:v>
      </x:c>
    </x:row>
    <x:row r="351">
      <x:c r="A351" t="n">
        <x:v>343</x:v>
      </x:c>
      <x:c r="B351" t="str">
        <x:v>JANTA I. C. T. A. JEWAR R.NO. 6</x:v>
      </x:c>
      <x:c r="C351" t="n">
        <x:v>859</x:v>
      </x:c>
      <x:c r="D351" t="n">
        <x:v>440</x:v>
      </x:c>
      <x:c r="E351" t="n">
        <x:f>SUM(H351:T351)</x:f>
        <x:v>434</x:v>
      </x:c>
      <x:c r="F351" t="n">
        <x:v>6</x:v>
      </x:c>
      <x:c r="G351" s="50" t="n">
        <x:f>IF(C351="","",IFERROR(D351/C351,0))</x:f>
        <x:v>0.5122235157159488</x:v>
      </x:c>
      <x:c r="H351" s="36" t="n">
        <x:v>274</x:v>
      </x:c>
      <x:c r="I351" t="n">
        <x:v>146</x:v>
      </x:c>
      <x:c r="J351" t="n">
        <x:v>10</x:v>
      </x:c>
      <x:c r="K351" t="n">
        <x:v>1</x:v>
      </x:c>
      <x:c r="L351" t="n">
        <x:v>0</x:v>
      </x:c>
      <x:c r="M351" t="n">
        <x:v>0</x:v>
      </x:c>
      <x:c r="N351" t="n">
        <x:v>0</x:v>
      </x:c>
      <x:c r="O351" t="n">
        <x:v>1</x:v>
      </x:c>
      <x:c r="P351" t="n">
        <x:v>0</x:v>
      </x:c>
      <x:c r="Q351" t="n">
        <x:v>0</x:v>
      </x:c>
      <x:c r="R351" t="n">
        <x:v>0</x:v>
      </x:c>
      <x:c r="S351" t="n">
        <x:v>1</x:v>
      </x:c>
      <x:c r="T351" t="n">
        <x:v>1</x:v>
      </x:c>
      <x:c r="U351" s="50" t="n">
        <x:f>IF(D351=0,"",H351/D351)</x:f>
        <x:v>0.6227272727272727</x:v>
      </x:c>
      <x:c r="V351" t="n">
        <x:f>MAX(I351:T351)</x:f>
        <x:v>146</x:v>
      </x:c>
      <x:c r="W351" t="n">
        <x:f>H351-V351</x:f>
        <x:v>128</x:v>
      </x:c>
      <x:c r="X351" s="52" t="n">
        <x:f>IF(D351=0,"",(W351)/D351)</x:f>
        <x:v>0.2909090909090909</x:v>
      </x:c>
      <x:c r="Y351" t="str">
        <x:v>SATVEER</x:v>
      </x:c>
      <x:c r="Z351" t="n">
        <x:f>D351-E351-F351</x:f>
        <x:v>0</x:v>
      </x:c>
    </x:row>
    <x:row r="352">
      <x:c r="A352" t="n">
        <x:v>344</x:v>
      </x:c>
      <x:c r="B352" t="str">
        <x:v>PRY. SCHOOL VENA ROAD JEWAR R.NO. 1</x:v>
      </x:c>
      <x:c r="C352" t="n">
        <x:v>569</x:v>
      </x:c>
      <x:c r="D352" t="n">
        <x:v>365</x:v>
      </x:c>
      <x:c r="E352" t="n">
        <x:f>SUM(H352:T352)</x:f>
        <x:v>365</x:v>
      </x:c>
      <x:c r="F352" t="n">
        <x:v>0</x:v>
      </x:c>
      <x:c r="G352" s="50" t="n">
        <x:f>IF(C352="","",IFERROR(D352/C352,0))</x:f>
        <x:v>0.6414762741652021</x:v>
      </x:c>
      <x:c r="H352" s="36" t="n">
        <x:v>330</x:v>
      </x:c>
      <x:c r="I352" t="n">
        <x:v>30</x:v>
      </x:c>
      <x:c r="J352" t="n">
        <x:v>1</x:v>
      </x:c>
      <x:c r="K352" t="n">
        <x:v>2</x:v>
      </x:c>
      <x:c r="L352" t="n">
        <x:v>0</x:v>
      </x:c>
      <x:c r="M352" t="n">
        <x:v>2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s="50" t="n">
        <x:f>IF(D352=0,"",H352/D352)</x:f>
        <x:v>0.9041095890410958</x:v>
      </x:c>
      <x:c r="V352" t="n">
        <x:f>MAX(I352:T352)</x:f>
        <x:v>30</x:v>
      </x:c>
      <x:c r="W352" t="n">
        <x:f>H352-V352</x:f>
        <x:v>300</x:v>
      </x:c>
      <x:c r="X352" s="52" t="n">
        <x:f>IF(D352=0,"",(W352)/D352)</x:f>
        <x:v>0.821917808219178</x:v>
      </x:c>
      <x:c r="Y352" t="str">
        <x:v>SATVEER</x:v>
      </x:c>
      <x:c r="Z352" t="n">
        <x:f>D352-E352-F352</x:f>
        <x:v>0</x:v>
      </x:c>
    </x:row>
    <x:row r="353">
      <x:c r="A353" t="n">
        <x:v>345</x:v>
      </x:c>
      <x:c r="B353" t="str">
        <x:v>PRY. SCHOOL VENA ROAD JEWAR R.NO. 2</x:v>
      </x:c>
      <x:c r="C353" t="n">
        <x:v>1000</x:v>
      </x:c>
      <x:c r="D353" t="n">
        <x:v>554</x:v>
      </x:c>
      <x:c r="E353" t="n">
        <x:f>SUM(H353:T353)</x:f>
        <x:v>552</x:v>
      </x:c>
      <x:c r="F353" t="n">
        <x:v>2</x:v>
      </x:c>
      <x:c r="G353" s="50" t="n">
        <x:f>IF(C353="","",IFERROR(D353/C353,0))</x:f>
        <x:v>0.554</x:v>
      </x:c>
      <x:c r="H353" s="36" t="n">
        <x:v>185</x:v>
      </x:c>
      <x:c r="I353" t="n">
        <x:v>342</x:v>
      </x:c>
      <x:c r="J353" t="n">
        <x:v>21</x:v>
      </x:c>
      <x:c r="K353" t="n">
        <x:v>0</x:v>
      </x:c>
      <x:c r="L353" t="n">
        <x:v>1</x:v>
      </x:c>
      <x:c r="M353" t="n">
        <x:v>1</x:v>
      </x:c>
      <x:c r="N353" t="n">
        <x:v>1</x:v>
      </x:c>
      <x:c r="O353" t="n">
        <x:v>0</x:v>
      </x:c>
      <x:c r="P353" t="n">
        <x:v>0</x:v>
      </x:c>
      <x:c r="Q353" t="n">
        <x:v>1</x:v>
      </x:c>
      <x:c r="R353" t="n">
        <x:v>0</x:v>
      </x:c>
      <x:c r="S353" t="n">
        <x:v>0</x:v>
      </x:c>
      <x:c r="T353" t="n">
        <x:v>0</x:v>
      </x:c>
      <x:c r="U353" s="50" t="n">
        <x:f>IF(D353=0,"",H353/D353)</x:f>
        <x:v>0.33393501805054154</x:v>
      </x:c>
      <x:c r="V353" t="n">
        <x:f>MAX(I353:T353)</x:f>
        <x:v>342</x:v>
      </x:c>
      <x:c r="W353" t="n">
        <x:f>H353-V353</x:f>
        <x:v>-157</x:v>
      </x:c>
      <x:c r="X353" s="52" t="n">
        <x:f>IF(D353=0,"",(W353)/D353)</x:f>
        <x:v>-0.2833935018050541</x:v>
      </x:c>
      <x:c r="Y353" t="str">
        <x:v>DR. MAHESH SHARMA</x:v>
      </x:c>
      <x:c r="Z353" t="n">
        <x:f>D353-E353-F353</x:f>
        <x:v>0</x:v>
      </x:c>
    </x:row>
    <x:row r="354">
      <x:c r="A354" t="n">
        <x:v>346</x:v>
      </x:c>
      <x:c r="B354" t="str">
        <x:v>PRY. SCHOOL VENA ROAD JEWAR R.NO. 3</x:v>
      </x:c>
      <x:c r="C354" t="n">
        <x:v>1109</x:v>
      </x:c>
      <x:c r="D354" t="n">
        <x:v>656</x:v>
      </x:c>
      <x:c r="E354" t="n">
        <x:f>SUM(H354:T354)</x:f>
        <x:v>647</x:v>
      </x:c>
      <x:c r="F354" t="n">
        <x:v>9</x:v>
      </x:c>
      <x:c r="G354" s="50" t="n">
        <x:f>IF(C354="","",IFERROR(D354/C354,0))</x:f>
        <x:v>0.5915238954012624</x:v>
      </x:c>
      <x:c r="H354" s="36" t="n">
        <x:v>451</x:v>
      </x:c>
      <x:c r="I354" t="n">
        <x:v>173</x:v>
      </x:c>
      <x:c r="J354" t="n">
        <x:v>14</x:v>
      </x:c>
      <x:c r="K354" t="n">
        <x:v>1</x:v>
      </x:c>
      <x:c r="L354" t="n">
        <x:v>3</x:v>
      </x:c>
      <x:c r="M354" t="n">
        <x:v>2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3</x:v>
      </x:c>
      <x:c r="U354" s="50" t="n">
        <x:f>IF(D354=0,"",H354/D354)</x:f>
        <x:v>0.6875</x:v>
      </x:c>
      <x:c r="V354" t="n">
        <x:f>MAX(I354:T354)</x:f>
        <x:v>173</x:v>
      </x:c>
      <x:c r="W354" t="n">
        <x:f>H354-V354</x:f>
        <x:v>278</x:v>
      </x:c>
      <x:c r="X354" s="52" t="n">
        <x:f>IF(D354=0,"",(W354)/D354)</x:f>
        <x:v>0.42378048780487804</x:v>
      </x:c>
      <x:c r="Y354" t="str">
        <x:v>SATVEER</x:v>
      </x:c>
      <x:c r="Z354" t="n">
        <x:f>D354-E354-F354</x:f>
        <x:v>0</x:v>
      </x:c>
    </x:row>
    <x:row r="355">
      <x:c r="A355" t="n">
        <x:v>347</x:v>
      </x:c>
      <x:c r="B355" t="str">
        <x:v>KANWAR TECHNICAL I.C.T.A. JEWAR R.NO. 1</x:v>
      </x:c>
      <x:c r="C355" t="n">
        <x:v>889</x:v>
      </x:c>
      <x:c r="D355" t="n">
        <x:v>566</x:v>
      </x:c>
      <x:c r="E355" t="n">
        <x:f>SUM(H355:T355)</x:f>
        <x:v>560</x:v>
      </x:c>
      <x:c r="F355" t="n">
        <x:v>6</x:v>
      </x:c>
      <x:c r="G355" s="50" t="n">
        <x:f>IF(C355="","",IFERROR(D355/C355,0))</x:f>
        <x:v>0.6366704161979753</x:v>
      </x:c>
      <x:c r="H355" s="36" t="n">
        <x:v>87</x:v>
      </x:c>
      <x:c r="I355" t="n">
        <x:v>420</x:v>
      </x:c>
      <x:c r="J355" t="n">
        <x:v>46</x:v>
      </x:c>
      <x:c r="K355" t="n">
        <x:v>3</x:v>
      </x:c>
      <x:c r="L355" t="n">
        <x:v>3</x:v>
      </x:c>
      <x:c r="M355" t="n">
        <x:v>1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s="50" t="n">
        <x:f>IF(D355=0,"",H355/D355)</x:f>
        <x:v>0.15371024734982333</x:v>
      </x:c>
      <x:c r="V355" t="n">
        <x:f>MAX(I355:T355)</x:f>
        <x:v>420</x:v>
      </x:c>
      <x:c r="W355" t="n">
        <x:f>H355-V355</x:f>
        <x:v>-333</x:v>
      </x:c>
      <x:c r="X355" s="52" t="n">
        <x:f>IF(D355=0,"",(W355)/D355)</x:f>
        <x:v>-0.588339222614841</x:v>
      </x:c>
      <x:c r="Y355" t="str">
        <x:v>DR. MAHESH SHARMA</x:v>
      </x:c>
      <x:c r="Z355" t="n">
        <x:f>D355-E355-F355</x:f>
        <x:v>0</x:v>
      </x:c>
    </x:row>
    <x:row r="356">
      <x:c r="A356" t="n">
        <x:v>348</x:v>
      </x:c>
      <x:c r="B356" t="str">
        <x:v>KANWAR TECHNICAL I.C.T.A. JEWAR R.NO. 2</x:v>
      </x:c>
      <x:c r="C356" t="n">
        <x:v>797</x:v>
      </x:c>
      <x:c r="D356" t="n">
        <x:v>495</x:v>
      </x:c>
      <x:c r="E356" t="n">
        <x:f>SUM(H356:T356)</x:f>
        <x:v>493</x:v>
      </x:c>
      <x:c r="F356" t="n">
        <x:v>2</x:v>
      </x:c>
      <x:c r="G356" s="50" t="n">
        <x:f>IF(C356="","",IFERROR(D356/C356,0))</x:f>
        <x:v>0.6210790464240903</x:v>
      </x:c>
      <x:c r="H356" s="36" t="n">
        <x:v>285</x:v>
      </x:c>
      <x:c r="I356" t="n">
        <x:v>203</x:v>
      </x:c>
      <x:c r="J356" t="n">
        <x:v>3</x:v>
      </x:c>
      <x:c r="K356" t="n">
        <x:v>0</x:v>
      </x:c>
      <x:c r="L356" t="n">
        <x:v>0</x:v>
      </x:c>
      <x:c r="M356" t="n">
        <x:v>2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s="50" t="n">
        <x:f>IF(D356=0,"",H356/D356)</x:f>
        <x:v>0.5757575757575758</x:v>
      </x:c>
      <x:c r="V356" t="n">
        <x:f>MAX(I356:T356)</x:f>
        <x:v>203</x:v>
      </x:c>
      <x:c r="W356" t="n">
        <x:f>H356-V356</x:f>
        <x:v>82</x:v>
      </x:c>
      <x:c r="X356" s="52" t="n">
        <x:f>IF(D356=0,"",(W356)/D356)</x:f>
        <x:v>0.16565656565656567</x:v>
      </x:c>
      <x:c r="Y356" t="str">
        <x:v>SATVEER</x:v>
      </x:c>
      <x:c r="Z356" t="n">
        <x:f>D356-E356-F356</x:f>
        <x:v>0</x:v>
      </x:c>
    </x:row>
    <x:row r="357">
      <x:c r="A357" t="n">
        <x:v>349</x:v>
      </x:c>
      <x:c r="B357" t="str">
        <x:v>KANWAR TECHNICAL I.C.T.A. JEWAR R.NO. 3</x:v>
      </x:c>
      <x:c r="C357" t="n">
        <x:v>1082</x:v>
      </x:c>
      <x:c r="D357" t="n">
        <x:v>620</x:v>
      </x:c>
      <x:c r="E357" t="n">
        <x:f>SUM(H357:T357)</x:f>
        <x:v>618</x:v>
      </x:c>
      <x:c r="F357" t="n">
        <x:v>2</x:v>
      </x:c>
      <x:c r="G357" s="50" t="n">
        <x:f>IF(C357="","",IFERROR(D357/C357,0))</x:f>
        <x:v>0.5730129390018485</x:v>
      </x:c>
      <x:c r="H357" s="36" t="n">
        <x:v>426</x:v>
      </x:c>
      <x:c r="I357" t="n">
        <x:v>164</x:v>
      </x:c>
      <x:c r="J357" t="n">
        <x:v>18</x:v>
      </x:c>
      <x:c r="K357" t="n">
        <x:v>1</x:v>
      </x:c>
      <x:c r="L357" t="n">
        <x:v>0</x:v>
      </x:c>
      <x:c r="M357" t="n">
        <x:v>6</x:v>
      </x:c>
      <x:c r="N357" t="n">
        <x:v>2</x:v>
      </x:c>
      <x:c r="O357" t="n">
        <x:v>1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s="50" t="n">
        <x:f>IF(D357=0,"",H357/D357)</x:f>
        <x:v>0.6870967741935484</x:v>
      </x:c>
      <x:c r="V357" t="n">
        <x:f>MAX(I357:T357)</x:f>
        <x:v>164</x:v>
      </x:c>
      <x:c r="W357" t="n">
        <x:f>H357-V357</x:f>
        <x:v>262</x:v>
      </x:c>
      <x:c r="X357" s="52" t="n">
        <x:f>IF(D357=0,"",(W357)/D357)</x:f>
        <x:v>0.42258064516129035</x:v>
      </x:c>
      <x:c r="Y357" t="str">
        <x:v>SATVEER</x:v>
      </x:c>
      <x:c r="Z357" t="n">
        <x:f>D357-E357-F357</x:f>
        <x:v>0</x:v>
      </x:c>
    </x:row>
    <x:row r="358">
      <x:c r="A358" t="n">
        <x:v>350</x:v>
      </x:c>
      <x:c r="B358" t="str">
        <x:v>PRY. SCHOOL MIRPUR KACHCHH URF KANIGARHI R.NO. 1</x:v>
      </x:c>
      <x:c r="C358" t="n">
        <x:v>1093</x:v>
      </x:c>
      <x:c r="D358" t="n">
        <x:v>829</x:v>
      </x:c>
      <x:c r="E358" t="n">
        <x:f>SUM(H358:T358)</x:f>
        <x:v>827</x:v>
      </x:c>
      <x:c r="F358" t="n">
        <x:v>2</x:v>
      </x:c>
      <x:c r="G358" s="50" t="n">
        <x:f>IF(C358="","",IFERROR(D358/C358,0))</x:f>
        <x:v>0.7584629460201281</x:v>
      </x:c>
      <x:c r="H358" s="36" t="n">
        <x:v>86</x:v>
      </x:c>
      <x:c r="I358" t="n">
        <x:v>730</x:v>
      </x:c>
      <x:c r="J358" t="n">
        <x:v>6</x:v>
      </x:c>
      <x:c r="K358" t="n">
        <x:v>2</x:v>
      </x:c>
      <x:c r="L358" t="n">
        <x:v>2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1</x:v>
      </x:c>
      <x:c r="U358" s="50" t="n">
        <x:f>IF(D358=0,"",H358/D358)</x:f>
        <x:v>0.1037394451145959</x:v>
      </x:c>
      <x:c r="V358" t="n">
        <x:f>MAX(I358:T358)</x:f>
        <x:v>730</x:v>
      </x:c>
      <x:c r="W358" t="n">
        <x:f>H358-V358</x:f>
        <x:v>-644</x:v>
      </x:c>
      <x:c r="X358" s="52" t="n">
        <x:f>IF(D358=0,"",(W358)/D358)</x:f>
        <x:v>-0.7768395657418576</x:v>
      </x:c>
      <x:c r="Y358" t="str">
        <x:v>DR. MAHESH SHARMA</x:v>
      </x:c>
      <x:c r="Z358" t="n">
        <x:f>D358-E358-F358</x:f>
        <x:v>0</x:v>
      </x:c>
    </x:row>
    <x:row r="359">
      <x:c r="A359" t="n">
        <x:v>351</x:v>
      </x:c>
      <x:c r="B359" t="str">
        <x:v>PRY. SCHOOL MIRPUR KACHCHH URF KANIGARHI R.NO. 2</x:v>
      </x:c>
      <x:c r="C359" t="n">
        <x:v>1025</x:v>
      </x:c>
      <x:c r="D359" t="n">
        <x:v>734</x:v>
      </x:c>
      <x:c r="E359" t="n">
        <x:f>SUM(H359:T359)</x:f>
        <x:v>728</x:v>
      </x:c>
      <x:c r="F359" t="n">
        <x:v>6</x:v>
      </x:c>
      <x:c r="G359" s="50" t="n">
        <x:f>IF(C359="","",IFERROR(D359/C359,0))</x:f>
        <x:v>0.7160975609756097</x:v>
      </x:c>
      <x:c r="H359" s="36" t="n">
        <x:v>202</x:v>
      </x:c>
      <x:c r="I359" t="n">
        <x:v>501</x:v>
      </x:c>
      <x:c r="J359" t="n">
        <x:v>8</x:v>
      </x:c>
      <x:c r="K359" t="n">
        <x:v>1</x:v>
      </x:c>
      <x:c r="L359" t="n">
        <x:v>4</x:v>
      </x:c>
      <x:c r="M359" t="n">
        <x:v>3</x:v>
      </x:c>
      <x:c r="N359" t="n">
        <x:v>0</x:v>
      </x:c>
      <x:c r="O359" t="n">
        <x:v>3</x:v>
      </x:c>
      <x:c r="P359" t="n">
        <x:v>2</x:v>
      </x:c>
      <x:c r="Q359" t="n">
        <x:v>0</x:v>
      </x:c>
      <x:c r="R359" t="n">
        <x:v>2</x:v>
      </x:c>
      <x:c r="S359" t="n">
        <x:v>1</x:v>
      </x:c>
      <x:c r="T359" t="n">
        <x:v>1</x:v>
      </x:c>
      <x:c r="U359" s="50" t="n">
        <x:f>IF(D359=0,"",H359/D359)</x:f>
        <x:v>0.27520435967302453</x:v>
      </x:c>
      <x:c r="V359" t="n">
        <x:f>MAX(I359:T359)</x:f>
        <x:v>501</x:v>
      </x:c>
      <x:c r="W359" t="n">
        <x:f>H359-V359</x:f>
        <x:v>-299</x:v>
      </x:c>
      <x:c r="X359" s="52" t="n">
        <x:f>IF(D359=0,"",(W359)/D359)</x:f>
        <x:v>-0.40735694822888285</x:v>
      </x:c>
      <x:c r="Y359" t="str">
        <x:v>DR. MAHESH SHARMA</x:v>
      </x:c>
      <x:c r="Z359" t="n">
        <x:f>D359-E359-F359</x:f>
        <x:v>0</x:v>
      </x:c>
    </x:row>
    <x:row r="360">
      <x:c r="A360" t="n">
        <x:v>352</x:v>
      </x:c>
      <x:c r="B360" t="str">
        <x:v>PRY. SCHOOL GOVINSGARH R.NO. 1</x:v>
      </x:c>
      <x:c r="C360" t="n">
        <x:v>771</x:v>
      </x:c>
      <x:c r="D360" t="n">
        <x:v>585</x:v>
      </x:c>
      <x:c r="E360" t="n">
        <x:f>SUM(H360:T360)</x:f>
        <x:v>583</x:v>
      </x:c>
      <x:c r="F360" t="n">
        <x:v>2</x:v>
      </x:c>
      <x:c r="G360" s="50" t="n">
        <x:f>IF(C360="","",IFERROR(D360/C360,0))</x:f>
        <x:v>0.7587548638132295</x:v>
      </x:c>
      <x:c r="H360" s="36" t="n">
        <x:v>45</x:v>
      </x:c>
      <x:c r="I360" t="n">
        <x:v>516</x:v>
      </x:c>
      <x:c r="J360" t="n">
        <x:v>2</x:v>
      </x:c>
      <x:c r="K360" t="n">
        <x:v>2</x:v>
      </x:c>
      <x:c r="L360" t="n">
        <x:v>0</x:v>
      </x:c>
      <x:c r="M360" t="n">
        <x:v>0</x:v>
      </x:c>
      <x:c r="N360" t="n">
        <x:v>18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s="50" t="n">
        <x:f>IF(D360=0,"",H360/D360)</x:f>
        <x:v>0.07692307692307693</x:v>
      </x:c>
      <x:c r="V360" t="n">
        <x:f>MAX(I360:T360)</x:f>
        <x:v>516</x:v>
      </x:c>
      <x:c r="W360" t="n">
        <x:f>H360-V360</x:f>
        <x:v>-471</x:v>
      </x:c>
      <x:c r="X360" s="52" t="n">
        <x:f>IF(D360=0,"",(W360)/D360)</x:f>
        <x:v>-0.8051282051282052</x:v>
      </x:c>
      <x:c r="Y360" t="str">
        <x:v>DR. MAHESH SHARMA</x:v>
      </x:c>
      <x:c r="Z360" t="n">
        <x:f>D360-E360-F360</x:f>
        <x:v>0</x:v>
      </x:c>
    </x:row>
    <x:row r="361">
      <x:c r="A361" t="n">
        <x:v>353</x:v>
      </x:c>
      <x:c r="B361" t="str">
        <x:v>PRY SCHOOL SHAMSHAMNAGAR R.NO. 1</x:v>
      </x:c>
      <x:c r="C361" t="n">
        <x:v>798</x:v>
      </x:c>
      <x:c r="D361" t="n">
        <x:v>550</x:v>
      </x:c>
      <x:c r="E361" t="n">
        <x:f>SUM(H361:T361)</x:f>
        <x:v>532</x:v>
      </x:c>
      <x:c r="F361" t="n">
        <x:v>18</x:v>
      </x:c>
      <x:c r="G361" s="50" t="n">
        <x:f>IF(C361="","",IFERROR(D361/C361,0))</x:f>
        <x:v>0.6892230576441103</x:v>
      </x:c>
      <x:c r="H361" s="36" t="n">
        <x:v>135</x:v>
      </x:c>
      <x:c r="I361" t="n">
        <x:v>366</x:v>
      </x:c>
      <x:c r="J361" t="n">
        <x:v>15</x:v>
      </x:c>
      <x:c r="K361" t="n">
        <x:v>6</x:v>
      </x:c>
      <x:c r="L361" t="n">
        <x:v>5</x:v>
      </x:c>
      <x:c r="M361" t="n">
        <x:v>3</x:v>
      </x:c>
      <x:c r="N361" t="n">
        <x:v>1</x:v>
      </x:c>
      <x:c r="O361" t="n">
        <x:v>1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s="50" t="n">
        <x:f>IF(D361=0,"",H361/D361)</x:f>
        <x:v>0.24545454545454545</x:v>
      </x:c>
      <x:c r="V361" t="n">
        <x:f>MAX(I361:T361)</x:f>
        <x:v>366</x:v>
      </x:c>
      <x:c r="W361" t="n">
        <x:f>H361-V361</x:f>
        <x:v>-231</x:v>
      </x:c>
      <x:c r="X361" s="52" t="n">
        <x:f>IF(D361=0,"",(W361)/D361)</x:f>
        <x:v>-0.42</x:v>
      </x:c>
      <x:c r="Y361" t="str">
        <x:v>DR. MAHESH SHARMA</x:v>
      </x:c>
      <x:c r="Z361" t="n">
        <x:f>D361-E361-F361</x:f>
        <x:v>0</x:v>
      </x:c>
    </x:row>
    <x:row r="362">
      <x:c r="A362" t="n">
        <x:v>354</x:v>
      </x:c>
      <x:c r="B362" t="str">
        <x:v>PRY. SCHOOL BHAGVANTPUR CHHANTAGA R.NO. 1</x:v>
      </x:c>
      <x:c r="C362" t="n">
        <x:v>892</x:v>
      </x:c>
      <x:c r="D362" t="n">
        <x:v>697</x:v>
      </x:c>
      <x:c r="E362" t="n">
        <x:f>SUM(H362:T362)</x:f>
        <x:v>692</x:v>
      </x:c>
      <x:c r="F362" t="n">
        <x:v>5</x:v>
      </x:c>
      <x:c r="G362" s="50" t="n">
        <x:f>IF(C362="","",IFERROR(D362/C362,0))</x:f>
        <x:v>0.781390134529148</x:v>
      </x:c>
      <x:c r="H362" s="36" t="n">
        <x:v>227</x:v>
      </x:c>
      <x:c r="I362" t="n">
        <x:v>424</x:v>
      </x:c>
      <x:c r="J362" t="n">
        <x:v>7</x:v>
      </x:c>
      <x:c r="K362" t="n">
        <x:v>2</x:v>
      </x:c>
      <x:c r="L362" t="n">
        <x:v>3</x:v>
      </x:c>
      <x:c r="M362" t="n">
        <x:v>0</x:v>
      </x:c>
      <x:c r="N362" t="n">
        <x:v>22</x:v>
      </x:c>
      <x:c r="O362" t="n">
        <x:v>2</x:v>
      </x:c>
      <x:c r="P362" t="n">
        <x:v>2</x:v>
      </x:c>
      <x:c r="Q362" t="n">
        <x:v>2</x:v>
      </x:c>
      <x:c r="R362" t="n">
        <x:v>0</x:v>
      </x:c>
      <x:c r="S362" t="n">
        <x:v>1</x:v>
      </x:c>
      <x:c r="T362" t="n">
        <x:v>0</x:v>
      </x:c>
      <x:c r="U362" s="50" t="n">
        <x:f>IF(D362=0,"",H362/D362)</x:f>
        <x:v>0.32568149210903874</x:v>
      </x:c>
      <x:c r="V362" t="n">
        <x:f>MAX(I362:T362)</x:f>
        <x:v>424</x:v>
      </x:c>
      <x:c r="W362" t="n">
        <x:f>H362-V362</x:f>
        <x:v>-197</x:v>
      </x:c>
      <x:c r="X362" s="52" t="n">
        <x:f>IF(D362=0,"",(W362)/D362)</x:f>
        <x:v>-0.28263988522238165</x:v>
      </x:c>
      <x:c r="Y362" t="str">
        <x:v>DR. MAHESH SHARMA</x:v>
      </x:c>
      <x:c r="Z362" t="n">
        <x:f>D362-E362-F362</x:f>
        <x:v>0</x:v>
      </x:c>
    </x:row>
    <x:row r="363">
      <x:c r="A363" t="n">
        <x:v>355</x:v>
      </x:c>
      <x:c r="B363" t="str">
        <x:v>PRY. SCHOOL CHHATANGA KHURD R.NO. 1</x:v>
      </x:c>
      <x:c r="C363" t="n">
        <x:v>700</x:v>
      </x:c>
      <x:c r="D363" t="n">
        <x:v>479</x:v>
      </x:c>
      <x:c r="E363" t="n">
        <x:f>SUM(H363:T363)</x:f>
        <x:v>476</x:v>
      </x:c>
      <x:c r="F363" t="n">
        <x:v>3</x:v>
      </x:c>
      <x:c r="G363" s="50" t="n">
        <x:f>IF(C363="","",IFERROR(D363/C363,0))</x:f>
        <x:v>0.6842857142857143</x:v>
      </x:c>
      <x:c r="H363" s="36" t="n">
        <x:v>160</x:v>
      </x:c>
      <x:c r="I363" t="n">
        <x:v>297</x:v>
      </x:c>
      <x:c r="J363" t="n">
        <x:v>10</x:v>
      </x:c>
      <x:c r="K363" t="n">
        <x:v>2</x:v>
      </x:c>
      <x:c r="L363" t="n">
        <x:v>4</x:v>
      </x:c>
      <x:c r="M363" t="n">
        <x:v>1</x:v>
      </x:c>
      <x:c r="N363" t="n">
        <x:v>0</x:v>
      </x:c>
      <x:c r="O363" t="n">
        <x:v>0</x:v>
      </x:c>
      <x:c r="P363" t="n">
        <x:v>1</x:v>
      </x:c>
      <x:c r="Q363" t="n">
        <x:v>1</x:v>
      </x:c>
      <x:c r="R363" t="n">
        <x:v>0</x:v>
      </x:c>
      <x:c r="S363" t="n">
        <x:v>0</x:v>
      </x:c>
      <x:c r="T363" t="n">
        <x:v>0</x:v>
      </x:c>
      <x:c r="U363" s="50" t="n">
        <x:f>IF(D363=0,"",H363/D363)</x:f>
        <x:v>0.33402922755741127</x:v>
      </x:c>
      <x:c r="V363" t="n">
        <x:f>MAX(I363:T363)</x:f>
        <x:v>297</x:v>
      </x:c>
      <x:c r="W363" t="n">
        <x:f>H363-V363</x:f>
        <x:v>-137</x:v>
      </x:c>
      <x:c r="X363" s="52" t="n">
        <x:f>IF(D363=0,"",(W363)/D363)</x:f>
        <x:v>-0.2860125260960334</x:v>
      </x:c>
      <x:c r="Y363" t="str">
        <x:v>DR. MAHESH SHARMA</x:v>
      </x:c>
      <x:c r="Z363" t="n">
        <x:f>D363-E363-F363</x:f>
        <x:v>0</x:v>
      </x:c>
    </x:row>
    <x:row r="364">
      <x:c r="A364" t="n">
        <x:v>356</x:v>
      </x:c>
      <x:c r="B364" t="str">
        <x:v>PRY. SCHOOL JHUPPA NARAYAN SINGH R.NO. 1</x:v>
      </x:c>
      <x:c r="C364" t="n">
        <x:v>955</x:v>
      </x:c>
      <x:c r="D364" t="n">
        <x:v>690</x:v>
      </x:c>
      <x:c r="E364" t="n">
        <x:f>SUM(H364:T364)</x:f>
        <x:v>682</x:v>
      </x:c>
      <x:c r="F364" t="n">
        <x:v>8</x:v>
      </x:c>
      <x:c r="G364" s="50" t="n">
        <x:f>IF(C364="","",IFERROR(D364/C364,0))</x:f>
        <x:v>0.7225130890052356</x:v>
      </x:c>
      <x:c r="H364" s="36" t="n">
        <x:v>440</x:v>
      </x:c>
      <x:c r="I364" t="n">
        <x:v>187</x:v>
      </x:c>
      <x:c r="J364" t="n">
        <x:v>7</x:v>
      </x:c>
      <x:c r="K364" t="n">
        <x:v>20</x:v>
      </x:c>
      <x:c r="L364" t="n">
        <x:v>5</x:v>
      </x:c>
      <x:c r="M364" t="n">
        <x:v>6</x:v>
      </x:c>
      <x:c r="N364" t="n">
        <x:v>0</x:v>
      </x:c>
      <x:c r="O364" t="n">
        <x:v>5</x:v>
      </x:c>
      <x:c r="P364" t="n">
        <x:v>2</x:v>
      </x:c>
      <x:c r="Q364" t="n">
        <x:v>4</x:v>
      </x:c>
      <x:c r="R364" t="n">
        <x:v>3</x:v>
      </x:c>
      <x:c r="S364" t="n">
        <x:v>1</x:v>
      </x:c>
      <x:c r="T364" t="n">
        <x:v>2</x:v>
      </x:c>
      <x:c r="U364" s="50" t="n">
        <x:f>IF(D364=0,"",H364/D364)</x:f>
        <x:v>0.6376811594202898</x:v>
      </x:c>
      <x:c r="V364" t="n">
        <x:f>MAX(I364:T364)</x:f>
        <x:v>187</x:v>
      </x:c>
      <x:c r="W364" t="n">
        <x:f>H364-V364</x:f>
        <x:v>253</x:v>
      </x:c>
      <x:c r="X364" s="52" t="n">
        <x:f>IF(D364=0,"",(W364)/D364)</x:f>
        <x:v>0.36666666666666664</x:v>
      </x:c>
      <x:c r="Y364" t="str">
        <x:v>SATVEER</x:v>
      </x:c>
      <x:c r="Z364" t="n">
        <x:f>D364-E364-F364</x:f>
        <x:v>0</x:v>
      </x:c>
    </x:row>
    <x:row r="365">
      <x:c r="A365" t="n">
        <x:v>357</x:v>
      </x:c>
      <x:c r="B365" t="str">
        <x:v>PRY. SCHOOL JHUPPA KALAN R.NO. 1</x:v>
      </x:c>
      <x:c r="C365" t="n">
        <x:v>469</x:v>
      </x:c>
      <x:c r="D365" t="n">
        <x:v>366</x:v>
      </x:c>
      <x:c r="E365" t="n">
        <x:f>SUM(H365:T365)</x:f>
        <x:v>365</x:v>
      </x:c>
      <x:c r="F365" t="n">
        <x:v>1</x:v>
      </x:c>
      <x:c r="G365" s="50" t="n">
        <x:f>IF(C365="","",IFERROR(D365/C365,0))</x:f>
        <x:v>0.7803837953091685</x:v>
      </x:c>
      <x:c r="H365" s="36" t="n">
        <x:v>245</x:v>
      </x:c>
      <x:c r="I365" t="n">
        <x:v>104</x:v>
      </x:c>
      <x:c r="J365" t="n">
        <x:v>2</x:v>
      </x:c>
      <x:c r="K365" t="n">
        <x:v>9</x:v>
      </x:c>
      <x:c r="L365" t="n">
        <x:v>0</x:v>
      </x:c>
      <x:c r="M365" t="n">
        <x:v>3</x:v>
      </x:c>
      <x:c r="N365" t="n">
        <x:v>0</x:v>
      </x:c>
      <x:c r="O365" t="n">
        <x:v>2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s="50" t="n">
        <x:f>IF(D365=0,"",H365/D365)</x:f>
        <x:v>0.6693989071038251</x:v>
      </x:c>
      <x:c r="V365" t="n">
        <x:f>MAX(I365:T365)</x:f>
        <x:v>104</x:v>
      </x:c>
      <x:c r="W365" t="n">
        <x:f>H365-V365</x:f>
        <x:v>141</x:v>
      </x:c>
      <x:c r="X365" s="52" t="n">
        <x:f>IF(D365=0,"",(W365)/D365)</x:f>
        <x:v>0.38524590163934425</x:v>
      </x:c>
      <x:c r="Y365" t="str">
        <x:v>SATVEER</x:v>
      </x:c>
      <x:c r="Z365" t="n">
        <x:f>D365-E365-F365</x:f>
        <x:v>0</x:v>
      </x:c>
    </x:row>
    <x:row r="366">
      <x:c r="A366" t="n">
        <x:v>358</x:v>
      </x:c>
      <x:c r="B366" t="str">
        <x:v>PRY. SCHOOL MEVLA GOPALGARH R.NO. 1</x:v>
      </x:c>
      <x:c r="C366" t="n">
        <x:v>984</x:v>
      </x:c>
      <x:c r="D366" t="n">
        <x:v>602</x:v>
      </x:c>
      <x:c r="E366" t="n">
        <x:f>SUM(H366:T366)</x:f>
        <x:v>601</x:v>
      </x:c>
      <x:c r="F366" t="n">
        <x:v>1</x:v>
      </x:c>
      <x:c r="G366" s="50" t="n">
        <x:f>IF(C366="","",IFERROR(D366/C366,0))</x:f>
        <x:v>0.6117886178861789</x:v>
      </x:c>
      <x:c r="H366" s="36" t="n">
        <x:v>195</x:v>
      </x:c>
      <x:c r="I366" t="n">
        <x:v>399</x:v>
      </x:c>
      <x:c r="J366" t="n">
        <x:v>3</x:v>
      </x:c>
      <x:c r="K366" t="n">
        <x:v>0</x:v>
      </x:c>
      <x:c r="L366" t="n">
        <x:v>2</x:v>
      </x:c>
      <x:c r="M366" t="n">
        <x:v>1</x:v>
      </x:c>
      <x:c r="N366" t="n">
        <x:v>1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s="50" t="n">
        <x:f>IF(D366=0,"",H366/D366)</x:f>
        <x:v>0.3239202657807309</x:v>
      </x:c>
      <x:c r="V366" t="n">
        <x:f>MAX(I366:T366)</x:f>
        <x:v>399</x:v>
      </x:c>
      <x:c r="W366" t="n">
        <x:f>H366-V366</x:f>
        <x:v>-204</x:v>
      </x:c>
      <x:c r="X366" s="52" t="n">
        <x:f>IF(D366=0,"",(W366)/D366)</x:f>
        <x:v>-0.3388704318936877</x:v>
      </x:c>
      <x:c r="Y366" t="str">
        <x:v>DR. MAHESH SHARMA</x:v>
      </x:c>
      <x:c r="Z366" t="n">
        <x:f>D366-E366-F366</x:f>
        <x:v>0</x:v>
      </x:c>
    </x:row>
    <x:row r="367">
      <x:c r="A367" t="n">
        <x:v>359</x:v>
      </x:c>
      <x:c r="B367" t="str">
        <x:v>PRY. SCHOOL MEVLA GOPALGARH R.NO. 2</x:v>
      </x:c>
      <x:c r="C367" t="n">
        <x:v>1051</x:v>
      </x:c>
      <x:c r="D367" t="n">
        <x:v>719</x:v>
      </x:c>
      <x:c r="E367" t="n">
        <x:f>SUM(H367:T367)</x:f>
        <x:v>718</x:v>
      </x:c>
      <x:c r="F367" t="n">
        <x:v>1</x:v>
      </x:c>
      <x:c r="G367" s="50" t="n">
        <x:f>IF(C367="","",IFERROR(D367/C367,0))</x:f>
        <x:v>0.6841103710751665</x:v>
      </x:c>
      <x:c r="H367" s="36" t="n">
        <x:v>26</x:v>
      </x:c>
      <x:c r="I367" t="n">
        <x:v>673</x:v>
      </x:c>
      <x:c r="J367" t="n">
        <x:v>7</x:v>
      </x:c>
      <x:c r="K367" t="n">
        <x:v>2</x:v>
      </x:c>
      <x:c r="L367" t="n">
        <x:v>1</x:v>
      </x:c>
      <x:c r="M367" t="n">
        <x:v>0</x:v>
      </x:c>
      <x:c r="N367" t="n">
        <x:v>6</x:v>
      </x:c>
      <x:c r="O367" t="n">
        <x:v>1</x:v>
      </x:c>
      <x:c r="P367" t="n">
        <x:v>0</x:v>
      </x:c>
      <x:c r="Q367" t="n">
        <x:v>0</x:v>
      </x:c>
      <x:c r="R367" t="n">
        <x:v>1</x:v>
      </x:c>
      <x:c r="S367" t="n">
        <x:v>0</x:v>
      </x:c>
      <x:c r="T367" t="n">
        <x:v>1</x:v>
      </x:c>
      <x:c r="U367" s="50" t="n">
        <x:f>IF(D367=0,"",H367/D367)</x:f>
        <x:v>0.03616133518776078</x:v>
      </x:c>
      <x:c r="V367" t="n">
        <x:f>MAX(I367:T367)</x:f>
        <x:v>673</x:v>
      </x:c>
      <x:c r="W367" t="n">
        <x:f>H367-V367</x:f>
        <x:v>-647</x:v>
      </x:c>
      <x:c r="X367" s="52" t="n">
        <x:f>IF(D367=0,"",(W367)/D367)</x:f>
        <x:v>-0.8998609179415855</x:v>
      </x:c>
      <x:c r="Y367" t="str">
        <x:v>DR. MAHESH SHARMA</x:v>
      </x:c>
      <x:c r="Z367" t="n">
        <x:f>D367-E367-F367</x:f>
        <x:v>0</x:v>
      </x:c>
    </x:row>
    <x:row r="368">
      <x:c r="A368" t="n">
        <x:v>360</x:v>
      </x:c>
      <x:c r="B368" t="str">
        <x:v>PRY. SCHOOL ALIYABAD URF MENHADIPUR R.NO. 1</x:v>
      </x:c>
      <x:c r="C368" t="n">
        <x:v>924</x:v>
      </x:c>
      <x:c r="D368" t="n">
        <x:v>684</x:v>
      </x:c>
      <x:c r="E368" t="n">
        <x:f>SUM(H368:T368)</x:f>
        <x:v>677</x:v>
      </x:c>
      <x:c r="F368" t="n">
        <x:v>7</x:v>
      </x:c>
      <x:c r="G368" s="50" t="n">
        <x:f>IF(C368="","",IFERROR(D368/C368,0))</x:f>
        <x:v>0.7402597402597403</x:v>
      </x:c>
      <x:c r="H368" s="36" t="n">
        <x:v>592</x:v>
      </x:c>
      <x:c r="I368" t="n">
        <x:v>50</x:v>
      </x:c>
      <x:c r="J368" t="n">
        <x:v>14</x:v>
      </x:c>
      <x:c r="K368" t="n">
        <x:v>6</x:v>
      </x:c>
      <x:c r="L368" t="n">
        <x:v>2</x:v>
      </x:c>
      <x:c r="M368" t="n">
        <x:v>6</x:v>
      </x:c>
      <x:c r="N368" t="n">
        <x:v>1</x:v>
      </x:c>
      <x:c r="O368" t="n">
        <x:v>3</x:v>
      </x:c>
      <x:c r="P368" t="n">
        <x:v>0</x:v>
      </x:c>
      <x:c r="Q368" t="n">
        <x:v>1</x:v>
      </x:c>
      <x:c r="R368" t="n">
        <x:v>1</x:v>
      </x:c>
      <x:c r="S368" t="n">
        <x:v>0</x:v>
      </x:c>
      <x:c r="T368" t="n">
        <x:v>1</x:v>
      </x:c>
      <x:c r="U368" s="50" t="n">
        <x:f>IF(D368=0,"",H368/D368)</x:f>
        <x:v>0.8654970760233918</x:v>
      </x:c>
      <x:c r="V368" t="n">
        <x:f>MAX(I368:T368)</x:f>
        <x:v>50</x:v>
      </x:c>
      <x:c r="W368" t="n">
        <x:f>H368-V368</x:f>
        <x:v>542</x:v>
      </x:c>
      <x:c r="X368" s="52" t="n">
        <x:f>IF(D368=0,"",(W368)/D368)</x:f>
        <x:v>0.7923976608187134</x:v>
      </x:c>
      <x:c r="Y368" t="str">
        <x:v>SATVEER</x:v>
      </x:c>
      <x:c r="Z368" t="n">
        <x:f>D368-E368-F368</x:f>
        <x:v>0</x:v>
      </x:c>
    </x:row>
    <x:row r="369">
      <x:c r="A369" t="n">
        <x:v>361</x:v>
      </x:c>
      <x:c r="B369" t="str">
        <x:v>PRY. SCHOOL MANGRAULI R.NO. 1</x:v>
      </x:c>
      <x:c r="C369" t="n">
        <x:v>1101</x:v>
      </x:c>
      <x:c r="D369" t="n">
        <x:v>509</x:v>
      </x:c>
      <x:c r="E369" t="n">
        <x:f>SUM(H369:T369)</x:f>
        <x:v>507</x:v>
      </x:c>
      <x:c r="F369" t="n">
        <x:v>2</x:v>
      </x:c>
      <x:c r="G369" s="50" t="n">
        <x:f>IF(C369="","",IFERROR(D369/C369,0))</x:f>
        <x:v>0.4623069936421435</x:v>
      </x:c>
      <x:c r="H369" s="36" t="n">
        <x:v>42</x:v>
      </x:c>
      <x:c r="I369" t="n">
        <x:v>450</x:v>
      </x:c>
      <x:c r="J369" t="n">
        <x:v>9</x:v>
      </x:c>
      <x:c r="K369" t="n">
        <x:v>1</x:v>
      </x:c>
      <x:c r="L369" t="n">
        <x:v>2</x:v>
      </x:c>
      <x:c r="M369" t="n">
        <x:v>1</x:v>
      </x:c>
      <x:c r="N369" t="n">
        <x:v>0</x:v>
      </x:c>
      <x:c r="O369" t="n">
        <x:v>1</x:v>
      </x:c>
      <x:c r="P369" t="n">
        <x:v>0</x:v>
      </x:c>
      <x:c r="Q369" t="n">
        <x:v>0</x:v>
      </x:c>
      <x:c r="R369" t="n">
        <x:v>0</x:v>
      </x:c>
      <x:c r="S369" t="n">
        <x:v>1</x:v>
      </x:c>
      <x:c r="T369" t="n">
        <x:v>0</x:v>
      </x:c>
      <x:c r="U369" s="50" t="n">
        <x:f>IF(D369=0,"",H369/D369)</x:f>
        <x:v>0.0825147347740668</x:v>
      </x:c>
      <x:c r="V369" t="n">
        <x:f>MAX(I369:T369)</x:f>
        <x:v>450</x:v>
      </x:c>
      <x:c r="W369" t="n">
        <x:f>H369-V369</x:f>
        <x:v>-408</x:v>
      </x:c>
      <x:c r="X369" s="52" t="n">
        <x:f>IF(D369=0,"",(W369)/D369)</x:f>
        <x:v>-0.8015717092337917</x:v>
      </x:c>
      <x:c r="Y369" t="str">
        <x:v>DR. MAHESH SHARMA</x:v>
      </x:c>
      <x:c r="Z369" t="n">
        <x:f>D369-E369-F369</x:f>
        <x:v>0</x:v>
      </x:c>
    </x:row>
    <x:row r="370">
      <x:c r="A370" t="n">
        <x:v>362</x:v>
      </x:c>
      <x:c r="B370" t="str">
        <x:v>PRY. SCHOOL MANGRAULI R.NO. 2</x:v>
      </x:c>
      <x:c r="C370" t="n">
        <x:v>791</x:v>
      </x:c>
      <x:c r="D370" t="n">
        <x:v>479</x:v>
      </x:c>
      <x:c r="E370" t="n">
        <x:f>SUM(H370:T370)</x:f>
        <x:v>479</x:v>
      </x:c>
      <x:c r="F370" t="n">
        <x:v>0</x:v>
      </x:c>
      <x:c r="G370" s="50" t="n">
        <x:f>IF(C370="","",IFERROR(D370/C370,0))</x:f>
        <x:v>0.6055625790139064</x:v>
      </x:c>
      <x:c r="H370" s="36" t="n">
        <x:v>392</x:v>
      </x:c>
      <x:c r="I370" t="n">
        <x:v>85</x:v>
      </x:c>
      <x:c r="J370" t="n">
        <x:v>2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s="50" t="n">
        <x:f>IF(D370=0,"",H370/D370)</x:f>
        <x:v>0.8183716075156576</x:v>
      </x:c>
      <x:c r="V370" t="n">
        <x:f>MAX(I370:T370)</x:f>
        <x:v>85</x:v>
      </x:c>
      <x:c r="W370" t="n">
        <x:f>H370-V370</x:f>
        <x:v>307</x:v>
      </x:c>
      <x:c r="X370" s="52" t="n">
        <x:f>IF(D370=0,"",(W370)/D370)</x:f>
        <x:v>0.6409185803757829</x:v>
      </x:c>
      <x:c r="Y370" t="str">
        <x:v>SATVEER</x:v>
      </x:c>
      <x:c r="Z370" t="n">
        <x:f>D370-E370-F370</x:f>
        <x:v>0</x:v>
      </x:c>
    </x:row>
    <x:row r="371">
      <x:c r="A371" t="n">
        <x:v>363</x:v>
      </x:c>
      <x:c r="B371" t="str">
        <x:v>PRY. SCHOOL ALAWALPUR R.NO. 1</x:v>
      </x:c>
      <x:c r="C371" t="n">
        <x:v>590</x:v>
      </x:c>
      <x:c r="D371" t="n">
        <x:v>374</x:v>
      </x:c>
      <x:c r="E371" t="n">
        <x:f>SUM(H371:T371)</x:f>
        <x:v>372</x:v>
      </x:c>
      <x:c r="F371" t="n">
        <x:v>2</x:v>
      </x:c>
      <x:c r="G371" s="50" t="n">
        <x:f>IF(C371="","",IFERROR(D371/C371,0))</x:f>
        <x:v>0.6338983050847458</x:v>
      </x:c>
      <x:c r="H371" s="36" t="n">
        <x:v>161</x:v>
      </x:c>
      <x:c r="I371" t="n">
        <x:v>209</x:v>
      </x:c>
      <x:c r="J371" t="n">
        <x:v>1</x:v>
      </x:c>
      <x:c r="K371" t="n">
        <x:v>0</x:v>
      </x:c>
      <x:c r="L371" t="n">
        <x:v>0</x:v>
      </x:c>
      <x:c r="M371" t="n">
        <x:v>1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s="50" t="n">
        <x:f>IF(D371=0,"",H371/D371)</x:f>
        <x:v>0.4304812834224599</x:v>
      </x:c>
      <x:c r="V371" t="n">
        <x:f>MAX(I371:T371)</x:f>
        <x:v>209</x:v>
      </x:c>
      <x:c r="W371" t="n">
        <x:f>H371-V371</x:f>
        <x:v>-48</x:v>
      </x:c>
      <x:c r="X371" s="52" t="n">
        <x:f>IF(D371=0,"",(W371)/D371)</x:f>
        <x:v>-0.12834224598930483</x:v>
      </x:c>
      <x:c r="Y371" t="str">
        <x:v>DR. MAHESH SHARMA</x:v>
      </x:c>
      <x:c r="Z371" t="n">
        <x:f>D371-E371-F371</x:f>
        <x:v>0</x:v>
      </x:c>
    </x:row>
    <x:row r="372">
      <x:c r="A372" t="n">
        <x:v>364</x:v>
      </x:c>
      <x:c r="B372" t="str">
        <x:v>PRY. SCHOOL AHMADPUR CHAURAULI R.NO. 1</x:v>
      </x:c>
      <x:c r="C372" t="n">
        <x:v>846</x:v>
      </x:c>
      <x:c r="D372" t="n">
        <x:v>513</x:v>
      </x:c>
      <x:c r="E372" t="n">
        <x:f>SUM(H372:T372)</x:f>
        <x:v>511</x:v>
      </x:c>
      <x:c r="F372" t="n">
        <x:v>2</x:v>
      </x:c>
      <x:c r="G372" s="50" t="n">
        <x:f>IF(C372="","",IFERROR(D372/C372,0))</x:f>
        <x:v>0.6063829787234043</x:v>
      </x:c>
      <x:c r="H372" s="36" t="n">
        <x:v>278</x:v>
      </x:c>
      <x:c r="I372" t="n">
        <x:v>217</x:v>
      </x:c>
      <x:c r="J372" t="n">
        <x:v>8</x:v>
      </x:c>
      <x:c r="K372" t="n">
        <x:v>3</x:v>
      </x:c>
      <x:c r="L372" t="n">
        <x:v>0</x:v>
      </x:c>
      <x:c r="M372" t="n">
        <x:v>2</x:v>
      </x:c>
      <x:c r="N372" t="n">
        <x:v>0</x:v>
      </x:c>
      <x:c r="O372" t="n">
        <x:v>2</x:v>
      </x:c>
      <x:c r="P372" t="n">
        <x:v>1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s="50" t="n">
        <x:f>IF(D372=0,"",H372/D372)</x:f>
        <x:v>0.5419103313840156</x:v>
      </x:c>
      <x:c r="V372" t="n">
        <x:f>MAX(I372:T372)</x:f>
        <x:v>217</x:v>
      </x:c>
      <x:c r="W372" t="n">
        <x:f>H372-V372</x:f>
        <x:v>61</x:v>
      </x:c>
      <x:c r="X372" s="52" t="n">
        <x:f>IF(D372=0,"",(W372)/D372)</x:f>
        <x:v>0.1189083820662768</x:v>
      </x:c>
      <x:c r="Y372" t="str">
        <x:v>SATVEER</x:v>
      </x:c>
      <x:c r="Z372" t="n">
        <x:f>D372-E372-F372</x:f>
        <x:v>0</x:v>
      </x:c>
    </x:row>
    <x:row r="373">
      <x:c r="A373" t="n">
        <x:v>365</x:v>
      </x:c>
      <x:c r="B373" t="str">
        <x:v>PRY. SCHOOL AHMADPUR CHAURAULI R.NO. 2</x:v>
      </x:c>
      <x:c r="C373" t="n">
        <x:v>1034</x:v>
      </x:c>
      <x:c r="D373" t="n">
        <x:v>611</x:v>
      </x:c>
      <x:c r="E373" t="n">
        <x:f>SUM(H373:T373)</x:f>
        <x:v>607</x:v>
      </x:c>
      <x:c r="F373" t="n">
        <x:v>4</x:v>
      </x:c>
      <x:c r="G373" s="50" t="n">
        <x:f>IF(C373="","",IFERROR(D373/C373,0))</x:f>
        <x:v>0.5909090909090909</x:v>
      </x:c>
      <x:c r="H373" s="36" t="n">
        <x:v>175</x:v>
      </x:c>
      <x:c r="I373" t="n">
        <x:v>414</x:v>
      </x:c>
      <x:c r="J373" t="n">
        <x:v>18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s="50" t="n">
        <x:f>IF(D373=0,"",H373/D373)</x:f>
        <x:v>0.2864157119476268</x:v>
      </x:c>
      <x:c r="V373" t="n">
        <x:f>MAX(I373:T373)</x:f>
        <x:v>414</x:v>
      </x:c>
      <x:c r="W373" t="n">
        <x:f>H373-V373</x:f>
        <x:v>-239</x:v>
      </x:c>
      <x:c r="X373" s="52" t="n">
        <x:f>IF(D373=0,"",(W373)/D373)</x:f>
        <x:v>-0.3911620294599018</x:v>
      </x:c>
      <x:c r="Y373" t="str">
        <x:v>DR. MAHESH SHARMA</x:v>
      </x:c>
      <x:c r="Z373" t="n">
        <x:f>D373-E373-F373</x:f>
        <x:v>0</x:v>
      </x:c>
    </x:row>
    <x:row r="374">
      <x:c r="A374" t="n">
        <x:v>366</x:v>
      </x:c>
      <x:c r="B374" t="str">
        <x:v>PRY. SCHOOL AHMADPUR CHAURAULI R.NO. 3</x:v>
      </x:c>
      <x:c r="C374" t="n">
        <x:v>1100</x:v>
      </x:c>
      <x:c r="D374" t="n">
        <x:v>604</x:v>
      </x:c>
      <x:c r="E374" t="n">
        <x:f>SUM(H374:T374)</x:f>
        <x:v>602</x:v>
      </x:c>
      <x:c r="F374" t="n">
        <x:v>2</x:v>
      </x:c>
      <x:c r="G374" s="50" t="n">
        <x:f>IF(C374="","",IFERROR(D374/C374,0))</x:f>
        <x:v>0.5490909090909091</x:v>
      </x:c>
      <x:c r="H374" s="36" t="n">
        <x:v>103</x:v>
      </x:c>
      <x:c r="I374" t="n">
        <x:v>482</x:v>
      </x:c>
      <x:c r="J374" t="n">
        <x:v>8</x:v>
      </x:c>
      <x:c r="K374" t="n">
        <x:v>1</x:v>
      </x:c>
      <x:c r="L374" t="n">
        <x:v>2</x:v>
      </x:c>
      <x:c r="M374" t="n">
        <x:v>1</x:v>
      </x:c>
      <x:c r="N374" t="n">
        <x:v>2</x:v>
      </x:c>
      <x:c r="O374" t="n">
        <x:v>1</x:v>
      </x:c>
      <x:c r="P374" t="n">
        <x:v>1</x:v>
      </x:c>
      <x:c r="Q374" t="n">
        <x:v>1</x:v>
      </x:c>
      <x:c r="R374" t="n">
        <x:v>0</x:v>
      </x:c>
      <x:c r="S374" t="n">
        <x:v>0</x:v>
      </x:c>
      <x:c r="T374" t="n">
        <x:v>0</x:v>
      </x:c>
      <x:c r="U374" s="50" t="n">
        <x:f>IF(D374=0,"",H374/D374)</x:f>
        <x:v>0.17052980132450332</x:v>
      </x:c>
      <x:c r="V374" t="n">
        <x:f>MAX(I374:T374)</x:f>
        <x:v>482</x:v>
      </x:c>
      <x:c r="W374" t="n">
        <x:f>H374-V374</x:f>
        <x:v>-379</x:v>
      </x:c>
      <x:c r="X374" s="52" t="n">
        <x:f>IF(D374=0,"",(W374)/D374)</x:f>
        <x:v>-0.6274834437086093</x:v>
      </x:c>
      <x:c r="Y374" t="str">
        <x:v>DR. MAHESH SHARMA</x:v>
      </x:c>
      <x:c r="Z374" t="n">
        <x:f>D374-E374-F374</x:f>
        <x:v>0</x:v>
      </x:c>
    </x:row>
    <x:row r="375">
      <x:c r="A375" t="n">
        <x:v>367</x:v>
      </x:c>
      <x:c r="B375" t="str">
        <x:v>J.H. SCHOOL AHMADPUR CHAURAULI R.NO. 1</x:v>
      </x:c>
      <x:c r="C375" t="n">
        <x:v>977</x:v>
      </x:c>
      <x:c r="D375" t="n">
        <x:v>536</x:v>
      </x:c>
      <x:c r="E375" t="n">
        <x:f>SUM(H375:T375)</x:f>
        <x:v>534</x:v>
      </x:c>
      <x:c r="F375" t="n">
        <x:v>2</x:v>
      </x:c>
      <x:c r="G375" s="50" t="n">
        <x:f>IF(C375="","",IFERROR(D375/C375,0))</x:f>
        <x:v>0.548618219037871</x:v>
      </x:c>
      <x:c r="H375" s="36" t="n">
        <x:v>164</x:v>
      </x:c>
      <x:c r="I375" t="n">
        <x:v>347</x:v>
      </x:c>
      <x:c r="J375" t="n">
        <x:v>8</x:v>
      </x:c>
      <x:c r="K375" t="n">
        <x:v>3</x:v>
      </x:c>
      <x:c r="L375" t="n">
        <x:v>6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n">
        <x:v>1</x:v>
      </x:c>
      <x:c r="R375" t="n">
        <x:v>3</x:v>
      </x:c>
      <x:c r="S375" t="n">
        <x:v>1</x:v>
      </x:c>
      <x:c r="T375" t="n">
        <x:v>0</x:v>
      </x:c>
      <x:c r="U375" s="50" t="n">
        <x:f>IF(D375=0,"",H375/D375)</x:f>
        <x:v>0.30597014925373134</x:v>
      </x:c>
      <x:c r="V375" t="n">
        <x:f>MAX(I375:T375)</x:f>
        <x:v>347</x:v>
      </x:c>
      <x:c r="W375" t="n">
        <x:f>H375-V375</x:f>
        <x:v>-183</x:v>
      </x:c>
      <x:c r="X375" s="52" t="n">
        <x:f>IF(D375=0,"",(W375)/D375)</x:f>
        <x:v>-0.3414179104477612</x:v>
      </x:c>
      <x:c r="Y375" t="str">
        <x:v>DR. MAHESH SHARMA</x:v>
      </x:c>
      <x:c r="Z375" t="n">
        <x:f>D375-E375-F375</x:f>
        <x:v>0</x:v>
      </x:c>
    </x:row>
    <x:row r="376">
      <x:c r="A376" t="n">
        <x:v>368</x:v>
      </x:c>
      <x:c r="B376" t="str">
        <x:v>J.H. SCHOOL AHMADPUR CHAURAULI R.NO. 2</x:v>
      </x:c>
      <x:c r="C376" t="n">
        <x:v>795</x:v>
      </x:c>
      <x:c r="D376" t="n">
        <x:v>436</x:v>
      </x:c>
      <x:c r="E376" t="n">
        <x:f>SUM(H376:T376)</x:f>
        <x:v>432</x:v>
      </x:c>
      <x:c r="F376" t="n">
        <x:v>4</x:v>
      </x:c>
      <x:c r="G376" s="50" t="n">
        <x:f>IF(C376="","",IFERROR(D376/C376,0))</x:f>
        <x:v>0.5484276729559748</x:v>
      </x:c>
      <x:c r="H376" s="36" t="n">
        <x:v>211</x:v>
      </x:c>
      <x:c r="I376" t="n">
        <x:v>213</x:v>
      </x:c>
      <x:c r="J376" t="n">
        <x:v>1</x:v>
      </x:c>
      <x:c r="K376" t="n">
        <x:v>4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1</x:v>
      </x:c>
      <x:c r="Q376" t="n">
        <x:v>1</x:v>
      </x:c>
      <x:c r="R376" t="n">
        <x:v>0</x:v>
      </x:c>
      <x:c r="S376" t="n">
        <x:v>0</x:v>
      </x:c>
      <x:c r="T376" t="n">
        <x:v>1</x:v>
      </x:c>
      <x:c r="U376" s="50" t="n">
        <x:f>IF(D376=0,"",H376/D376)</x:f>
        <x:v>0.48394495412844035</x:v>
      </x:c>
      <x:c r="V376" t="n">
        <x:f>MAX(I376:T376)</x:f>
        <x:v>213</x:v>
      </x:c>
      <x:c r="W376" t="n">
        <x:f>H376-V376</x:f>
        <x:v>-2</x:v>
      </x:c>
      <x:c r="X376" s="52" t="n">
        <x:f>IF(D376=0,"",(W376)/D376)</x:f>
        <x:v>-0.0045871559633027525</x:v>
      </x:c>
      <x:c r="Y376" t="str">
        <x:v>DR. MAHESH SHARMA</x:v>
      </x:c>
      <x:c r="Z376" t="n">
        <x:f>D376-E376-F376</x:f>
        <x:v>0</x:v>
      </x:c>
    </x:row>
    <x:row r="377">
      <x:c r="A377" t="n">
        <x:v>369</x:v>
      </x:c>
      <x:c r="B377" t="str">
        <x:v>PRY. SCHOOL BHAVOKRA R.NO. 1</x:v>
      </x:c>
      <x:c r="C377" t="n">
        <x:v>1216</x:v>
      </x:c>
      <x:c r="D377" t="n">
        <x:v>866</x:v>
      </x:c>
      <x:c r="E377" t="n">
        <x:f>SUM(H377:T377)</x:f>
        <x:v>865</x:v>
      </x:c>
      <x:c r="F377" t="n">
        <x:v>1</x:v>
      </x:c>
      <x:c r="G377" s="50" t="n">
        <x:f>IF(C377="","",IFERROR(D377/C377,0))</x:f>
        <x:v>0.712171052631579</x:v>
      </x:c>
      <x:c r="H377" s="36" t="n">
        <x:v>255</x:v>
      </x:c>
      <x:c r="I377" t="n">
        <x:v>593</x:v>
      </x:c>
      <x:c r="J377" t="n">
        <x:v>8</x:v>
      </x:c>
      <x:c r="K377" t="n">
        <x:v>0</x:v>
      </x:c>
      <x:c r="L377" t="n">
        <x:v>1</x:v>
      </x:c>
      <x:c r="M377" t="n">
        <x:v>1</x:v>
      </x:c>
      <x:c r="N377" t="n">
        <x:v>6</x:v>
      </x:c>
      <x:c r="O377" t="n">
        <x:v>0</x:v>
      </x:c>
      <x:c r="P377" t="n">
        <x:v>0</x:v>
      </x:c>
      <x:c r="Q377" t="n">
        <x:v>0</x:v>
      </x:c>
      <x:c r="R377" t="n">
        <x:v>1</x:v>
      </x:c>
      <x:c r="S377" t="n">
        <x:v>0</x:v>
      </x:c>
      <x:c r="T377" t="n">
        <x:v>0</x:v>
      </x:c>
      <x:c r="U377" s="50" t="n">
        <x:f>IF(D377=0,"",H377/D377)</x:f>
        <x:v>0.29445727482678985</x:v>
      </x:c>
      <x:c r="V377" t="n">
        <x:f>MAX(I377:T377)</x:f>
        <x:v>593</x:v>
      </x:c>
      <x:c r="W377" t="n">
        <x:f>H377-V377</x:f>
        <x:v>-338</x:v>
      </x:c>
      <x:c r="X377" s="52" t="n">
        <x:f>IF(D377=0,"",(W377)/D377)</x:f>
        <x:v>-0.3903002309468822</x:v>
      </x:c>
      <x:c r="Y377" t="str">
        <x:v>DR. MAHESH SHARMA</x:v>
      </x:c>
      <x:c r="Z377" t="n">
        <x:f>D377-E377-F377</x:f>
        <x:v>0</x:v>
      </x:c>
    </x:row>
    <x:row r="378">
      <x:c r="A378" t="n">
        <x:v>370</x:v>
      </x:c>
      <x:c r="B378" t="str">
        <x:v>PRY. SCHOOL DYORAR R.NO. 1</x:v>
      </x:c>
      <x:c r="C378" t="n">
        <x:v>917</x:v>
      </x:c>
      <x:c r="D378" t="n">
        <x:v>693</x:v>
      </x:c>
      <x:c r="E378" t="n">
        <x:f>SUM(H378:T378)</x:f>
        <x:v>682</x:v>
      </x:c>
      <x:c r="F378" t="n">
        <x:v>11</x:v>
      </x:c>
      <x:c r="G378" s="50" t="n">
        <x:f>IF(C378="","",IFERROR(D378/C378,0))</x:f>
        <x:v>0.7557251908396947</x:v>
      </x:c>
      <x:c r="H378" s="36" t="n">
        <x:v>164</x:v>
      </x:c>
      <x:c r="I378" t="n">
        <x:v>506</x:v>
      </x:c>
      <x:c r="J378" t="n">
        <x:v>7</x:v>
      </x:c>
      <x:c r="K378" t="n">
        <x:v>4</x:v>
      </x:c>
      <x:c r="L378" t="n">
        <x:v>1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s="50" t="n">
        <x:f>IF(D378=0,"",H378/D378)</x:f>
        <x:v>0.23665223665223664</x:v>
      </x:c>
      <x:c r="V378" t="n">
        <x:f>MAX(I378:T378)</x:f>
        <x:v>506</x:v>
      </x:c>
      <x:c r="W378" t="n">
        <x:f>H378-V378</x:f>
        <x:v>-342</x:v>
      </x:c>
      <x:c r="X378" s="52" t="n">
        <x:f>IF(D378=0,"",(W378)/D378)</x:f>
        <x:v>-0.4935064935064935</x:v>
      </x:c>
      <x:c r="Y378" t="str">
        <x:v>DR. MAHESH SHARMA</x:v>
      </x:c>
      <x:c r="Z378" t="n">
        <x:f>D378-E378-F378</x:f>
        <x:v>0</x:v>
      </x:c>
    </x:row>
    <x:row r="379">
      <x:c r="A379" t="n">
        <x:v>371</x:v>
      </x:c>
      <x:c r="B379" t="str">
        <x:v>J.H. SCHOOL CHANCHALI R.NO. 1</x:v>
      </x:c>
      <x:c r="C379" t="n">
        <x:v>1169</x:v>
      </x:c>
      <x:c r="D379" t="n">
        <x:v>786</x:v>
      </x:c>
      <x:c r="E379" t="n">
        <x:f>SUM(H379:T379)</x:f>
        <x:v>786</x:v>
      </x:c>
      <x:c r="F379" t="n">
        <x:v>0</x:v>
      </x:c>
      <x:c r="G379" s="50" t="n">
        <x:f>IF(C379="","",IFERROR(D379/C379,0))</x:f>
        <x:v>0.6723695466210436</x:v>
      </x:c>
      <x:c r="H379" s="36" t="n">
        <x:v>70</x:v>
      </x:c>
      <x:c r="I379" t="n">
        <x:v>685</x:v>
      </x:c>
      <x:c r="J379" t="n">
        <x:v>19</x:v>
      </x:c>
      <x:c r="K379" t="n">
        <x:v>2</x:v>
      </x:c>
      <x:c r="L379" t="n">
        <x:v>5</x:v>
      </x:c>
      <x:c r="M379" t="n">
        <x:v>2</x:v>
      </x:c>
      <x:c r="N379" t="n">
        <x:v>1</x:v>
      </x:c>
      <x:c r="O379" t="n">
        <x:v>0</x:v>
      </x:c>
      <x:c r="P379" t="n">
        <x:v>0</x:v>
      </x:c>
      <x:c r="Q379" t="n">
        <x:v>2</x:v>
      </x:c>
      <x:c r="R379" t="n">
        <x:v>0</x:v>
      </x:c>
      <x:c r="S379" t="n">
        <x:v>0</x:v>
      </x:c>
      <x:c r="T379" t="n">
        <x:v>0</x:v>
      </x:c>
      <x:c r="U379" s="50" t="n">
        <x:f>IF(D379=0,"",H379/D379)</x:f>
        <x:v>0.089058524173028</x:v>
      </x:c>
      <x:c r="V379" t="n">
        <x:f>MAX(I379:T379)</x:f>
        <x:v>685</x:v>
      </x:c>
      <x:c r="W379" t="n">
        <x:f>H379-V379</x:f>
        <x:v>-615</x:v>
      </x:c>
      <x:c r="X379" s="52" t="n">
        <x:f>IF(D379=0,"",(W379)/D379)</x:f>
        <x:v>-0.7824427480916031</x:v>
      </x:c>
      <x:c r="Y379" t="str">
        <x:v>DR. MAHESH SHARMA</x:v>
      </x:c>
      <x:c r="Z379" t="n">
        <x:f>D379-E379-F379</x:f>
        <x:v>0</x:v>
      </x:c>
    </x:row>
    <x:row r="380">
      <x:c r="A380" t="n">
        <x:v>372</x:v>
      </x:c>
      <x:c r="B380" t="str">
        <x:v>J.H. SCHOOL CHANCHALI R.NO. 2</x:v>
      </x:c>
      <x:c r="C380" t="n">
        <x:v>525</x:v>
      </x:c>
      <x:c r="D380" t="n">
        <x:v>342</x:v>
      </x:c>
      <x:c r="E380" t="n">
        <x:f>SUM(H380:T380)</x:f>
        <x:v>340</x:v>
      </x:c>
      <x:c r="F380" t="n">
        <x:v>2</x:v>
      </x:c>
      <x:c r="G380" s="50" t="n">
        <x:f>IF(C380="","",IFERROR(D380/C380,0))</x:f>
        <x:v>0.6514285714285715</x:v>
      </x:c>
      <x:c r="H380" s="36" t="n">
        <x:v>273</x:v>
      </x:c>
      <x:c r="I380" t="n">
        <x:v>57</x:v>
      </x:c>
      <x:c r="J380" t="n">
        <x:v>5</x:v>
      </x:c>
      <x:c r="K380" t="n">
        <x:v>2</x:v>
      </x:c>
      <x:c r="L380" t="n">
        <x:v>2</x:v>
      </x:c>
      <x:c r="M380" t="n">
        <x:v>1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s="50" t="n">
        <x:f>IF(D380=0,"",H380/D380)</x:f>
        <x:v>0.7982456140350878</x:v>
      </x:c>
      <x:c r="V380" t="n">
        <x:f>MAX(I380:T380)</x:f>
        <x:v>57</x:v>
      </x:c>
      <x:c r="W380" t="n">
        <x:f>H380-V380</x:f>
        <x:v>216</x:v>
      </x:c>
      <x:c r="X380" s="52" t="n">
        <x:f>IF(D380=0,"",(W380)/D380)</x:f>
        <x:v>0.631578947368421</x:v>
      </x:c>
      <x:c r="Y380" t="str">
        <x:v>SATVEER</x:v>
      </x:c>
      <x:c r="Z380" t="n">
        <x:f>D380-E380-F380</x:f>
        <x:v>0</x:v>
      </x:c>
    </x:row>
    <x:row r="381">
      <x:c r="A381" t="n">
        <x:v>373</x:v>
      </x:c>
      <x:c r="B381" t="str">
        <x:v>PRY. SCHOOL ORANGABAD URF HIMAYUPUR R.NO. 1</x:v>
      </x:c>
      <x:c r="C381" t="n">
        <x:v>707</x:v>
      </x:c>
      <x:c r="D381" t="n">
        <x:v>435</x:v>
      </x:c>
      <x:c r="E381" t="n">
        <x:f>SUM(H381:T381)</x:f>
        <x:v>434</x:v>
      </x:c>
      <x:c r="F381" t="n">
        <x:v>1</x:v>
      </x:c>
      <x:c r="G381" s="50" t="n">
        <x:f>IF(C381="","",IFERROR(D381/C381,0))</x:f>
        <x:v>0.6152758132956153</x:v>
      </x:c>
      <x:c r="H381" s="36" t="n">
        <x:v>109</x:v>
      </x:c>
      <x:c r="I381" t="n">
        <x:v>313</x:v>
      </x:c>
      <x:c r="J381" t="n">
        <x:v>11</x:v>
      </x:c>
      <x:c r="K381" t="n">
        <x:v>0</x:v>
      </x:c>
      <x:c r="L381" t="n">
        <x:v>1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s="50" t="n">
        <x:f>IF(D381=0,"",H381/D381)</x:f>
        <x:v>0.25057471264367814</x:v>
      </x:c>
      <x:c r="V381" t="n">
        <x:f>MAX(I381:T381)</x:f>
        <x:v>313</x:v>
      </x:c>
      <x:c r="W381" t="n">
        <x:f>H381-V381</x:f>
        <x:v>-204</x:v>
      </x:c>
      <x:c r="X381" s="52" t="n">
        <x:f>IF(D381=0,"",(W381)/D381)</x:f>
        <x:v>-0.4689655172413793</x:v>
      </x:c>
      <x:c r="Y381" t="str">
        <x:v>DR. MAHESH SHARMA</x:v>
      </x:c>
      <x:c r="Z381" t="n">
        <x:f>D381-E381-F381</x:f>
        <x:v>0</x:v>
      </x:c>
    </x:row>
    <x:row r="382">
      <x:c r="A382" t="n">
        <x:v>374</x:v>
      </x:c>
      <x:c r="B382" t="str">
        <x:v>INTER COLLEG T.A. JAHANGIRPUR R.NO. 1</x:v>
      </x:c>
      <x:c r="C382" t="n">
        <x:v>803</x:v>
      </x:c>
      <x:c r="D382" t="n">
        <x:v>451</x:v>
      </x:c>
      <x:c r="E382" t="n">
        <x:f>SUM(H382:T382)</x:f>
        <x:v>448</x:v>
      </x:c>
      <x:c r="F382" t="n">
        <x:v>3</x:v>
      </x:c>
      <x:c r="G382" s="50" t="n">
        <x:f>IF(C382="","",IFERROR(D382/C382,0))</x:f>
        <x:v>0.5616438356164384</x:v>
      </x:c>
      <x:c r="H382" s="36" t="n">
        <x:v>233</x:v>
      </x:c>
      <x:c r="I382" t="n">
        <x:v>194</x:v>
      </x:c>
      <x:c r="J382" t="n">
        <x:v>13</x:v>
      </x:c>
      <x:c r="K382" t="n">
        <x:v>2</x:v>
      </x:c>
      <x:c r="L382" t="n">
        <x:v>2</x:v>
      </x:c>
      <x:c r="M382" t="n">
        <x:v>1</x:v>
      </x:c>
      <x:c r="N382" t="n">
        <x:v>0</x:v>
      </x:c>
      <x:c r="O382" t="n">
        <x:v>1</x:v>
      </x:c>
      <x:c r="P382" t="n">
        <x:v>1</x:v>
      </x:c>
      <x:c r="Q382" t="n">
        <x:v>0</x:v>
      </x:c>
      <x:c r="R382" t="n">
        <x:v>0</x:v>
      </x:c>
      <x:c r="S382" t="n">
        <x:v>0</x:v>
      </x:c>
      <x:c r="T382" t="n">
        <x:v>1</x:v>
      </x:c>
      <x:c r="U382" s="50" t="n">
        <x:f>IF(D382=0,"",H382/D382)</x:f>
        <x:v>0.516629711751663</x:v>
      </x:c>
      <x:c r="V382" t="n">
        <x:f>MAX(I382:T382)</x:f>
        <x:v>194</x:v>
      </x:c>
      <x:c r="W382" t="n">
        <x:f>H382-V382</x:f>
        <x:v>39</x:v>
      </x:c>
      <x:c r="X382" s="52" t="n">
        <x:f>IF(D382=0,"",(W382)/D382)</x:f>
        <x:v>0.08647450110864745</x:v>
      </x:c>
      <x:c r="Y382" t="str">
        <x:v>SATVEER</x:v>
      </x:c>
      <x:c r="Z382" t="n">
        <x:f>D382-E382-F382</x:f>
        <x:v>0</x:v>
      </x:c>
    </x:row>
    <x:row r="383">
      <x:c r="A383" t="n">
        <x:v>375</x:v>
      </x:c>
      <x:c r="B383" t="str">
        <x:v>INTER COLLEG T.A. JAHANGIRPUR R.NO. 2</x:v>
      </x:c>
      <x:c r="C383" t="n">
        <x:v>816</x:v>
      </x:c>
      <x:c r="D383" t="n">
        <x:v>440</x:v>
      </x:c>
      <x:c r="E383" t="n">
        <x:f>SUM(H383:T383)</x:f>
        <x:v>438</x:v>
      </x:c>
      <x:c r="F383" t="n">
        <x:v>2</x:v>
      </x:c>
      <x:c r="G383" s="50" t="n">
        <x:f>IF(C383="","",IFERROR(D383/C383,0))</x:f>
        <x:v>0.5392156862745098</x:v>
      </x:c>
      <x:c r="H383" s="36" t="n">
        <x:v>227</x:v>
      </x:c>
      <x:c r="I383" t="n">
        <x:v>203</x:v>
      </x:c>
      <x:c r="J383" t="n">
        <x:v>7</x:v>
      </x:c>
      <x:c r="K383" t="n">
        <x:v>1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s="50" t="n">
        <x:f>IF(D383=0,"",H383/D383)</x:f>
        <x:v>0.5159090909090909</x:v>
      </x:c>
      <x:c r="V383" t="n">
        <x:f>MAX(I383:T383)</x:f>
        <x:v>203</x:v>
      </x:c>
      <x:c r="W383" t="n">
        <x:f>H383-V383</x:f>
        <x:v>24</x:v>
      </x:c>
      <x:c r="X383" s="52" t="n">
        <x:f>IF(D383=0,"",(W383)/D383)</x:f>
        <x:v>0.05454545454545454</x:v>
      </x:c>
      <x:c r="Y383" t="str">
        <x:v>SATVEER</x:v>
      </x:c>
      <x:c r="Z383" t="n">
        <x:f>D383-E383-F383</x:f>
        <x:v>0</x:v>
      </x:c>
    </x:row>
    <x:row r="384">
      <x:c r="A384" t="n">
        <x:v>376</x:v>
      </x:c>
      <x:c r="B384" t="str">
        <x:v>INTER COLLEG T.A. JAHANGIRPUR R.NO. 3</x:v>
      </x:c>
      <x:c r="C384" t="n">
        <x:v>532</x:v>
      </x:c>
      <x:c r="D384" t="n">
        <x:v>367</x:v>
      </x:c>
      <x:c r="E384" t="n">
        <x:f>SUM(H384:T384)</x:f>
        <x:v>363</x:v>
      </x:c>
      <x:c r="F384" t="n">
        <x:v>4</x:v>
      </x:c>
      <x:c r="G384" s="50" t="n">
        <x:f>IF(C384="","",IFERROR(D384/C384,0))</x:f>
        <x:v>0.6898496240601504</x:v>
      </x:c>
      <x:c r="H384" s="36" t="n">
        <x:v>38</x:v>
      </x:c>
      <x:c r="I384" t="n">
        <x:v>320</x:v>
      </x:c>
      <x:c r="J384" t="n">
        <x:v>3</x:v>
      </x:c>
      <x:c r="K384" t="n">
        <x:v>0</x:v>
      </x:c>
      <x:c r="L384" t="n">
        <x:v>2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s="50" t="n">
        <x:f>IF(D384=0,"",H384/D384)</x:f>
        <x:v>0.10354223433242507</x:v>
      </x:c>
      <x:c r="V384" t="n">
        <x:f>MAX(I384:T384)</x:f>
        <x:v>320</x:v>
      </x:c>
      <x:c r="W384" t="n">
        <x:f>H384-V384</x:f>
        <x:v>-282</x:v>
      </x:c>
      <x:c r="X384" s="52" t="n">
        <x:f>IF(D384=0,"",(W384)/D384)</x:f>
        <x:v>-0.7683923705722071</x:v>
      </x:c>
      <x:c r="Y384" t="str">
        <x:v>DR. MAHESH SHARMA</x:v>
      </x:c>
      <x:c r="Z384" t="n">
        <x:f>D384-E384-F384</x:f>
        <x:v>0</x:v>
      </x:c>
    </x:row>
    <x:row r="385">
      <x:c r="A385" t="n">
        <x:v>377</x:v>
      </x:c>
      <x:c r="B385" t="str">
        <x:v>INTER COLLEG T.A. JAHANGIRPUR R.NO. 4</x:v>
      </x:c>
      <x:c r="C385" t="n">
        <x:v>898</x:v>
      </x:c>
      <x:c r="D385" t="n">
        <x:v>619</x:v>
      </x:c>
      <x:c r="E385" t="n">
        <x:f>SUM(H385:T385)</x:f>
        <x:v>618</x:v>
      </x:c>
      <x:c r="F385" t="n">
        <x:v>1</x:v>
      </x:c>
      <x:c r="G385" s="50" t="n">
        <x:f>IF(C385="","",IFERROR(D385/C385,0))</x:f>
        <x:v>0.6893095768374164</x:v>
      </x:c>
      <x:c r="H385" s="36" t="n">
        <x:v>88</x:v>
      </x:c>
      <x:c r="I385" t="n">
        <x:v>518</x:v>
      </x:c>
      <x:c r="J385" t="n">
        <x:v>8</x:v>
      </x:c>
      <x:c r="K385" t="n">
        <x:v>1</x:v>
      </x:c>
      <x:c r="L385" t="n">
        <x:v>0</x:v>
      </x:c>
      <x:c r="M385" t="n">
        <x:v>0</x:v>
      </x:c>
      <x:c r="N385" t="n">
        <x:v>2</x:v>
      </x:c>
      <x:c r="O385" t="n">
        <x:v>0</x:v>
      </x:c>
      <x:c r="P385" t="n">
        <x:v>0</x:v>
      </x:c>
      <x:c r="Q385" t="n">
        <x:v>0</x:v>
      </x:c>
      <x:c r="R385" t="n">
        <x:v>1</x:v>
      </x:c>
      <x:c r="S385" t="n">
        <x:v>0</x:v>
      </x:c>
      <x:c r="T385" t="n">
        <x:v>0</x:v>
      </x:c>
      <x:c r="U385" s="50" t="n">
        <x:f>IF(D385=0,"",H385/D385)</x:f>
        <x:v>0.1421647819063005</x:v>
      </x:c>
      <x:c r="V385" t="n">
        <x:f>MAX(I385:T385)</x:f>
        <x:v>518</x:v>
      </x:c>
      <x:c r="W385" t="n">
        <x:f>H385-V385</x:f>
        <x:v>-430</x:v>
      </x:c>
      <x:c r="X385" s="52" t="n">
        <x:f>IF(D385=0,"",(W385)/D385)</x:f>
        <x:v>-0.6946688206785138</x:v>
      </x:c>
      <x:c r="Y385" t="str">
        <x:v>DR. MAHESH SHARMA</x:v>
      </x:c>
      <x:c r="Z385" t="n">
        <x:f>D385-E385-F385</x:f>
        <x:v>0</x:v>
      </x:c>
    </x:row>
    <x:row r="386">
      <x:c r="A386" t="n">
        <x:v>378</x:v>
      </x:c>
      <x:c r="B386" t="str">
        <x:v>INTER COLLEG T.A. JAHANGIRPUR R.NO. 5</x:v>
      </x:c>
      <x:c r="C386" t="n">
        <x:v>855</x:v>
      </x:c>
      <x:c r="D386" t="n">
        <x:v>540</x:v>
      </x:c>
      <x:c r="E386" t="n">
        <x:f>SUM(H386:T386)</x:f>
        <x:v>539</x:v>
      </x:c>
      <x:c r="F386" t="n">
        <x:v>1</x:v>
      </x:c>
      <x:c r="G386" s="50" t="n">
        <x:f>IF(C386="","",IFERROR(D386/C386,0))</x:f>
        <x:v>0.631578947368421</x:v>
      </x:c>
      <x:c r="H386" s="36" t="n">
        <x:v>82</x:v>
      </x:c>
      <x:c r="I386" t="n">
        <x:v>443</x:v>
      </x:c>
      <x:c r="J386" t="n">
        <x:v>8</x:v>
      </x:c>
      <x:c r="K386" t="n">
        <x:v>0</x:v>
      </x:c>
      <x:c r="L386" t="n">
        <x:v>1</x:v>
      </x:c>
      <x:c r="M386" t="n">
        <x:v>1</x:v>
      </x:c>
      <x:c r="N386" t="n">
        <x:v>1</x:v>
      </x:c>
      <x:c r="O386" t="n">
        <x:v>1</x:v>
      </x:c>
      <x:c r="P386" t="n">
        <x:v>0</x:v>
      </x:c>
      <x:c r="Q386" t="n">
        <x:v>0</x:v>
      </x:c>
      <x:c r="R386" t="n">
        <x:v>2</x:v>
      </x:c>
      <x:c r="S386" t="n">
        <x:v>0</x:v>
      </x:c>
      <x:c r="T386" t="n">
        <x:v>0</x:v>
      </x:c>
      <x:c r="U386" s="50" t="n">
        <x:f>IF(D386=0,"",H386/D386)</x:f>
        <x:v>0.15185185185185185</x:v>
      </x:c>
      <x:c r="V386" t="n">
        <x:f>MAX(I386:T386)</x:f>
        <x:v>443</x:v>
      </x:c>
      <x:c r="W386" t="n">
        <x:f>H386-V386</x:f>
        <x:v>-361</x:v>
      </x:c>
      <x:c r="X386" s="52" t="n">
        <x:f>IF(D386=0,"",(W386)/D386)</x:f>
        <x:v>-0.6685185185185185</x:v>
      </x:c>
      <x:c r="Y386" t="str">
        <x:v>DR. MAHESH SHARMA</x:v>
      </x:c>
      <x:c r="Z386" t="n">
        <x:f>D386-E386-F386</x:f>
        <x:v>0</x:v>
      </x:c>
    </x:row>
    <x:row r="387">
      <x:c r="A387" t="n">
        <x:v>379</x:v>
      </x:c>
      <x:c r="B387" t="str">
        <x:v>KANYA PATH. T.A. JAHANGIRPUR R.NO. 1</x:v>
      </x:c>
      <x:c r="C387" t="n">
        <x:v>933</x:v>
      </x:c>
      <x:c r="D387" t="n">
        <x:v>705</x:v>
      </x:c>
      <x:c r="E387" t="n">
        <x:f>SUM(H387:T387)</x:f>
        <x:v>700</x:v>
      </x:c>
      <x:c r="F387" t="n">
        <x:v>5</x:v>
      </x:c>
      <x:c r="G387" s="50" t="n">
        <x:f>IF(C387="","",IFERROR(D387/C387,0))</x:f>
        <x:v>0.7556270096463023</x:v>
      </x:c>
      <x:c r="H387" s="36" t="n">
        <x:v>205</x:v>
      </x:c>
      <x:c r="I387" t="n">
        <x:v>473</x:v>
      </x:c>
      <x:c r="J387" t="n">
        <x:v>17</x:v>
      </x:c>
      <x:c r="K387" t="n">
        <x:v>1</x:v>
      </x:c>
      <x:c r="L387" t="n">
        <x:v>0</x:v>
      </x:c>
      <x:c r="M387" t="n">
        <x:v>0</x:v>
      </x:c>
      <x:c r="N387" t="n">
        <x:v>3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1</x:v>
      </x:c>
      <x:c r="T387" t="n">
        <x:v>0</x:v>
      </x:c>
      <x:c r="U387" s="50" t="n">
        <x:f>IF(D387=0,"",H387/D387)</x:f>
        <x:v>0.2907801418439716</x:v>
      </x:c>
      <x:c r="V387" t="n">
        <x:f>MAX(I387:T387)</x:f>
        <x:v>473</x:v>
      </x:c>
      <x:c r="W387" t="n">
        <x:f>H387-V387</x:f>
        <x:v>-268</x:v>
      </x:c>
      <x:c r="X387" s="52" t="n">
        <x:f>IF(D387=0,"",(W387)/D387)</x:f>
        <x:v>-0.3801418439716312</x:v>
      </x:c>
      <x:c r="Y387" t="str">
        <x:v>DR. MAHESH SHARMA</x:v>
      </x:c>
      <x:c r="Z387" t="n">
        <x:f>D387-E387-F387</x:f>
        <x:v>0</x:v>
      </x:c>
    </x:row>
    <x:row r="388">
      <x:c r="A388" t="n">
        <x:v>380</x:v>
      </x:c>
      <x:c r="B388" t="str">
        <x:v>KANYA PATH. T.A. JAHANGIRPUR R.NO. 2</x:v>
      </x:c>
      <x:c r="C388" t="n">
        <x:v>377</x:v>
      </x:c>
      <x:c r="D388" t="n">
        <x:v>273</x:v>
      </x:c>
      <x:c r="E388" t="n">
        <x:f>SUM(H388:T388)</x:f>
        <x:v>272</x:v>
      </x:c>
      <x:c r="F388" t="n">
        <x:v>1</x:v>
      </x:c>
      <x:c r="G388" s="50" t="n">
        <x:f>IF(C388="","",IFERROR(D388/C388,0))</x:f>
        <x:v>0.7241379310344828</x:v>
      </x:c>
      <x:c r="H388" s="36" t="n">
        <x:v>45</x:v>
      </x:c>
      <x:c r="I388" t="n">
        <x:v>218</x:v>
      </x:c>
      <x:c r="J388" t="n">
        <x:v>6</x:v>
      </x:c>
      <x:c r="K388" t="n">
        <x:v>0</x:v>
      </x:c>
      <x:c r="L388" t="n">
        <x:v>0</x:v>
      </x:c>
      <x:c r="M388" t="n">
        <x:v>1</x:v>
      </x:c>
      <x:c r="N388" t="n">
        <x:v>0</x:v>
      </x:c>
      <x:c r="O388" t="n">
        <x:v>1</x:v>
      </x:c>
      <x:c r="P388" t="n">
        <x:v>0</x:v>
      </x:c>
      <x:c r="Q388" t="n">
        <x:v>0</x:v>
      </x:c>
      <x:c r="R388" t="n">
        <x:v>0</x:v>
      </x:c>
      <x:c r="S388" t="n">
        <x:v>1</x:v>
      </x:c>
      <x:c r="T388" t="n">
        <x:v>0</x:v>
      </x:c>
      <x:c r="U388" s="50" t="n">
        <x:f>IF(D388=0,"",H388/D388)</x:f>
        <x:v>0.16483516483516483</x:v>
      </x:c>
      <x:c r="V388" t="n">
        <x:f>MAX(I388:T388)</x:f>
        <x:v>218</x:v>
      </x:c>
      <x:c r="W388" t="n">
        <x:f>H388-V388</x:f>
        <x:v>-173</x:v>
      </x:c>
      <x:c r="X388" s="52" t="n">
        <x:f>IF(D388=0,"",(W388)/D388)</x:f>
        <x:v>-0.6336996336996337</x:v>
      </x:c>
      <x:c r="Y388" t="str">
        <x:v>DR. MAHESH SHARMA</x:v>
      </x:c>
      <x:c r="Z388" t="n">
        <x:f>D388-E388-F388</x:f>
        <x:v>0</x:v>
      </x:c>
    </x:row>
    <x:row r="389">
      <x:c r="A389" t="n">
        <x:v>381</x:v>
      </x:c>
      <x:c r="B389" t="str">
        <x:v>PRY. SCHOOL T.A. JAHANGIRPUR R.NO. 1</x:v>
      </x:c>
      <x:c r="C389" t="n">
        <x:v>976</x:v>
      </x:c>
      <x:c r="D389" t="n">
        <x:v>656</x:v>
      </x:c>
      <x:c r="E389" t="n">
        <x:f>SUM(H389:T389)</x:f>
        <x:v>653</x:v>
      </x:c>
      <x:c r="F389" t="n">
        <x:v>3</x:v>
      </x:c>
      <x:c r="G389" s="50" t="n">
        <x:f>IF(C389="","",IFERROR(D389/C389,0))</x:f>
        <x:v>0.6721311475409836</x:v>
      </x:c>
      <x:c r="H389" s="36" t="n">
        <x:v>182</x:v>
      </x:c>
      <x:c r="I389" t="n">
        <x:v>434</x:v>
      </x:c>
      <x:c r="J389" t="n">
        <x:v>15</x:v>
      </x:c>
      <x:c r="K389" t="n">
        <x:v>2</x:v>
      </x:c>
      <x:c r="L389" t="n">
        <x:v>8</x:v>
      </x:c>
      <x:c r="M389" t="n">
        <x:v>1</x:v>
      </x:c>
      <x:c r="N389" t="n">
        <x:v>2</x:v>
      </x:c>
      <x:c r="O389" t="n">
        <x:v>4</x:v>
      </x:c>
      <x:c r="P389" t="n">
        <x:v>0</x:v>
      </x:c>
      <x:c r="Q389" t="n">
        <x:v>0</x:v>
      </x:c>
      <x:c r="R389" t="n">
        <x:v>3</x:v>
      </x:c>
      <x:c r="S389" t="n">
        <x:v>2</x:v>
      </x:c>
      <x:c r="T389" t="n">
        <x:v>0</x:v>
      </x:c>
      <x:c r="U389" s="50" t="n">
        <x:f>IF(D389=0,"",H389/D389)</x:f>
        <x:v>0.2774390243902439</x:v>
      </x:c>
      <x:c r="V389" t="n">
        <x:f>MAX(I389:T389)</x:f>
        <x:v>434</x:v>
      </x:c>
      <x:c r="W389" t="n">
        <x:f>H389-V389</x:f>
        <x:v>-252</x:v>
      </x:c>
      <x:c r="X389" s="52" t="n">
        <x:f>IF(D389=0,"",(W389)/D389)</x:f>
        <x:v>-0.38414634146341464</x:v>
      </x:c>
      <x:c r="Y389" t="str">
        <x:v>DR. MAHESH SHARMA</x:v>
      </x:c>
      <x:c r="Z389" t="n">
        <x:f>D389-E389-F389</x:f>
        <x:v>0</x:v>
      </x:c>
    </x:row>
    <x:row r="390">
      <x:c r="A390" t="n">
        <x:v>382</x:v>
      </x:c>
      <x:c r="B390" t="str">
        <x:v>PRY. SCHOOL T.A. JAHANGIRPUR R.NO. 2</x:v>
      </x:c>
      <x:c r="C390" t="n">
        <x:v>645</x:v>
      </x:c>
      <x:c r="D390" t="n">
        <x:v>417</x:v>
      </x:c>
      <x:c r="E390" t="n">
        <x:f>SUM(H390:T390)</x:f>
        <x:v>411</x:v>
      </x:c>
      <x:c r="F390" t="n">
        <x:v>6</x:v>
      </x:c>
      <x:c r="G390" s="50" t="n">
        <x:f>IF(C390="","",IFERROR(D390/C390,0))</x:f>
        <x:v>0.6465116279069767</x:v>
      </x:c>
      <x:c r="H390" s="36" t="n">
        <x:v>342</x:v>
      </x:c>
      <x:c r="I390" t="n">
        <x:v>55</x:v>
      </x:c>
      <x:c r="J390" t="n">
        <x:v>3</x:v>
      </x:c>
      <x:c r="K390" t="n">
        <x:v>5</x:v>
      </x:c>
      <x:c r="L390" t="n">
        <x:v>1</x:v>
      </x:c>
      <x:c r="M390" t="n">
        <x:v>0</x:v>
      </x:c>
      <x:c r="N390" t="n">
        <x:v>1</x:v>
      </x:c>
      <x:c r="O390" t="n">
        <x:v>1</x:v>
      </x:c>
      <x:c r="P390" t="n">
        <x:v>0</x:v>
      </x:c>
      <x:c r="Q390" t="n">
        <x:v>3</x:v>
      </x:c>
      <x:c r="R390" t="n">
        <x:v>0</x:v>
      </x:c>
      <x:c r="S390" t="n">
        <x:v>0</x:v>
      </x:c>
      <x:c r="T390" t="n">
        <x:v>0</x:v>
      </x:c>
      <x:c r="U390" s="50" t="n">
        <x:f>IF(D390=0,"",H390/D390)</x:f>
        <x:v>0.8201438848920863</x:v>
      </x:c>
      <x:c r="V390" t="n">
        <x:f>MAX(I390:T390)</x:f>
        <x:v>55</x:v>
      </x:c>
      <x:c r="W390" t="n">
        <x:f>H390-V390</x:f>
        <x:v>287</x:v>
      </x:c>
      <x:c r="X390" s="52" t="n">
        <x:f>IF(D390=0,"",(W390)/D390)</x:f>
        <x:v>0.6882494004796164</x:v>
      </x:c>
      <x:c r="Y390" t="str">
        <x:v>SATVEER</x:v>
      </x:c>
      <x:c r="Z390" t="n">
        <x:f>D390-E390-F390</x:f>
        <x:v>0</x:v>
      </x:c>
    </x:row>
    <x:row r="391">
      <x:c r="A391" t="n">
        <x:v>383</x:v>
      </x:c>
      <x:c r="B391" t="str">
        <x:v>PRY. SCHOOL T.A. JAHANGIRPUR R.NO. 3</x:v>
      </x:c>
      <x:c r="C391" t="n">
        <x:v>995</x:v>
      </x:c>
      <x:c r="D391" t="n">
        <x:v>597</x:v>
      </x:c>
      <x:c r="E391" t="n">
        <x:f>SUM(H391:T391)</x:f>
        <x:v>593</x:v>
      </x:c>
      <x:c r="F391" t="n">
        <x:v>4</x:v>
      </x:c>
      <x:c r="G391" s="50" t="n">
        <x:f>IF(C391="","",IFERROR(D391/C391,0))</x:f>
        <x:v>0.6</x:v>
      </x:c>
      <x:c r="H391" s="36" t="n">
        <x:v>524</x:v>
      </x:c>
      <x:c r="I391" t="n">
        <x:v>51</x:v>
      </x:c>
      <x:c r="J391" t="n">
        <x:v>2</x:v>
      </x:c>
      <x:c r="K391" t="n">
        <x:v>8</x:v>
      </x:c>
      <x:c r="L391" t="n">
        <x:v>0</x:v>
      </x:c>
      <x:c r="M391" t="n">
        <x:v>4</x:v>
      </x:c>
      <x:c r="N391" t="n">
        <x:v>0</x:v>
      </x:c>
      <x:c r="O391" t="n">
        <x:v>1</x:v>
      </x:c>
      <x:c r="P391" t="n">
        <x:v>2</x:v>
      </x:c>
      <x:c r="Q391" t="n">
        <x:v>0</x:v>
      </x:c>
      <x:c r="R391" t="n">
        <x:v>1</x:v>
      </x:c>
      <x:c r="S391" t="n">
        <x:v>0</x:v>
      </x:c>
      <x:c r="T391" t="n">
        <x:v>0</x:v>
      </x:c>
      <x:c r="U391" s="50" t="n">
        <x:f>IF(D391=0,"",H391/D391)</x:f>
        <x:v>0.8777219430485762</x:v>
      </x:c>
      <x:c r="V391" t="n">
        <x:f>MAX(I391:T391)</x:f>
        <x:v>51</x:v>
      </x:c>
      <x:c r="W391" t="n">
        <x:f>H391-V391</x:f>
        <x:v>473</x:v>
      </x:c>
      <x:c r="X391" s="52" t="n">
        <x:f>IF(D391=0,"",(W391)/D391)</x:f>
        <x:v>0.7922948073701842</x:v>
      </x:c>
      <x:c r="Y391" t="str">
        <x:v>SATVEER</x:v>
      </x:c>
      <x:c r="Z391" t="n">
        <x:f>D391-E391-F391</x:f>
        <x:v>0</x:v>
      </x:c>
    </x:row>
    <x:row r="392">
      <x:c r="A392" t="n">
        <x:v>384</x:v>
      </x:c>
      <x:c r="B392" t="str">
        <x:v>PRY. SCHOOL CHAK JAHANGIRPUR R.NO. 1</x:v>
      </x:c>
      <x:c r="C392" t="n">
        <x:v>296</x:v>
      </x:c>
      <x:c r="D392" t="n">
        <x:v>205</x:v>
      </x:c>
      <x:c r="E392" t="n">
        <x:f>SUM(H392:T392)</x:f>
        <x:v>205</x:v>
      </x:c>
      <x:c r="F392" t="n">
        <x:v>0</x:v>
      </x:c>
      <x:c r="G392" s="50" t="n">
        <x:f>IF(C392="","",IFERROR(D392/C392,0))</x:f>
        <x:v>0.6925675675675675</x:v>
      </x:c>
      <x:c r="H392" s="36" t="n">
        <x:v>44</x:v>
      </x:c>
      <x:c r="I392" t="n">
        <x:v>159</x:v>
      </x:c>
      <x:c r="J392" t="n">
        <x:v>1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1</x:v>
      </x:c>
      <x:c r="R392" t="n">
        <x:v>0</x:v>
      </x:c>
      <x:c r="S392" t="n">
        <x:v>0</x:v>
      </x:c>
      <x:c r="T392" t="n">
        <x:v>0</x:v>
      </x:c>
      <x:c r="U392" s="50" t="n">
        <x:f>IF(D392=0,"",H392/D392)</x:f>
        <x:v>0.2146341463414634</x:v>
      </x:c>
      <x:c r="V392" t="n">
        <x:f>MAX(I392:T392)</x:f>
        <x:v>159</x:v>
      </x:c>
      <x:c r="W392" t="n">
        <x:f>H392-V392</x:f>
        <x:v>-115</x:v>
      </x:c>
      <x:c r="X392" s="52" t="n">
        <x:f>IF(D392=0,"",(W392)/D392)</x:f>
        <x:v>-0.5609756097560976</x:v>
      </x:c>
      <x:c r="Y392" t="str">
        <x:v>DR. MAHESH SHARMA</x:v>
      </x:c>
      <x:c r="Z392" t="n">
        <x:f>D392-E392-F392</x:f>
        <x:v>0</x:v>
      </x:c>
    </x:row>
    <x:row r="393">
      <x:c r="A393" t="n">
        <x:v>385</x:v>
      </x:c>
      <x:c r="B393" t="str">
        <x:v>PRY. SCHOOL JAFARGHAR MAZRA JAHANGIRPUR R.NO. 1</x:v>
      </x:c>
      <x:c r="C393" t="n">
        <x:v>420</x:v>
      </x:c>
      <x:c r="D393" t="n">
        <x:v>329</x:v>
      </x:c>
      <x:c r="E393" t="n">
        <x:f>SUM(H393:T393)</x:f>
        <x:v>325</x:v>
      </x:c>
      <x:c r="F393" t="n">
        <x:v>4</x:v>
      </x:c>
      <x:c r="G393" s="50" t="n">
        <x:f>IF(C393="","",IFERROR(D393/C393,0))</x:f>
        <x:v>0.7833333333333333</x:v>
      </x:c>
      <x:c r="H393" s="36" t="n">
        <x:v>290</x:v>
      </x:c>
      <x:c r="I393" t="n">
        <x:v>28</x:v>
      </x:c>
      <x:c r="J393" t="n">
        <x:v>1</x:v>
      </x:c>
      <x:c r="K393" t="n">
        <x:v>1</x:v>
      </x:c>
      <x:c r="L393" t="n">
        <x:v>0</x:v>
      </x:c>
      <x:c r="M393" t="n">
        <x:v>2</x:v>
      </x:c>
      <x:c r="N393" t="n">
        <x:v>0</x:v>
      </x:c>
      <x:c r="O393" t="n">
        <x:v>0</x:v>
      </x:c>
      <x:c r="P393" t="n">
        <x:v>0</x:v>
      </x:c>
      <x:c r="Q393" t="n">
        <x:v>2</x:v>
      </x:c>
      <x:c r="R393" t="n">
        <x:v>0</x:v>
      </x:c>
      <x:c r="S393" t="n">
        <x:v>0</x:v>
      </x:c>
      <x:c r="T393" t="n">
        <x:v>1</x:v>
      </x:c>
      <x:c r="U393" s="50" t="n">
        <x:f>IF(D393=0,"",H393/D393)</x:f>
        <x:v>0.8814589665653495</x:v>
      </x:c>
      <x:c r="V393" t="n">
        <x:f>MAX(I393:T393)</x:f>
        <x:v>28</x:v>
      </x:c>
      <x:c r="W393" t="n">
        <x:f>H393-V393</x:f>
        <x:v>262</x:v>
      </x:c>
      <x:c r="X393" s="52" t="n">
        <x:f>IF(D393=0,"",(W393)/D393)</x:f>
        <x:v>0.7963525835866262</x:v>
      </x:c>
      <x:c r="Y393" t="str">
        <x:v>SATVEER</x:v>
      </x:c>
      <x:c r="Z393" t="n">
        <x:f>D393-E393-F393</x:f>
        <x:v>0</x:v>
      </x:c>
    </x:row>
    <x:row r="394">
      <x:c r="A394" t="n">
        <x:v>386</x:v>
      </x:c>
      <x:c r="B394" t="str">
        <x:v>PRY. SCHOOL CHAK NAGALIYA R.NO. 1</x:v>
      </x:c>
      <x:c r="C394" t="n">
        <x:v>733</x:v>
      </x:c>
      <x:c r="D394" t="n">
        <x:v>515</x:v>
      </x:c>
      <x:c r="E394" t="n">
        <x:f>SUM(H394:T394)</x:f>
        <x:v>513</x:v>
      </x:c>
      <x:c r="F394" t="n">
        <x:v>2</x:v>
      </x:c>
      <x:c r="G394" s="50" t="n">
        <x:f>IF(C394="","",IFERROR(D394/C394,0))</x:f>
        <x:v>0.7025920873124147</x:v>
      </x:c>
      <x:c r="H394" s="36" t="n">
        <x:v>52</x:v>
      </x:c>
      <x:c r="I394" t="n">
        <x:v>454</x:v>
      </x:c>
      <x:c r="J394" t="n">
        <x:v>1</x:v>
      </x:c>
      <x:c r="K394" t="n">
        <x:v>0</x:v>
      </x:c>
      <x:c r="L394" t="n">
        <x:v>2</x:v>
      </x:c>
      <x:c r="M394" t="n">
        <x:v>0</x:v>
      </x:c>
      <x:c r="N394" t="n">
        <x:v>0</x:v>
      </x:c>
      <x:c r="O394" t="n">
        <x:v>2</x:v>
      </x:c>
      <x:c r="P394" t="n">
        <x:v>0</x:v>
      </x:c>
      <x:c r="Q394" t="n">
        <x:v>1</x:v>
      </x:c>
      <x:c r="R394" t="n">
        <x:v>0</x:v>
      </x:c>
      <x:c r="S394" t="n">
        <x:v>1</x:v>
      </x:c>
      <x:c r="T394" t="n">
        <x:v>0</x:v>
      </x:c>
      <x:c r="U394" s="50" t="n">
        <x:f>IF(D394=0,"",H394/D394)</x:f>
        <x:v>0.10097087378640776</x:v>
      </x:c>
      <x:c r="V394" t="n">
        <x:f>MAX(I394:T394)</x:f>
        <x:v>454</x:v>
      </x:c>
      <x:c r="W394" t="n">
        <x:f>H394-V394</x:f>
        <x:v>-402</x:v>
      </x:c>
      <x:c r="X394" s="52" t="n">
        <x:f>IF(D394=0,"",(W394)/D394)</x:f>
        <x:v>-0.7805825242718447</x:v>
      </x:c>
      <x:c r="Y394" t="str">
        <x:v>DR. MAHESH SHARMA</x:v>
      </x:c>
      <x:c r="Z394" t="n">
        <x:f>D394-E394-F394</x:f>
        <x:v>0</x:v>
      </x:c>
    </x:row>
    <x:row r="395">
      <x:c r="A395" t="n">
        <x:v>387</x:v>
      </x:c>
      <x:c r="B395" t="str">
        <x:v>PRY. SCHOOL ALAMPUR HATHLA URF LAUDONA R.NO. 1</x:v>
      </x:c>
      <x:c r="C395" t="n">
        <x:v>1111</x:v>
      </x:c>
      <x:c r="D395" t="n">
        <x:v>606</x:v>
      </x:c>
      <x:c r="E395" t="n">
        <x:f>SUM(H395:T395)</x:f>
        <x:v>605</x:v>
      </x:c>
      <x:c r="F395" t="n">
        <x:v>1</x:v>
      </x:c>
      <x:c r="G395" s="50" t="n">
        <x:f>IF(C395="","",IFERROR(D395/C395,0))</x:f>
        <x:v>0.5454545454545454</x:v>
      </x:c>
      <x:c r="H395" s="36" t="n">
        <x:v>180</x:v>
      </x:c>
      <x:c r="I395" t="n">
        <x:v>412</x:v>
      </x:c>
      <x:c r="J395" t="n">
        <x:v>6</x:v>
      </x:c>
      <x:c r="K395" t="n">
        <x:v>1</x:v>
      </x:c>
      <x:c r="L395" t="n">
        <x:v>0</x:v>
      </x:c>
      <x:c r="M395" t="n">
        <x:v>1</x:v>
      </x:c>
      <x:c r="N395" t="n">
        <x:v>0</x:v>
      </x:c>
      <x:c r="O395" t="n">
        <x:v>1</x:v>
      </x:c>
      <x:c r="P395" t="n">
        <x:v>2</x:v>
      </x:c>
      <x:c r="Q395" t="n">
        <x:v>0</x:v>
      </x:c>
      <x:c r="R395" t="n">
        <x:v>1</x:v>
      </x:c>
      <x:c r="S395" t="n">
        <x:v>1</x:v>
      </x:c>
      <x:c r="T395" t="n">
        <x:v>0</x:v>
      </x:c>
      <x:c r="U395" s="50" t="n">
        <x:f>IF(D395=0,"",H395/D395)</x:f>
        <x:v>0.297029702970297</x:v>
      </x:c>
      <x:c r="V395" t="n">
        <x:f>MAX(I395:T395)</x:f>
        <x:v>412</x:v>
      </x:c>
      <x:c r="W395" t="n">
        <x:f>H395-V395</x:f>
        <x:v>-232</x:v>
      </x:c>
      <x:c r="X395" s="52" t="n">
        <x:f>IF(D395=0,"",(W395)/D395)</x:f>
        <x:v>-0.38283828382838286</x:v>
      </x:c>
      <x:c r="Y395" t="str">
        <x:v>DR. MAHESH SHARMA</x:v>
      </x:c>
      <x:c r="Z395" t="n">
        <x:f>D395-E395-F395</x:f>
        <x:v>0</x:v>
      </x:c>
    </x:row>
    <x:row r="396">
      <x:c r="A396" t="n">
        <x:v>388</x:v>
      </x:c>
      <x:c r="B396" t="str">
        <x:v>PRY. SCHOOL ALAMPUR HATHLA URF LAUDONA R.NO. 2</x:v>
      </x:c>
      <x:c r="C396" t="n">
        <x:v>987</x:v>
      </x:c>
      <x:c r="D396" t="n">
        <x:v>580</x:v>
      </x:c>
      <x:c r="E396" t="n">
        <x:f>SUM(H396:T396)</x:f>
        <x:v>579</x:v>
      </x:c>
      <x:c r="F396" t="n">
        <x:v>1</x:v>
      </x:c>
      <x:c r="G396" s="50" t="n">
        <x:f>IF(C396="","",IFERROR(D396/C396,0))</x:f>
        <x:v>0.5876393110435664</x:v>
      </x:c>
      <x:c r="H396" s="36" t="n">
        <x:v>83</x:v>
      </x:c>
      <x:c r="I396" t="n">
        <x:v>471</x:v>
      </x:c>
      <x:c r="J396" t="n">
        <x:v>15</x:v>
      </x:c>
      <x:c r="K396" t="n">
        <x:v>2</x:v>
      </x:c>
      <x:c r="L396" t="n">
        <x:v>4</x:v>
      </x:c>
      <x:c r="M396" t="n">
        <x:v>1</x:v>
      </x:c>
      <x:c r="N396" t="n">
        <x:v>0</x:v>
      </x:c>
      <x:c r="O396" t="n">
        <x:v>1</x:v>
      </x:c>
      <x:c r="P396" t="n">
        <x:v>0</x:v>
      </x:c>
      <x:c r="Q396" t="n">
        <x:v>0</x:v>
      </x:c>
      <x:c r="R396" t="n">
        <x:v>2</x:v>
      </x:c>
      <x:c r="S396" t="n">
        <x:v>0</x:v>
      </x:c>
      <x:c r="T396" t="n">
        <x:v>0</x:v>
      </x:c>
      <x:c r="U396" s="50" t="n">
        <x:f>IF(D396=0,"",H396/D396)</x:f>
        <x:v>0.14310344827586208</x:v>
      </x:c>
      <x:c r="V396" t="n">
        <x:f>MAX(I396:T396)</x:f>
        <x:v>471</x:v>
      </x:c>
      <x:c r="W396" t="n">
        <x:f>H396-V396</x:f>
        <x:v>-388</x:v>
      </x:c>
      <x:c r="X396" s="52" t="n">
        <x:f>IF(D396=0,"",(W396)/D396)</x:f>
        <x:v>-0.6689655172413793</x:v>
      </x:c>
      <x:c r="Y396" t="str">
        <x:v>DR. MAHESH SHARMA</x:v>
      </x:c>
      <x:c r="Z396" t="n">
        <x:f>D396-E396-F396</x:f>
        <x:v>0</x:v>
      </x:c>
    </x:row>
  </x:sheetData>
  <x:mergeCells>
    <x:mergeCell ref="A1:Z2"/>
    <x:mergeCell ref="A3:Z3"/>
    <x:mergeCell ref="A5:Z6"/>
  </x:mergeCells>
  <x:conditionalFormatting sqref="U9:U396">
    <x:cfRule type="dataBar" priority="1">
      <x:dataBar>
        <x:cfvo type="min"/>
        <x:cfvo type="max"/>
        <x:color rgb="FF48A899"/>
      </x:dataBar>
      <x:extLst>
        <x:ext xmlns:x14="http://schemas.microsoft.com/office/spreadsheetml/2009/9/main" uri="{B025F937-C7B1-47D3-B67F-A62EFF666E3E}">
          <x14:id>{8BEBE06D-A460-AE7B-EB5B-E0DDD8791678}</x14:id>
        </x:ext>
      </x:extLst>
    </x:cfRule>
  </x:conditionalFormatting>
  <x:conditionalFormatting sqref="X9:X396">
    <x:cfRule type="colorScale" priority="2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Z9:Z396">
    <x:cfRule type="cellIs" dxfId="1" priority="3" operator="notEqual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EBE06D-A460-AE7B-EB5B-E0DDD8791678}">
            <x14:dataBar gradient="1">
              <x14:cfvo type="min"/>
              <x14:cfvo type="max"/>
              <x14:fillColor rgb="FF48A899"/>
            </x14:dataBar>
          </x14:cfRule>
          <xm:sqref>U9:U396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 ht="25" customHeight="1">
      <x:c r="A1" s="4" t="str">
        <x:v>2022 ASSEMBLY FORM 20 | AVTAR SINGH BHADANA (RLD, SP-ALLIED)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8" customHeight="1">
      <x:c r="A3" s="10" t="str">
        <x:v>JEWAR AC 63 • SOURCE: AC63- form 20 jewar 2022.xls • EVM STATION ROWS ONLY • Focal candidate shown first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5" ht="24" customHeight="1">
      <x:c r="A5" s="38" t="str">
        <x:v>SP + RLD Assembly alliance; Jewar was contested by Avtar Singh Bhadana (RLD). NO SP-symbol candidate; BSP's Narender Kumar is not Narender Nagar.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</x:row>
    <x:row r="6" ht="24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</x:row>
    <x:row r="8" ht="38" customHeight="1">
      <x:c r="A8" s="45" t="str">
        <x:v>PS #</x:v>
      </x:c>
      <x:c r="B8" s="45" t="str">
        <x:v>Polling station / location</x:v>
      </x:c>
      <x:c r="C8" s="45" t="str">
        <x:v>Electors</x:v>
      </x:c>
      <x:c r="D8" s="45" t="str">
        <x:v>EVM votes incl NOTA</x:v>
      </x:c>
      <x:c r="E8" s="45" t="str">
        <x:v>Candidate votes</x:v>
      </x:c>
      <x:c r="F8" s="45" t="str">
        <x:v>NOTA</x:v>
      </x:c>
      <x:c r="G8" s="45" t="str">
        <x:v>Turnout %</x:v>
      </x:c>
      <x:c r="H8" s="54" t="str">
        <x:v>AVTAR SINGH BHADANA (Rashtriya Lok Dal)</x:v>
      </x:c>
      <x:c r="I8" s="45" t="str">
        <x:v>DHIRENDRA SINGH (Bharatiya Janata Party)</x:v>
      </x:c>
      <x:c r="J8" s="45" t="str">
        <x:v>NARENDER KUMAR (Bahujan Samaj Party)</x:v>
      </x:c>
      <x:c r="K8" s="45" t="str">
        <x:v>MANOJ (Indian National Congress)</x:v>
      </x:c>
      <x:c r="L8" s="45" t="str">
        <x:v>NEERU WALIA (Sarv Samaj Party)</x:v>
      </x:c>
      <x:c r="M8" s="45" t="str">
        <x:v>POONAM (Aam Aadmi Party)</x:v>
      </x:c>
      <x:c r="N8" s="45" t="str">
        <x:v>MANOJ KUMAR SHARMA (Loktantrik Janshakti Party)</x:v>
      </x:c>
      <x:c r="O8" s="45" t="str">
        <x:v>TRILOK CHAND SHARMA (Independent)</x:v>
      </x:c>
      <x:c r="P8" s="45" t="str">
        <x:v>DHANIRAM (Independent)</x:v>
      </x:c>
      <x:c r="Q8" s="45" t="str">
        <x:v>VIJAY (Independent)</x:v>
      </x:c>
      <x:c r="R8" s="45" t="str">
        <x:v>VEER SINGH (Independent)</x:v>
      </x:c>
      <x:c r="S8" s="45" t="str">
        <x:v>SUNIL GAUTAM (Independent)</x:v>
      </x:c>
      <x:c r="T8" s="45" t="str">
        <x:v>FOCUS share %</x:v>
      </x:c>
      <x:c r="U8" s="45" t="str">
        <x:v>Highest rival votes</x:v>
      </x:c>
      <x:c r="V8" s="45" t="str">
        <x:v>FOCUS lead vs rival</x:v>
      </x:c>
      <x:c r="W8" s="45" t="str">
        <x:v>Lead in pp</x:v>
      </x:c>
      <x:c r="X8" s="45" t="str">
        <x:v>EVM station leader</x:v>
      </x:c>
      <x:c r="Y8" s="45" t="str">
        <x:v>QA difference</x:v>
      </x:c>
    </x:row>
    <x:row r="9">
      <x:c r="A9" t="n">
        <x:v>1</x:v>
      </x:c>
      <x:c r="B9" t="str">
        <x:v>AMICHAND INTER COLLEGE KASNA ROOM N.1</x:v>
      </x:c>
      <x:c r="C9" t="n">
        <x:v>1149</x:v>
      </x:c>
      <x:c r="D9" t="n">
        <x:v>636</x:v>
      </x:c>
      <x:c r="E9" t="n">
        <x:f>SUM(H9:S9)</x:f>
        <x:v>632</x:v>
      </x:c>
      <x:c r="F9" t="n">
        <x:v>4</x:v>
      </x:c>
      <x:c r="G9" s="50" t="n">
        <x:f>IF(C9="","",IFERROR(D9/C9,0))</x:f>
        <x:v>0.5535248041775457</x:v>
      </x:c>
      <x:c r="H9" s="36" t="n">
        <x:v>129</x:v>
      </x:c>
      <x:c r="I9" t="n">
        <x:v>374</x:v>
      </x:c>
      <x:c r="J9" t="n">
        <x:v>98</x:v>
      </x:c>
      <x:c r="K9" t="n">
        <x:v>20</x:v>
      </x:c>
      <x:c r="L9" t="n">
        <x:v>2</x:v>
      </x:c>
      <x:c r="M9" t="n">
        <x:v>1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2</x:v>
      </x:c>
      <x:c r="S9" t="n">
        <x:v>6</x:v>
      </x:c>
      <x:c r="T9" s="50" t="n">
        <x:f>IF(D9=0,"",H9/D9)</x:f>
        <x:v>0.2028301886792453</x:v>
      </x:c>
      <x:c r="U9" t="n">
        <x:f>MAX(I9:S9)</x:f>
        <x:v>374</x:v>
      </x:c>
      <x:c r="V9" t="n">
        <x:f>H9-U9</x:f>
        <x:v>-245</x:v>
      </x:c>
      <x:c r="W9" s="52" t="n">
        <x:f>IF(D9=0,"",(V9)/D9)</x:f>
        <x:v>-0.38522012578616355</x:v>
      </x:c>
      <x:c r="X9" t="str">
        <x:v>DHIRENDRA SINGH</x:v>
      </x:c>
      <x:c r="Y9" t="n">
        <x:f>D9-E9-F9</x:f>
        <x:v>0</x:v>
      </x:c>
    </x:row>
    <x:row r="10">
      <x:c r="A10" t="n">
        <x:v>2</x:v>
      </x:c>
      <x:c r="B10" t="str">
        <x:v>AMICHAND INTER COLLEGE KASNA R. N. 2</x:v>
      </x:c>
      <x:c r="C10" t="n">
        <x:v>1169</x:v>
      </x:c>
      <x:c r="D10" t="n">
        <x:v>629</x:v>
      </x:c>
      <x:c r="E10" t="n">
        <x:f>SUM(H10:S10)</x:f>
        <x:v>628</x:v>
      </x:c>
      <x:c r="F10" t="n">
        <x:v>1</x:v>
      </x:c>
      <x:c r="G10" s="50" t="n">
        <x:f>IF(C10="","",IFERROR(D10/C10,0))</x:f>
        <x:v>0.5380667236954663</x:v>
      </x:c>
      <x:c r="H10" s="36" t="n">
        <x:v>141</x:v>
      </x:c>
      <x:c r="I10" t="n">
        <x:v>390</x:v>
      </x:c>
      <x:c r="J10" t="n">
        <x:v>71</x:v>
      </x:c>
      <x:c r="K10" t="n">
        <x:v>13</x:v>
      </x:c>
      <x:c r="L10" t="n">
        <x:v>2</x:v>
      </x:c>
      <x:c r="M10" t="n">
        <x:v>4</x:v>
      </x:c>
      <x:c r="N10" t="n">
        <x:v>0</x:v>
      </x:c>
      <x:c r="O10" t="n">
        <x:v>1</x:v>
      </x:c>
      <x:c r="P10" t="n">
        <x:v>3</x:v>
      </x:c>
      <x:c r="Q10" t="n">
        <x:v>1</x:v>
      </x:c>
      <x:c r="R10" t="n">
        <x:v>0</x:v>
      </x:c>
      <x:c r="S10" t="n">
        <x:v>2</x:v>
      </x:c>
      <x:c r="T10" s="50" t="n">
        <x:f>IF(D10=0,"",H10/D10)</x:f>
        <x:v>0.22416534181240064</x:v>
      </x:c>
      <x:c r="U10" t="n">
        <x:f>MAX(I10:S10)</x:f>
        <x:v>390</x:v>
      </x:c>
      <x:c r="V10" t="n">
        <x:f>H10-U10</x:f>
        <x:v>-249</x:v>
      </x:c>
      <x:c r="W10" s="52" t="n">
        <x:f>IF(D10=0,"",(V10)/D10)</x:f>
        <x:v>-0.3958664546899841</x:v>
      </x:c>
      <x:c r="X10" t="str">
        <x:v>DHIRENDRA SINGH</x:v>
      </x:c>
      <x:c r="Y10" t="n">
        <x:f>D10-E10-F10</x:f>
        <x:v>0</x:v>
      </x:c>
    </x:row>
    <x:row r="11">
      <x:c r="A11" t="n">
        <x:v>3</x:v>
      </x:c>
      <x:c r="B11" t="str">
        <x:v>AMICHAND INTER COLLEGE .KASNA ROOM N 3</x:v>
      </x:c>
      <x:c r="C11" t="n">
        <x:v>1189</x:v>
      </x:c>
      <x:c r="D11" t="n">
        <x:v>746</x:v>
      </x:c>
      <x:c r="E11" t="n">
        <x:f>SUM(H11:S11)</x:f>
        <x:v>742</x:v>
      </x:c>
      <x:c r="F11" t="n">
        <x:v>4</x:v>
      </x:c>
      <x:c r="G11" s="50" t="n">
        <x:f>IF(C11="","",IFERROR(D11/C11,0))</x:f>
        <x:v>0.6274179983179142</x:v>
      </x:c>
      <x:c r="H11" s="36" t="n">
        <x:v>84</x:v>
      </x:c>
      <x:c r="I11" t="n">
        <x:v>138</x:v>
      </x:c>
      <x:c r="J11" t="n">
        <x:v>497</x:v>
      </x:c>
      <x:c r="K11" t="n">
        <x:v>10</x:v>
      </x:c>
      <x:c r="L11" t="n">
        <x:v>1</x:v>
      </x:c>
      <x:c r="M11" t="n">
        <x:v>1</x:v>
      </x:c>
      <x:c r="N11" t="n">
        <x:v>0</x:v>
      </x:c>
      <x:c r="O11" t="n">
        <x:v>0</x:v>
      </x:c>
      <x:c r="P11" t="n">
        <x:v>1</x:v>
      </x:c>
      <x:c r="Q11" t="n">
        <x:v>1</x:v>
      </x:c>
      <x:c r="R11" t="n">
        <x:v>7</x:v>
      </x:c>
      <x:c r="S11" t="n">
        <x:v>2</x:v>
      </x:c>
      <x:c r="T11" s="50" t="n">
        <x:f>IF(D11=0,"",H11/D11)</x:f>
        <x:v>0.1126005361930295</x:v>
      </x:c>
      <x:c r="U11" t="n">
        <x:f>MAX(I11:S11)</x:f>
        <x:v>497</x:v>
      </x:c>
      <x:c r="V11" t="n">
        <x:f>H11-U11</x:f>
        <x:v>-413</x:v>
      </x:c>
      <x:c r="W11" s="52" t="n">
        <x:f>IF(D11=0,"",(V11)/D11)</x:f>
        <x:v>-0.5536193029490617</x:v>
      </x:c>
      <x:c r="X11" t="str">
        <x:v>NARENDER KUMAR</x:v>
      </x:c>
      <x:c r="Y11" t="n">
        <x:f>D11-E11-F11</x:f>
        <x:v>0</x:v>
      </x:c>
    </x:row>
    <x:row r="12">
      <x:c r="A12" t="n">
        <x:v>4</x:v>
      </x:c>
      <x:c r="B12" t="str">
        <x:v>AMICHAND INTER COLLEGE KASNA ROON N 4</x:v>
      </x:c>
      <x:c r="C12" t="n">
        <x:v>922</x:v>
      </x:c>
      <x:c r="D12" t="n">
        <x:v>526</x:v>
      </x:c>
      <x:c r="E12" t="n">
        <x:f>SUM(H12:S12)</x:f>
        <x:v>520</x:v>
      </x:c>
      <x:c r="F12" t="n">
        <x:v>6</x:v>
      </x:c>
      <x:c r="G12" s="50" t="n">
        <x:f>IF(C12="","",IFERROR(D12/C12,0))</x:f>
        <x:v>0.5704989154013015</x:v>
      </x:c>
      <x:c r="H12" s="36" t="n">
        <x:v>50</x:v>
      </x:c>
      <x:c r="I12" t="n">
        <x:v>238</x:v>
      </x:c>
      <x:c r="J12" t="n">
        <x:v>216</x:v>
      </x:c>
      <x:c r="K12" t="n">
        <x:v>11</x:v>
      </x:c>
      <x:c r="L12" t="n">
        <x:v>0</x:v>
      </x:c>
      <x:c r="M12" t="n">
        <x:v>1</x:v>
      </x:c>
      <x:c r="N12" t="n">
        <x:v>1</x:v>
      </x:c>
      <x:c r="O12" t="n">
        <x:v>0</x:v>
      </x:c>
      <x:c r="P12" t="n">
        <x:v>0</x:v>
      </x:c>
      <x:c r="Q12" t="n">
        <x:v>0</x:v>
      </x:c>
      <x:c r="R12" t="n">
        <x:v>2</x:v>
      </x:c>
      <x:c r="S12" t="n">
        <x:v>1</x:v>
      </x:c>
      <x:c r="T12" s="50" t="n">
        <x:f>IF(D12=0,"",H12/D12)</x:f>
        <x:v>0.09505703422053231</x:v>
      </x:c>
      <x:c r="U12" t="n">
        <x:f>MAX(I12:S12)</x:f>
        <x:v>238</x:v>
      </x:c>
      <x:c r="V12" t="n">
        <x:f>H12-U12</x:f>
        <x:v>-188</x:v>
      </x:c>
      <x:c r="W12" s="52" t="n">
        <x:f>IF(D12=0,"",(V12)/D12)</x:f>
        <x:v>-0.3574144486692015</x:v>
      </x:c>
      <x:c r="X12" t="str">
        <x:v>DHIRENDRA SINGH</x:v>
      </x:c>
      <x:c r="Y12" t="n">
        <x:f>D12-E12-F12</x:f>
        <x:v>0</x:v>
      </x:c>
    </x:row>
    <x:row r="13">
      <x:c r="A13" t="n">
        <x:v>5</x:v>
      </x:c>
      <x:c r="B13" t="str">
        <x:v>AMICHAND INTER COLLEGE, KASNA ROOM N 5</x:v>
      </x:c>
      <x:c r="C13" t="n">
        <x:v>944</x:v>
      </x:c>
      <x:c r="D13" t="n">
        <x:v>379</x:v>
      </x:c>
      <x:c r="E13" t="n">
        <x:f>SUM(H13:S13)</x:f>
        <x:v>378</x:v>
      </x:c>
      <x:c r="F13" t="n">
        <x:v>1</x:v>
      </x:c>
      <x:c r="G13" s="50" t="n">
        <x:f>IF(C13="","",IFERROR(D13/C13,0))</x:f>
        <x:v>0.4014830508474576</x:v>
      </x:c>
      <x:c r="H13" s="36" t="n">
        <x:v>78</x:v>
      </x:c>
      <x:c r="I13" t="n">
        <x:v>213</x:v>
      </x:c>
      <x:c r="J13" t="n">
        <x:v>78</x:v>
      </x:c>
      <x:c r="K13" t="n">
        <x:v>7</x:v>
      </x:c>
      <x:c r="L13" t="n">
        <x:v>0</x:v>
      </x:c>
      <x:c r="M13" t="n">
        <x:v>1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1</x:v>
      </x:c>
      <x:c r="S13" t="n">
        <x:v>0</x:v>
      </x:c>
      <x:c r="T13" s="50" t="n">
        <x:f>IF(D13=0,"",H13/D13)</x:f>
        <x:v>0.20580474934036938</x:v>
      </x:c>
      <x:c r="U13" t="n">
        <x:f>MAX(I13:S13)</x:f>
        <x:v>213</x:v>
      </x:c>
      <x:c r="V13" t="n">
        <x:f>H13-U13</x:f>
        <x:v>-135</x:v>
      </x:c>
      <x:c r="W13" s="52" t="n">
        <x:f>IF(D13=0,"",(V13)/D13)</x:f>
        <x:v>-0.3562005277044855</x:v>
      </x:c>
      <x:c r="X13" t="str">
        <x:v>DHIRENDRA SINGH</x:v>
      </x:c>
      <x:c r="Y13" t="n">
        <x:f>D13-E13-F13</x:f>
        <x:v>0</x:v>
      </x:c>
    </x:row>
    <x:row r="14">
      <x:c r="A14" t="n">
        <x:v>6</x:v>
      </x:c>
      <x:c r="B14" t="str">
        <x:v>AMICHAND INTER COLLEGE KASNA ROOM N 6</x:v>
      </x:c>
      <x:c r="C14" t="n">
        <x:v>612</x:v>
      </x:c>
      <x:c r="D14" t="n">
        <x:v>266</x:v>
      </x:c>
      <x:c r="E14" t="n">
        <x:f>SUM(H14:S14)</x:f>
        <x:v>265</x:v>
      </x:c>
      <x:c r="F14" t="n">
        <x:v>1</x:v>
      </x:c>
      <x:c r="G14" s="50" t="n">
        <x:f>IF(C14="","",IFERROR(D14/C14,0))</x:f>
        <x:v>0.434640522875817</x:v>
      </x:c>
      <x:c r="H14" s="36" t="n">
        <x:v>42</x:v>
      </x:c>
      <x:c r="I14" t="n">
        <x:v>136</x:v>
      </x:c>
      <x:c r="J14" t="n">
        <x:v>75</x:v>
      </x:c>
      <x:c r="K14" t="n">
        <x:v>11</x:v>
      </x:c>
      <x:c r="L14" t="n">
        <x:v>0</x:v>
      </x:c>
      <x:c r="M14" t="n">
        <x:v>1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s="50" t="n">
        <x:f>IF(D14=0,"",H14/D14)</x:f>
        <x:v>0.15789473684210525</x:v>
      </x:c>
      <x:c r="U14" t="n">
        <x:f>MAX(I14:S14)</x:f>
        <x:v>136</x:v>
      </x:c>
      <x:c r="V14" t="n">
        <x:f>H14-U14</x:f>
        <x:v>-94</x:v>
      </x:c>
      <x:c r="W14" s="52" t="n">
        <x:f>IF(D14=0,"",(V14)/D14)</x:f>
        <x:v>-0.3533834586466165</x:v>
      </x:c>
      <x:c r="X14" t="str">
        <x:v>DHIRENDRA SINGH</x:v>
      </x:c>
      <x:c r="Y14" t="n">
        <x:f>D14-E14-F14</x:f>
        <x:v>0</x:v>
      </x:c>
    </x:row>
    <x:row r="15">
      <x:c r="A15" t="n">
        <x:v>7</x:v>
      </x:c>
      <x:c r="B15" t="str">
        <x:v>KENDRYA VIDHYALAY SECTOR P-3 ROOM N 1</x:v>
      </x:c>
      <x:c r="C15" t="n">
        <x:v>693</x:v>
      </x:c>
      <x:c r="D15" t="n">
        <x:v>310</x:v>
      </x:c>
      <x:c r="E15" t="n">
        <x:f>SUM(H15:S15)</x:f>
        <x:v>308</x:v>
      </x:c>
      <x:c r="F15" t="n">
        <x:v>2</x:v>
      </x:c>
      <x:c r="G15" s="50" t="n">
        <x:f>IF(C15="","",IFERROR(D15/C15,0))</x:f>
        <x:v>0.44733044733044736</x:v>
      </x:c>
      <x:c r="H15" s="36" t="n">
        <x:v>32</x:v>
      </x:c>
      <x:c r="I15" t="n">
        <x:v>256</x:v>
      </x:c>
      <x:c r="J15" t="n">
        <x:v>8</x:v>
      </x:c>
      <x:c r="K15" t="n">
        <x:v>9</x:v>
      </x:c>
      <x:c r="L15" t="n">
        <x:v>0</x:v>
      </x:c>
      <x:c r="M15" t="n">
        <x:v>2</x:v>
      </x:c>
      <x:c r="N15" t="n">
        <x:v>1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s="50" t="n">
        <x:f>IF(D15=0,"",H15/D15)</x:f>
        <x:v>0.1032258064516129</x:v>
      </x:c>
      <x:c r="U15" t="n">
        <x:f>MAX(I15:S15)</x:f>
        <x:v>256</x:v>
      </x:c>
      <x:c r="V15" t="n">
        <x:f>H15-U15</x:f>
        <x:v>-224</x:v>
      </x:c>
      <x:c r="W15" s="52" t="n">
        <x:f>IF(D15=0,"",(V15)/D15)</x:f>
        <x:v>-0.7225806451612903</x:v>
      </x:c>
      <x:c r="X15" t="str">
        <x:v>DHIRENDRA SINGH</x:v>
      </x:c>
      <x:c r="Y15" t="n">
        <x:f>D15-E15-F15</x:f>
        <x:v>0</x:v>
      </x:c>
    </x:row>
    <x:row r="16">
      <x:c r="A16" t="n">
        <x:v>8</x:v>
      </x:c>
      <x:c r="B16" t="str">
        <x:v>KENDRYA VIDHYALAY SECTOR P-3 ROOM N 2</x:v>
      </x:c>
      <x:c r="C16" t="n">
        <x:v>1049</x:v>
      </x:c>
      <x:c r="D16" t="n">
        <x:v>418</x:v>
      </x:c>
      <x:c r="E16" t="n">
        <x:f>SUM(H16:S16)</x:f>
        <x:v>416</x:v>
      </x:c>
      <x:c r="F16" t="n">
        <x:v>2</x:v>
      </x:c>
      <x:c r="G16" s="50" t="n">
        <x:f>IF(C16="","",IFERROR(D16/C16,0))</x:f>
        <x:v>0.3984747378455672</x:v>
      </x:c>
      <x:c r="H16" s="36" t="n">
        <x:v>39</x:v>
      </x:c>
      <x:c r="I16" t="n">
        <x:v>345</x:v>
      </x:c>
      <x:c r="J16" t="n">
        <x:v>27</x:v>
      </x:c>
      <x:c r="K16" t="n">
        <x:v>2</x:v>
      </x:c>
      <x:c r="L16" t="n">
        <x:v>0</x:v>
      </x:c>
      <x:c r="M16" t="n">
        <x:v>2</x:v>
      </x:c>
      <x:c r="N16" t="n">
        <x:v>0</x:v>
      </x:c>
      <x:c r="O16" t="n">
        <x:v>1</x:v>
      </x:c>
      <x:c r="P16" t="n">
        <x:v>0</x:v>
      </x:c>
      <x:c r="Q16" t="n">
        <x:v>0</x:v>
      </x:c>
      <x:c r="R16" t="n">
        <x:v>0</x:v>
      </x:c>
      <x:c r="S16" t="n">
        <x:v>0</x:v>
      </x:c>
      <x:c r="T16" s="50" t="n">
        <x:f>IF(D16=0,"",H16/D16)</x:f>
        <x:v>0.09330143540669857</x:v>
      </x:c>
      <x:c r="U16" t="n">
        <x:f>MAX(I16:S16)</x:f>
        <x:v>345</x:v>
      </x:c>
      <x:c r="V16" t="n">
        <x:f>H16-U16</x:f>
        <x:v>-306</x:v>
      </x:c>
      <x:c r="W16" s="52" t="n">
        <x:f>IF(D16=0,"",(V16)/D16)</x:f>
        <x:v>-0.7320574162679426</x:v>
      </x:c>
      <x:c r="X16" t="str">
        <x:v>DHIRENDRA SINGH</x:v>
      </x:c>
      <x:c r="Y16" t="n">
        <x:f>D16-E16-F16</x:f>
        <x:v>0</x:v>
      </x:c>
    </x:row>
    <x:row r="17">
      <x:c r="A17" t="n">
        <x:v>9</x:v>
      </x:c>
      <x:c r="B17" t="str">
        <x:v>KENDRYA VIDHYALAY SECTOR P-3 ROOM N 3</x:v>
      </x:c>
      <x:c r="C17" t="n">
        <x:v>910</x:v>
      </x:c>
      <x:c r="D17" t="n">
        <x:v>514</x:v>
      </x:c>
      <x:c r="E17" t="n">
        <x:f>SUM(H17:S17)</x:f>
        <x:v>509</x:v>
      </x:c>
      <x:c r="F17" t="n">
        <x:v>5</x:v>
      </x:c>
      <x:c r="G17" s="50" t="n">
        <x:f>IF(C17="","",IFERROR(D17/C17,0))</x:f>
        <x:v>0.5648351648351648</x:v>
      </x:c>
      <x:c r="H17" s="36" t="n">
        <x:v>43</x:v>
      </x:c>
      <x:c r="I17" t="n">
        <x:v>416</x:v>
      </x:c>
      <x:c r="J17" t="n">
        <x:v>43</x:v>
      </x:c>
      <x:c r="K17" t="n">
        <x:v>7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s="50" t="n">
        <x:f>IF(D17=0,"",H17/D17)</x:f>
        <x:v>0.08365758754863813</x:v>
      </x:c>
      <x:c r="U17" t="n">
        <x:f>MAX(I17:S17)</x:f>
        <x:v>416</x:v>
      </x:c>
      <x:c r="V17" t="n">
        <x:f>H17-U17</x:f>
        <x:v>-373</x:v>
      </x:c>
      <x:c r="W17" s="52" t="n">
        <x:f>IF(D17=0,"",(V17)/D17)</x:f>
        <x:v>-0.72568093385214</x:v>
      </x:c>
      <x:c r="X17" t="str">
        <x:v>DHIRENDRA SINGH</x:v>
      </x:c>
      <x:c r="Y17" t="n">
        <x:f>D17-E17-F17</x:f>
        <x:v>0</x:v>
      </x:c>
    </x:row>
    <x:row r="18">
      <x:c r="A18" t="n">
        <x:v>10</x:v>
      </x:c>
      <x:c r="B18" t="str">
        <x:v>KENDRYA VIDHYALAY SECTOR P-3 ROOM N 4</x:v>
      </x:c>
      <x:c r="C18" t="n">
        <x:v>788</x:v>
      </x:c>
      <x:c r="D18" t="n">
        <x:v>447</x:v>
      </x:c>
      <x:c r="E18" t="n">
        <x:f>SUM(H18:S18)</x:f>
        <x:v>444</x:v>
      </x:c>
      <x:c r="F18" t="n">
        <x:v>3</x:v>
      </x:c>
      <x:c r="G18" s="50" t="n">
        <x:f>IF(C18="","",IFERROR(D18/C18,0))</x:f>
        <x:v>0.567258883248731</x:v>
      </x:c>
      <x:c r="H18" s="36" t="n">
        <x:v>21</x:v>
      </x:c>
      <x:c r="I18" t="n">
        <x:v>391</x:v>
      </x:c>
      <x:c r="J18" t="n">
        <x:v>18</x:v>
      </x:c>
      <x:c r="K18" t="n">
        <x:v>8</x:v>
      </x:c>
      <x:c r="L18" t="n">
        <x:v>0</x:v>
      </x:c>
      <x:c r="M18" t="n">
        <x:v>6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s="50" t="n">
        <x:f>IF(D18=0,"",H18/D18)</x:f>
        <x:v>0.04697986577181208</x:v>
      </x:c>
      <x:c r="U18" t="n">
        <x:f>MAX(I18:S18)</x:f>
        <x:v>391</x:v>
      </x:c>
      <x:c r="V18" t="n">
        <x:f>H18-U18</x:f>
        <x:v>-370</x:v>
      </x:c>
      <x:c r="W18" s="52" t="n">
        <x:f>IF(D18=0,"",(V18)/D18)</x:f>
        <x:v>-0.8277404921700223</x:v>
      </x:c>
      <x:c r="X18" t="str">
        <x:v>DHIRENDRA SINGH</x:v>
      </x:c>
      <x:c r="Y18" t="n">
        <x:f>D18-E18-F18</x:f>
        <x:v>0</x:v>
      </x:c>
    </x:row>
    <x:row r="19">
      <x:c r="A19" t="n">
        <x:v>11</x:v>
      </x:c>
      <x:c r="B19" t="str">
        <x:v>URSULINE CONVENT SENIOR SECONDARY SCHOOL SEC-36 ROOM N 1</x:v>
      </x:c>
      <x:c r="C19" t="n">
        <x:v>716</x:v>
      </x:c>
      <x:c r="D19" t="n">
        <x:v>454</x:v>
      </x:c>
      <x:c r="E19" t="n">
        <x:f>SUM(H19:S19)</x:f>
        <x:v>452</x:v>
      </x:c>
      <x:c r="F19" t="n">
        <x:v>2</x:v>
      </x:c>
      <x:c r="G19" s="50" t="n">
        <x:f>IF(C19="","",IFERROR(D19/C19,0))</x:f>
        <x:v>0.6340782122905028</x:v>
      </x:c>
      <x:c r="H19" s="36" t="n">
        <x:v>119</x:v>
      </x:c>
      <x:c r="I19" t="n">
        <x:v>196</x:v>
      </x:c>
      <x:c r="J19" t="n">
        <x:v>117</x:v>
      </x:c>
      <x:c r="K19" t="n">
        <x:v>16</x:v>
      </x:c>
      <x:c r="L19" t="n">
        <x:v>1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2</x:v>
      </x:c>
      <x:c r="R19" t="n">
        <x:v>0</x:v>
      </x:c>
      <x:c r="S19" t="n">
        <x:v>0</x:v>
      </x:c>
      <x:c r="T19" s="50" t="n">
        <x:f>IF(D19=0,"",H19/D19)</x:f>
        <x:v>0.2621145374449339</x:v>
      </x:c>
      <x:c r="U19" t="n">
        <x:f>MAX(I19:S19)</x:f>
        <x:v>196</x:v>
      </x:c>
      <x:c r="V19" t="n">
        <x:f>H19-U19</x:f>
        <x:v>-77</x:v>
      </x:c>
      <x:c r="W19" s="52" t="n">
        <x:f>IF(D19=0,"",(V19)/D19)</x:f>
        <x:v>-0.1696035242290749</x:v>
      </x:c>
      <x:c r="X19" t="str">
        <x:v>DHIRENDRA SINGH</x:v>
      </x:c>
      <x:c r="Y19" t="n">
        <x:f>D19-E19-F19</x:f>
        <x:v>0</x:v>
      </x:c>
    </x:row>
    <x:row r="20">
      <x:c r="A20" t="n">
        <x:v>12</x:v>
      </x:c>
      <x:c r="B20" t="str">
        <x:v>URSULINE CONVENT SENIOR SECONDARY SCHOOL SEC 36 ROOM N 2</x:v>
      </x:c>
      <x:c r="C20" t="n">
        <x:v>642</x:v>
      </x:c>
      <x:c r="D20" t="n">
        <x:v>361</x:v>
      </x:c>
      <x:c r="E20" t="n">
        <x:f>SUM(H20:S20)</x:f>
        <x:v>355</x:v>
      </x:c>
      <x:c r="F20" t="n">
        <x:v>6</x:v>
      </x:c>
      <x:c r="G20" s="50" t="n">
        <x:f>IF(C20="","",IFERROR(D20/C20,0))</x:f>
        <x:v>0.5623052959501558</x:v>
      </x:c>
      <x:c r="H20" s="36" t="n">
        <x:v>166</x:v>
      </x:c>
      <x:c r="I20" t="n">
        <x:v>149</x:v>
      </x:c>
      <x:c r="J20" t="n">
        <x:v>26</x:v>
      </x:c>
      <x:c r="K20" t="n">
        <x:v>11</x:v>
      </x:c>
      <x:c r="L20" t="n">
        <x:v>0</x:v>
      </x:c>
      <x:c r="M20" t="n">
        <x:v>0</x:v>
      </x:c>
      <x:c r="N20" t="n">
        <x:v>0</x:v>
      </x:c>
      <x:c r="O20" t="n">
        <x:v>1</x:v>
      </x:c>
      <x:c r="P20" t="n">
        <x:v>1</x:v>
      </x:c>
      <x:c r="Q20" t="n">
        <x:v>0</x:v>
      </x:c>
      <x:c r="R20" t="n">
        <x:v>1</x:v>
      </x:c>
      <x:c r="S20" t="n">
        <x:v>0</x:v>
      </x:c>
      <x:c r="T20" s="50" t="n">
        <x:f>IF(D20=0,"",H20/D20)</x:f>
        <x:v>0.4598337950138504</x:v>
      </x:c>
      <x:c r="U20" t="n">
        <x:f>MAX(I20:S20)</x:f>
        <x:v>149</x:v>
      </x:c>
      <x:c r="V20" t="n">
        <x:f>H20-U20</x:f>
        <x:v>17</x:v>
      </x:c>
      <x:c r="W20" s="52" t="n">
        <x:f>IF(D20=0,"",(V20)/D20)</x:f>
        <x:v>0.04709141274238227</x:v>
      </x:c>
      <x:c r="X20" t="str">
        <x:v>AVTAR SINGH BHADANA</x:v>
      </x:c>
      <x:c r="Y20" t="n">
        <x:f>D20-E20-F20</x:f>
        <x:v>0</x:v>
      </x:c>
    </x:row>
    <x:row r="21">
      <x:c r="A21" t="n">
        <x:v>13</x:v>
      </x:c>
      <x:c r="B21" t="str">
        <x:v>URSULINE CONVENT SENIOR SECONDARY SCHOOL SEC 36 ROOM N 3</x:v>
      </x:c>
      <x:c r="C21" t="n">
        <x:v>916</x:v>
      </x:c>
      <x:c r="D21" t="n">
        <x:v>369</x:v>
      </x:c>
      <x:c r="E21" t="n">
        <x:f>SUM(H21:S21)</x:f>
        <x:v>364</x:v>
      </x:c>
      <x:c r="F21" t="n">
        <x:v>5</x:v>
      </x:c>
      <x:c r="G21" s="50" t="n">
        <x:f>IF(C21="","",IFERROR(D21/C21,0))</x:f>
        <x:v>0.4028384279475983</x:v>
      </x:c>
      <x:c r="H21" s="36" t="n">
        <x:v>38</x:v>
      </x:c>
      <x:c r="I21" t="n">
        <x:v>292</x:v>
      </x:c>
      <x:c r="J21" t="n">
        <x:v>2</x:v>
      </x:c>
      <x:c r="K21" t="n">
        <x:v>26</x:v>
      </x:c>
      <x:c r="L21" t="n">
        <x:v>0</x:v>
      </x:c>
      <x:c r="M21" t="n">
        <x:v>5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1</x:v>
      </x:c>
      <x:c r="T21" s="50" t="n">
        <x:f>IF(D21=0,"",H21/D21)</x:f>
        <x:v>0.10298102981029811</x:v>
      </x:c>
      <x:c r="U21" t="n">
        <x:f>MAX(I21:S21)</x:f>
        <x:v>292</x:v>
      </x:c>
      <x:c r="V21" t="n">
        <x:f>H21-U21</x:f>
        <x:v>-254</x:v>
      </x:c>
      <x:c r="W21" s="52" t="n">
        <x:f>IF(D21=0,"",(V21)/D21)</x:f>
        <x:v>-0.6883468834688347</x:v>
      </x:c>
      <x:c r="X21" t="str">
        <x:v>DHIRENDRA SINGH</x:v>
      </x:c>
      <x:c r="Y21" t="n">
        <x:f>D21-E21-F21</x:f>
        <x:v>0</x:v>
      </x:c>
    </x:row>
    <x:row r="22">
      <x:c r="A22" t="n">
        <x:v>14</x:v>
      </x:c>
      <x:c r="B22" t="str">
        <x:v>URSULINE CONVENT SENIOR SECONDARY SCHOOL SEC 36 ROOM N 4</x:v>
      </x:c>
      <x:c r="C22" t="n">
        <x:v>740</x:v>
      </x:c>
      <x:c r="D22" t="n">
        <x:v>354</x:v>
      </x:c>
      <x:c r="E22" t="n">
        <x:f>SUM(H22:S22)</x:f>
        <x:v>353</x:v>
      </x:c>
      <x:c r="F22" t="n">
        <x:v>1</x:v>
      </x:c>
      <x:c r="G22" s="50" t="n">
        <x:f>IF(C22="","",IFERROR(D22/C22,0))</x:f>
        <x:v>0.4783783783783784</x:v>
      </x:c>
      <x:c r="H22" s="36" t="n">
        <x:v>29</x:v>
      </x:c>
      <x:c r="I22" t="n">
        <x:v>268</x:v>
      </x:c>
      <x:c r="J22" t="n">
        <x:v>30</x:v>
      </x:c>
      <x:c r="K22" t="n">
        <x:v>16</x:v>
      </x:c>
      <x:c r="L22" t="n">
        <x:v>0</x:v>
      </x:c>
      <x:c r="M22" t="n">
        <x:v>10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s="50" t="n">
        <x:f>IF(D22=0,"",H22/D22)</x:f>
        <x:v>0.08192090395480225</x:v>
      </x:c>
      <x:c r="U22" t="n">
        <x:f>MAX(I22:S22)</x:f>
        <x:v>268</x:v>
      </x:c>
      <x:c r="V22" t="n">
        <x:f>H22-U22</x:f>
        <x:v>-239</x:v>
      </x:c>
      <x:c r="W22" s="52" t="n">
        <x:f>IF(D22=0,"",(V22)/D22)</x:f>
        <x:v>-0.6751412429378532</x:v>
      </x:c>
      <x:c r="X22" t="str">
        <x:v>DHIRENDRA SINGH</x:v>
      </x:c>
      <x:c r="Y22" t="n">
        <x:f>D22-E22-F22</x:f>
        <x:v>0</x:v>
      </x:c>
    </x:row>
    <x:row r="23">
      <x:c r="A23" t="n">
        <x:v>15</x:v>
      </x:c>
      <x:c r="B23" t="str">
        <x:v>ARSHLINE CONVENT SENIOR SECONDARY SCHOOL SECTOR 36 ROOM NO 5</x:v>
      </x:c>
      <x:c r="C23" t="n">
        <x:v>767</x:v>
      </x:c>
      <x:c r="D23" t="n">
        <x:v>377</x:v>
      </x:c>
      <x:c r="E23" t="n">
        <x:f>SUM(H23:S23)</x:f>
        <x:v>375</x:v>
      </x:c>
      <x:c r="F23" t="n">
        <x:v>2</x:v>
      </x:c>
      <x:c r="G23" s="50" t="n">
        <x:f>IF(C23="","",IFERROR(D23/C23,0))</x:f>
        <x:v>0.4915254237288136</x:v>
      </x:c>
      <x:c r="H23" s="36" t="n">
        <x:v>52</x:v>
      </x:c>
      <x:c r="I23" t="n">
        <x:v>275</x:v>
      </x:c>
      <x:c r="J23" t="n">
        <x:v>32</x:v>
      </x:c>
      <x:c r="K23" t="n">
        <x:v>13</x:v>
      </x:c>
      <x:c r="L23" t="n">
        <x:v>1</x:v>
      </x:c>
      <x:c r="M23" t="n">
        <x:v>2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s="50" t="n">
        <x:f>IF(D23=0,"",H23/D23)</x:f>
        <x:v>0.13793103448275862</x:v>
      </x:c>
      <x:c r="U23" t="n">
        <x:f>MAX(I23:S23)</x:f>
        <x:v>275</x:v>
      </x:c>
      <x:c r="V23" t="n">
        <x:f>H23-U23</x:f>
        <x:v>-223</x:v>
      </x:c>
      <x:c r="W23" s="52" t="n">
        <x:f>IF(D23=0,"",(V23)/D23)</x:f>
        <x:v>-0.5915119363395226</x:v>
      </x:c>
      <x:c r="X23" t="str">
        <x:v>DHIRENDRA SINGH</x:v>
      </x:c>
      <x:c r="Y23" t="n">
        <x:f>D23-E23-F23</x:f>
        <x:v>0</x:v>
      </x:c>
    </x:row>
    <x:row r="24">
      <x:c r="A24" t="n">
        <x:v>16</x:v>
      </x:c>
      <x:c r="B24" t="str">
        <x:v>ARSHLINE CONVENT SENIOR SECONDARY SCHOOL SECTOR 36 ROOM NO 6</x:v>
      </x:c>
      <x:c r="C24" t="n">
        <x:v>768</x:v>
      </x:c>
      <x:c r="D24" t="n">
        <x:v>393</x:v>
      </x:c>
      <x:c r="E24" t="n">
        <x:f>SUM(H24:S24)</x:f>
        <x:v>388</x:v>
      </x:c>
      <x:c r="F24" t="n">
        <x:v>5</x:v>
      </x:c>
      <x:c r="G24" s="50" t="n">
        <x:f>IF(C24="","",IFERROR(D24/C24,0))</x:f>
        <x:v>0.51171875</x:v>
      </x:c>
      <x:c r="H24" s="36" t="n">
        <x:v>55</x:v>
      </x:c>
      <x:c r="I24" t="n">
        <x:v>310</x:v>
      </x:c>
      <x:c r="J24" t="n">
        <x:v>8</x:v>
      </x:c>
      <x:c r="K24" t="n">
        <x:v>14</x:v>
      </x:c>
      <x:c r="L24" t="n">
        <x:v>0</x:v>
      </x:c>
      <x:c r="M24" t="n">
        <x:v>1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s="50" t="n">
        <x:f>IF(D24=0,"",H24/D24)</x:f>
        <x:v>0.13994910941475827</x:v>
      </x:c>
      <x:c r="U24" t="n">
        <x:f>MAX(I24:S24)</x:f>
        <x:v>310</x:v>
      </x:c>
      <x:c r="V24" t="n">
        <x:f>H24-U24</x:f>
        <x:v>-255</x:v>
      </x:c>
      <x:c r="W24" s="52" t="n">
        <x:f>IF(D24=0,"",(V24)/D24)</x:f>
        <x:v>-0.648854961832061</x:v>
      </x:c>
      <x:c r="X24" t="str">
        <x:v>DHIRENDRA SINGH</x:v>
      </x:c>
      <x:c r="Y24" t="n">
        <x:f>D24-E24-F24</x:f>
        <x:v>0</x:v>
      </x:c>
    </x:row>
    <x:row r="25">
      <x:c r="A25" t="n">
        <x:v>17</x:v>
      </x:c>
      <x:c r="B25" t="str">
        <x:v>ARSHLINE CONVENT SENIOR SECONDARY SCHOOL SECTOR 36 ROOM NO 7</x:v>
      </x:c>
      <x:c r="C25" t="n">
        <x:v>1073</x:v>
      </x:c>
      <x:c r="D25" t="n">
        <x:v>497</x:v>
      </x:c>
      <x:c r="E25" t="n">
        <x:f>SUM(H25:S25)</x:f>
        <x:v>494</x:v>
      </x:c>
      <x:c r="F25" t="n">
        <x:v>3</x:v>
      </x:c>
      <x:c r="G25" s="50" t="n">
        <x:f>IF(C25="","",IFERROR(D25/C25,0))</x:f>
        <x:v>0.46318732525629075</x:v>
      </x:c>
      <x:c r="H25" s="36" t="n">
        <x:v>53</x:v>
      </x:c>
      <x:c r="I25" t="n">
        <x:v>406</x:v>
      </x:c>
      <x:c r="J25" t="n">
        <x:v>13</x:v>
      </x:c>
      <x:c r="K25" t="n">
        <x:v>15</x:v>
      </x:c>
      <x:c r="L25" t="n">
        <x:v>0</x:v>
      </x:c>
      <x:c r="M25" t="n">
        <x:v>7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s="50" t="n">
        <x:f>IF(D25=0,"",H25/D25)</x:f>
        <x:v>0.10663983903420524</x:v>
      </x:c>
      <x:c r="U25" t="n">
        <x:f>MAX(I25:S25)</x:f>
        <x:v>406</x:v>
      </x:c>
      <x:c r="V25" t="n">
        <x:f>H25-U25</x:f>
        <x:v>-353</x:v>
      </x:c>
      <x:c r="W25" s="52" t="n">
        <x:f>IF(D25=0,"",(V25)/D25)</x:f>
        <x:v>-0.710261569416499</x:v>
      </x:c>
      <x:c r="X25" t="str">
        <x:v>DHIRENDRA SINGH</x:v>
      </x:c>
      <x:c r="Y25" t="n">
        <x:f>D25-E25-F25</x:f>
        <x:v>0</x:v>
      </x:c>
    </x:row>
    <x:row r="26">
      <x:c r="A26" t="n">
        <x:v>18</x:v>
      </x:c>
      <x:c r="B26" t="str">
        <x:v>COMMUNITY CENTER SIGMA 4 GREATER NOIDA ROOM NO 1</x:v>
      </x:c>
      <x:c r="C26" t="n">
        <x:v>658</x:v>
      </x:c>
      <x:c r="D26" t="n">
        <x:v>284</x:v>
      </x:c>
      <x:c r="E26" t="n">
        <x:f>SUM(H26:S26)</x:f>
        <x:v>282</x:v>
      </x:c>
      <x:c r="F26" t="n">
        <x:v>2</x:v>
      </x:c>
      <x:c r="G26" s="50" t="n">
        <x:f>IF(C26="","",IFERROR(D26/C26,0))</x:f>
        <x:v>0.4316109422492401</x:v>
      </x:c>
      <x:c r="H26" s="36" t="n">
        <x:v>44</x:v>
      </x:c>
      <x:c r="I26" t="n">
        <x:v>213</x:v>
      </x:c>
      <x:c r="J26" t="n">
        <x:v>14</x:v>
      </x:c>
      <x:c r="K26" t="n">
        <x:v>9</x:v>
      </x:c>
      <x:c r="L26" t="n">
        <x:v>0</x:v>
      </x:c>
      <x:c r="M26" t="n">
        <x:v>2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s="50" t="n">
        <x:f>IF(D26=0,"",H26/D26)</x:f>
        <x:v>0.15492957746478872</x:v>
      </x:c>
      <x:c r="U26" t="n">
        <x:f>MAX(I26:S26)</x:f>
        <x:v>213</x:v>
      </x:c>
      <x:c r="V26" t="n">
        <x:f>H26-U26</x:f>
        <x:v>-169</x:v>
      </x:c>
      <x:c r="W26" s="52" t="n">
        <x:f>IF(D26=0,"",(V26)/D26)</x:f>
        <x:v>-0.5950704225352113</x:v>
      </x:c>
      <x:c r="X26" t="str">
        <x:v>DHIRENDRA SINGH</x:v>
      </x:c>
      <x:c r="Y26" t="n">
        <x:f>D26-E26-F26</x:f>
        <x:v>0</x:v>
      </x:c>
    </x:row>
    <x:row r="27">
      <x:c r="A27" t="n">
        <x:v>19</x:v>
      </x:c>
      <x:c r="B27" t="str">
        <x:v>COMMUNITY CENTER SIGMA 4 GREATER NOIDA ROOM NO 2</x:v>
      </x:c>
      <x:c r="C27" t="n">
        <x:v>1081</x:v>
      </x:c>
      <x:c r="D27" t="n">
        <x:v>498</x:v>
      </x:c>
      <x:c r="E27" t="n">
        <x:f>SUM(H27:S27)</x:f>
        <x:v>494</x:v>
      </x:c>
      <x:c r="F27" t="n">
        <x:v>4</x:v>
      </x:c>
      <x:c r="G27" s="50" t="n">
        <x:f>IF(C27="","",IFERROR(D27/C27,0))</x:f>
        <x:v>0.4606845513413506</x:v>
      </x:c>
      <x:c r="H27" s="36" t="n">
        <x:v>48</x:v>
      </x:c>
      <x:c r="I27" t="n">
        <x:v>407</x:v>
      </x:c>
      <x:c r="J27" t="n">
        <x:v>12</x:v>
      </x:c>
      <x:c r="K27" t="n">
        <x:v>18</x:v>
      </x:c>
      <x:c r="L27" t="n">
        <x:v>1</x:v>
      </x:c>
      <x:c r="M27" t="n">
        <x:v>8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s="50" t="n">
        <x:f>IF(D27=0,"",H27/D27)</x:f>
        <x:v>0.0963855421686747</x:v>
      </x:c>
      <x:c r="U27" t="n">
        <x:f>MAX(I27:S27)</x:f>
        <x:v>407</x:v>
      </x:c>
      <x:c r="V27" t="n">
        <x:f>H27-U27</x:f>
        <x:v>-359</x:v>
      </x:c>
      <x:c r="W27" s="52" t="n">
        <x:f>IF(D27=0,"",(V27)/D27)</x:f>
        <x:v>-0.7208835341365462</x:v>
      </x:c>
      <x:c r="X27" t="str">
        <x:v>DHIRENDRA SINGH</x:v>
      </x:c>
      <x:c r="Y27" t="n">
        <x:f>D27-E27-F27</x:f>
        <x:v>0</x:v>
      </x:c>
    </x:row>
    <x:row r="28">
      <x:c r="A28" t="n">
        <x:v>20</x:v>
      </x:c>
      <x:c r="B28" t="str">
        <x:v>PRIMARY SCHOOL BIRODA ROOM NO 1</x:v>
      </x:c>
      <x:c r="C28" t="n">
        <x:v>636</x:v>
      </x:c>
      <x:c r="D28" t="n">
        <x:v>421</x:v>
      </x:c>
      <x:c r="E28" t="n">
        <x:f>SUM(H28:S28)</x:f>
        <x:v>415</x:v>
      </x:c>
      <x:c r="F28" t="n">
        <x:v>6</x:v>
      </x:c>
      <x:c r="G28" s="50" t="n">
        <x:f>IF(C28="","",IFERROR(D28/C28,0))</x:f>
        <x:v>0.6619496855345912</x:v>
      </x:c>
      <x:c r="H28" s="36" t="n">
        <x:v>141</x:v>
      </x:c>
      <x:c r="I28" t="n">
        <x:v>143</x:v>
      </x:c>
      <x:c r="J28" t="n">
        <x:v>86</x:v>
      </x:c>
      <x:c r="K28" t="n">
        <x:v>36</x:v>
      </x:c>
      <x:c r="L28" t="n">
        <x:v>1</x:v>
      </x:c>
      <x:c r="M28" t="n">
        <x:v>2</x:v>
      </x:c>
      <x:c r="N28" t="n">
        <x:v>1</x:v>
      </x:c>
      <x:c r="O28" t="n">
        <x:v>1</x:v>
      </x:c>
      <x:c r="P28" t="n">
        <x:v>0</x:v>
      </x:c>
      <x:c r="Q28" t="n">
        <x:v>1</x:v>
      </x:c>
      <x:c r="R28" t="n">
        <x:v>1</x:v>
      </x:c>
      <x:c r="S28" t="n">
        <x:v>2</x:v>
      </x:c>
      <x:c r="T28" s="50" t="n">
        <x:f>IF(D28=0,"",H28/D28)</x:f>
        <x:v>0.334916864608076</x:v>
      </x:c>
      <x:c r="U28" t="n">
        <x:f>MAX(I28:S28)</x:f>
        <x:v>143</x:v>
      </x:c>
      <x:c r="V28" t="n">
        <x:f>H28-U28</x:f>
        <x:v>-2</x:v>
      </x:c>
      <x:c r="W28" s="52" t="n">
        <x:f>IF(D28=0,"",(V28)/D28)</x:f>
        <x:v>-0.004750593824228029</x:v>
      </x:c>
      <x:c r="X28" t="str">
        <x:v>DHIRENDRA SINGH</x:v>
      </x:c>
      <x:c r="Y28" t="n">
        <x:f>D28-E28-F28</x:f>
        <x:v>0</x:v>
      </x:c>
    </x:row>
    <x:row r="29">
      <x:c r="A29" t="n">
        <x:v>21</x:v>
      </x:c>
      <x:c r="B29" t="str">
        <x:v>SAMSARA WORLD PUBLIC SCHOOL PAI 1 GREATER NOIDA ROOM NO 1</x:v>
      </x:c>
      <x:c r="C29" t="n">
        <x:v>1075</x:v>
      </x:c>
      <x:c r="D29" t="n">
        <x:v>470</x:v>
      </x:c>
      <x:c r="E29" t="n">
        <x:f>SUM(H29:S29)</x:f>
        <x:v>467</x:v>
      </x:c>
      <x:c r="F29" t="n">
        <x:v>3</x:v>
      </x:c>
      <x:c r="G29" s="50" t="n">
        <x:f>IF(C29="","",IFERROR(D29/C29,0))</x:f>
        <x:v>0.4372093023255814</x:v>
      </x:c>
      <x:c r="H29" s="36" t="n">
        <x:v>49</x:v>
      </x:c>
      <x:c r="I29" t="n">
        <x:v>375</x:v>
      </x:c>
      <x:c r="J29" t="n">
        <x:v>19</x:v>
      </x:c>
      <x:c r="K29" t="n">
        <x:v>16</x:v>
      </x:c>
      <x:c r="L29" t="n">
        <x:v>0</x:v>
      </x:c>
      <x:c r="M29" t="n">
        <x:v>5</x:v>
      </x:c>
      <x:c r="N29" t="n">
        <x:v>3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s="50" t="n">
        <x:f>IF(D29=0,"",H29/D29)</x:f>
        <x:v>0.10425531914893617</x:v>
      </x:c>
      <x:c r="U29" t="n">
        <x:f>MAX(I29:S29)</x:f>
        <x:v>375</x:v>
      </x:c>
      <x:c r="V29" t="n">
        <x:f>H29-U29</x:f>
        <x:v>-326</x:v>
      </x:c>
      <x:c r="W29" s="52" t="n">
        <x:f>IF(D29=0,"",(V29)/D29)</x:f>
        <x:v>-0.6936170212765957</x:v>
      </x:c>
      <x:c r="X29" t="str">
        <x:v>DHIRENDRA SINGH</x:v>
      </x:c>
      <x:c r="Y29" t="n">
        <x:f>D29-E29-F29</x:f>
        <x:v>0</x:v>
      </x:c>
    </x:row>
    <x:row r="30">
      <x:c r="A30" t="n">
        <x:v>22</x:v>
      </x:c>
      <x:c r="B30" t="str">
        <x:v>SAMSARA WORLD PUBLIC SCHOOL PAI 1 GREATER NOIDA NO 2</x:v>
      </x:c>
      <x:c r="C30" t="n">
        <x:v>1151</x:v>
      </x:c>
      <x:c r="D30" t="n">
        <x:v>383</x:v>
      </x:c>
      <x:c r="E30" t="n">
        <x:f>SUM(H30:S30)</x:f>
        <x:v>383</x:v>
      </x:c>
      <x:c r="F30" t="n">
        <x:v>0</x:v>
      </x:c>
      <x:c r="G30" s="50" t="n">
        <x:f>IF(C30="","",IFERROR(D30/C30,0))</x:f>
        <x:v>0.3327541268462207</x:v>
      </x:c>
      <x:c r="H30" s="36" t="n">
        <x:v>27</x:v>
      </x:c>
      <x:c r="I30" t="n">
        <x:v>327</x:v>
      </x:c>
      <x:c r="J30" t="n">
        <x:v>15</x:v>
      </x:c>
      <x:c r="K30" t="n">
        <x:v>9</x:v>
      </x:c>
      <x:c r="L30" t="n">
        <x:v>0</x:v>
      </x:c>
      <x:c r="M30" t="n">
        <x:v>4</x:v>
      </x:c>
      <x:c r="N30" t="n">
        <x:v>1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s="50" t="n">
        <x:f>IF(D30=0,"",H30/D30)</x:f>
        <x:v>0.07049608355091384</x:v>
      </x:c>
      <x:c r="U30" t="n">
        <x:f>MAX(I30:S30)</x:f>
        <x:v>327</x:v>
      </x:c>
      <x:c r="V30" t="n">
        <x:f>H30-U30</x:f>
        <x:v>-300</x:v>
      </x:c>
      <x:c r="W30" s="52" t="n">
        <x:f>IF(D30=0,"",(V30)/D30)</x:f>
        <x:v>-0.783289817232376</x:v>
      </x:c>
      <x:c r="X30" t="str">
        <x:v>DHIRENDRA SINGH</x:v>
      </x:c>
      <x:c r="Y30" t="n">
        <x:f>D30-E30-F30</x:f>
        <x:v>0</x:v>
      </x:c>
    </x:row>
    <x:row r="31">
      <x:c r="A31" t="n">
        <x:v>23</x:v>
      </x:c>
      <x:c r="B31" t="str">
        <x:v>SAMSARA WORLD PUBLIC SCHOOL PAI 1 GREATER NOIDA ROOM NO 3</x:v>
      </x:c>
      <x:c r="C31" t="n">
        <x:v>1002</x:v>
      </x:c>
      <x:c r="D31" t="n">
        <x:v>531</x:v>
      </x:c>
      <x:c r="E31" t="n">
        <x:f>SUM(H31:S31)</x:f>
        <x:v>524</x:v>
      </x:c>
      <x:c r="F31" t="n">
        <x:v>7</x:v>
      </x:c>
      <x:c r="G31" s="50" t="n">
        <x:f>IF(C31="","",IFERROR(D31/C31,0))</x:f>
        <x:v>0.5299401197604791</x:v>
      </x:c>
      <x:c r="H31" s="36" t="n">
        <x:v>35</x:v>
      </x:c>
      <x:c r="I31" t="n">
        <x:v>434</x:v>
      </x:c>
      <x:c r="J31" t="n">
        <x:v>10</x:v>
      </x:c>
      <x:c r="K31" t="n">
        <x:v>30</x:v>
      </x:c>
      <x:c r="L31" t="n">
        <x:v>0</x:v>
      </x:c>
      <x:c r="M31" t="n">
        <x:v>15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s="50" t="n">
        <x:f>IF(D31=0,"",H31/D31)</x:f>
        <x:v>0.06591337099811675</x:v>
      </x:c>
      <x:c r="U31" t="n">
        <x:f>MAX(I31:S31)</x:f>
        <x:v>434</x:v>
      </x:c>
      <x:c r="V31" t="n">
        <x:f>H31-U31</x:f>
        <x:v>-399</x:v>
      </x:c>
      <x:c r="W31" s="52" t="n">
        <x:f>IF(D31=0,"",(V31)/D31)</x:f>
        <x:v>-0.751412429378531</x:v>
      </x:c>
      <x:c r="X31" t="str">
        <x:v>DHIRENDRA SINGH</x:v>
      </x:c>
      <x:c r="Y31" t="n">
        <x:f>D31-E31-F31</x:f>
        <x:v>0</x:v>
      </x:c>
    </x:row>
    <x:row r="32">
      <x:c r="A32" t="n">
        <x:v>24</x:v>
      </x:c>
      <x:c r="B32" t="str">
        <x:v>SAMSARA WORLD PUBLIC SCHOOL PAI 1 GREATER NOIDA ROOM NO 4</x:v>
      </x:c>
      <x:c r="C32" t="n">
        <x:v>947</x:v>
      </x:c>
      <x:c r="D32" t="n">
        <x:v>467</x:v>
      </x:c>
      <x:c r="E32" t="n">
        <x:f>SUM(H32:S32)</x:f>
        <x:v>457</x:v>
      </x:c>
      <x:c r="F32" t="n">
        <x:v>10</x:v>
      </x:c>
      <x:c r="G32" s="50" t="n">
        <x:f>IF(C32="","",IFERROR(D32/C32,0))</x:f>
        <x:v>0.4931362196409715</x:v>
      </x:c>
      <x:c r="H32" s="36" t="n">
        <x:v>31</x:v>
      </x:c>
      <x:c r="I32" t="n">
        <x:v>377</x:v>
      </x:c>
      <x:c r="J32" t="n">
        <x:v>26</x:v>
      </x:c>
      <x:c r="K32" t="n">
        <x:v>16</x:v>
      </x:c>
      <x:c r="L32" t="n">
        <x:v>1</x:v>
      </x:c>
      <x:c r="M32" t="n">
        <x:v>5</x:v>
      </x:c>
      <x:c r="N32" t="n">
        <x:v>1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s="50" t="n">
        <x:f>IF(D32=0,"",H32/D32)</x:f>
        <x:v>0.06638115631691649</x:v>
      </x:c>
      <x:c r="U32" t="n">
        <x:f>MAX(I32:S32)</x:f>
        <x:v>377</x:v>
      </x:c>
      <x:c r="V32" t="n">
        <x:f>H32-U32</x:f>
        <x:v>-346</x:v>
      </x:c>
      <x:c r="W32" s="52" t="n">
        <x:f>IF(D32=0,"",(V32)/D32)</x:f>
        <x:v>-0.7408993576017131</x:v>
      </x:c>
      <x:c r="X32" t="str">
        <x:v>DHIRENDRA SINGH</x:v>
      </x:c>
      <x:c r="Y32" t="n">
        <x:f>D32-E32-F32</x:f>
        <x:v>0</x:v>
      </x:c>
    </x:row>
    <x:row r="33">
      <x:c r="A33" t="n">
        <x:v>25</x:v>
      </x:c>
      <x:c r="B33" t="str">
        <x:v>SAMSARA WORLD PUBLIC SCHOOL PAI 1 GREATER NOIDA ROOM NO 5</x:v>
      </x:c>
      <x:c r="C33" t="n">
        <x:v>1246</x:v>
      </x:c>
      <x:c r="D33" t="n">
        <x:v>595</x:v>
      </x:c>
      <x:c r="E33" t="n">
        <x:f>SUM(H33:S33)</x:f>
        <x:v>593</x:v>
      </x:c>
      <x:c r="F33" t="n">
        <x:v>2</x:v>
      </x:c>
      <x:c r="G33" s="50" t="n">
        <x:f>IF(C33="","",IFERROR(D33/C33,0))</x:f>
        <x:v>0.47752808988764045</x:v>
      </x:c>
      <x:c r="H33" s="36" t="n">
        <x:v>65</x:v>
      </x:c>
      <x:c r="I33" t="n">
        <x:v>487</x:v>
      </x:c>
      <x:c r="J33" t="n">
        <x:v>11</x:v>
      </x:c>
      <x:c r="K33" t="n">
        <x:v>19</x:v>
      </x:c>
      <x:c r="L33" t="n">
        <x:v>0</x:v>
      </x:c>
      <x:c r="M33" t="n">
        <x:v>6</x:v>
      </x:c>
      <x:c r="N33" t="n">
        <x:v>1</x:v>
      </x:c>
      <x:c r="O33" t="n">
        <x:v>2</x:v>
      </x:c>
      <x:c r="P33" t="n">
        <x:v>0</x:v>
      </x:c>
      <x:c r="Q33" t="n">
        <x:v>0</x:v>
      </x:c>
      <x:c r="R33" t="n">
        <x:v>1</x:v>
      </x:c>
      <x:c r="S33" t="n">
        <x:v>1</x:v>
      </x:c>
      <x:c r="T33" s="50" t="n">
        <x:f>IF(D33=0,"",H33/D33)</x:f>
        <x:v>0.1092436974789916</x:v>
      </x:c>
      <x:c r="U33" t="n">
        <x:f>MAX(I33:S33)</x:f>
        <x:v>487</x:v>
      </x:c>
      <x:c r="V33" t="n">
        <x:f>H33-U33</x:f>
        <x:v>-422</x:v>
      </x:c>
      <x:c r="W33" s="52" t="n">
        <x:f>IF(D33=0,"",(V33)/D33)</x:f>
        <x:v>-0.7092436974789916</x:v>
      </x:c>
      <x:c r="X33" t="str">
        <x:v>DHIRENDRA SINGH</x:v>
      </x:c>
      <x:c r="Y33" t="n">
        <x:f>D33-E33-F33</x:f>
        <x:v>0</x:v>
      </x:c>
    </x:row>
    <x:row r="34">
      <x:c r="A34" t="n">
        <x:v>26</x:v>
      </x:c>
      <x:c r="B34" t="str">
        <x:v>PRIMARY SCHOOL DADA ROOM NO 1</x:v>
      </x:c>
      <x:c r="C34" t="n">
        <x:v>1022</x:v>
      </x:c>
      <x:c r="D34" t="n">
        <x:v>775</x:v>
      </x:c>
      <x:c r="E34" t="n">
        <x:f>SUM(H34:S34)</x:f>
        <x:v>773</x:v>
      </x:c>
      <x:c r="F34" t="n">
        <x:v>2</x:v>
      </x:c>
      <x:c r="G34" s="50" t="n">
        <x:f>IF(C34="","",IFERROR(D34/C34,0))</x:f>
        <x:v>0.7583170254403131</x:v>
      </x:c>
      <x:c r="H34" s="36" t="n">
        <x:v>57</x:v>
      </x:c>
      <x:c r="I34" t="n">
        <x:v>249</x:v>
      </x:c>
      <x:c r="J34" t="n">
        <x:v>432</x:v>
      </x:c>
      <x:c r="K34" t="n">
        <x:v>17</x:v>
      </x:c>
      <x:c r="L34" t="n">
        <x:v>2</x:v>
      </x:c>
      <x:c r="M34" t="n">
        <x:v>6</x:v>
      </x:c>
      <x:c r="N34" t="n">
        <x:v>2</x:v>
      </x:c>
      <x:c r="O34" t="n">
        <x:v>0</x:v>
      </x:c>
      <x:c r="P34" t="n">
        <x:v>0</x:v>
      </x:c>
      <x:c r="Q34" t="n">
        <x:v>1</x:v>
      </x:c>
      <x:c r="R34" t="n">
        <x:v>4</x:v>
      </x:c>
      <x:c r="S34" t="n">
        <x:v>3</x:v>
      </x:c>
      <x:c r="T34" s="50" t="n">
        <x:f>IF(D34=0,"",H34/D34)</x:f>
        <x:v>0.07354838709677419</x:v>
      </x:c>
      <x:c r="U34" t="n">
        <x:f>MAX(I34:S34)</x:f>
        <x:v>432</x:v>
      </x:c>
      <x:c r="V34" t="n">
        <x:f>H34-U34</x:f>
        <x:v>-375</x:v>
      </x:c>
      <x:c r="W34" s="52" t="n">
        <x:f>IF(D34=0,"",(V34)/D34)</x:f>
        <x:v>-0.4838709677419355</x:v>
      </x:c>
      <x:c r="X34" t="str">
        <x:v>NARENDER KUMAR</x:v>
      </x:c>
      <x:c r="Y34" t="n">
        <x:f>D34-E34-F34</x:f>
        <x:v>0</x:v>
      </x:c>
    </x:row>
    <x:row r="35">
      <x:c r="A35" t="n">
        <x:v>27</x:v>
      </x:c>
      <x:c r="B35" t="str">
        <x:v>PRIMARY SCHOOL DADA ROOM NO 2</x:v>
      </x:c>
      <x:c r="C35" t="n">
        <x:v>1044</x:v>
      </x:c>
      <x:c r="D35" t="n">
        <x:v>792</x:v>
      </x:c>
      <x:c r="E35" t="n">
        <x:f>SUM(H35:S35)</x:f>
        <x:v>788</x:v>
      </x:c>
      <x:c r="F35" t="n">
        <x:v>4</x:v>
      </x:c>
      <x:c r="G35" s="50" t="n">
        <x:f>IF(C35="","",IFERROR(D35/C35,0))</x:f>
        <x:v>0.7586206896551724</x:v>
      </x:c>
      <x:c r="H35" s="36" t="n">
        <x:v>48</x:v>
      </x:c>
      <x:c r="I35" t="n">
        <x:v>278</x:v>
      </x:c>
      <x:c r="J35" t="n">
        <x:v>445</x:v>
      </x:c>
      <x:c r="K35" t="n">
        <x:v>8</x:v>
      </x:c>
      <x:c r="L35" t="n">
        <x:v>1</x:v>
      </x:c>
      <x:c r="M35" t="n">
        <x:v>2</x:v>
      </x:c>
      <x:c r="N35" t="n">
        <x:v>2</x:v>
      </x:c>
      <x:c r="O35" t="n">
        <x:v>0</x:v>
      </x:c>
      <x:c r="P35" t="n">
        <x:v>0</x:v>
      </x:c>
      <x:c r="Q35" t="n">
        <x:v>0</x:v>
      </x:c>
      <x:c r="R35" t="n">
        <x:v>4</x:v>
      </x:c>
      <x:c r="S35" t="n">
        <x:v>0</x:v>
      </x:c>
      <x:c r="T35" s="50" t="n">
        <x:f>IF(D35=0,"",H35/D35)</x:f>
        <x:v>0.06060606060606061</x:v>
      </x:c>
      <x:c r="U35" t="n">
        <x:f>MAX(I35:S35)</x:f>
        <x:v>445</x:v>
      </x:c>
      <x:c r="V35" t="n">
        <x:f>H35-U35</x:f>
        <x:v>-397</x:v>
      </x:c>
      <x:c r="W35" s="52" t="n">
        <x:f>IF(D35=0,"",(V35)/D35)</x:f>
        <x:v>-0.5012626262626263</x:v>
      </x:c>
      <x:c r="X35" t="str">
        <x:v>NARENDER KUMAR</x:v>
      </x:c>
      <x:c r="Y35" t="n">
        <x:f>D35-E35-F35</x:f>
        <x:v>0</x:v>
      </x:c>
    </x:row>
    <x:row r="36">
      <x:c r="A36" t="n">
        <x:v>28</x:v>
      </x:c>
      <x:c r="B36" t="str">
        <x:v>PRIMARY SCHOOL SIRSA ROOM NO 1</x:v>
      </x:c>
      <x:c r="C36" t="n">
        <x:v>706</x:v>
      </x:c>
      <x:c r="D36" t="n">
        <x:v>549</x:v>
      </x:c>
      <x:c r="E36" t="n">
        <x:f>SUM(H36:S36)</x:f>
        <x:v>546</x:v>
      </x:c>
      <x:c r="F36" t="n">
        <x:v>3</x:v>
      </x:c>
      <x:c r="G36" s="50" t="n">
        <x:f>IF(C36="","",IFERROR(D36/C36,0))</x:f>
        <x:v>0.7776203966005666</x:v>
      </x:c>
      <x:c r="H36" s="36" t="n">
        <x:v>197</x:v>
      </x:c>
      <x:c r="I36" t="n">
        <x:v>257</x:v>
      </x:c>
      <x:c r="J36" t="n">
        <x:v>73</x:v>
      </x:c>
      <x:c r="K36" t="n">
        <x:v>8</x:v>
      </x:c>
      <x:c r="L36" t="n">
        <x:v>0</x:v>
      </x:c>
      <x:c r="M36" t="n">
        <x:v>0</x:v>
      </x:c>
      <x:c r="N36" t="n">
        <x:v>2</x:v>
      </x:c>
      <x:c r="O36" t="n">
        <x:v>2</x:v>
      </x:c>
      <x:c r="P36" t="n">
        <x:v>0</x:v>
      </x:c>
      <x:c r="Q36" t="n">
        <x:v>0</x:v>
      </x:c>
      <x:c r="R36" t="n">
        <x:v>2</x:v>
      </x:c>
      <x:c r="S36" t="n">
        <x:v>5</x:v>
      </x:c>
      <x:c r="T36" s="50" t="n">
        <x:f>IF(D36=0,"",H36/D36)</x:f>
        <x:v>0.3588342440801457</x:v>
      </x:c>
      <x:c r="U36" t="n">
        <x:f>MAX(I36:S36)</x:f>
        <x:v>257</x:v>
      </x:c>
      <x:c r="V36" t="n">
        <x:f>H36-U36</x:f>
        <x:v>-60</x:v>
      </x:c>
      <x:c r="W36" s="52" t="n">
        <x:f>IF(D36=0,"",(V36)/D36)</x:f>
        <x:v>-0.1092896174863388</x:v>
      </x:c>
      <x:c r="X36" t="str">
        <x:v>DHIRENDRA SINGH</x:v>
      </x:c>
      <x:c r="Y36" t="n">
        <x:f>D36-E36-F36</x:f>
        <x:v>0</x:v>
      </x:c>
    </x:row>
    <x:row r="37">
      <x:c r="A37" t="n">
        <x:v>29</x:v>
      </x:c>
      <x:c r="B37" t="str">
        <x:v>PRIMARY SCHOOL SIRSA ROOM NO 2</x:v>
      </x:c>
      <x:c r="C37" t="n">
        <x:v>864</x:v>
      </x:c>
      <x:c r="D37" t="n">
        <x:v>635</x:v>
      </x:c>
      <x:c r="E37" t="n">
        <x:f>SUM(H37:S37)</x:f>
        <x:v>629</x:v>
      </x:c>
      <x:c r="F37" t="n">
        <x:v>6</x:v>
      </x:c>
      <x:c r="G37" s="50" t="n">
        <x:f>IF(C37="","",IFERROR(D37/C37,0))</x:f>
        <x:v>0.7349537037037037</x:v>
      </x:c>
      <x:c r="H37" s="36" t="n">
        <x:v>103</x:v>
      </x:c>
      <x:c r="I37" t="n">
        <x:v>377</x:v>
      </x:c>
      <x:c r="J37" t="n">
        <x:v>139</x:v>
      </x:c>
      <x:c r="K37" t="n">
        <x:v>4</x:v>
      </x:c>
      <x:c r="L37" t="n">
        <x:v>0</x:v>
      </x:c>
      <x:c r="M37" t="n">
        <x:v>1</x:v>
      </x:c>
      <x:c r="N37" t="n">
        <x:v>0</x:v>
      </x:c>
      <x:c r="O37" t="n">
        <x:v>0</x:v>
      </x:c>
      <x:c r="P37" t="n">
        <x:v>0</x:v>
      </x:c>
      <x:c r="Q37" t="n">
        <x:v>2</x:v>
      </x:c>
      <x:c r="R37" t="n">
        <x:v>0</x:v>
      </x:c>
      <x:c r="S37" t="n">
        <x:v>3</x:v>
      </x:c>
      <x:c r="T37" s="50" t="n">
        <x:f>IF(D37=0,"",H37/D37)</x:f>
        <x:v>0.16220472440944883</x:v>
      </x:c>
      <x:c r="U37" t="n">
        <x:f>MAX(I37:S37)</x:f>
        <x:v>377</x:v>
      </x:c>
      <x:c r="V37" t="n">
        <x:f>H37-U37</x:f>
        <x:v>-274</x:v>
      </x:c>
      <x:c r="W37" s="52" t="n">
        <x:f>IF(D37=0,"",(V37)/D37)</x:f>
        <x:v>-0.431496062992126</x:v>
      </x:c>
      <x:c r="X37" t="str">
        <x:v>DHIRENDRA SINGH</x:v>
      </x:c>
      <x:c r="Y37" t="n">
        <x:f>D37-E37-F37</x:f>
        <x:v>0</x:v>
      </x:c>
    </x:row>
    <x:row r="38">
      <x:c r="A38" t="n">
        <x:v>30</x:v>
      </x:c>
      <x:c r="B38" t="str">
        <x:v>PRIMARY SCHOOL KHANPUR ROOM NO 1</x:v>
      </x:c>
      <x:c r="C38" t="n">
        <x:v>859</x:v>
      </x:c>
      <x:c r="D38" t="n">
        <x:v>606</x:v>
      </x:c>
      <x:c r="E38" t="n">
        <x:f>SUM(H38:S38)</x:f>
        <x:v>595</x:v>
      </x:c>
      <x:c r="F38" t="n">
        <x:v>11</x:v>
      </x:c>
      <x:c r="G38" s="50" t="n">
        <x:f>IF(C38="","",IFERROR(D38/C38,0))</x:f>
        <x:v>0.7054714784633295</x:v>
      </x:c>
      <x:c r="H38" s="36" t="n">
        <x:v>259</x:v>
      </x:c>
      <x:c r="I38" t="n">
        <x:v>266</x:v>
      </x:c>
      <x:c r="J38" t="n">
        <x:v>51</x:v>
      </x:c>
      <x:c r="K38" t="n">
        <x:v>11</x:v>
      </x:c>
      <x:c r="L38" t="n">
        <x:v>0</x:v>
      </x:c>
      <x:c r="M38" t="n">
        <x:v>1</x:v>
      </x:c>
      <x:c r="N38" t="n">
        <x:v>0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3</x:v>
      </x:c>
      <x:c r="T38" s="50" t="n">
        <x:f>IF(D38=0,"",H38/D38)</x:f>
        <x:v>0.4273927392739274</x:v>
      </x:c>
      <x:c r="U38" t="n">
        <x:f>MAX(I38:S38)</x:f>
        <x:v>266</x:v>
      </x:c>
      <x:c r="V38" t="n">
        <x:f>H38-U38</x:f>
        <x:v>-7</x:v>
      </x:c>
      <x:c r="W38" s="52" t="n">
        <x:f>IF(D38=0,"",(V38)/D38)</x:f>
        <x:v>-0.01155115511551155</x:v>
      </x:c>
      <x:c r="X38" t="str">
        <x:v>DHIRENDRA SINGH</x:v>
      </x:c>
      <x:c r="Y38" t="n">
        <x:f>D38-E38-F38</x:f>
        <x:v>0</x:v>
      </x:c>
    </x:row>
    <x:row r="39">
      <x:c r="A39" t="n">
        <x:v>31</x:v>
      </x:c>
      <x:c r="B39" t="str">
        <x:v>PRIMARY SCHOOL KHANPUR ROOM NO 2</x:v>
      </x:c>
      <x:c r="C39" t="n">
        <x:v>972</x:v>
      </x:c>
      <x:c r="D39" t="n">
        <x:v>735</x:v>
      </x:c>
      <x:c r="E39" t="n">
        <x:f>SUM(H39:S39)</x:f>
        <x:v>727</x:v>
      </x:c>
      <x:c r="F39" t="n">
        <x:v>8</x:v>
      </x:c>
      <x:c r="G39" s="50" t="n">
        <x:f>IF(C39="","",IFERROR(D39/C39,0))</x:f>
        <x:v>0.7561728395061729</x:v>
      </x:c>
      <x:c r="H39" s="36" t="n">
        <x:v>272</x:v>
      </x:c>
      <x:c r="I39" t="n">
        <x:v>240</x:v>
      </x:c>
      <x:c r="J39" t="n">
        <x:v>194</x:v>
      </x:c>
      <x:c r="K39" t="n">
        <x:v>11</x:v>
      </x:c>
      <x:c r="L39" t="n">
        <x:v>0</x:v>
      </x:c>
      <x:c r="M39" t="n">
        <x:v>1</x:v>
      </x:c>
      <x:c r="N39" t="n">
        <x:v>0</x:v>
      </x:c>
      <x:c r="O39" t="n">
        <x:v>1</x:v>
      </x:c>
      <x:c r="P39" t="n">
        <x:v>1</x:v>
      </x:c>
      <x:c r="Q39" t="n">
        <x:v>2</x:v>
      </x:c>
      <x:c r="R39" t="n">
        <x:v>3</x:v>
      </x:c>
      <x:c r="S39" t="n">
        <x:v>2</x:v>
      </x:c>
      <x:c r="T39" s="50" t="n">
        <x:f>IF(D39=0,"",H39/D39)</x:f>
        <x:v>0.37006802721088433</x:v>
      </x:c>
      <x:c r="U39" t="n">
        <x:f>MAX(I39:S39)</x:f>
        <x:v>240</x:v>
      </x:c>
      <x:c r="V39" t="n">
        <x:f>H39-U39</x:f>
        <x:v>32</x:v>
      </x:c>
      <x:c r="W39" s="52" t="n">
        <x:f>IF(D39=0,"",(V39)/D39)</x:f>
        <x:v>0.04353741496598639</x:v>
      </x:c>
      <x:c r="X39" t="str">
        <x:v>AVTAR SINGH BHADANA</x:v>
      </x:c>
      <x:c r="Y39" t="n">
        <x:f>D39-E39-F39</x:f>
        <x:v>0</x:v>
      </x:c>
    </x:row>
    <x:row r="40">
      <x:c r="A40" t="n">
        <x:v>32</x:v>
      </x:c>
      <x:c r="B40" t="str">
        <x:v>PRIMARY SCHOOL LUXOR ROOM NO. 1</x:v>
      </x:c>
      <x:c r="C40" t="n">
        <x:v>686</x:v>
      </x:c>
      <x:c r="D40" t="n">
        <x:v>478</x:v>
      </x:c>
      <x:c r="E40" t="n">
        <x:f>SUM(H40:S40)</x:f>
        <x:v>476</x:v>
      </x:c>
      <x:c r="F40" t="n">
        <x:v>2</x:v>
      </x:c>
      <x:c r="G40" s="50" t="n">
        <x:f>IF(C40="","",IFERROR(D40/C40,0))</x:f>
        <x:v>0.6967930029154519</x:v>
      </x:c>
      <x:c r="H40" s="36" t="n">
        <x:v>150</x:v>
      </x:c>
      <x:c r="I40" t="n">
        <x:v>234</x:v>
      </x:c>
      <x:c r="J40" t="n">
        <x:v>75</x:v>
      </x:c>
      <x:c r="K40" t="n">
        <x:v>7</x:v>
      </x:c>
      <x:c r="L40" t="n">
        <x:v>0</x:v>
      </x:c>
      <x:c r="M40" t="n">
        <x:v>2</x:v>
      </x:c>
      <x:c r="N40" t="n">
        <x:v>0</x:v>
      </x:c>
      <x:c r="O40" t="n">
        <x:v>2</x:v>
      </x:c>
      <x:c r="P40" t="n">
        <x:v>1</x:v>
      </x:c>
      <x:c r="Q40" t="n">
        <x:v>0</x:v>
      </x:c>
      <x:c r="R40" t="n">
        <x:v>2</x:v>
      </x:c>
      <x:c r="S40" t="n">
        <x:v>3</x:v>
      </x:c>
      <x:c r="T40" s="50" t="n">
        <x:f>IF(D40=0,"",H40/D40)</x:f>
        <x:v>0.3138075313807531</x:v>
      </x:c>
      <x:c r="U40" t="n">
        <x:f>MAX(I40:S40)</x:f>
        <x:v>234</x:v>
      </x:c>
      <x:c r="V40" t="n">
        <x:f>H40-U40</x:f>
        <x:v>-84</x:v>
      </x:c>
      <x:c r="W40" s="52" t="n">
        <x:f>IF(D40=0,"",(V40)/D40)</x:f>
        <x:v>-0.17573221757322174</x:v>
      </x:c>
      <x:c r="X40" t="str">
        <x:v>DHIRENDRA SINGH</x:v>
      </x:c>
      <x:c r="Y40" t="n">
        <x:f>D40-E40-F40</x:f>
        <x:v>0</x:v>
      </x:c>
    </x:row>
    <x:row r="41">
      <x:c r="A41" t="n">
        <x:v>33</x:v>
      </x:c>
      <x:c r="B41" t="str">
        <x:v>PRIMARY SCHOOL LUXOR ROOM NO. 2</x:v>
      </x:c>
      <x:c r="C41" t="n">
        <x:v>504</x:v>
      </x:c>
      <x:c r="D41" t="n">
        <x:v>333</x:v>
      </x:c>
      <x:c r="E41" t="n">
        <x:f>SUM(H41:S41)</x:f>
        <x:v>332</x:v>
      </x:c>
      <x:c r="F41" t="n">
        <x:v>1</x:v>
      </x:c>
      <x:c r="G41" s="50" t="n">
        <x:f>IF(C41="","",IFERROR(D41/C41,0))</x:f>
        <x:v>0.6607142857142857</x:v>
      </x:c>
      <x:c r="H41" s="36" t="n">
        <x:v>109</x:v>
      </x:c>
      <x:c r="I41" t="n">
        <x:v>153</x:v>
      </x:c>
      <x:c r="J41" t="n">
        <x:v>56</x:v>
      </x:c>
      <x:c r="K41" t="n">
        <x:v>10</x:v>
      </x:c>
      <x:c r="L41" t="n">
        <x:v>0</x:v>
      </x:c>
      <x:c r="M41" t="n">
        <x:v>0</x:v>
      </x:c>
      <x:c r="N41" t="n">
        <x:v>0</x:v>
      </x:c>
      <x:c r="O41" t="n">
        <x:v>1</x:v>
      </x:c>
      <x:c r="P41" t="n">
        <x:v>0</x:v>
      </x:c>
      <x:c r="Q41" t="n">
        <x:v>2</x:v>
      </x:c>
      <x:c r="R41" t="n">
        <x:v>0</x:v>
      </x:c>
      <x:c r="S41" t="n">
        <x:v>1</x:v>
      </x:c>
      <x:c r="T41" s="50" t="n">
        <x:f>IF(D41=0,"",H41/D41)</x:f>
        <x:v>0.32732732732732733</x:v>
      </x:c>
      <x:c r="U41" t="n">
        <x:f>MAX(I41:S41)</x:f>
        <x:v>153</x:v>
      </x:c>
      <x:c r="V41" t="n">
        <x:f>H41-U41</x:f>
        <x:v>-44</x:v>
      </x:c>
      <x:c r="W41" s="52" t="n">
        <x:f>IF(D41=0,"",(V41)/D41)</x:f>
        <x:v>-0.13213213213213212</x:v>
      </x:c>
      <x:c r="X41" t="str">
        <x:v>DHIRENDRA SINGH</x:v>
      </x:c>
      <x:c r="Y41" t="n">
        <x:f>D41-E41-F41</x:f>
        <x:v>0</x:v>
      </x:c>
    </x:row>
    <x:row r="42">
      <x:c r="A42" t="n">
        <x:v>34</x:v>
      </x:c>
      <x:c r="B42" t="str">
        <x:v>PRIMARY SCHOOL MURSHADPUR ROOM NO 1</x:v>
      </x:c>
      <x:c r="C42" t="n">
        <x:v>763</x:v>
      </x:c>
      <x:c r="D42" t="n">
        <x:v>616</x:v>
      </x:c>
      <x:c r="E42" t="n">
        <x:f>SUM(H42:S42)</x:f>
        <x:v>612</x:v>
      </x:c>
      <x:c r="F42" t="n">
        <x:v>4</x:v>
      </x:c>
      <x:c r="G42" s="50" t="n">
        <x:f>IF(C42="","",IFERROR(D42/C42,0))</x:f>
        <x:v>0.8073394495412844</x:v>
      </x:c>
      <x:c r="H42" s="36" t="n">
        <x:v>342</x:v>
      </x:c>
      <x:c r="I42" t="n">
        <x:v>176</x:v>
      </x:c>
      <x:c r="J42" t="n">
        <x:v>77</x:v>
      </x:c>
      <x:c r="K42" t="n">
        <x:v>4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2</x:v>
      </x:c>
      <x:c r="Q42" t="n">
        <x:v>1</x:v>
      </x:c>
      <x:c r="R42" t="n">
        <x:v>2</x:v>
      </x:c>
      <x:c r="S42" t="n">
        <x:v>7</x:v>
      </x:c>
      <x:c r="T42" s="50" t="n">
        <x:f>IF(D42=0,"",H42/D42)</x:f>
        <x:v>0.5551948051948052</x:v>
      </x:c>
      <x:c r="U42" t="n">
        <x:f>MAX(I42:S42)</x:f>
        <x:v>176</x:v>
      </x:c>
      <x:c r="V42" t="n">
        <x:f>H42-U42</x:f>
        <x:v>166</x:v>
      </x:c>
      <x:c r="W42" s="52" t="n">
        <x:f>IF(D42=0,"",(V42)/D42)</x:f>
        <x:v>0.2694805194805195</x:v>
      </x:c>
      <x:c r="X42" t="str">
        <x:v>AVTAR SINGH BHADANA</x:v>
      </x:c>
      <x:c r="Y42" t="n">
        <x:f>D42-E42-F42</x:f>
        <x:v>0</x:v>
      </x:c>
    </x:row>
    <x:row r="43">
      <x:c r="A43" t="n">
        <x:v>35</x:v>
      </x:c>
      <x:c r="B43" t="str">
        <x:v>PRIMARY SCHOOL GHARBRA ROOM NO 1</x:v>
      </x:c>
      <x:c r="C43" t="n">
        <x:v>849</x:v>
      </x:c>
      <x:c r="D43" t="n">
        <x:v>680</x:v>
      </x:c>
      <x:c r="E43" t="n">
        <x:f>SUM(H43:S43)</x:f>
        <x:v>680</x:v>
      </x:c>
      <x:c r="F43" t="n">
        <x:v>0</x:v>
      </x:c>
      <x:c r="G43" s="50" t="n">
        <x:f>IF(C43="","",IFERROR(D43/C43,0))</x:f>
        <x:v>0.800942285041225</x:v>
      </x:c>
      <x:c r="H43" s="36" t="n">
        <x:v>298</x:v>
      </x:c>
      <x:c r="I43" t="n">
        <x:v>234</x:v>
      </x:c>
      <x:c r="J43" t="n">
        <x:v>126</x:v>
      </x:c>
      <x:c r="K43" t="n">
        <x:v>4</x:v>
      </x:c>
      <x:c r="L43" t="n">
        <x:v>1</x:v>
      </x:c>
      <x:c r="M43" t="n">
        <x:v>0</x:v>
      </x:c>
      <x:c r="N43" t="n">
        <x:v>2</x:v>
      </x:c>
      <x:c r="O43" t="n">
        <x:v>1</x:v>
      </x:c>
      <x:c r="P43" t="n">
        <x:v>4</x:v>
      </x:c>
      <x:c r="Q43" t="n">
        <x:v>1</x:v>
      </x:c>
      <x:c r="R43" t="n">
        <x:v>3</x:v>
      </x:c>
      <x:c r="S43" t="n">
        <x:v>6</x:v>
      </x:c>
      <x:c r="T43" s="50" t="n">
        <x:f>IF(D43=0,"",H43/D43)</x:f>
        <x:v>0.43823529411764706</x:v>
      </x:c>
      <x:c r="U43" t="n">
        <x:f>MAX(I43:S43)</x:f>
        <x:v>234</x:v>
      </x:c>
      <x:c r="V43" t="n">
        <x:f>H43-U43</x:f>
        <x:v>64</x:v>
      </x:c>
      <x:c r="W43" s="52" t="n">
        <x:f>IF(D43=0,"",(V43)/D43)</x:f>
        <x:v>0.09411764705882353</x:v>
      </x:c>
      <x:c r="X43" t="str">
        <x:v>AVTAR SINGH BHADANA</x:v>
      </x:c>
      <x:c r="Y43" t="n">
        <x:f>D43-E43-F43</x:f>
        <x:v>0</x:v>
      </x:c>
    </x:row>
    <x:row r="44">
      <x:c r="A44" t="n">
        <x:v>36</x:v>
      </x:c>
      <x:c r="B44" t="str">
        <x:v>PRIMARY SCHOOL GHARBRA ROOM NO 2</x:v>
      </x:c>
      <x:c r="C44" t="n">
        <x:v>736</x:v>
      </x:c>
      <x:c r="D44" t="n">
        <x:v>528</x:v>
      </x:c>
      <x:c r="E44" t="n">
        <x:f>SUM(H44:S44)</x:f>
        <x:v>523</x:v>
      </x:c>
      <x:c r="F44" t="n">
        <x:v>5</x:v>
      </x:c>
      <x:c r="G44" s="50" t="n">
        <x:f>IF(C44="","",IFERROR(D44/C44,0))</x:f>
        <x:v>0.717391304347826</x:v>
      </x:c>
      <x:c r="H44" s="36" t="n">
        <x:v>227</x:v>
      </x:c>
      <x:c r="I44" t="n">
        <x:v>227</x:v>
      </x:c>
      <x:c r="J44" t="n">
        <x:v>31</x:v>
      </x:c>
      <x:c r="K44" t="n">
        <x:v>27</x:v>
      </x:c>
      <x:c r="L44" t="n">
        <x:v>0</x:v>
      </x:c>
      <x:c r="M44" t="n">
        <x:v>0</x:v>
      </x:c>
      <x:c r="N44" t="n">
        <x:v>0</x:v>
      </x:c>
      <x:c r="O44" t="n">
        <x:v>1</x:v>
      </x:c>
      <x:c r="P44" t="n">
        <x:v>5</x:v>
      </x:c>
      <x:c r="Q44" t="n">
        <x:v>1</x:v>
      </x:c>
      <x:c r="R44" t="n">
        <x:v>1</x:v>
      </x:c>
      <x:c r="S44" t="n">
        <x:v>3</x:v>
      </x:c>
      <x:c r="T44" s="50" t="n">
        <x:f>IF(D44=0,"",H44/D44)</x:f>
        <x:v>0.42992424242424243</x:v>
      </x:c>
      <x:c r="U44" t="n">
        <x:f>MAX(I44:S44)</x:f>
        <x:v>227</x:v>
      </x:c>
      <x:c r="V44" t="n">
        <x:f>H44-U44</x:f>
        <x:v>0</x:v>
      </x:c>
      <x:c r="W44" s="52" t="n">
        <x:f>IF(D44=0,"",(V44)/D44)</x:f>
        <x:v>0</x:v>
      </x:c>
      <x:c r="X44" t="str">
        <x:v>AVTAR SINGH BHADANA</x:v>
      </x:c>
      <x:c r="Y44" t="n">
        <x:f>D44-E44-F44</x:f>
        <x:v>0</x:v>
      </x:c>
    </x:row>
    <x:row r="45">
      <x:c r="A45" t="n">
        <x:v>37</x:v>
      </x:c>
      <x:c r="B45" t="str">
        <x:v>JUNIOR HIGH SCHOOL ATTAI MURADPUR ROOM NO 1</x:v>
      </x:c>
      <x:c r="C45" t="n">
        <x:v>580</x:v>
      </x:c>
      <x:c r="D45" t="n">
        <x:v>431</x:v>
      </x:c>
      <x:c r="E45" t="n">
        <x:f>SUM(H45:S45)</x:f>
        <x:v>429</x:v>
      </x:c>
      <x:c r="F45" t="n">
        <x:v>2</x:v>
      </x:c>
      <x:c r="G45" s="50" t="n">
        <x:f>IF(C45="","",IFERROR(D45/C45,0))</x:f>
        <x:v>0.743103448275862</x:v>
      </x:c>
      <x:c r="H45" s="36" t="n">
        <x:v>141</x:v>
      </x:c>
      <x:c r="I45" t="n">
        <x:v>191</x:v>
      </x:c>
      <x:c r="J45" t="n">
        <x:v>89</x:v>
      </x:c>
      <x:c r="K45" t="n">
        <x:v>1</x:v>
      </x:c>
      <x:c r="L45" t="n">
        <x:v>0</x:v>
      </x:c>
      <x:c r="M45" t="n">
        <x:v>0</x:v>
      </x:c>
      <x:c r="N45" t="n">
        <x:v>0</x:v>
      </x:c>
      <x:c r="O45" t="n">
        <x:v>1</x:v>
      </x:c>
      <x:c r="P45" t="n">
        <x:v>4</x:v>
      </x:c>
      <x:c r="Q45" t="n">
        <x:v>0</x:v>
      </x:c>
      <x:c r="R45" t="n">
        <x:v>2</x:v>
      </x:c>
      <x:c r="S45" t="n">
        <x:v>0</x:v>
      </x:c>
      <x:c r="T45" s="50" t="n">
        <x:f>IF(D45=0,"",H45/D45)</x:f>
        <x:v>0.3271461716937355</x:v>
      </x:c>
      <x:c r="U45" t="n">
        <x:f>MAX(I45:S45)</x:f>
        <x:v>191</x:v>
      </x:c>
      <x:c r="V45" t="n">
        <x:f>H45-U45</x:f>
        <x:v>-50</x:v>
      </x:c>
      <x:c r="W45" s="52" t="n">
        <x:f>IF(D45=0,"",(V45)/D45)</x:f>
        <x:v>-0.11600928074245939</x:v>
      </x:c>
      <x:c r="X45" t="str">
        <x:v>DHIRENDRA SINGH</x:v>
      </x:c>
      <x:c r="Y45" t="n">
        <x:f>D45-E45-F45</x:f>
        <x:v>0</x:v>
      </x:c>
    </x:row>
    <x:row r="46">
      <x:c r="A46" t="n">
        <x:v>38</x:v>
      </x:c>
      <x:c r="B46" t="str">
        <x:v>PRIMARY SCHOOL IMALIAKA ROOM NO 1</x:v>
      </x:c>
      <x:c r="C46" t="n">
        <x:v>1030</x:v>
      </x:c>
      <x:c r="D46" t="n">
        <x:v>728</x:v>
      </x:c>
      <x:c r="E46" t="n">
        <x:f>SUM(H46:S46)</x:f>
        <x:v>723</x:v>
      </x:c>
      <x:c r="F46" t="n">
        <x:v>5</x:v>
      </x:c>
      <x:c r="G46" s="50" t="n">
        <x:f>IF(C46="","",IFERROR(D46/C46,0))</x:f>
        <x:v>0.7067961165048544</x:v>
      </x:c>
      <x:c r="H46" s="36" t="n">
        <x:v>413</x:v>
      </x:c>
      <x:c r="I46" t="n">
        <x:v>188</x:v>
      </x:c>
      <x:c r="J46" t="n">
        <x:v>81</x:v>
      </x:c>
      <x:c r="K46" t="n">
        <x:v>39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2</x:v>
      </x:c>
      <x:c r="T46" s="50" t="n">
        <x:f>IF(D46=0,"",H46/D46)</x:f>
        <x:v>0.5673076923076923</x:v>
      </x:c>
      <x:c r="U46" t="n">
        <x:f>MAX(I46:S46)</x:f>
        <x:v>188</x:v>
      </x:c>
      <x:c r="V46" t="n">
        <x:f>H46-U46</x:f>
        <x:v>225</x:v>
      </x:c>
      <x:c r="W46" s="52" t="n">
        <x:f>IF(D46=0,"",(V46)/D46)</x:f>
        <x:v>0.3090659340659341</x:v>
      </x:c>
      <x:c r="X46" t="str">
        <x:v>AVTAR SINGH BHADANA</x:v>
      </x:c>
      <x:c r="Y46" t="n">
        <x:f>D46-E46-F46</x:f>
        <x:v>0</x:v>
      </x:c>
    </x:row>
    <x:row r="47">
      <x:c r="A47" t="n">
        <x:v>39</x:v>
      </x:c>
      <x:c r="B47" t="str">
        <x:v>PRIMARY SCHOOL IMALIAKA ROOM NO 2</x:v>
      </x:c>
      <x:c r="C47" t="n">
        <x:v>899</x:v>
      </x:c>
      <x:c r="D47" t="n">
        <x:v>667</x:v>
      </x:c>
      <x:c r="E47" t="n">
        <x:f>SUM(H47:S47)</x:f>
        <x:v>662</x:v>
      </x:c>
      <x:c r="F47" t="n">
        <x:v>5</x:v>
      </x:c>
      <x:c r="G47" s="50" t="n">
        <x:f>IF(C47="","",IFERROR(D47/C47,0))</x:f>
        <x:v>0.7419354838709677</x:v>
      </x:c>
      <x:c r="H47" s="36" t="n">
        <x:v>473</x:v>
      </x:c>
      <x:c r="I47" t="n">
        <x:v>146</x:v>
      </x:c>
      <x:c r="J47" t="n">
        <x:v>17</x:v>
      </x:c>
      <x:c r="K47" t="n">
        <x:v>21</x:v>
      </x:c>
      <x:c r="L47" t="n">
        <x:v>0</x:v>
      </x:c>
      <x:c r="M47" t="n">
        <x:v>0</x:v>
      </x:c>
      <x:c r="N47" t="n">
        <x:v>0</x:v>
      </x:c>
      <x:c r="O47" t="n">
        <x:v>1</x:v>
      </x:c>
      <x:c r="P47" t="n">
        <x:v>1</x:v>
      </x:c>
      <x:c r="Q47" t="n">
        <x:v>1</x:v>
      </x:c>
      <x:c r="R47" t="n">
        <x:v>0</x:v>
      </x:c>
      <x:c r="S47" t="n">
        <x:v>2</x:v>
      </x:c>
      <x:c r="T47" s="50" t="n">
        <x:f>IF(D47=0,"",H47/D47)</x:f>
        <x:v>0.7091454272863568</x:v>
      </x:c>
      <x:c r="U47" t="n">
        <x:f>MAX(I47:S47)</x:f>
        <x:v>146</x:v>
      </x:c>
      <x:c r="V47" t="n">
        <x:f>H47-U47</x:f>
        <x:v>327</x:v>
      </x:c>
      <x:c r="W47" s="52" t="n">
        <x:f>IF(D47=0,"",(V47)/D47)</x:f>
        <x:v>0.49025487256371814</x:v>
      </x:c>
      <x:c r="X47" t="str">
        <x:v>AVTAR SINGH BHADANA</x:v>
      </x:c>
      <x:c r="Y47" t="n">
        <x:f>D47-E47-F47</x:f>
        <x:v>0</x:v>
      </x:c>
    </x:row>
    <x:row r="48">
      <x:c r="A48" t="n">
        <x:v>40</x:v>
      </x:c>
      <x:c r="B48" t="str">
        <x:v>PRIMARY SCHOOL LADPURA ROOM NO 1</x:v>
      </x:c>
      <x:c r="C48" t="n">
        <x:v>1129</x:v>
      </x:c>
      <x:c r="D48" t="n">
        <x:v>803</x:v>
      </x:c>
      <x:c r="E48" t="n">
        <x:f>SUM(H48:S48)</x:f>
        <x:v>791</x:v>
      </x:c>
      <x:c r="F48" t="n">
        <x:v>12</x:v>
      </x:c>
      <x:c r="G48" s="50" t="n">
        <x:f>IF(C48="","",IFERROR(D48/C48,0))</x:f>
        <x:v>0.7112488928255093</x:v>
      </x:c>
      <x:c r="H48" s="36" t="n">
        <x:v>266</x:v>
      </x:c>
      <x:c r="I48" t="n">
        <x:v>344</x:v>
      </x:c>
      <x:c r="J48" t="n">
        <x:v>153</x:v>
      </x:c>
      <x:c r="K48" t="n">
        <x:v>14</x:v>
      </x:c>
      <x:c r="L48" t="n">
        <x:v>0</x:v>
      </x:c>
      <x:c r="M48" t="n">
        <x:v>0</x:v>
      </x:c>
      <x:c r="N48" t="n">
        <x:v>1</x:v>
      </x:c>
      <x:c r="O48" t="n">
        <x:v>1</x:v>
      </x:c>
      <x:c r="P48" t="n">
        <x:v>6</x:v>
      </x:c>
      <x:c r="Q48" t="n">
        <x:v>0</x:v>
      </x:c>
      <x:c r="R48" t="n">
        <x:v>5</x:v>
      </x:c>
      <x:c r="S48" t="n">
        <x:v>1</x:v>
      </x:c>
      <x:c r="T48" s="50" t="n">
        <x:f>IF(D48=0,"",H48/D48)</x:f>
        <x:v>0.3312577833125778</x:v>
      </x:c>
      <x:c r="U48" t="n">
        <x:f>MAX(I48:S48)</x:f>
        <x:v>344</x:v>
      </x:c>
      <x:c r="V48" t="n">
        <x:f>H48-U48</x:f>
        <x:v>-78</x:v>
      </x:c>
      <x:c r="W48" s="52" t="n">
        <x:f>IF(D48=0,"",(V48)/D48)</x:f>
        <x:v>-0.09713574097135741</x:v>
      </x:c>
      <x:c r="X48" t="str">
        <x:v>DHIRENDRA SINGH</x:v>
      </x:c>
      <x:c r="Y48" t="n">
        <x:f>D48-E48-F48</x:f>
        <x:v>0</x:v>
      </x:c>
    </x:row>
    <x:row r="49">
      <x:c r="A49" t="n">
        <x:v>41</x:v>
      </x:c>
      <x:c r="B49" t="str">
        <x:v>PRIMARY SCHOOL LADPURA ROOM NO 2</x:v>
      </x:c>
      <x:c r="C49" t="n">
        <x:v>1074</x:v>
      </x:c>
      <x:c r="D49" t="n">
        <x:v>718</x:v>
      </x:c>
      <x:c r="E49" t="n">
        <x:f>SUM(H49:S49)</x:f>
        <x:v>709</x:v>
      </x:c>
      <x:c r="F49" t="n">
        <x:v>9</x:v>
      </x:c>
      <x:c r="G49" s="50" t="n">
        <x:f>IF(C49="","",IFERROR(D49/C49,0))</x:f>
        <x:v>0.6685288640595903</x:v>
      </x:c>
      <x:c r="H49" s="36" t="n">
        <x:v>176</x:v>
      </x:c>
      <x:c r="I49" t="n">
        <x:v>245</x:v>
      </x:c>
      <x:c r="J49" t="n">
        <x:v>268</x:v>
      </x:c>
      <x:c r="K49" t="n">
        <x:v>8</x:v>
      </x:c>
      <x:c r="L49" t="n">
        <x:v>1</x:v>
      </x:c>
      <x:c r="M49" t="n">
        <x:v>0</x:v>
      </x:c>
      <x:c r="N49" t="n">
        <x:v>1</x:v>
      </x:c>
      <x:c r="O49" t="n">
        <x:v>0</x:v>
      </x:c>
      <x:c r="P49" t="n">
        <x:v>2</x:v>
      </x:c>
      <x:c r="Q49" t="n">
        <x:v>0</x:v>
      </x:c>
      <x:c r="R49" t="n">
        <x:v>5</x:v>
      </x:c>
      <x:c r="S49" t="n">
        <x:v>3</x:v>
      </x:c>
      <x:c r="T49" s="50" t="n">
        <x:f>IF(D49=0,"",H49/D49)</x:f>
        <x:v>0.24512534818941503</x:v>
      </x:c>
      <x:c r="U49" t="n">
        <x:f>MAX(I49:S49)</x:f>
        <x:v>268</x:v>
      </x:c>
      <x:c r="V49" t="n">
        <x:f>H49-U49</x:f>
        <x:v>-92</x:v>
      </x:c>
      <x:c r="W49" s="52" t="n">
        <x:f>IF(D49=0,"",(V49)/D49)</x:f>
        <x:v>-0.12813370473537605</x:v>
      </x:c>
      <x:c r="X49" t="str">
        <x:v>NARENDER KUMAR</x:v>
      </x:c>
      <x:c r="Y49" t="n">
        <x:f>D49-E49-F49</x:f>
        <x:v>0</x:v>
      </x:c>
    </x:row>
    <x:row r="50">
      <x:c r="A50" t="n">
        <x:v>42</x:v>
      </x:c>
      <x:c r="B50" t="str">
        <x:v>PRIMARY SCHOOL LADPURA ROOM NO 3</x:v>
      </x:c>
      <x:c r="C50" t="n">
        <x:v>877</x:v>
      </x:c>
      <x:c r="D50" t="n">
        <x:v>601</x:v>
      </x:c>
      <x:c r="E50" t="n">
        <x:f>SUM(H50:S50)</x:f>
        <x:v>597</x:v>
      </x:c>
      <x:c r="F50" t="n">
        <x:v>4</x:v>
      </x:c>
      <x:c r="G50" s="50" t="n">
        <x:f>IF(C50="","",IFERROR(D50/C50,0))</x:f>
        <x:v>0.685290763968073</x:v>
      </x:c>
      <x:c r="H50" s="36" t="n">
        <x:v>128</x:v>
      </x:c>
      <x:c r="I50" t="n">
        <x:v>195</x:v>
      </x:c>
      <x:c r="J50" t="n">
        <x:v>256</x:v>
      </x:c>
      <x:c r="K50" t="n">
        <x:v>5</x:v>
      </x:c>
      <x:c r="L50" t="n">
        <x:v>1</x:v>
      </x:c>
      <x:c r="M50" t="n">
        <x:v>0</x:v>
      </x:c>
      <x:c r="N50" t="n">
        <x:v>0</x:v>
      </x:c>
      <x:c r="O50" t="n">
        <x:v>1</x:v>
      </x:c>
      <x:c r="P50" t="n">
        <x:v>0</x:v>
      </x:c>
      <x:c r="Q50" t="n">
        <x:v>2</x:v>
      </x:c>
      <x:c r="R50" t="n">
        <x:v>8</x:v>
      </x:c>
      <x:c r="S50" t="n">
        <x:v>1</x:v>
      </x:c>
      <x:c r="T50" s="50" t="n">
        <x:f>IF(D50=0,"",H50/D50)</x:f>
        <x:v>0.2129783693843594</x:v>
      </x:c>
      <x:c r="U50" t="n">
        <x:f>MAX(I50:S50)</x:f>
        <x:v>256</x:v>
      </x:c>
      <x:c r="V50" t="n">
        <x:f>H50-U50</x:f>
        <x:v>-128</x:v>
      </x:c>
      <x:c r="W50" s="52" t="n">
        <x:f>IF(D50=0,"",(V50)/D50)</x:f>
        <x:v>-0.2129783693843594</x:v>
      </x:c>
      <x:c r="X50" t="str">
        <x:v>NARENDER KUMAR</x:v>
      </x:c>
      <x:c r="Y50" t="n">
        <x:f>D50-E50-F50</x:f>
        <x:v>0</x:v>
      </x:c>
    </x:row>
    <x:row r="51">
      <x:c r="A51" t="n">
        <x:v>43</x:v>
      </x:c>
      <x:c r="B51" t="str">
        <x:v>PRIMARY SCHOOL GHANGHOLA ROOM NO 1</x:v>
      </x:c>
      <x:c r="C51" t="n">
        <x:v>881</x:v>
      </x:c>
      <x:c r="D51" t="n">
        <x:v>553</x:v>
      </x:c>
      <x:c r="E51" t="n">
        <x:f>SUM(H51:S51)</x:f>
        <x:v>544</x:v>
      </x:c>
      <x:c r="F51" t="n">
        <x:v>9</x:v>
      </x:c>
      <x:c r="G51" s="50" t="n">
        <x:f>IF(C51="","",IFERROR(D51/C51,0))</x:f>
        <x:v>0.6276958002270148</x:v>
      </x:c>
      <x:c r="H51" s="36" t="n">
        <x:v>240</x:v>
      </x:c>
      <x:c r="I51" t="n">
        <x:v>246</x:v>
      </x:c>
      <x:c r="J51" t="n">
        <x:v>45</x:v>
      </x:c>
      <x:c r="K51" t="n">
        <x:v>5</x:v>
      </x:c>
      <x:c r="L51" t="n">
        <x:v>0</x:v>
      </x:c>
      <x:c r="M51" t="n">
        <x:v>1</x:v>
      </x:c>
      <x:c r="N51" t="n">
        <x:v>0</x:v>
      </x:c>
      <x:c r="O51" t="n">
        <x:v>1</x:v>
      </x:c>
      <x:c r="P51" t="n">
        <x:v>2</x:v>
      </x:c>
      <x:c r="Q51" t="n">
        <x:v>0</x:v>
      </x:c>
      <x:c r="R51" t="n">
        <x:v>1</x:v>
      </x:c>
      <x:c r="S51" t="n">
        <x:v>3</x:v>
      </x:c>
      <x:c r="T51" s="50" t="n">
        <x:f>IF(D51=0,"",H51/D51)</x:f>
        <x:v>0.43399638336347196</x:v>
      </x:c>
      <x:c r="U51" t="n">
        <x:f>MAX(I51:S51)</x:f>
        <x:v>246</x:v>
      </x:c>
      <x:c r="V51" t="n">
        <x:f>H51-U51</x:f>
        <x:v>-6</x:v>
      </x:c>
      <x:c r="W51" s="52" t="n">
        <x:f>IF(D51=0,"",(V51)/D51)</x:f>
        <x:v>-0.0108499095840868</x:v>
      </x:c>
      <x:c r="X51" t="str">
        <x:v>DHIRENDRA SINGH</x:v>
      </x:c>
      <x:c r="Y51" t="n">
        <x:f>D51-E51-F51</x:f>
        <x:v>0</x:v>
      </x:c>
    </x:row>
    <x:row r="52">
      <x:c r="A52" t="n">
        <x:v>44</x:v>
      </x:c>
      <x:c r="B52" t="str">
        <x:v>PRIMARY SCHOOL GHANGHOLA ROOM NO 2</x:v>
      </x:c>
      <x:c r="C52" t="n">
        <x:v>950</x:v>
      </x:c>
      <x:c r="D52" t="n">
        <x:v>521</x:v>
      </x:c>
      <x:c r="E52" t="n">
        <x:f>SUM(H52:S52)</x:f>
        <x:v>512</x:v>
      </x:c>
      <x:c r="F52" t="n">
        <x:v>9</x:v>
      </x:c>
      <x:c r="G52" s="50" t="n">
        <x:f>IF(C52="","",IFERROR(D52/C52,0))</x:f>
        <x:v>0.5484210526315789</x:v>
      </x:c>
      <x:c r="H52" s="36" t="n">
        <x:v>179</x:v>
      </x:c>
      <x:c r="I52" t="n">
        <x:v>206</x:v>
      </x:c>
      <x:c r="J52" t="n">
        <x:v>116</x:v>
      </x:c>
      <x:c r="K52" t="n">
        <x:v>2</x:v>
      </x:c>
      <x:c r="L52" t="n">
        <x:v>1</x:v>
      </x:c>
      <x:c r="M52" t="n">
        <x:v>1</x:v>
      </x:c>
      <x:c r="N52" t="n">
        <x:v>0</x:v>
      </x:c>
      <x:c r="O52" t="n">
        <x:v>0</x:v>
      </x:c>
      <x:c r="P52" t="n">
        <x:v>1</x:v>
      </x:c>
      <x:c r="Q52" t="n">
        <x:v>0</x:v>
      </x:c>
      <x:c r="R52" t="n">
        <x:v>2</x:v>
      </x:c>
      <x:c r="S52" t="n">
        <x:v>4</x:v>
      </x:c>
      <x:c r="T52" s="50" t="n">
        <x:f>IF(D52=0,"",H52/D52)</x:f>
        <x:v>0.3435700575815739</x:v>
      </x:c>
      <x:c r="U52" t="n">
        <x:f>MAX(I52:S52)</x:f>
        <x:v>206</x:v>
      </x:c>
      <x:c r="V52" t="n">
        <x:f>H52-U52</x:f>
        <x:v>-27</x:v>
      </x:c>
      <x:c r="W52" s="52" t="n">
        <x:f>IF(D52=0,"",(V52)/D52)</x:f>
        <x:v>-0.05182341650671785</x:v>
      </x:c>
      <x:c r="X52" t="str">
        <x:v>DHIRENDRA SINGH</x:v>
      </x:c>
      <x:c r="Y52" t="n">
        <x:f>D52-E52-F52</x:f>
        <x:v>0</x:v>
      </x:c>
    </x:row>
    <x:row r="53">
      <x:c r="A53" t="n">
        <x:v>45</x:v>
      </x:c>
      <x:c r="B53" t="str">
        <x:v>PRIMARY SCHOOL GHANGHOLA ROOM NO 3</x:v>
      </x:c>
      <x:c r="C53" t="n">
        <x:v>832</x:v>
      </x:c>
      <x:c r="D53" t="n">
        <x:v>451</x:v>
      </x:c>
      <x:c r="E53" t="n">
        <x:f>SUM(H53:S53)</x:f>
        <x:v>448</x:v>
      </x:c>
      <x:c r="F53" t="n">
        <x:v>3</x:v>
      </x:c>
      <x:c r="G53" s="50" t="n">
        <x:f>IF(C53="","",IFERROR(D53/C53,0))</x:f>
        <x:v>0.5420673076923077</x:v>
      </x:c>
      <x:c r="H53" s="36" t="n">
        <x:v>216</x:v>
      </x:c>
      <x:c r="I53" t="n">
        <x:v>117</x:v>
      </x:c>
      <x:c r="J53" t="n">
        <x:v>109</x:v>
      </x:c>
      <x:c r="K53" t="n">
        <x:v>2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1</x:v>
      </x:c>
      <x:c r="R53" t="n">
        <x:v>1</x:v>
      </x:c>
      <x:c r="S53" t="n">
        <x:v>1</x:v>
      </x:c>
      <x:c r="T53" s="50" t="n">
        <x:f>IF(D53=0,"",H53/D53)</x:f>
        <x:v>0.4789356984478936</x:v>
      </x:c>
      <x:c r="U53" t="n">
        <x:f>MAX(I53:S53)</x:f>
        <x:v>117</x:v>
      </x:c>
      <x:c r="V53" t="n">
        <x:f>H53-U53</x:f>
        <x:v>99</x:v>
      </x:c>
      <x:c r="W53" s="52" t="n">
        <x:f>IF(D53=0,"",(V53)/D53)</x:f>
        <x:v>0.21951219512195122</x:v>
      </x:c>
      <x:c r="X53" t="str">
        <x:v>AVTAR SINGH BHADANA</x:v>
      </x:c>
      <x:c r="Y53" t="n">
        <x:f>D53-E53-F53</x:f>
        <x:v>0</x:v>
      </x:c>
    </x:row>
    <x:row r="54">
      <x:c r="A54" t="n">
        <x:v>46</x:v>
      </x:c>
      <x:c r="B54" t="str">
        <x:v>PRIMARY SCHOOL CHEERSI ROOM NO 1</x:v>
      </x:c>
      <x:c r="C54" t="n">
        <x:v>601</x:v>
      </x:c>
      <x:c r="D54" t="n">
        <x:v>432</x:v>
      </x:c>
      <x:c r="E54" t="n">
        <x:f>SUM(H54:S54)</x:f>
        <x:v>431</x:v>
      </x:c>
      <x:c r="F54" t="n">
        <x:v>1</x:v>
      </x:c>
      <x:c r="G54" s="50" t="n">
        <x:f>IF(C54="","",IFERROR(D54/C54,0))</x:f>
        <x:v>0.718801996672213</x:v>
      </x:c>
      <x:c r="H54" s="36" t="n">
        <x:v>20</x:v>
      </x:c>
      <x:c r="I54" t="n">
        <x:v>311</x:v>
      </x:c>
      <x:c r="J54" t="n">
        <x:v>70</x:v>
      </x:c>
      <x:c r="K54" t="n">
        <x:v>29</x:v>
      </x:c>
      <x:c r="L54" t="n">
        <x:v>0</x:v>
      </x:c>
      <x:c r="M54" t="n">
        <x:v>1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s="50" t="n">
        <x:f>IF(D54=0,"",H54/D54)</x:f>
        <x:v>0.046296296296296294</x:v>
      </x:c>
      <x:c r="U54" t="n">
        <x:f>MAX(I54:S54)</x:f>
        <x:v>311</x:v>
      </x:c>
      <x:c r="V54" t="n">
        <x:f>H54-U54</x:f>
        <x:v>-291</x:v>
      </x:c>
      <x:c r="W54" s="52" t="n">
        <x:f>IF(D54=0,"",(V54)/D54)</x:f>
        <x:v>-0.6736111111111112</x:v>
      </x:c>
      <x:c r="X54" t="str">
        <x:v>DHIRENDRA SINGH</x:v>
      </x:c>
      <x:c r="Y54" t="n">
        <x:f>D54-E54-F54</x:f>
        <x:v>0</x:v>
      </x:c>
    </x:row>
    <x:row r="55">
      <x:c r="A55" t="n">
        <x:v>47</x:v>
      </x:c>
      <x:c r="B55" t="str">
        <x:v>PRIMARY SCHOOL CHEERSI ROOM NO 2</x:v>
      </x:c>
      <x:c r="C55" t="n">
        <x:v>543</x:v>
      </x:c>
      <x:c r="D55" t="n">
        <x:v>409</x:v>
      </x:c>
      <x:c r="E55" t="n">
        <x:f>SUM(H55:S55)</x:f>
        <x:v>406</x:v>
      </x:c>
      <x:c r="F55" t="n">
        <x:v>3</x:v>
      </x:c>
      <x:c r="G55" s="50" t="n">
        <x:f>IF(C55="","",IFERROR(D55/C55,0))</x:f>
        <x:v>0.7532228360957642</x:v>
      </x:c>
      <x:c r="H55" s="36" t="n">
        <x:v>88</x:v>
      </x:c>
      <x:c r="I55" t="n">
        <x:v>91</x:v>
      </x:c>
      <x:c r="J55" t="n">
        <x:v>222</x:v>
      </x:c>
      <x:c r="K55" t="n">
        <x:v>2</x:v>
      </x:c>
      <x:c r="L55" t="n">
        <x:v>1</x:v>
      </x:c>
      <x:c r="M55" t="n">
        <x:v>1</x:v>
      </x:c>
      <x:c r="N55" t="n">
        <x:v>0</x:v>
      </x:c>
      <x:c r="O55" t="n">
        <x:v>0</x:v>
      </x:c>
      <x:c r="P55" t="n">
        <x:v>0</x:v>
      </x:c>
      <x:c r="Q55" t="n">
        <x:v>1</x:v>
      </x:c>
      <x:c r="R55" t="n">
        <x:v>0</x:v>
      </x:c>
      <x:c r="S55" t="n">
        <x:v>0</x:v>
      </x:c>
      <x:c r="T55" s="50" t="n">
        <x:f>IF(D55=0,"",H55/D55)</x:f>
        <x:v>0.21515892420537897</x:v>
      </x:c>
      <x:c r="U55" t="n">
        <x:f>MAX(I55:S55)</x:f>
        <x:v>222</x:v>
      </x:c>
      <x:c r="V55" t="n">
        <x:f>H55-U55</x:f>
        <x:v>-134</x:v>
      </x:c>
      <x:c r="W55" s="52" t="n">
        <x:f>IF(D55=0,"",(V55)/D55)</x:f>
        <x:v>-0.3276283618581907</x:v>
      </x:c>
      <x:c r="X55" t="str">
        <x:v>NARENDER KUMAR</x:v>
      </x:c>
      <x:c r="Y55" t="n">
        <x:f>D55-E55-F55</x:f>
        <x:v>0</x:v>
      </x:c>
    </x:row>
    <x:row r="56">
      <x:c r="A56" t="n">
        <x:v>48</x:v>
      </x:c>
      <x:c r="B56" t="str">
        <x:v>PRIMARY SCHOOL FAZAYALPUR ROOM NO 1</x:v>
      </x:c>
      <x:c r="C56" t="n">
        <x:v>901</x:v>
      </x:c>
      <x:c r="D56" t="n">
        <x:v>509</x:v>
      </x:c>
      <x:c r="E56" t="n">
        <x:f>SUM(H56:S56)</x:f>
        <x:v>507</x:v>
      </x:c>
      <x:c r="F56" t="n">
        <x:v>2</x:v>
      </x:c>
      <x:c r="G56" s="50" t="n">
        <x:f>IF(C56="","",IFERROR(D56/C56,0))</x:f>
        <x:v>0.564927857935627</x:v>
      </x:c>
      <x:c r="H56" s="36" t="n">
        <x:v>155</x:v>
      </x:c>
      <x:c r="I56" t="n">
        <x:v>194</x:v>
      </x:c>
      <x:c r="J56" t="n">
        <x:v>111</x:v>
      </x:c>
      <x:c r="K56" t="n">
        <x:v>30</x:v>
      </x:c>
      <x:c r="L56" t="n">
        <x:v>4</x:v>
      </x:c>
      <x:c r="M56" t="n">
        <x:v>3</x:v>
      </x:c>
      <x:c r="N56" t="n">
        <x:v>3</x:v>
      </x:c>
      <x:c r="O56" t="n">
        <x:v>1</x:v>
      </x:c>
      <x:c r="P56" t="n">
        <x:v>2</x:v>
      </x:c>
      <x:c r="Q56" t="n">
        <x:v>0</x:v>
      </x:c>
      <x:c r="R56" t="n">
        <x:v>1</x:v>
      </x:c>
      <x:c r="S56" t="n">
        <x:v>3</x:v>
      </x:c>
      <x:c r="T56" s="50" t="n">
        <x:f>IF(D56=0,"",H56/D56)</x:f>
        <x:v>0.3045186640471513</x:v>
      </x:c>
      <x:c r="U56" t="n">
        <x:f>MAX(I56:S56)</x:f>
        <x:v>194</x:v>
      </x:c>
      <x:c r="V56" t="n">
        <x:f>H56-U56</x:f>
        <x:v>-39</x:v>
      </x:c>
      <x:c r="W56" s="52" t="n">
        <x:f>IF(D56=0,"",(V56)/D56)</x:f>
        <x:v>-0.07662082514734773</x:v>
      </x:c>
      <x:c r="X56" t="str">
        <x:v>DHIRENDRA SINGH</x:v>
      </x:c>
      <x:c r="Y56" t="n">
        <x:f>D56-E56-F56</x:f>
        <x:v>0</x:v>
      </x:c>
    </x:row>
    <x:row r="57">
      <x:c r="A57" t="n">
        <x:v>49</x:v>
      </x:c>
      <x:c r="B57" t="str">
        <x:v>PRIMARY SCHOOL FAZAYALPUR ROOM NO 2</x:v>
      </x:c>
      <x:c r="C57" t="n">
        <x:v>865</x:v>
      </x:c>
      <x:c r="D57" t="n">
        <x:v>489</x:v>
      </x:c>
      <x:c r="E57" t="n">
        <x:f>SUM(H57:S57)</x:f>
        <x:v>489</x:v>
      </x:c>
      <x:c r="F57" t="n">
        <x:v>0</x:v>
      </x:c>
      <x:c r="G57" s="50" t="n">
        <x:f>IF(C57="","",IFERROR(D57/C57,0))</x:f>
        <x:v>0.5653179190751445</x:v>
      </x:c>
      <x:c r="H57" s="36" t="n">
        <x:v>82</x:v>
      </x:c>
      <x:c r="I57" t="n">
        <x:v>212</x:v>
      </x:c>
      <x:c r="J57" t="n">
        <x:v>170</x:v>
      </x:c>
      <x:c r="K57" t="n">
        <x:v>14</x:v>
      </x:c>
      <x:c r="L57" t="n">
        <x:v>0</x:v>
      </x:c>
      <x:c r="M57" t="n">
        <x:v>1</x:v>
      </x:c>
      <x:c r="N57" t="n">
        <x:v>0</x:v>
      </x:c>
      <x:c r="O57" t="n">
        <x:v>0</x:v>
      </x:c>
      <x:c r="P57" t="n">
        <x:v>7</x:v>
      </x:c>
      <x:c r="Q57" t="n">
        <x:v>1</x:v>
      </x:c>
      <x:c r="R57" t="n">
        <x:v>0</x:v>
      </x:c>
      <x:c r="S57" t="n">
        <x:v>2</x:v>
      </x:c>
      <x:c r="T57" s="50" t="n">
        <x:f>IF(D57=0,"",H57/D57)</x:f>
        <x:v>0.16768916155419222</x:v>
      </x:c>
      <x:c r="U57" t="n">
        <x:f>MAX(I57:S57)</x:f>
        <x:v>212</x:v>
      </x:c>
      <x:c r="V57" t="n">
        <x:f>H57-U57</x:f>
        <x:v>-130</x:v>
      </x:c>
      <x:c r="W57" s="52" t="n">
        <x:f>IF(D57=0,"",(V57)/D57)</x:f>
        <x:v>-0.2658486707566462</x:v>
      </x:c>
      <x:c r="X57" t="str">
        <x:v>DHIRENDRA SINGH</x:v>
      </x:c>
      <x:c r="Y57" t="n">
        <x:f>D57-E57-F57</x:f>
        <x:v>0</x:v>
      </x:c>
    </x:row>
    <x:row r="58">
      <x:c r="A58" t="n">
        <x:v>50</x:v>
      </x:c>
      <x:c r="B58" t="str">
        <x:v>PRIMARY SCHOOL DAULARAJPURA ROOM NO 1</x:v>
      </x:c>
      <x:c r="C58" t="n">
        <x:v>873</x:v>
      </x:c>
      <x:c r="D58" t="n">
        <x:v>680</x:v>
      </x:c>
      <x:c r="E58" t="n">
        <x:f>SUM(H58:S58)</x:f>
        <x:v>675</x:v>
      </x:c>
      <x:c r="F58" t="n">
        <x:v>5</x:v>
      </x:c>
      <x:c r="G58" s="50" t="n">
        <x:f>IF(C58="","",IFERROR(D58/C58,0))</x:f>
        <x:v>0.7789232531500573</x:v>
      </x:c>
      <x:c r="H58" s="36" t="n">
        <x:v>528</x:v>
      </x:c>
      <x:c r="I58" t="n">
        <x:v>127</x:v>
      </x:c>
      <x:c r="J58" t="n">
        <x:v>5</x:v>
      </x:c>
      <x:c r="K58" t="n">
        <x:v>4</x:v>
      </x:c>
      <x:c r="L58" t="n">
        <x:v>0</x:v>
      </x:c>
      <x:c r="M58" t="n">
        <x:v>4</x:v>
      </x:c>
      <x:c r="N58" t="n">
        <x:v>1</x:v>
      </x:c>
      <x:c r="O58" t="n">
        <x:v>0</x:v>
      </x:c>
      <x:c r="P58" t="n">
        <x:v>0</x:v>
      </x:c>
      <x:c r="Q58" t="n">
        <x:v>1</x:v>
      </x:c>
      <x:c r="R58" t="n">
        <x:v>1</x:v>
      </x:c>
      <x:c r="S58" t="n">
        <x:v>4</x:v>
      </x:c>
      <x:c r="T58" s="50" t="n">
        <x:f>IF(D58=0,"",H58/D58)</x:f>
        <x:v>0.7764705882352941</x:v>
      </x:c>
      <x:c r="U58" t="n">
        <x:f>MAX(I58:S58)</x:f>
        <x:v>127</x:v>
      </x:c>
      <x:c r="V58" t="n">
        <x:f>H58-U58</x:f>
        <x:v>401</x:v>
      </x:c>
      <x:c r="W58" s="52" t="n">
        <x:f>IF(D58=0,"",(V58)/D58)</x:f>
        <x:v>0.5897058823529412</x:v>
      </x:c>
      <x:c r="X58" t="str">
        <x:v>AVTAR SINGH BHADANA</x:v>
      </x:c>
      <x:c r="Y58" t="n">
        <x:f>D58-E58-F58</x:f>
        <x:v>0</x:v>
      </x:c>
    </x:row>
    <x:row r="59">
      <x:c r="A59" t="n">
        <x:v>51</x:v>
      </x:c>
      <x:c r="B59" t="str">
        <x:v>PRIMARY SCHOOL DAULARAJPURA ROOM NO 2</x:v>
      </x:c>
      <x:c r="C59" t="n">
        <x:v>862</x:v>
      </x:c>
      <x:c r="D59" t="n">
        <x:v>716</x:v>
      </x:c>
      <x:c r="E59" t="n">
        <x:f>SUM(H59:S59)</x:f>
        <x:v>710</x:v>
      </x:c>
      <x:c r="F59" t="n">
        <x:v>6</x:v>
      </x:c>
      <x:c r="G59" s="50" t="n">
        <x:f>IF(C59="","",IFERROR(D59/C59,0))</x:f>
        <x:v>0.8306264501160093</x:v>
      </x:c>
      <x:c r="H59" s="36" t="n">
        <x:v>432</x:v>
      </x:c>
      <x:c r="I59" t="n">
        <x:v>38</x:v>
      </x:c>
      <x:c r="J59" t="n">
        <x:v>229</x:v>
      </x:c>
      <x:c r="K59" t="n">
        <x:v>8</x:v>
      </x:c>
      <x:c r="L59" t="n">
        <x:v>0</x:v>
      </x:c>
      <x:c r="M59" t="n">
        <x:v>1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1</x:v>
      </x:c>
      <x:c r="S59" t="n">
        <x:v>1</x:v>
      </x:c>
      <x:c r="T59" s="50" t="n">
        <x:f>IF(D59=0,"",H59/D59)</x:f>
        <x:v>0.6033519553072626</x:v>
      </x:c>
      <x:c r="U59" t="n">
        <x:f>MAX(I59:S59)</x:f>
        <x:v>229</x:v>
      </x:c>
      <x:c r="V59" t="n">
        <x:f>H59-U59</x:f>
        <x:v>203</x:v>
      </x:c>
      <x:c r="W59" s="52" t="n">
        <x:f>IF(D59=0,"",(V59)/D59)</x:f>
        <x:v>0.2835195530726257</x:v>
      </x:c>
      <x:c r="X59" t="str">
        <x:v>AVTAR SINGH BHADANA</x:v>
      </x:c>
      <x:c r="Y59" t="n">
        <x:f>D59-E59-F59</x:f>
        <x:v>0</x:v>
      </x:c>
    </x:row>
    <x:row r="60">
      <x:c r="A60" t="n">
        <x:v>52</x:v>
      </x:c>
      <x:c r="B60" t="str">
        <x:v>PRIMARY SCHOOL DAULARAJPURA ROOM NO 3</x:v>
      </x:c>
      <x:c r="C60" t="n">
        <x:v>557</x:v>
      </x:c>
      <x:c r="D60" t="n">
        <x:v>373</x:v>
      </x:c>
      <x:c r="E60" t="n">
        <x:f>SUM(H60:S60)</x:f>
        <x:v>367</x:v>
      </x:c>
      <x:c r="F60" t="n">
        <x:v>6</x:v>
      </x:c>
      <x:c r="G60" s="50" t="n">
        <x:f>IF(C60="","",IFERROR(D60/C60,0))</x:f>
        <x:v>0.6696588868940754</x:v>
      </x:c>
      <x:c r="H60" s="36" t="n">
        <x:v>261</x:v>
      </x:c>
      <x:c r="I60" t="n">
        <x:v>37</x:v>
      </x:c>
      <x:c r="J60" t="n">
        <x:v>65</x:v>
      </x:c>
      <x:c r="K60" t="n">
        <x:v>2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2</x:v>
      </x:c>
      <x:c r="S60" t="n">
        <x:v>0</x:v>
      </x:c>
      <x:c r="T60" s="50" t="n">
        <x:f>IF(D60=0,"",H60/D60)</x:f>
        <x:v>0.6997319034852547</x:v>
      </x:c>
      <x:c r="U60" t="n">
        <x:f>MAX(I60:S60)</x:f>
        <x:v>65</x:v>
      </x:c>
      <x:c r="V60" t="n">
        <x:f>H60-U60</x:f>
        <x:v>196</x:v>
      </x:c>
      <x:c r="W60" s="52" t="n">
        <x:f>IF(D60=0,"",(V60)/D60)</x:f>
        <x:v>0.5254691689008043</x:v>
      </x:c>
      <x:c r="X60" t="str">
        <x:v>AVTAR SINGH BHADANA</x:v>
      </x:c>
      <x:c r="Y60" t="n">
        <x:f>D60-E60-F60</x:f>
        <x:v>0</x:v>
      </x:c>
    </x:row>
    <x:row r="61">
      <x:c r="A61" t="n">
        <x:v>53</x:v>
      </x:c>
      <x:c r="B61" t="str">
        <x:v>PRIMARY SCHOOL SALEHPUR ROOM NO 1</x:v>
      </x:c>
      <x:c r="C61" t="n">
        <x:v>952</x:v>
      </x:c>
      <x:c r="D61" t="n">
        <x:v>660</x:v>
      </x:c>
      <x:c r="E61" t="n">
        <x:f>SUM(H61:S61)</x:f>
        <x:v>657</x:v>
      </x:c>
      <x:c r="F61" t="n">
        <x:v>3</x:v>
      </x:c>
      <x:c r="G61" s="50" t="n">
        <x:f>IF(C61="","",IFERROR(D61/C61,0))</x:f>
        <x:v>0.6932773109243697</x:v>
      </x:c>
      <x:c r="H61" s="36" t="n">
        <x:v>61</x:v>
      </x:c>
      <x:c r="I61" t="n">
        <x:v>492</x:v>
      </x:c>
      <x:c r="J61" t="n">
        <x:v>80</x:v>
      </x:c>
      <x:c r="K61" t="n">
        <x:v>2</x:v>
      </x:c>
      <x:c r="L61" t="n">
        <x:v>19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3</x:v>
      </x:c>
      <x:c r="T61" s="50" t="n">
        <x:f>IF(D61=0,"",H61/D61)</x:f>
        <x:v>0.09242424242424242</x:v>
      </x:c>
      <x:c r="U61" t="n">
        <x:f>MAX(I61:S61)</x:f>
        <x:v>492</x:v>
      </x:c>
      <x:c r="V61" t="n">
        <x:f>H61-U61</x:f>
        <x:v>-431</x:v>
      </x:c>
      <x:c r="W61" s="52" t="n">
        <x:f>IF(D61=0,"",(V61)/D61)</x:f>
        <x:v>-0.6530303030303031</x:v>
      </x:c>
      <x:c r="X61" t="str">
        <x:v>DHIRENDRA SINGH</x:v>
      </x:c>
      <x:c r="Y61" t="n">
        <x:f>D61-E61-F61</x:f>
        <x:v>0</x:v>
      </x:c>
    </x:row>
    <x:row r="62">
      <x:c r="A62" t="n">
        <x:v>54</x:v>
      </x:c>
      <x:c r="B62" t="str">
        <x:v>PRIMARY SCHOOL MANDPA ROOM NO 1</x:v>
      </x:c>
      <x:c r="C62" t="n">
        <x:v>1109</x:v>
      </x:c>
      <x:c r="D62" t="n">
        <x:v>826</x:v>
      </x:c>
      <x:c r="E62" t="n">
        <x:f>SUM(H62:S62)</x:f>
        <x:v>819</x:v>
      </x:c>
      <x:c r="F62" t="n">
        <x:v>7</x:v>
      </x:c>
      <x:c r="G62" s="50" t="n">
        <x:f>IF(C62="","",IFERROR(D62/C62,0))</x:f>
        <x:v>0.7448151487826871</x:v>
      </x:c>
      <x:c r="H62" s="36" t="n">
        <x:v>674</x:v>
      </x:c>
      <x:c r="I62" t="n">
        <x:v>86</x:v>
      </x:c>
      <x:c r="J62" t="n">
        <x:v>40</x:v>
      </x:c>
      <x:c r="K62" t="n">
        <x:v>2</x:v>
      </x:c>
      <x:c r="L62" t="n">
        <x:v>1</x:v>
      </x:c>
      <x:c r="M62" t="n">
        <x:v>1</x:v>
      </x:c>
      <x:c r="N62" t="n">
        <x:v>2</x:v>
      </x:c>
      <x:c r="O62" t="n">
        <x:v>3</x:v>
      </x:c>
      <x:c r="P62" t="n">
        <x:v>1</x:v>
      </x:c>
      <x:c r="Q62" t="n">
        <x:v>4</x:v>
      </x:c>
      <x:c r="R62" t="n">
        <x:v>1</x:v>
      </x:c>
      <x:c r="S62" t="n">
        <x:v>4</x:v>
      </x:c>
      <x:c r="T62" s="50" t="n">
        <x:f>IF(D62=0,"",H62/D62)</x:f>
        <x:v>0.8159806295399515</x:v>
      </x:c>
      <x:c r="U62" t="n">
        <x:f>MAX(I62:S62)</x:f>
        <x:v>86</x:v>
      </x:c>
      <x:c r="V62" t="n">
        <x:f>H62-U62</x:f>
        <x:v>588</x:v>
      </x:c>
      <x:c r="W62" s="52" t="n">
        <x:f>IF(D62=0,"",(V62)/D62)</x:f>
        <x:v>0.711864406779661</x:v>
      </x:c>
      <x:c r="X62" t="str">
        <x:v>AVTAR SINGH BHADANA</x:v>
      </x:c>
      <x:c r="Y62" t="n">
        <x:f>D62-E62-F62</x:f>
        <x:v>0</x:v>
      </x:c>
    </x:row>
    <x:row r="63">
      <x:c r="A63" t="n">
        <x:v>55</x:v>
      </x:c>
      <x:c r="B63" t="str">
        <x:v>PRIMARY SCHOOL MANDPA ROOM NO 2</x:v>
      </x:c>
      <x:c r="C63" t="n">
        <x:v>1134</x:v>
      </x:c>
      <x:c r="D63" t="n">
        <x:v>870</x:v>
      </x:c>
      <x:c r="E63" t="n">
        <x:f>SUM(H63:S63)</x:f>
        <x:v>866</x:v>
      </x:c>
      <x:c r="F63" t="n">
        <x:v>4</x:v>
      </x:c>
      <x:c r="G63" s="50" t="n">
        <x:f>IF(C63="","",IFERROR(D63/C63,0))</x:f>
        <x:v>0.7671957671957672</x:v>
      </x:c>
      <x:c r="H63" s="36" t="n">
        <x:v>711</x:v>
      </x:c>
      <x:c r="I63" t="n">
        <x:v>121</x:v>
      </x:c>
      <x:c r="J63" t="n">
        <x:v>30</x:v>
      </x:c>
      <x:c r="K63" t="n">
        <x:v>1</x:v>
      </x:c>
      <x:c r="L63" t="n">
        <x:v>0</x:v>
      </x:c>
      <x:c r="M63" t="n">
        <x:v>0</x:v>
      </x:c>
      <x:c r="N63" t="n">
        <x:v>1</x:v>
      </x:c>
      <x:c r="O63" t="n">
        <x:v>0</x:v>
      </x:c>
      <x:c r="P63" t="n">
        <x:v>0</x:v>
      </x:c>
      <x:c r="Q63" t="n">
        <x:v>0</x:v>
      </x:c>
      <x:c r="R63" t="n">
        <x:v>1</x:v>
      </x:c>
      <x:c r="S63" t="n">
        <x:v>1</x:v>
      </x:c>
      <x:c r="T63" s="50" t="n">
        <x:f>IF(D63=0,"",H63/D63)</x:f>
        <x:v>0.8172413793103448</x:v>
      </x:c>
      <x:c r="U63" t="n">
        <x:f>MAX(I63:S63)</x:f>
        <x:v>121</x:v>
      </x:c>
      <x:c r="V63" t="n">
        <x:f>H63-U63</x:f>
        <x:v>590</x:v>
      </x:c>
      <x:c r="W63" s="52" t="n">
        <x:f>IF(D63=0,"",(V63)/D63)</x:f>
        <x:v>0.6781609195402298</x:v>
      </x:c>
      <x:c r="X63" t="str">
        <x:v>AVTAR SINGH BHADANA</x:v>
      </x:c>
      <x:c r="Y63" t="n">
        <x:f>D63-E63-F63</x:f>
        <x:v>0</x:v>
      </x:c>
    </x:row>
    <x:row r="64">
      <x:c r="A64" t="n">
        <x:v>56</x:v>
      </x:c>
      <x:c r="B64" t="str">
        <x:v>PRIMARY SCHOOL NO 2 JAMALPUR ROOM NO 1</x:v>
      </x:c>
      <x:c r="C64" t="n">
        <x:v>657</x:v>
      </x:c>
      <x:c r="D64" t="n">
        <x:v>481</x:v>
      </x:c>
      <x:c r="E64" t="n">
        <x:f>SUM(H64:S64)</x:f>
        <x:v>476</x:v>
      </x:c>
      <x:c r="F64" t="n">
        <x:v>5</x:v>
      </x:c>
      <x:c r="G64" s="50" t="n">
        <x:f>IF(C64="","",IFERROR(D64/C64,0))</x:f>
        <x:v>0.7321156773211568</x:v>
      </x:c>
      <x:c r="H64" s="36" t="n">
        <x:v>216</x:v>
      </x:c>
      <x:c r="I64" t="n">
        <x:v>182</x:v>
      </x:c>
      <x:c r="J64" t="n">
        <x:v>15</x:v>
      </x:c>
      <x:c r="K64" t="n">
        <x:v>10</x:v>
      </x:c>
      <x:c r="L64" t="n">
        <x:v>1</x:v>
      </x:c>
      <x:c r="M64" t="n">
        <x:v>1</x:v>
      </x:c>
      <x:c r="N64" t="n">
        <x:v>0</x:v>
      </x:c>
      <x:c r="O64" t="n">
        <x:v>1</x:v>
      </x:c>
      <x:c r="P64" t="n">
        <x:v>43</x:v>
      </x:c>
      <x:c r="Q64" t="n">
        <x:v>0</x:v>
      </x:c>
      <x:c r="R64" t="n">
        <x:v>5</x:v>
      </x:c>
      <x:c r="S64" t="n">
        <x:v>2</x:v>
      </x:c>
      <x:c r="T64" s="50" t="n">
        <x:f>IF(D64=0,"",H64/D64)</x:f>
        <x:v>0.4490644490644491</x:v>
      </x:c>
      <x:c r="U64" t="n">
        <x:f>MAX(I64:S64)</x:f>
        <x:v>182</x:v>
      </x:c>
      <x:c r="V64" t="n">
        <x:f>H64-U64</x:f>
        <x:v>34</x:v>
      </x:c>
      <x:c r="W64" s="52" t="n">
        <x:f>IF(D64=0,"",(V64)/D64)</x:f>
        <x:v>0.07068607068607069</x:v>
      </x:c>
      <x:c r="X64" t="str">
        <x:v>AVTAR SINGH BHADANA</x:v>
      </x:c>
      <x:c r="Y64" t="n">
        <x:f>D64-E64-F64</x:f>
        <x:v>0</x:v>
      </x:c>
    </x:row>
    <x:row r="65">
      <x:c r="A65" t="n">
        <x:v>57</x:v>
      </x:c>
      <x:c r="B65" t="str">
        <x:v>PRIMARY SCHOOL NO 2 JAMALPUR ROOM NO 2</x:v>
      </x:c>
      <x:c r="C65" t="n">
        <x:v>653</x:v>
      </x:c>
      <x:c r="D65" t="n">
        <x:v>452</x:v>
      </x:c>
      <x:c r="E65" t="n">
        <x:f>SUM(H65:S65)</x:f>
        <x:v>447</x:v>
      </x:c>
      <x:c r="F65" t="n">
        <x:v>5</x:v>
      </x:c>
      <x:c r="G65" s="50" t="n">
        <x:f>IF(C65="","",IFERROR(D65/C65,0))</x:f>
        <x:v>0.6921898928024502</x:v>
      </x:c>
      <x:c r="H65" s="36" t="n">
        <x:v>126</x:v>
      </x:c>
      <x:c r="I65" t="n">
        <x:v>120</x:v>
      </x:c>
      <x:c r="J65" t="n">
        <x:v>176</x:v>
      </x:c>
      <x:c r="K65" t="n">
        <x:v>11</x:v>
      </x:c>
      <x:c r="L65" t="n">
        <x:v>2</x:v>
      </x:c>
      <x:c r="M65" t="n">
        <x:v>3</x:v>
      </x:c>
      <x:c r="N65" t="n">
        <x:v>0</x:v>
      </x:c>
      <x:c r="O65" t="n">
        <x:v>0</x:v>
      </x:c>
      <x:c r="P65" t="n">
        <x:v>4</x:v>
      </x:c>
      <x:c r="Q65" t="n">
        <x:v>1</x:v>
      </x:c>
      <x:c r="R65" t="n">
        <x:v>3</x:v>
      </x:c>
      <x:c r="S65" t="n">
        <x:v>1</x:v>
      </x:c>
      <x:c r="T65" s="50" t="n">
        <x:f>IF(D65=0,"",H65/D65)</x:f>
        <x:v>0.27876106194690264</x:v>
      </x:c>
      <x:c r="U65" t="n">
        <x:f>MAX(I65:S65)</x:f>
        <x:v>176</x:v>
      </x:c>
      <x:c r="V65" t="n">
        <x:f>H65-U65</x:f>
        <x:v>-50</x:v>
      </x:c>
      <x:c r="W65" s="52" t="n">
        <x:f>IF(D65=0,"",(V65)/D65)</x:f>
        <x:v>-0.11061946902654868</x:v>
      </x:c>
      <x:c r="X65" t="str">
        <x:v>NARENDER KUMAR</x:v>
      </x:c>
      <x:c r="Y65" t="n">
        <x:f>D65-E65-F65</x:f>
        <x:v>0</x:v>
      </x:c>
    </x:row>
    <x:row r="66">
      <x:c r="A66" t="n">
        <x:v>58</x:v>
      </x:c>
      <x:c r="B66" t="str">
        <x:v>JUNIOR HIGH SCHOOL RAJPUR KALA ROOM NO 1</x:v>
      </x:c>
      <x:c r="C66" t="n">
        <x:v>600</x:v>
      </x:c>
      <x:c r="D66" t="n">
        <x:v>405</x:v>
      </x:c>
      <x:c r="E66" t="n">
        <x:f>SUM(H66:S66)</x:f>
        <x:v>404</x:v>
      </x:c>
      <x:c r="F66" t="n">
        <x:v>1</x:v>
      </x:c>
      <x:c r="G66" s="50" t="n">
        <x:f>IF(C66="","",IFERROR(D66/C66,0))</x:f>
        <x:v>0.675</x:v>
      </x:c>
      <x:c r="H66" s="36" t="n">
        <x:v>182</x:v>
      </x:c>
      <x:c r="I66" t="n">
        <x:v>201</x:v>
      </x:c>
      <x:c r="J66" t="n">
        <x:v>14</x:v>
      </x:c>
      <x:c r="K66" t="n">
        <x:v>3</x:v>
      </x:c>
      <x:c r="L66" t="n">
        <x:v>1</x:v>
      </x:c>
      <x:c r="M66" t="n">
        <x:v>0</x:v>
      </x:c>
      <x:c r="N66" t="n">
        <x:v>0</x:v>
      </x:c>
      <x:c r="O66" t="n">
        <x:v>1</x:v>
      </x:c>
      <x:c r="P66" t="n">
        <x:v>1</x:v>
      </x:c>
      <x:c r="Q66" t="n">
        <x:v>1</x:v>
      </x:c>
      <x:c r="R66" t="n">
        <x:v>0</x:v>
      </x:c>
      <x:c r="S66" t="n">
        <x:v>0</x:v>
      </x:c>
      <x:c r="T66" s="50" t="n">
        <x:f>IF(D66=0,"",H66/D66)</x:f>
        <x:v>0.44938271604938274</x:v>
      </x:c>
      <x:c r="U66" t="n">
        <x:f>MAX(I66:S66)</x:f>
        <x:v>201</x:v>
      </x:c>
      <x:c r="V66" t="n">
        <x:f>H66-U66</x:f>
        <x:v>-19</x:v>
      </x:c>
      <x:c r="W66" s="52" t="n">
        <x:f>IF(D66=0,"",(V66)/D66)</x:f>
        <x:v>-0.04691358024691358</x:v>
      </x:c>
      <x:c r="X66" t="str">
        <x:v>DHIRENDRA SINGH</x:v>
      </x:c>
      <x:c r="Y66" t="n">
        <x:f>D66-E66-F66</x:f>
        <x:v>0</x:v>
      </x:c>
    </x:row>
    <x:row r="67">
      <x:c r="A67" t="n">
        <x:v>59</x:v>
      </x:c>
      <x:c r="B67" t="str">
        <x:v>JUNIOR HIGH SCHOOL RAJPUR KALA ROOM NO 2</x:v>
      </x:c>
      <x:c r="C67" t="n">
        <x:v>521</x:v>
      </x:c>
      <x:c r="D67" t="n">
        <x:v>371</x:v>
      </x:c>
      <x:c r="E67" t="n">
        <x:f>SUM(H67:S67)</x:f>
        <x:v>370</x:v>
      </x:c>
      <x:c r="F67" t="n">
        <x:v>1</x:v>
      </x:c>
      <x:c r="G67" s="50" t="n">
        <x:f>IF(C67="","",IFERROR(D67/C67,0))</x:f>
        <x:v>0.7120921305182342</x:v>
      </x:c>
      <x:c r="H67" s="36" t="n">
        <x:v>116</x:v>
      </x:c>
      <x:c r="I67" t="n">
        <x:v>193</x:v>
      </x:c>
      <x:c r="J67" t="n">
        <x:v>39</x:v>
      </x:c>
      <x:c r="K67" t="n">
        <x:v>10</x:v>
      </x:c>
      <x:c r="L67" t="n">
        <x:v>0</x:v>
      </x:c>
      <x:c r="M67" t="n">
        <x:v>1</x:v>
      </x:c>
      <x:c r="N67" t="n">
        <x:v>0</x:v>
      </x:c>
      <x:c r="O67" t="n">
        <x:v>1</x:v>
      </x:c>
      <x:c r="P67" t="n">
        <x:v>10</x:v>
      </x:c>
      <x:c r="Q67" t="n">
        <x:v>0</x:v>
      </x:c>
      <x:c r="R67" t="n">
        <x:v>0</x:v>
      </x:c>
      <x:c r="S67" t="n">
        <x:v>0</x:v>
      </x:c>
      <x:c r="T67" s="50" t="n">
        <x:f>IF(D67=0,"",H67/D67)</x:f>
        <x:v>0.31266846361185985</x:v>
      </x:c>
      <x:c r="U67" t="n">
        <x:f>MAX(I67:S67)</x:f>
        <x:v>193</x:v>
      </x:c>
      <x:c r="V67" t="n">
        <x:f>H67-U67</x:f>
        <x:v>-77</x:v>
      </x:c>
      <x:c r="W67" s="52" t="n">
        <x:f>IF(D67=0,"",(V67)/D67)</x:f>
        <x:v>-0.20754716981132076</x:v>
      </x:c>
      <x:c r="X67" t="str">
        <x:v>DHIRENDRA SINGH</x:v>
      </x:c>
      <x:c r="Y67" t="n">
        <x:f>D67-E67-F67</x:f>
        <x:v>0</x:v>
      </x:c>
    </x:row>
    <x:row r="68">
      <x:c r="A68" t="n">
        <x:v>60</x:v>
      </x:c>
      <x:c r="B68" t="str">
        <x:v>PRIMARY SCHOOL CHITI ROOM NO 1</x:v>
      </x:c>
      <x:c r="C68" t="n">
        <x:v>957</x:v>
      </x:c>
      <x:c r="D68" t="n">
        <x:v>577</x:v>
      </x:c>
      <x:c r="E68" t="n">
        <x:f>SUM(H68:S68)</x:f>
        <x:v>575</x:v>
      </x:c>
      <x:c r="F68" t="n">
        <x:v>2</x:v>
      </x:c>
      <x:c r="G68" s="50" t="n">
        <x:f>IF(C68="","",IFERROR(D68/C68,0))</x:f>
        <x:v>0.6029258098223615</x:v>
      </x:c>
      <x:c r="H68" s="36" t="n">
        <x:v>53</x:v>
      </x:c>
      <x:c r="I68" t="n">
        <x:v>251</x:v>
      </x:c>
      <x:c r="J68" t="n">
        <x:v>254</x:v>
      </x:c>
      <x:c r="K68" t="n">
        <x:v>8</x:v>
      </x:c>
      <x:c r="L68" t="n">
        <x:v>0</x:v>
      </x:c>
      <x:c r="M68" t="n">
        <x:v>2</x:v>
      </x:c>
      <x:c r="N68" t="n">
        <x:v>0</x:v>
      </x:c>
      <x:c r="O68" t="n">
        <x:v>0</x:v>
      </x:c>
      <x:c r="P68" t="n">
        <x:v>0</x:v>
      </x:c>
      <x:c r="Q68" t="n">
        <x:v>1</x:v>
      </x:c>
      <x:c r="R68" t="n">
        <x:v>3</x:v>
      </x:c>
      <x:c r="S68" t="n">
        <x:v>3</x:v>
      </x:c>
      <x:c r="T68" s="50" t="n">
        <x:f>IF(D68=0,"",H68/D68)</x:f>
        <x:v>0.09185441941074524</x:v>
      </x:c>
      <x:c r="U68" t="n">
        <x:f>MAX(I68:S68)</x:f>
        <x:v>254</x:v>
      </x:c>
      <x:c r="V68" t="n">
        <x:f>H68-U68</x:f>
        <x:v>-201</x:v>
      </x:c>
      <x:c r="W68" s="52" t="n">
        <x:f>IF(D68=0,"",(V68)/D68)</x:f>
        <x:v>-0.3483535528596187</x:v>
      </x:c>
      <x:c r="X68" t="str">
        <x:v>NARENDER KUMAR</x:v>
      </x:c>
      <x:c r="Y68" t="n">
        <x:f>D68-E68-F68</x:f>
        <x:v>0</x:v>
      </x:c>
    </x:row>
    <x:row r="69">
      <x:c r="A69" t="n">
        <x:v>61</x:v>
      </x:c>
      <x:c r="B69" t="str">
        <x:v>PRIMARY SCHOOL CHITI ROOM NO 2</x:v>
      </x:c>
      <x:c r="C69" t="n">
        <x:v>854</x:v>
      </x:c>
      <x:c r="D69" t="n">
        <x:v>452</x:v>
      </x:c>
      <x:c r="E69" t="n">
        <x:f>SUM(H69:S69)</x:f>
        <x:v>449</x:v>
      </x:c>
      <x:c r="F69" t="n">
        <x:v>3</x:v>
      </x:c>
      <x:c r="G69" s="50" t="n">
        <x:f>IF(C69="","",IFERROR(D69/C69,0))</x:f>
        <x:v>0.5292740046838408</x:v>
      </x:c>
      <x:c r="H69" s="36" t="n">
        <x:v>94</x:v>
      </x:c>
      <x:c r="I69" t="n">
        <x:v>289</x:v>
      </x:c>
      <x:c r="J69" t="n">
        <x:v>34</x:v>
      </x:c>
      <x:c r="K69" t="n">
        <x:v>18</x:v>
      </x:c>
      <x:c r="L69" t="n">
        <x:v>2</x:v>
      </x:c>
      <x:c r="M69" t="n">
        <x:v>1</x:v>
      </x:c>
      <x:c r="N69" t="n">
        <x:v>1</x:v>
      </x:c>
      <x:c r="O69" t="n">
        <x:v>0</x:v>
      </x:c>
      <x:c r="P69" t="n">
        <x:v>1</x:v>
      </x:c>
      <x:c r="Q69" t="n">
        <x:v>0</x:v>
      </x:c>
      <x:c r="R69" t="n">
        <x:v>4</x:v>
      </x:c>
      <x:c r="S69" t="n">
        <x:v>5</x:v>
      </x:c>
      <x:c r="T69" s="50" t="n">
        <x:f>IF(D69=0,"",H69/D69)</x:f>
        <x:v>0.2079646017699115</x:v>
      </x:c>
      <x:c r="U69" t="n">
        <x:f>MAX(I69:S69)</x:f>
        <x:v>289</x:v>
      </x:c>
      <x:c r="V69" t="n">
        <x:f>H69-U69</x:f>
        <x:v>-195</x:v>
      </x:c>
      <x:c r="W69" s="52" t="n">
        <x:f>IF(D69=0,"",(V69)/D69)</x:f>
        <x:v>-0.4314159292035398</x:v>
      </x:c>
      <x:c r="X69" t="str">
        <x:v>DHIRENDRA SINGH</x:v>
      </x:c>
      <x:c r="Y69" t="n">
        <x:f>D69-E69-F69</x:f>
        <x:v>0</x:v>
      </x:c>
    </x:row>
    <x:row r="70">
      <x:c r="A70" t="n">
        <x:v>62</x:v>
      </x:c>
      <x:c r="B70" t="str">
        <x:v>PRIMARY SCHOOL CHITI ROOM NO 3</x:v>
      </x:c>
      <x:c r="C70" t="n">
        <x:v>981</x:v>
      </x:c>
      <x:c r="D70" t="n">
        <x:v>526</x:v>
      </x:c>
      <x:c r="E70" t="n">
        <x:f>SUM(H70:S70)</x:f>
        <x:v>525</x:v>
      </x:c>
      <x:c r="F70" t="n">
        <x:v>1</x:v>
      </x:c>
      <x:c r="G70" s="50" t="n">
        <x:f>IF(C70="","",IFERROR(D70/C70,0))</x:f>
        <x:v>0.5361875637104995</x:v>
      </x:c>
      <x:c r="H70" s="36" t="n">
        <x:v>186</x:v>
      </x:c>
      <x:c r="I70" t="n">
        <x:v>282</x:v>
      </x:c>
      <x:c r="J70" t="n">
        <x:v>34</x:v>
      </x:c>
      <x:c r="K70" t="n">
        <x:v>11</x:v>
      </x:c>
      <x:c r="L70" t="n">
        <x:v>1</x:v>
      </x:c>
      <x:c r="M70" t="n">
        <x:v>2</x:v>
      </x:c>
      <x:c r="N70" t="n">
        <x:v>0</x:v>
      </x:c>
      <x:c r="O70" t="n">
        <x:v>0</x:v>
      </x:c>
      <x:c r="P70" t="n">
        <x:v>6</x:v>
      </x:c>
      <x:c r="Q70" t="n">
        <x:v>0</x:v>
      </x:c>
      <x:c r="R70" t="n">
        <x:v>0</x:v>
      </x:c>
      <x:c r="S70" t="n">
        <x:v>3</x:v>
      </x:c>
      <x:c r="T70" s="50" t="n">
        <x:f>IF(D70=0,"",H70/D70)</x:f>
        <x:v>0.35361216730038025</x:v>
      </x:c>
      <x:c r="U70" t="n">
        <x:f>MAX(I70:S70)</x:f>
        <x:v>282</x:v>
      </x:c>
      <x:c r="V70" t="n">
        <x:f>H70-U70</x:f>
        <x:v>-96</x:v>
      </x:c>
      <x:c r="W70" s="52" t="n">
        <x:f>IF(D70=0,"",(V70)/D70)</x:f>
        <x:v>-0.18250950570342206</x:v>
      </x:c>
      <x:c r="X70" t="str">
        <x:v>DHIRENDRA SINGH</x:v>
      </x:c>
      <x:c r="Y70" t="n">
        <x:f>D70-E70-F70</x:f>
        <x:v>0</x:v>
      </x:c>
    </x:row>
    <x:row r="71">
      <x:c r="A71" t="n">
        <x:v>63</x:v>
      </x:c>
      <x:c r="B71" t="str">
        <x:v>PRIMARY SCHOOL NANGLA CHITI ROOM NO 1</x:v>
      </x:c>
      <x:c r="C71" t="n">
        <x:v>444</x:v>
      </x:c>
      <x:c r="D71" t="n">
        <x:v>324</x:v>
      </x:c>
      <x:c r="E71" t="n">
        <x:f>SUM(H71:S71)</x:f>
        <x:v>321</x:v>
      </x:c>
      <x:c r="F71" t="n">
        <x:v>3</x:v>
      </x:c>
      <x:c r="G71" s="50" t="n">
        <x:f>IF(C71="","",IFERROR(D71/C71,0))</x:f>
        <x:v>0.7297297297297297</x:v>
      </x:c>
      <x:c r="H71" s="36" t="n">
        <x:v>49</x:v>
      </x:c>
      <x:c r="I71" t="n">
        <x:v>75</x:v>
      </x:c>
      <x:c r="J71" t="n">
        <x:v>11</x:v>
      </x:c>
      <x:c r="K71" t="n">
        <x:v>183</x:v>
      </x:c>
      <x:c r="L71" t="n">
        <x:v>0</x:v>
      </x:c>
      <x:c r="M71" t="n">
        <x:v>1</x:v>
      </x:c>
      <x:c r="N71" t="n">
        <x:v>0</x:v>
      </x:c>
      <x:c r="O71" t="n">
        <x:v>1</x:v>
      </x:c>
      <x:c r="P71" t="n">
        <x:v>0</x:v>
      </x:c>
      <x:c r="Q71" t="n">
        <x:v>1</x:v>
      </x:c>
      <x:c r="R71" t="n">
        <x:v>0</x:v>
      </x:c>
      <x:c r="S71" t="n">
        <x:v>0</x:v>
      </x:c>
      <x:c r="T71" s="50" t="n">
        <x:f>IF(D71=0,"",H71/D71)</x:f>
        <x:v>0.15123456790123457</x:v>
      </x:c>
      <x:c r="U71" t="n">
        <x:f>MAX(I71:S71)</x:f>
        <x:v>183</x:v>
      </x:c>
      <x:c r="V71" t="n">
        <x:f>H71-U71</x:f>
        <x:v>-134</x:v>
      </x:c>
      <x:c r="W71" s="52" t="n">
        <x:f>IF(D71=0,"",(V71)/D71)</x:f>
        <x:v>-0.41358024691358025</x:v>
      </x:c>
      <x:c r="X71" t="str">
        <x:v>MANOJ</x:v>
      </x:c>
      <x:c r="Y71" t="n">
        <x:f>D71-E71-F71</x:f>
        <x:v>0</x:v>
      </x:c>
    </x:row>
    <x:row r="72">
      <x:c r="A72" t="n">
        <x:v>64</x:v>
      </x:c>
      <x:c r="B72" t="str">
        <x:v>PRIMARY SCHOOL DEVTA ROOM NO 1</x:v>
      </x:c>
      <x:c r="C72" t="n">
        <x:v>1039</x:v>
      </x:c>
      <x:c r="D72" t="n">
        <x:v>590</x:v>
      </x:c>
      <x:c r="E72" t="n">
        <x:f>SUM(H72:S72)</x:f>
        <x:v>585</x:v>
      </x:c>
      <x:c r="F72" t="n">
        <x:v>5</x:v>
      </x:c>
      <x:c r="G72" s="50" t="n">
        <x:f>IF(C72="","",IFERROR(D72/C72,0))</x:f>
        <x:v>0.5678537054860443</x:v>
      </x:c>
      <x:c r="H72" s="36" t="n">
        <x:v>279</x:v>
      </x:c>
      <x:c r="I72" t="n">
        <x:v>166</x:v>
      </x:c>
      <x:c r="J72" t="n">
        <x:v>79</x:v>
      </x:c>
      <x:c r="K72" t="n">
        <x:v>53</x:v>
      </x:c>
      <x:c r="L72" t="n">
        <x:v>0</x:v>
      </x:c>
      <x:c r="M72" t="n">
        <x:v>1</x:v>
      </x:c>
      <x:c r="N72" t="n">
        <x:v>1</x:v>
      </x:c>
      <x:c r="O72" t="n">
        <x:v>1</x:v>
      </x:c>
      <x:c r="P72" t="n">
        <x:v>2</x:v>
      </x:c>
      <x:c r="Q72" t="n">
        <x:v>1</x:v>
      </x:c>
      <x:c r="R72" t="n">
        <x:v>1</x:v>
      </x:c>
      <x:c r="S72" t="n">
        <x:v>1</x:v>
      </x:c>
      <x:c r="T72" s="50" t="n">
        <x:f>IF(D72=0,"",H72/D72)</x:f>
        <x:v>0.4728813559322034</x:v>
      </x:c>
      <x:c r="U72" t="n">
        <x:f>MAX(I72:S72)</x:f>
        <x:v>166</x:v>
      </x:c>
      <x:c r="V72" t="n">
        <x:f>H72-U72</x:f>
        <x:v>113</x:v>
      </x:c>
      <x:c r="W72" s="52" t="n">
        <x:f>IF(D72=0,"",(V72)/D72)</x:f>
        <x:v>0.19152542372881357</x:v>
      </x:c>
      <x:c r="X72" t="str">
        <x:v>AVTAR SINGH BHADANA</x:v>
      </x:c>
      <x:c r="Y72" t="n">
        <x:f>D72-E72-F72</x:f>
        <x:v>0</x:v>
      </x:c>
    </x:row>
    <x:row r="73">
      <x:c r="A73" t="n">
        <x:v>65</x:v>
      </x:c>
      <x:c r="B73" t="str">
        <x:v>PRIMARY SCHOOL DEVTA ROOM NO 2</x:v>
      </x:c>
      <x:c r="C73" t="n">
        <x:v>1076</x:v>
      </x:c>
      <x:c r="D73" t="n">
        <x:v>599</x:v>
      </x:c>
      <x:c r="E73" t="n">
        <x:f>SUM(H73:S73)</x:f>
        <x:v>590</x:v>
      </x:c>
      <x:c r="F73" t="n">
        <x:v>9</x:v>
      </x:c>
      <x:c r="G73" s="50" t="n">
        <x:f>IF(C73="","",IFERROR(D73/C73,0))</x:f>
        <x:v>0.5566914498141264</x:v>
      </x:c>
      <x:c r="H73" s="36" t="n">
        <x:v>334</x:v>
      </x:c>
      <x:c r="I73" t="n">
        <x:v>180</x:v>
      </x:c>
      <x:c r="J73" t="n">
        <x:v>49</x:v>
      </x:c>
      <x:c r="K73" t="n">
        <x:v>14</x:v>
      </x:c>
      <x:c r="L73" t="n">
        <x:v>0</x:v>
      </x:c>
      <x:c r="M73" t="n">
        <x:v>0</x:v>
      </x:c>
      <x:c r="N73" t="n">
        <x:v>0</x:v>
      </x:c>
      <x:c r="O73" t="n">
        <x:v>2</x:v>
      </x:c>
      <x:c r="P73" t="n">
        <x:v>0</x:v>
      </x:c>
      <x:c r="Q73" t="n">
        <x:v>2</x:v>
      </x:c>
      <x:c r="R73" t="n">
        <x:v>2</x:v>
      </x:c>
      <x:c r="S73" t="n">
        <x:v>7</x:v>
      </x:c>
      <x:c r="T73" s="50" t="n">
        <x:f>IF(D73=0,"",H73/D73)</x:f>
        <x:v>0.5575959933222037</x:v>
      </x:c>
      <x:c r="U73" t="n">
        <x:f>MAX(I73:S73)</x:f>
        <x:v>180</x:v>
      </x:c>
      <x:c r="V73" t="n">
        <x:f>H73-U73</x:f>
        <x:v>154</x:v>
      </x:c>
      <x:c r="W73" s="52" t="n">
        <x:f>IF(D73=0,"",(V73)/D73)</x:f>
        <x:v>0.2570951585976628</x:v>
      </x:c>
      <x:c r="X73" t="str">
        <x:v>AVTAR SINGH BHADANA</x:v>
      </x:c>
      <x:c r="Y73" t="n">
        <x:f>D73-E73-F73</x:f>
        <x:v>0</x:v>
      </x:c>
    </x:row>
    <x:row r="74">
      <x:c r="A74" t="n">
        <x:v>66</x:v>
      </x:c>
      <x:c r="B74" t="str">
        <x:v>PATEL INTER COLLEGE ASTAULI ROOM NO. 1</x:v>
      </x:c>
      <x:c r="C74" t="n">
        <x:v>907</x:v>
      </x:c>
      <x:c r="D74" t="n">
        <x:v>557</x:v>
      </x:c>
      <x:c r="E74" t="n">
        <x:f>SUM(H74:S74)</x:f>
        <x:v>553</x:v>
      </x:c>
      <x:c r="F74" t="n">
        <x:v>4</x:v>
      </x:c>
      <x:c r="G74" s="50" t="n">
        <x:f>IF(C74="","",IFERROR(D74/C74,0))</x:f>
        <x:v>0.6141124586549063</x:v>
      </x:c>
      <x:c r="H74" s="36" t="n">
        <x:v>148</x:v>
      </x:c>
      <x:c r="I74" t="n">
        <x:v>133</x:v>
      </x:c>
      <x:c r="J74" t="n">
        <x:v>263</x:v>
      </x:c>
      <x:c r="K74" t="n">
        <x:v>3</x:v>
      </x:c>
      <x:c r="L74" t="n">
        <x:v>0</x:v>
      </x:c>
      <x:c r="M74" t="n">
        <x:v>0</x:v>
      </x:c>
      <x:c r="N74" t="n">
        <x:v>1</x:v>
      </x:c>
      <x:c r="O74" t="n">
        <x:v>1</x:v>
      </x:c>
      <x:c r="P74" t="n">
        <x:v>3</x:v>
      </x:c>
      <x:c r="Q74" t="n">
        <x:v>0</x:v>
      </x:c>
      <x:c r="R74" t="n">
        <x:v>0</x:v>
      </x:c>
      <x:c r="S74" t="n">
        <x:v>1</x:v>
      </x:c>
      <x:c r="T74" s="50" t="n">
        <x:f>IF(D74=0,"",H74/D74)</x:f>
        <x:v>0.26570915619389585</x:v>
      </x:c>
      <x:c r="U74" t="n">
        <x:f>MAX(I74:S74)</x:f>
        <x:v>263</x:v>
      </x:c>
      <x:c r="V74" t="n">
        <x:f>H74-U74</x:f>
        <x:v>-115</x:v>
      </x:c>
      <x:c r="W74" s="52" t="n">
        <x:f>IF(D74=0,"",(V74)/D74)</x:f>
        <x:v>-0.20646319569120286</x:v>
      </x:c>
      <x:c r="X74" t="str">
        <x:v>NARENDER KUMAR</x:v>
      </x:c>
      <x:c r="Y74" t="n">
        <x:f>D74-E74-F74</x:f>
        <x:v>0</x:v>
      </x:c>
    </x:row>
    <x:row r="75">
      <x:c r="A75" t="n">
        <x:v>67</x:v>
      </x:c>
      <x:c r="B75" t="str">
        <x:v>PATEL INTER COLLEGE ASTAULI ROOM NO. 2</x:v>
      </x:c>
      <x:c r="C75" t="n">
        <x:v>1020</x:v>
      </x:c>
      <x:c r="D75" t="n">
        <x:v>699</x:v>
      </x:c>
      <x:c r="E75" t="n">
        <x:f>SUM(H75:S75)</x:f>
        <x:v>695</x:v>
      </x:c>
      <x:c r="F75" t="n">
        <x:v>4</x:v>
      </x:c>
      <x:c r="G75" s="50" t="n">
        <x:f>IF(C75="","",IFERROR(D75/C75,0))</x:f>
        <x:v>0.6852941176470588</x:v>
      </x:c>
      <x:c r="H75" s="36" t="n">
        <x:v>406</x:v>
      </x:c>
      <x:c r="I75" t="n">
        <x:v>228</x:v>
      </x:c>
      <x:c r="J75" t="n">
        <x:v>42</x:v>
      </x:c>
      <x:c r="K75" t="n">
        <x:v>9</x:v>
      </x:c>
      <x:c r="L75" t="n">
        <x:v>0</x:v>
      </x:c>
      <x:c r="M75" t="n">
        <x:v>1</x:v>
      </x:c>
      <x:c r="N75" t="n">
        <x:v>0</x:v>
      </x:c>
      <x:c r="O75" t="n">
        <x:v>1</x:v>
      </x:c>
      <x:c r="P75" t="n">
        <x:v>2</x:v>
      </x:c>
      <x:c r="Q75" t="n">
        <x:v>0</x:v>
      </x:c>
      <x:c r="R75" t="n">
        <x:v>3</x:v>
      </x:c>
      <x:c r="S75" t="n">
        <x:v>3</x:v>
      </x:c>
      <x:c r="T75" s="50" t="n">
        <x:f>IF(D75=0,"",H75/D75)</x:f>
        <x:v>0.580829756795422</x:v>
      </x:c>
      <x:c r="U75" t="n">
        <x:f>MAX(I75:S75)</x:f>
        <x:v>228</x:v>
      </x:c>
      <x:c r="V75" t="n">
        <x:f>H75-U75</x:f>
        <x:v>178</x:v>
      </x:c>
      <x:c r="W75" s="52" t="n">
        <x:f>IF(D75=0,"",(V75)/D75)</x:f>
        <x:v>0.25464949928469244</x:v>
      </x:c>
      <x:c r="X75" t="str">
        <x:v>AVTAR SINGH BHADANA</x:v>
      </x:c>
      <x:c r="Y75" t="n">
        <x:f>D75-E75-F75</x:f>
        <x:v>0</x:v>
      </x:c>
    </x:row>
    <x:row r="76">
      <x:c r="A76" t="n">
        <x:v>68</x:v>
      </x:c>
      <x:c r="B76" t="str">
        <x:v>PATEL INTER COLLEGE ASTAULI ROOM NO. 3</x:v>
      </x:c>
      <x:c r="C76" t="n">
        <x:v>734</x:v>
      </x:c>
      <x:c r="D76" t="n">
        <x:v>451</x:v>
      </x:c>
      <x:c r="E76" t="n">
        <x:f>SUM(H76:S76)</x:f>
        <x:v>445</x:v>
      </x:c>
      <x:c r="F76" t="n">
        <x:v>6</x:v>
      </x:c>
      <x:c r="G76" s="50" t="n">
        <x:f>IF(C76="","",IFERROR(D76/C76,0))</x:f>
        <x:v>0.614441416893733</x:v>
      </x:c>
      <x:c r="H76" s="36" t="n">
        <x:v>208</x:v>
      </x:c>
      <x:c r="I76" t="n">
        <x:v>159</x:v>
      </x:c>
      <x:c r="J76" t="n">
        <x:v>72</x:v>
      </x:c>
      <x:c r="K76" t="n">
        <x:v>1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1</x:v>
      </x:c>
      <x:c r="R76" t="n">
        <x:v>1</x:v>
      </x:c>
      <x:c r="S76" t="n">
        <x:v>3</x:v>
      </x:c>
      <x:c r="T76" s="50" t="n">
        <x:f>IF(D76=0,"",H76/D76)</x:f>
        <x:v>0.4611973392461197</x:v>
      </x:c>
      <x:c r="U76" t="n">
        <x:f>MAX(I76:S76)</x:f>
        <x:v>159</x:v>
      </x:c>
      <x:c r="V76" t="n">
        <x:f>H76-U76</x:f>
        <x:v>49</x:v>
      </x:c>
      <x:c r="W76" s="52" t="n">
        <x:f>IF(D76=0,"",(V76)/D76)</x:f>
        <x:v>0.10864745011086474</x:v>
      </x:c>
      <x:c r="X76" t="str">
        <x:v>AVTAR SINGH BHADANA</x:v>
      </x:c>
      <x:c r="Y76" t="n">
        <x:f>D76-E76-F76</x:f>
        <x:v>0</x:v>
      </x:c>
    </x:row>
    <x:row r="77">
      <x:c r="A77" t="n">
        <x:v>69</x:v>
      </x:c>
      <x:c r="B77" t="str">
        <x:v>CHAUDHARY LAXMI NARAYAN INTER COLLEGE MANDI SHYAMNAGAR URF KHERLI HAFIZPUR ROOM NO. 1</x:v>
      </x:c>
      <x:c r="C77" t="n">
        <x:v>851</x:v>
      </x:c>
      <x:c r="D77" t="n">
        <x:v>492</x:v>
      </x:c>
      <x:c r="E77" t="n">
        <x:f>SUM(H77:S77)</x:f>
        <x:v>489</x:v>
      </x:c>
      <x:c r="F77" t="n">
        <x:v>3</x:v>
      </x:c>
      <x:c r="G77" s="50" t="n">
        <x:f>IF(C77="","",IFERROR(D77/C77,0))</x:f>
        <x:v>0.5781433607520564</x:v>
      </x:c>
      <x:c r="H77" s="36" t="n">
        <x:v>119</x:v>
      </x:c>
      <x:c r="I77" t="n">
        <x:v>200</x:v>
      </x:c>
      <x:c r="J77" t="n">
        <x:v>153</x:v>
      </x:c>
      <x:c r="K77" t="n">
        <x:v>9</x:v>
      </x:c>
      <x:c r="L77" t="n">
        <x:v>0</x:v>
      </x:c>
      <x:c r="M77" t="n">
        <x:v>1</x:v>
      </x:c>
      <x:c r="N77" t="n">
        <x:v>0</x:v>
      </x:c>
      <x:c r="O77" t="n">
        <x:v>0</x:v>
      </x:c>
      <x:c r="P77" t="n">
        <x:v>1</x:v>
      </x:c>
      <x:c r="Q77" t="n">
        <x:v>0</x:v>
      </x:c>
      <x:c r="R77" t="n">
        <x:v>2</x:v>
      </x:c>
      <x:c r="S77" t="n">
        <x:v>4</x:v>
      </x:c>
      <x:c r="T77" s="50" t="n">
        <x:f>IF(D77=0,"",H77/D77)</x:f>
        <x:v>0.241869918699187</x:v>
      </x:c>
      <x:c r="U77" t="n">
        <x:f>MAX(I77:S77)</x:f>
        <x:v>200</x:v>
      </x:c>
      <x:c r="V77" t="n">
        <x:f>H77-U77</x:f>
        <x:v>-81</x:v>
      </x:c>
      <x:c r="W77" s="52" t="n">
        <x:f>IF(D77=0,"",(V77)/D77)</x:f>
        <x:v>-0.16463414634146342</x:v>
      </x:c>
      <x:c r="X77" t="str">
        <x:v>DHIRENDRA SINGH</x:v>
      </x:c>
      <x:c r="Y77" t="n">
        <x:f>D77-E77-F77</x:f>
        <x:v>0</x:v>
      </x:c>
    </x:row>
    <x:row r="78">
      <x:c r="A78" t="n">
        <x:v>70</x:v>
      </x:c>
      <x:c r="B78" t="str">
        <x:v>CHAUDHARY LAXMI NARAYAN INTER COLLEGE MANDI SHYAMNAGAR URF KHERLI HAFIZPUR ROOM NO. 2</x:v>
      </x:c>
      <x:c r="C78" t="n">
        <x:v>802</x:v>
      </x:c>
      <x:c r="D78" t="n">
        <x:v>467</x:v>
      </x:c>
      <x:c r="E78" t="n">
        <x:f>SUM(H78:S78)</x:f>
        <x:v>466</x:v>
      </x:c>
      <x:c r="F78" t="n">
        <x:v>1</x:v>
      </x:c>
      <x:c r="G78" s="50" t="n">
        <x:f>IF(C78="","",IFERROR(D78/C78,0))</x:f>
        <x:v>0.5822942643391521</x:v>
      </x:c>
      <x:c r="H78" s="36" t="n">
        <x:v>83</x:v>
      </x:c>
      <x:c r="I78" t="n">
        <x:v>320</x:v>
      </x:c>
      <x:c r="J78" t="n">
        <x:v>50</x:v>
      </x:c>
      <x:c r="K78" t="n">
        <x:v>4</x:v>
      </x:c>
      <x:c r="L78" t="n">
        <x:v>0</x:v>
      </x:c>
      <x:c r="M78" t="n">
        <x:v>1</x:v>
      </x:c>
      <x:c r="N78" t="n">
        <x:v>2</x:v>
      </x:c>
      <x:c r="O78" t="n">
        <x:v>1</x:v>
      </x:c>
      <x:c r="P78" t="n">
        <x:v>0</x:v>
      </x:c>
      <x:c r="Q78" t="n">
        <x:v>0</x:v>
      </x:c>
      <x:c r="R78" t="n">
        <x:v>2</x:v>
      </x:c>
      <x:c r="S78" t="n">
        <x:v>3</x:v>
      </x:c>
      <x:c r="T78" s="50" t="n">
        <x:f>IF(D78=0,"",H78/D78)</x:f>
        <x:v>0.1777301927194861</x:v>
      </x:c>
      <x:c r="U78" t="n">
        <x:f>MAX(I78:S78)</x:f>
        <x:v>320</x:v>
      </x:c>
      <x:c r="V78" t="n">
        <x:f>H78-U78</x:f>
        <x:v>-237</x:v>
      </x:c>
      <x:c r="W78" s="52" t="n">
        <x:f>IF(D78=0,"",(V78)/D78)</x:f>
        <x:v>-0.5074946466809421</x:v>
      </x:c>
      <x:c r="X78" t="str">
        <x:v>DHIRENDRA SINGH</x:v>
      </x:c>
      <x:c r="Y78" t="n">
        <x:f>D78-E78-F78</x:f>
        <x:v>0</x:v>
      </x:c>
    </x:row>
    <x:row r="79">
      <x:c r="A79" t="n">
        <x:v>71</x:v>
      </x:c>
      <x:c r="B79" t="str">
        <x:v>CHAUDHARY LAXMI NARAYAN INTER COLLEGE MANDI SHYAMNAGAR URF KHERLI HAFIZPUR ROOM NO. 3</x:v>
      </x:c>
      <x:c r="C79" t="n">
        <x:v>647</x:v>
      </x:c>
      <x:c r="D79" t="n">
        <x:v>316</x:v>
      </x:c>
      <x:c r="E79" t="n">
        <x:f>SUM(H79:S79)</x:f>
        <x:v>313</x:v>
      </x:c>
      <x:c r="F79" t="n">
        <x:v>3</x:v>
      </x:c>
      <x:c r="G79" s="50" t="n">
        <x:f>IF(C79="","",IFERROR(D79/C79,0))</x:f>
        <x:v>0.4884080370942813</x:v>
      </x:c>
      <x:c r="H79" s="36" t="n">
        <x:v>49</x:v>
      </x:c>
      <x:c r="I79" t="n">
        <x:v>221</x:v>
      </x:c>
      <x:c r="J79" t="n">
        <x:v>34</x:v>
      </x:c>
      <x:c r="K79" t="n">
        <x:v>3</x:v>
      </x:c>
      <x:c r="L79" t="n">
        <x:v>1</x:v>
      </x:c>
      <x:c r="M79" t="n">
        <x:v>1</x:v>
      </x:c>
      <x:c r="N79" t="n">
        <x:v>1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3</x:v>
      </x:c>
      <x:c r="T79" s="50" t="n">
        <x:f>IF(D79=0,"",H79/D79)</x:f>
        <x:v>0.1550632911392405</x:v>
      </x:c>
      <x:c r="U79" t="n">
        <x:f>MAX(I79:S79)</x:f>
        <x:v>221</x:v>
      </x:c>
      <x:c r="V79" t="n">
        <x:f>H79-U79</x:f>
        <x:v>-172</x:v>
      </x:c>
      <x:c r="W79" s="52" t="n">
        <x:f>IF(D79=0,"",(V79)/D79)</x:f>
        <x:v>-0.5443037974683544</x:v>
      </x:c>
      <x:c r="X79" t="str">
        <x:v>DHIRENDRA SINGH</x:v>
      </x:c>
      <x:c r="Y79" t="n">
        <x:f>D79-E79-F79</x:f>
        <x:v>0</x:v>
      </x:c>
    </x:row>
    <x:row r="80">
      <x:c r="A80" t="n">
        <x:v>72</x:v>
      </x:c>
      <x:c r="B80" t="str">
        <x:v>CHAUDHARY LAXMI NARAYAN INTER COLLEGE MANDI SHYAMNAGAR URF KHERLI HAFIZPUR ROOM NO. 4</x:v>
      </x:c>
      <x:c r="C80" t="n">
        <x:v>1019</x:v>
      </x:c>
      <x:c r="D80" t="n">
        <x:v>629</x:v>
      </x:c>
      <x:c r="E80" t="n">
        <x:f>SUM(H80:S80)</x:f>
        <x:v>621</x:v>
      </x:c>
      <x:c r="F80" t="n">
        <x:v>8</x:v>
      </x:c>
      <x:c r="G80" s="50" t="n">
        <x:f>IF(C80="","",IFERROR(D80/C80,0))</x:f>
        <x:v>0.6172718351324828</x:v>
      </x:c>
      <x:c r="H80" s="36" t="n">
        <x:v>61</x:v>
      </x:c>
      <x:c r="I80" t="n">
        <x:v>496</x:v>
      </x:c>
      <x:c r="J80" t="n">
        <x:v>32</x:v>
      </x:c>
      <x:c r="K80" t="n">
        <x:v>12</x:v>
      </x:c>
      <x:c r="L80" t="n">
        <x:v>3</x:v>
      </x:c>
      <x:c r="M80" t="n">
        <x:v>3</x:v>
      </x:c>
      <x:c r="N80" t="n">
        <x:v>0</x:v>
      </x:c>
      <x:c r="O80" t="n">
        <x:v>2</x:v>
      </x:c>
      <x:c r="P80" t="n">
        <x:v>3</x:v>
      </x:c>
      <x:c r="Q80" t="n">
        <x:v>2</x:v>
      </x:c>
      <x:c r="R80" t="n">
        <x:v>3</x:v>
      </x:c>
      <x:c r="S80" t="n">
        <x:v>4</x:v>
      </x:c>
      <x:c r="T80" s="50" t="n">
        <x:f>IF(D80=0,"",H80/D80)</x:f>
        <x:v>0.09697933227344992</x:v>
      </x:c>
      <x:c r="U80" t="n">
        <x:f>MAX(I80:S80)</x:f>
        <x:v>496</x:v>
      </x:c>
      <x:c r="V80" t="n">
        <x:f>H80-U80</x:f>
        <x:v>-435</x:v>
      </x:c>
      <x:c r="W80" s="52" t="n">
        <x:f>IF(D80=0,"",(V80)/D80)</x:f>
        <x:v>-0.6915739268680445</x:v>
      </x:c>
      <x:c r="X80" t="str">
        <x:v>DHIRENDRA SINGH</x:v>
      </x:c>
      <x:c r="Y80" t="n">
        <x:f>D80-E80-F80</x:f>
        <x:v>0</x:v>
      </x:c>
    </x:row>
    <x:row r="81">
      <x:c r="A81" t="n">
        <x:v>73</x:v>
      </x:c>
      <x:c r="B81" t="str">
        <x:v>CHAUDHARY LAXMI NARAYAN INTER COLLEGE MANDI SHYAMNAGAR URF KHERLI HAFIZPUR ROOM NO. 5</x:v>
      </x:c>
      <x:c r="C81" t="n">
        <x:v>1100</x:v>
      </x:c>
      <x:c r="D81" t="n">
        <x:v>615</x:v>
      </x:c>
      <x:c r="E81" t="n">
        <x:f>SUM(H81:S81)</x:f>
        <x:v>614</x:v>
      </x:c>
      <x:c r="F81" t="n">
        <x:v>1</x:v>
      </x:c>
      <x:c r="G81" s="50" t="n">
        <x:f>IF(C81="","",IFERROR(D81/C81,0))</x:f>
        <x:v>0.5590909090909091</x:v>
      </x:c>
      <x:c r="H81" s="36" t="n">
        <x:v>44</x:v>
      </x:c>
      <x:c r="I81" t="n">
        <x:v>509</x:v>
      </x:c>
      <x:c r="J81" t="n">
        <x:v>44</x:v>
      </x:c>
      <x:c r="K81" t="n">
        <x:v>10</x:v>
      </x:c>
      <x:c r="L81" t="n">
        <x:v>0</x:v>
      </x:c>
      <x:c r="M81" t="n">
        <x:v>2</x:v>
      </x:c>
      <x:c r="N81" t="n">
        <x:v>1</x:v>
      </x:c>
      <x:c r="O81" t="n">
        <x:v>0</x:v>
      </x:c>
      <x:c r="P81" t="n">
        <x:v>0</x:v>
      </x:c>
      <x:c r="Q81" t="n">
        <x:v>1</x:v>
      </x:c>
      <x:c r="R81" t="n">
        <x:v>0</x:v>
      </x:c>
      <x:c r="S81" t="n">
        <x:v>3</x:v>
      </x:c>
      <x:c r="T81" s="50" t="n">
        <x:f>IF(D81=0,"",H81/D81)</x:f>
        <x:v>0.07154471544715447</x:v>
      </x:c>
      <x:c r="U81" t="n">
        <x:f>MAX(I81:S81)</x:f>
        <x:v>509</x:v>
      </x:c>
      <x:c r="V81" t="n">
        <x:f>H81-U81</x:f>
        <x:v>-465</x:v>
      </x:c>
      <x:c r="W81" s="52" t="n">
        <x:f>IF(D81=0,"",(V81)/D81)</x:f>
        <x:v>-0.7560975609756098</x:v>
      </x:c>
      <x:c r="X81" t="str">
        <x:v>DHIRENDRA SINGH</x:v>
      </x:c>
      <x:c r="Y81" t="n">
        <x:f>D81-E81-F81</x:f>
        <x:v>0</x:v>
      </x:c>
    </x:row>
    <x:row r="82">
      <x:c r="A82" t="n">
        <x:v>74</x:v>
      </x:c>
      <x:c r="B82" t="str">
        <x:v>CHAUDHARY LAXMI NARAYAN INTER COLLEGE MANDI SHYAMNAGAR URF KHERLI HAFIZPUR ROOM NO. 6</x:v>
      </x:c>
      <x:c r="C82" t="n">
        <x:v>609</x:v>
      </x:c>
      <x:c r="D82" t="n">
        <x:v>297</x:v>
      </x:c>
      <x:c r="E82" t="n">
        <x:f>SUM(H82:S82)</x:f>
        <x:v>297</x:v>
      </x:c>
      <x:c r="F82" t="n">
        <x:v>0</x:v>
      </x:c>
      <x:c r="G82" s="50" t="n">
        <x:f>IF(C82="","",IFERROR(D82/C82,0))</x:f>
        <x:v>0.4876847290640394</x:v>
      </x:c>
      <x:c r="H82" s="36" t="n">
        <x:v>74</x:v>
      </x:c>
      <x:c r="I82" t="n">
        <x:v>169</x:v>
      </x:c>
      <x:c r="J82" t="n">
        <x:v>39</x:v>
      </x:c>
      <x:c r="K82" t="n">
        <x:v>14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1</x:v>
      </x:c>
      <x:c r="T82" s="50" t="n">
        <x:f>IF(D82=0,"",H82/D82)</x:f>
        <x:v>0.24915824915824916</x:v>
      </x:c>
      <x:c r="U82" t="n">
        <x:f>MAX(I82:S82)</x:f>
        <x:v>169</x:v>
      </x:c>
      <x:c r="V82" t="n">
        <x:f>H82-U82</x:f>
        <x:v>-95</x:v>
      </x:c>
      <x:c r="W82" s="52" t="n">
        <x:f>IF(D82=0,"",(V82)/D82)</x:f>
        <x:v>-0.31986531986531985</x:v>
      </x:c>
      <x:c r="X82" t="str">
        <x:v>DHIRENDRA SINGH</x:v>
      </x:c>
      <x:c r="Y82" t="n">
        <x:f>D82-E82-F82</x:f>
        <x:v>0</x:v>
      </x:c>
    </x:row>
    <x:row r="83">
      <x:c r="A83" t="n">
        <x:v>75</x:v>
      </x:c>
      <x:c r="B83" t="str">
        <x:v>CHAUDHARY LAXMI NARAYAN INTER COLLEGE MANDI SHYAMNAGAR URF KHERLI HAFIZPUR ROOM NO. 7</x:v>
      </x:c>
      <x:c r="C83" t="n">
        <x:v>621</x:v>
      </x:c>
      <x:c r="D83" t="n">
        <x:v>328</x:v>
      </x:c>
      <x:c r="E83" t="n">
        <x:f>SUM(H83:S83)</x:f>
        <x:v>326</x:v>
      </x:c>
      <x:c r="F83" t="n">
        <x:v>2</x:v>
      </x:c>
      <x:c r="G83" s="50" t="n">
        <x:f>IF(C83="","",IFERROR(D83/C83,0))</x:f>
        <x:v>0.5281803542673108</x:v>
      </x:c>
      <x:c r="H83" s="36" t="n">
        <x:v>52</x:v>
      </x:c>
      <x:c r="I83" t="n">
        <x:v>241</x:v>
      </x:c>
      <x:c r="J83" t="n">
        <x:v>21</x:v>
      </x:c>
      <x:c r="K83" t="n">
        <x:v>9</x:v>
      </x:c>
      <x:c r="L83" t="n">
        <x:v>0</x:v>
      </x:c>
      <x:c r="M83" t="n">
        <x:v>1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1</x:v>
      </x:c>
      <x:c r="S83" t="n">
        <x:v>1</x:v>
      </x:c>
      <x:c r="T83" s="50" t="n">
        <x:f>IF(D83=0,"",H83/D83)</x:f>
        <x:v>0.15853658536585366</x:v>
      </x:c>
      <x:c r="U83" t="n">
        <x:f>MAX(I83:S83)</x:f>
        <x:v>241</x:v>
      </x:c>
      <x:c r="V83" t="n">
        <x:f>H83-U83</x:f>
        <x:v>-189</x:v>
      </x:c>
      <x:c r="W83" s="52" t="n">
        <x:f>IF(D83=0,"",(V83)/D83)</x:f>
        <x:v>-0.5762195121951219</x:v>
      </x:c>
      <x:c r="X83" t="str">
        <x:v>DHIRENDRA SINGH</x:v>
      </x:c>
      <x:c r="Y83" t="n">
        <x:f>D83-E83-F83</x:f>
        <x:v>0</x:v>
      </x:c>
    </x:row>
    <x:row r="84">
      <x:c r="A84" t="n">
        <x:v>76</x:v>
      </x:c>
      <x:c r="B84" t="str">
        <x:v>PRIMARY SCHOOL PANCHAYATAN INAYATPUR ROOM NO. 1</x:v>
      </x:c>
      <x:c r="C84" t="n">
        <x:v>710</x:v>
      </x:c>
      <x:c r="D84" t="n">
        <x:v>515</x:v>
      </x:c>
      <x:c r="E84" t="n">
        <x:f>SUM(H84:S84)</x:f>
        <x:v>513</x:v>
      </x:c>
      <x:c r="F84" t="n">
        <x:v>2</x:v>
      </x:c>
      <x:c r="G84" s="50" t="n">
        <x:f>IF(C84="","",IFERROR(D84/C84,0))</x:f>
        <x:v>0.7253521126760564</x:v>
      </x:c>
      <x:c r="H84" s="36" t="n">
        <x:v>97</x:v>
      </x:c>
      <x:c r="I84" t="n">
        <x:v>152</x:v>
      </x:c>
      <x:c r="J84" t="n">
        <x:v>246</x:v>
      </x:c>
      <x:c r="K84" t="n">
        <x:v>12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2</x:v>
      </x:c>
      <x:c r="Q84" t="n">
        <x:v>0</x:v>
      </x:c>
      <x:c r="R84" t="n">
        <x:v>3</x:v>
      </x:c>
      <x:c r="S84" t="n">
        <x:v>1</x:v>
      </x:c>
      <x:c r="T84" s="50" t="n">
        <x:f>IF(D84=0,"",H84/D84)</x:f>
        <x:v>0.1883495145631068</x:v>
      </x:c>
      <x:c r="U84" t="n">
        <x:f>MAX(I84:S84)</x:f>
        <x:v>246</x:v>
      </x:c>
      <x:c r="V84" t="n">
        <x:f>H84-U84</x:f>
        <x:v>-149</x:v>
      </x:c>
      <x:c r="W84" s="52" t="n">
        <x:f>IF(D84=0,"",(V84)/D84)</x:f>
        <x:v>-0.28932038834951457</x:v>
      </x:c>
      <x:c r="X84" t="str">
        <x:v>NARENDER KUMAR</x:v>
      </x:c>
      <x:c r="Y84" t="n">
        <x:f>D84-E84-F84</x:f>
        <x:v>0</x:v>
      </x:c>
    </x:row>
    <x:row r="85">
      <x:c r="A85" t="n">
        <x:v>77</x:v>
      </x:c>
      <x:c r="B85" t="str">
        <x:v>PRIMARY SCHOOL PANCHAYATAN INAYATPUR ROOM NO. 2</x:v>
      </x:c>
      <x:c r="C85" t="n">
        <x:v>670</x:v>
      </x:c>
      <x:c r="D85" t="n">
        <x:v>457</x:v>
      </x:c>
      <x:c r="E85" t="n">
        <x:f>SUM(H85:S85)</x:f>
        <x:v>457</x:v>
      </x:c>
      <x:c r="F85" t="n">
        <x:v>0</x:v>
      </x:c>
      <x:c r="G85" s="50" t="n">
        <x:f>IF(C85="","",IFERROR(D85/C85,0))</x:f>
        <x:v>0.682089552238806</x:v>
      </x:c>
      <x:c r="H85" s="36" t="n">
        <x:v>97</x:v>
      </x:c>
      <x:c r="I85" t="n">
        <x:v>235</x:v>
      </x:c>
      <x:c r="J85" t="n">
        <x:v>108</x:v>
      </x:c>
      <x:c r="K85" t="n">
        <x:v>14</x:v>
      </x:c>
      <x:c r="L85" t="n">
        <x:v>1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0</x:v>
      </x:c>
      <x:c r="R85" t="n">
        <x:v>0</x:v>
      </x:c>
      <x:c r="S85" t="n">
        <x:v>1</x:v>
      </x:c>
      <x:c r="T85" s="50" t="n">
        <x:f>IF(D85=0,"",H85/D85)</x:f>
        <x:v>0.212253829321663</x:v>
      </x:c>
      <x:c r="U85" t="n">
        <x:f>MAX(I85:S85)</x:f>
        <x:v>235</x:v>
      </x:c>
      <x:c r="V85" t="n">
        <x:f>H85-U85</x:f>
        <x:v>-138</x:v>
      </x:c>
      <x:c r="W85" s="52" t="n">
        <x:f>IF(D85=0,"",(V85)/D85)</x:f>
        <x:v>-0.30196936542669583</x:v>
      </x:c>
      <x:c r="X85" t="str">
        <x:v>DHIRENDRA SINGH</x:v>
      </x:c>
      <x:c r="Y85" t="n">
        <x:f>D85-E85-F85</x:f>
        <x:v>0</x:v>
      </x:c>
    </x:row>
    <x:row r="86">
      <x:c r="A86" t="n">
        <x:v>78</x:v>
      </x:c>
      <x:c r="B86" t="str">
        <x:v>UPPER PRIMARY SCHOOL GIRDHARPUR ROOM NO. 1</x:v>
      </x:c>
      <x:c r="C86" t="n">
        <x:v>772</x:v>
      </x:c>
      <x:c r="D86" t="n">
        <x:v>539</x:v>
      </x:c>
      <x:c r="E86" t="n">
        <x:f>SUM(H86:S86)</x:f>
        <x:v>522</x:v>
      </x:c>
      <x:c r="F86" t="n">
        <x:v>17</x:v>
      </x:c>
      <x:c r="G86" s="50" t="n">
        <x:f>IF(C86="","",IFERROR(D86/C86,0))</x:f>
        <x:v>0.6981865284974094</x:v>
      </x:c>
      <x:c r="H86" s="36" t="n">
        <x:v>225</x:v>
      </x:c>
      <x:c r="I86" t="n">
        <x:v>166</x:v>
      </x:c>
      <x:c r="J86" t="n">
        <x:v>120</x:v>
      </x:c>
      <x:c r="K86" t="n">
        <x:v>4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2</x:v>
      </x:c>
      <x:c r="R86" t="n">
        <x:v>1</x:v>
      </x:c>
      <x:c r="S86" t="n">
        <x:v>4</x:v>
      </x:c>
      <x:c r="T86" s="50" t="n">
        <x:f>IF(D86=0,"",H86/D86)</x:f>
        <x:v>0.4174397031539889</x:v>
      </x:c>
      <x:c r="U86" t="n">
        <x:f>MAX(I86:S86)</x:f>
        <x:v>166</x:v>
      </x:c>
      <x:c r="V86" t="n">
        <x:f>H86-U86</x:f>
        <x:v>59</x:v>
      </x:c>
      <x:c r="W86" s="52" t="n">
        <x:f>IF(D86=0,"",(V86)/D86)</x:f>
        <x:v>0.10946196660482375</x:v>
      </x:c>
      <x:c r="X86" t="str">
        <x:v>AVTAR SINGH BHADANA</x:v>
      </x:c>
      <x:c r="Y86" t="n">
        <x:f>D86-E86-F86</x:f>
        <x:v>0</x:v>
      </x:c>
    </x:row>
    <x:row r="87">
      <x:c r="A87" t="n">
        <x:v>79</x:v>
      </x:c>
      <x:c r="B87" t="str">
        <x:v>UPPER PRIMARY SCHOOL GIRDHARPUR ROOM NO. 2</x:v>
      </x:c>
      <x:c r="C87" t="n">
        <x:v>714</x:v>
      </x:c>
      <x:c r="D87" t="n">
        <x:v>459</x:v>
      </x:c>
      <x:c r="E87" t="n">
        <x:f>SUM(H87:S87)</x:f>
        <x:v>456</x:v>
      </x:c>
      <x:c r="F87" t="n">
        <x:v>3</x:v>
      </x:c>
      <x:c r="G87" s="50" t="n">
        <x:f>IF(C87="","",IFERROR(D87/C87,0))</x:f>
        <x:v>0.6428571428571429</x:v>
      </x:c>
      <x:c r="H87" s="36" t="n">
        <x:v>243</x:v>
      </x:c>
      <x:c r="I87" t="n">
        <x:v>121</x:v>
      </x:c>
      <x:c r="J87" t="n">
        <x:v>75</x:v>
      </x:c>
      <x:c r="K87" t="n">
        <x:v>13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1</x:v>
      </x:c>
      <x:c r="Q87" t="n">
        <x:v>1</x:v>
      </x:c>
      <x:c r="R87" t="n">
        <x:v>2</x:v>
      </x:c>
      <x:c r="S87" t="n">
        <x:v>0</x:v>
      </x:c>
      <x:c r="T87" s="50" t="n">
        <x:f>IF(D87=0,"",H87/D87)</x:f>
        <x:v>0.5294117647058824</x:v>
      </x:c>
      <x:c r="U87" t="n">
        <x:f>MAX(I87:S87)</x:f>
        <x:v>121</x:v>
      </x:c>
      <x:c r="V87" t="n">
        <x:f>H87-U87</x:f>
        <x:v>122</x:v>
      </x:c>
      <x:c r="W87" s="52" t="n">
        <x:f>IF(D87=0,"",(V87)/D87)</x:f>
        <x:v>0.2657952069716776</x:v>
      </x:c>
      <x:c r="X87" t="str">
        <x:v>AVTAR SINGH BHADANA</x:v>
      </x:c>
      <x:c r="Y87" t="n">
        <x:f>D87-E87-F87</x:f>
        <x:v>0</x:v>
      </x:c>
    </x:row>
    <x:row r="88">
      <x:c r="A88" t="n">
        <x:v>80</x:v>
      </x:c>
      <x:c r="B88" t="str">
        <x:v>PRIMARY SCHOOL RAUNI ROOM NO 1</x:v>
      </x:c>
      <x:c r="C88" t="n">
        <x:v>883</x:v>
      </x:c>
      <x:c r="D88" t="n">
        <x:v>524</x:v>
      </x:c>
      <x:c r="E88" t="n">
        <x:f>SUM(H88:S88)</x:f>
        <x:v>520</x:v>
      </x:c>
      <x:c r="F88" t="n">
        <x:v>4</x:v>
      </x:c>
      <x:c r="G88" s="50" t="n">
        <x:f>IF(C88="","",IFERROR(D88/C88,0))</x:f>
        <x:v>0.5934314835787089</x:v>
      </x:c>
      <x:c r="H88" s="36" t="n">
        <x:v>111</x:v>
      </x:c>
      <x:c r="I88" t="n">
        <x:v>158</x:v>
      </x:c>
      <x:c r="J88" t="n">
        <x:v>235</x:v>
      </x:c>
      <x:c r="K88" t="n">
        <x:v>15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1</x:v>
      </x:c>
      <x:c r="S88" t="n">
        <x:v>0</x:v>
      </x:c>
      <x:c r="T88" s="50" t="n">
        <x:f>IF(D88=0,"",H88/D88)</x:f>
        <x:v>0.21183206106870228</x:v>
      </x:c>
      <x:c r="U88" t="n">
        <x:f>MAX(I88:S88)</x:f>
        <x:v>235</x:v>
      </x:c>
      <x:c r="V88" t="n">
        <x:f>H88-U88</x:f>
        <x:v>-124</x:v>
      </x:c>
      <x:c r="W88" s="52" t="n">
        <x:f>IF(D88=0,"",(V88)/D88)</x:f>
        <x:v>-0.2366412213740458</x:v>
      </x:c>
      <x:c r="X88" t="str">
        <x:v>NARENDER KUMAR</x:v>
      </x:c>
      <x:c r="Y88" t="n">
        <x:f>D88-E88-F88</x:f>
        <x:v>0</x:v>
      </x:c>
    </x:row>
    <x:row r="89">
      <x:c r="A89" t="n">
        <x:v>81</x:v>
      </x:c>
      <x:c r="B89" t="str">
        <x:v>PRIMARY SCHOOL SALAMPUR GUJAR ROOM NO 1</x:v>
      </x:c>
      <x:c r="C89" t="n">
        <x:v>626</x:v>
      </x:c>
      <x:c r="D89" t="n">
        <x:v>396</x:v>
      </x:c>
      <x:c r="E89" t="n">
        <x:f>SUM(H89:S89)</x:f>
        <x:v>390</x:v>
      </x:c>
      <x:c r="F89" t="n">
        <x:v>6</x:v>
      </x:c>
      <x:c r="G89" s="50" t="n">
        <x:f>IF(C89="","",IFERROR(D89/C89,0))</x:f>
        <x:v>0.6325878594249201</x:v>
      </x:c>
      <x:c r="H89" s="36" t="n">
        <x:v>200</x:v>
      </x:c>
      <x:c r="I89" t="n">
        <x:v>121</x:v>
      </x:c>
      <x:c r="J89" t="n">
        <x:v>53</x:v>
      </x:c>
      <x:c r="K89" t="n">
        <x:v>8</x:v>
      </x:c>
      <x:c r="L89" t="n">
        <x:v>1</x:v>
      </x:c>
      <x:c r="M89" t="n">
        <x:v>1</x:v>
      </x:c>
      <x:c r="N89" t="n">
        <x:v>1</x:v>
      </x:c>
      <x:c r="O89" t="n">
        <x:v>1</x:v>
      </x:c>
      <x:c r="P89" t="n">
        <x:v>1</x:v>
      </x:c>
      <x:c r="Q89" t="n">
        <x:v>0</x:v>
      </x:c>
      <x:c r="R89" t="n">
        <x:v>0</x:v>
      </x:c>
      <x:c r="S89" t="n">
        <x:v>3</x:v>
      </x:c>
      <x:c r="T89" s="50" t="n">
        <x:f>IF(D89=0,"",H89/D89)</x:f>
        <x:v>0.5050505050505051</x:v>
      </x:c>
      <x:c r="U89" t="n">
        <x:f>MAX(I89:S89)</x:f>
        <x:v>121</x:v>
      </x:c>
      <x:c r="V89" t="n">
        <x:f>H89-U89</x:f>
        <x:v>79</x:v>
      </x:c>
      <x:c r="W89" s="52" t="n">
        <x:f>IF(D89=0,"",(V89)/D89)</x:f>
        <x:v>0.1994949494949495</x:v>
      </x:c>
      <x:c r="X89" t="str">
        <x:v>AVTAR SINGH BHADANA</x:v>
      </x:c>
      <x:c r="Y89" t="n">
        <x:f>D89-E89-F89</x:f>
        <x:v>0</x:v>
      </x:c>
    </x:row>
    <x:row r="90">
      <x:c r="A90" t="n">
        <x:v>82</x:v>
      </x:c>
      <x:c r="B90" t="str">
        <x:v>PRIMARY SCHOOL SALAMPUR GUJAR ROOM NO 2</x:v>
      </x:c>
      <x:c r="C90" t="n">
        <x:v>526</x:v>
      </x:c>
      <x:c r="D90" t="n">
        <x:v>358</x:v>
      </x:c>
      <x:c r="E90" t="n">
        <x:f>SUM(H90:S90)</x:f>
        <x:v>355</x:v>
      </x:c>
      <x:c r="F90" t="n">
        <x:v>3</x:v>
      </x:c>
      <x:c r="G90" s="50" t="n">
        <x:f>IF(C90="","",IFERROR(D90/C90,0))</x:f>
        <x:v>0.6806083650190115</x:v>
      </x:c>
      <x:c r="H90" s="36" t="n">
        <x:v>88</x:v>
      </x:c>
      <x:c r="I90" t="n">
        <x:v>201</x:v>
      </x:c>
      <x:c r="J90" t="n">
        <x:v>60</x:v>
      </x:c>
      <x:c r="K90" t="n">
        <x:v>3</x:v>
      </x:c>
      <x:c r="L90" t="n">
        <x:v>1</x:v>
      </x:c>
      <x:c r="M90" t="n">
        <x:v>0</x:v>
      </x:c>
      <x:c r="N90" t="n">
        <x:v>0</x:v>
      </x:c>
      <x:c r="O90" t="n">
        <x:v>2</x:v>
      </x:c>
      <x:c r="P90" t="n">
        <x:v>0</x:v>
      </x:c>
      <x:c r="Q90" t="n">
        <x:v>0</x:v>
      </x:c>
      <x:c r="R90" t="n">
        <x:v>0</x:v>
      </x:c>
      <x:c r="S90" t="n">
        <x:v>0</x:v>
      </x:c>
      <x:c r="T90" s="50" t="n">
        <x:f>IF(D90=0,"",H90/D90)</x:f>
        <x:v>0.24581005586592178</x:v>
      </x:c>
      <x:c r="U90" t="n">
        <x:f>MAX(I90:S90)</x:f>
        <x:v>201</x:v>
      </x:c>
      <x:c r="V90" t="n">
        <x:f>H90-U90</x:f>
        <x:v>-113</x:v>
      </x:c>
      <x:c r="W90" s="52" t="n">
        <x:f>IF(D90=0,"",(V90)/D90)</x:f>
        <x:v>-0.31564245810055863</x:v>
      </x:c>
      <x:c r="X90" t="str">
        <x:v>DHIRENDRA SINGH</x:v>
      </x:c>
      <x:c r="Y90" t="n">
        <x:f>D90-E90-F90</x:f>
        <x:v>0</x:v>
      </x:c>
    </x:row>
    <x:row r="91">
      <x:c r="A91" t="n">
        <x:v>83</x:v>
      </x:c>
      <x:c r="B91" t="str">
        <x:v>PRIMARY SCHOOL SALAMPUR GUJAR ROOM NO 3</x:v>
      </x:c>
      <x:c r="C91" t="n">
        <x:v>996</x:v>
      </x:c>
      <x:c r="D91" t="n">
        <x:v>522</x:v>
      </x:c>
      <x:c r="E91" t="n">
        <x:f>SUM(H91:S91)</x:f>
        <x:v>516</x:v>
      </x:c>
      <x:c r="F91" t="n">
        <x:v>6</x:v>
      </x:c>
      <x:c r="G91" s="50" t="n">
        <x:f>IF(C91="","",IFERROR(D91/C91,0))</x:f>
        <x:v>0.5240963855421686</x:v>
      </x:c>
      <x:c r="H91" s="36" t="n">
        <x:v>236</x:v>
      </x:c>
      <x:c r="I91" t="n">
        <x:v>188</x:v>
      </x:c>
      <x:c r="J91" t="n">
        <x:v>86</x:v>
      </x:c>
      <x:c r="K91" t="n">
        <x:v>4</x:v>
      </x:c>
      <x:c r="L91" t="n">
        <x:v>0</x:v>
      </x:c>
      <x:c r="M91" t="n">
        <x:v>1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1</x:v>
      </x:c>
      <x:c r="T91" s="50" t="n">
        <x:f>IF(D91=0,"",H91/D91)</x:f>
        <x:v>0.4521072796934866</x:v>
      </x:c>
      <x:c r="U91" t="n">
        <x:f>MAX(I91:S91)</x:f>
        <x:v>188</x:v>
      </x:c>
      <x:c r="V91" t="n">
        <x:f>H91-U91</x:f>
        <x:v>48</x:v>
      </x:c>
      <x:c r="W91" s="52" t="n">
        <x:f>IF(D91=0,"",(V91)/D91)</x:f>
        <x:v>0.09195402298850575</x:v>
      </x:c>
      <x:c r="X91" t="str">
        <x:v>AVTAR SINGH BHADANA</x:v>
      </x:c>
      <x:c r="Y91" t="n">
        <x:f>D91-E91-F91</x:f>
        <x:v>0</x:v>
      </x:c>
    </x:row>
    <x:row r="92">
      <x:c r="A92" t="n">
        <x:v>84</x:v>
      </x:c>
      <x:c r="B92" t="str">
        <x:v>PRIMARY SCHOOL SALAMPUR GUJAR ROOM NO 4</x:v>
      </x:c>
      <x:c r="C92" t="n">
        <x:v>1094</x:v>
      </x:c>
      <x:c r="D92" t="n">
        <x:v>645</x:v>
      </x:c>
      <x:c r="E92" t="n">
        <x:f>SUM(H92:S92)</x:f>
        <x:v>640</x:v>
      </x:c>
      <x:c r="F92" t="n">
        <x:v>5</x:v>
      </x:c>
      <x:c r="G92" s="50" t="n">
        <x:f>IF(C92="","",IFERROR(D92/C92,0))</x:f>
        <x:v>0.5895795246800731</x:v>
      </x:c>
      <x:c r="H92" s="36" t="n">
        <x:v>161</x:v>
      </x:c>
      <x:c r="I92" t="n">
        <x:v>177</x:v>
      </x:c>
      <x:c r="J92" t="n">
        <x:v>279</x:v>
      </x:c>
      <x:c r="K92" t="n">
        <x:v>11</x:v>
      </x:c>
      <x:c r="L92" t="n">
        <x:v>0</x:v>
      </x:c>
      <x:c r="M92" t="n">
        <x:v>0</x:v>
      </x:c>
      <x:c r="N92" t="n">
        <x:v>1</x:v>
      </x:c>
      <x:c r="O92" t="n">
        <x:v>1</x:v>
      </x:c>
      <x:c r="P92" t="n">
        <x:v>2</x:v>
      </x:c>
      <x:c r="Q92" t="n">
        <x:v>2</x:v>
      </x:c>
      <x:c r="R92" t="n">
        <x:v>4</x:v>
      </x:c>
      <x:c r="S92" t="n">
        <x:v>2</x:v>
      </x:c>
      <x:c r="T92" s="50" t="n">
        <x:f>IF(D92=0,"",H92/D92)</x:f>
        <x:v>0.2496124031007752</x:v>
      </x:c>
      <x:c r="U92" t="n">
        <x:f>MAX(I92:S92)</x:f>
        <x:v>279</x:v>
      </x:c>
      <x:c r="V92" t="n">
        <x:f>H92-U92</x:f>
        <x:v>-118</x:v>
      </x:c>
      <x:c r="W92" s="52" t="n">
        <x:f>IF(D92=0,"",(V92)/D92)</x:f>
        <x:v>-0.18294573643410852</x:v>
      </x:c>
      <x:c r="X92" t="str">
        <x:v>NARENDER KUMAR</x:v>
      </x:c>
      <x:c r="Y92" t="n">
        <x:f>D92-E92-F92</x:f>
        <x:v>0</x:v>
      </x:c>
    </x:row>
    <x:row r="93">
      <x:c r="A93" t="n">
        <x:v>85</x:v>
      </x:c>
      <x:c r="B93" t="str">
        <x:v>PRIMARY SCHOOL AMINABAD URF NYANA ROOM NO 1</x:v>
      </x:c>
      <x:c r="C93" t="n">
        <x:v>668</x:v>
      </x:c>
      <x:c r="D93" t="n">
        <x:v>454</x:v>
      </x:c>
      <x:c r="E93" t="n">
        <x:f>SUM(H93:S93)</x:f>
        <x:v>451</x:v>
      </x:c>
      <x:c r="F93" t="n">
        <x:v>3</x:v>
      </x:c>
      <x:c r="G93" s="50" t="n">
        <x:f>IF(C93="","",IFERROR(D93/C93,0))</x:f>
        <x:v>0.6796407185628742</x:v>
      </x:c>
      <x:c r="H93" s="36" t="n">
        <x:v>90</x:v>
      </x:c>
      <x:c r="I93" t="n">
        <x:v>183</x:v>
      </x:c>
      <x:c r="J93" t="n">
        <x:v>156</x:v>
      </x:c>
      <x:c r="K93" t="n">
        <x:v>11</x:v>
      </x:c>
      <x:c r="L93" t="n">
        <x:v>0</x:v>
      </x:c>
      <x:c r="M93" t="n">
        <x:v>1</x:v>
      </x:c>
      <x:c r="N93" t="n">
        <x:v>1</x:v>
      </x:c>
      <x:c r="O93" t="n">
        <x:v>0</x:v>
      </x:c>
      <x:c r="P93" t="n">
        <x:v>1</x:v>
      </x:c>
      <x:c r="Q93" t="n">
        <x:v>0</x:v>
      </x:c>
      <x:c r="R93" t="n">
        <x:v>7</x:v>
      </x:c>
      <x:c r="S93" t="n">
        <x:v>1</x:v>
      </x:c>
      <x:c r="T93" s="50" t="n">
        <x:f>IF(D93=0,"",H93/D93)</x:f>
        <x:v>0.19823788546255505</x:v>
      </x:c>
      <x:c r="U93" t="n">
        <x:f>MAX(I93:S93)</x:f>
        <x:v>183</x:v>
      </x:c>
      <x:c r="V93" t="n">
        <x:f>H93-U93</x:f>
        <x:v>-93</x:v>
      </x:c>
      <x:c r="W93" s="52" t="n">
        <x:f>IF(D93=0,"",(V93)/D93)</x:f>
        <x:v>-0.20484581497797358</x:v>
      </x:c>
      <x:c r="X93" t="str">
        <x:v>DHIRENDRA SINGH</x:v>
      </x:c>
      <x:c r="Y93" t="n">
        <x:f>D93-E93-F93</x:f>
        <x:v>0</x:v>
      </x:c>
    </x:row>
    <x:row r="94">
      <x:c r="A94" t="n">
        <x:v>86</x:v>
      </x:c>
      <x:c r="B94" t="str">
        <x:v>PRIMARY SCHOOL AMINABAD URF NYANA ROOM NO 2</x:v>
      </x:c>
      <x:c r="C94" t="n">
        <x:v>503</x:v>
      </x:c>
      <x:c r="D94" t="n">
        <x:v>381</x:v>
      </x:c>
      <x:c r="E94" t="n">
        <x:f>SUM(H94:S94)</x:f>
        <x:v>379</x:v>
      </x:c>
      <x:c r="F94" t="n">
        <x:v>2</x:v>
      </x:c>
      <x:c r="G94" s="50" t="n">
        <x:f>IF(C94="","",IFERROR(D94/C94,0))</x:f>
        <x:v>0.757455268389662</x:v>
      </x:c>
      <x:c r="H94" s="36" t="n">
        <x:v>61</x:v>
      </x:c>
      <x:c r="I94" t="n">
        <x:v>171</x:v>
      </x:c>
      <x:c r="J94" t="n">
        <x:v>135</x:v>
      </x:c>
      <x:c r="K94" t="n">
        <x:v>3</x:v>
      </x:c>
      <x:c r="L94" t="n">
        <x:v>1</x:v>
      </x:c>
      <x:c r="M94" t="n">
        <x:v>1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4</x:v>
      </x:c>
      <x:c r="S94" t="n">
        <x:v>3</x:v>
      </x:c>
      <x:c r="T94" s="50" t="n">
        <x:f>IF(D94=0,"",H94/D94)</x:f>
        <x:v>0.16010498687664043</x:v>
      </x:c>
      <x:c r="U94" t="n">
        <x:f>MAX(I94:S94)</x:f>
        <x:v>171</x:v>
      </x:c>
      <x:c r="V94" t="n">
        <x:f>H94-U94</x:f>
        <x:v>-110</x:v>
      </x:c>
      <x:c r="W94" s="52" t="n">
        <x:f>IF(D94=0,"",(V94)/D94)</x:f>
        <x:v>-0.2887139107611549</x:v>
      </x:c>
      <x:c r="X94" t="str">
        <x:v>DHIRENDRA SINGH</x:v>
      </x:c>
      <x:c r="Y94" t="n">
        <x:f>D94-E94-F94</x:f>
        <x:v>0</x:v>
      </x:c>
    </x:row>
    <x:row r="95">
      <x:c r="A95" t="n">
        <x:v>87</x:v>
      </x:c>
      <x:c r="B95" t="str">
        <x:v>NEHA PUBLIC SCHOOL RAMPUR MAJRA ROOM NO 1</x:v>
      </x:c>
      <x:c r="C95" t="n">
        <x:v>746</x:v>
      </x:c>
      <x:c r="D95" t="n">
        <x:v>437</x:v>
      </x:c>
      <x:c r="E95" t="n">
        <x:f>SUM(H95:S95)</x:f>
        <x:v>434</x:v>
      </x:c>
      <x:c r="F95" t="n">
        <x:v>3</x:v>
      </x:c>
      <x:c r="G95" s="50" t="n">
        <x:f>IF(C95="","",IFERROR(D95/C95,0))</x:f>
        <x:v>0.5857908847184986</x:v>
      </x:c>
      <x:c r="H95" s="36" t="n">
        <x:v>164</x:v>
      </x:c>
      <x:c r="I95" t="n">
        <x:v>144</x:v>
      </x:c>
      <x:c r="J95" t="n">
        <x:v>94</x:v>
      </x:c>
      <x:c r="K95" t="n">
        <x:v>20</x:v>
      </x:c>
      <x:c r="L95" t="n">
        <x:v>1</x:v>
      </x:c>
      <x:c r="M95" t="n">
        <x:v>1</x:v>
      </x:c>
      <x:c r="N95" t="n">
        <x:v>0</x:v>
      </x:c>
      <x:c r="O95" t="n">
        <x:v>2</x:v>
      </x:c>
      <x:c r="P95" t="n">
        <x:v>1</x:v>
      </x:c>
      <x:c r="Q95" t="n">
        <x:v>1</x:v>
      </x:c>
      <x:c r="R95" t="n">
        <x:v>2</x:v>
      </x:c>
      <x:c r="S95" t="n">
        <x:v>4</x:v>
      </x:c>
      <x:c r="T95" s="50" t="n">
        <x:f>IF(D95=0,"",H95/D95)</x:f>
        <x:v>0.37528604118993136</x:v>
      </x:c>
      <x:c r="U95" t="n">
        <x:f>MAX(I95:S95)</x:f>
        <x:v>144</x:v>
      </x:c>
      <x:c r="V95" t="n">
        <x:f>H95-U95</x:f>
        <x:v>20</x:v>
      </x:c>
      <x:c r="W95" s="52" t="n">
        <x:f>IF(D95=0,"",(V95)/D95)</x:f>
        <x:v>0.04576659038901602</x:v>
      </x:c>
      <x:c r="X95" t="str">
        <x:v>AVTAR SINGH BHADANA</x:v>
      </x:c>
      <x:c r="Y95" t="n">
        <x:f>D95-E95-F95</x:f>
        <x:v>0</x:v>
      </x:c>
    </x:row>
    <x:row r="96">
      <x:c r="A96" t="n">
        <x:v>88</x:v>
      </x:c>
      <x:c r="B96" t="str">
        <x:v>NEHA PUBLIC SCHOOL RAMPUR MAJRA ROOM NO 2</x:v>
      </x:c>
      <x:c r="C96" t="n">
        <x:v>751</x:v>
      </x:c>
      <x:c r="D96" t="n">
        <x:v>463</x:v>
      </x:c>
      <x:c r="E96" t="n">
        <x:f>SUM(H96:S96)</x:f>
        <x:v>457</x:v>
      </x:c>
      <x:c r="F96" t="n">
        <x:v>6</x:v>
      </x:c>
      <x:c r="G96" s="50" t="n">
        <x:f>IF(C96="","",IFERROR(D96/C96,0))</x:f>
        <x:v>0.6165113182423435</x:v>
      </x:c>
      <x:c r="H96" s="36" t="n">
        <x:v>120</x:v>
      </x:c>
      <x:c r="I96" t="n">
        <x:v>168</x:v>
      </x:c>
      <x:c r="J96" t="n">
        <x:v>161</x:v>
      </x:c>
      <x:c r="K96" t="n">
        <x:v>5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n">
        <x:v>0</x:v>
      </x:c>
      <x:c r="R96" t="n">
        <x:v>0</x:v>
      </x:c>
      <x:c r="S96" t="n">
        <x:v>2</x:v>
      </x:c>
      <x:c r="T96" s="50" t="n">
        <x:f>IF(D96=0,"",H96/D96)</x:f>
        <x:v>0.2591792656587473</x:v>
      </x:c>
      <x:c r="U96" t="n">
        <x:f>MAX(I96:S96)</x:f>
        <x:v>168</x:v>
      </x:c>
      <x:c r="V96" t="n">
        <x:f>H96-U96</x:f>
        <x:v>-48</x:v>
      </x:c>
      <x:c r="W96" s="52" t="n">
        <x:f>IF(D96=0,"",(V96)/D96)</x:f>
        <x:v>-0.10367170626349892</x:v>
      </x:c>
      <x:c r="X96" t="str">
        <x:v>DHIRENDRA SINGH</x:v>
      </x:c>
      <x:c r="Y96" t="n">
        <x:f>D96-E96-F96</x:f>
        <x:v>0</x:v>
      </x:c>
    </x:row>
    <x:row r="97">
      <x:c r="A97" t="n">
        <x:v>89</x:v>
      </x:c>
      <x:c r="B97" t="str">
        <x:v>PRIMARY SCHOOL KULIPURA ROOM NO 1</x:v>
      </x:c>
      <x:c r="C97" t="n">
        <x:v>1027</x:v>
      </x:c>
      <x:c r="D97" t="n">
        <x:v>565</x:v>
      </x:c>
      <x:c r="E97" t="n">
        <x:f>SUM(H97:S97)</x:f>
        <x:v>562</x:v>
      </x:c>
      <x:c r="F97" t="n">
        <x:v>3</x:v>
      </x:c>
      <x:c r="G97" s="50" t="n">
        <x:f>IF(C97="","",IFERROR(D97/C97,0))</x:f>
        <x:v>0.5501460564751705</x:v>
      </x:c>
      <x:c r="H97" s="36" t="n">
        <x:v>198</x:v>
      </x:c>
      <x:c r="I97" t="n">
        <x:v>189</x:v>
      </x:c>
      <x:c r="J97" t="n">
        <x:v>154</x:v>
      </x:c>
      <x:c r="K97" t="n">
        <x:v>13</x:v>
      </x:c>
      <x:c r="L97" t="n">
        <x:v>2</x:v>
      </x:c>
      <x:c r="M97" t="n">
        <x:v>3</x:v>
      </x:c>
      <x:c r="N97" t="n">
        <x:v>1</x:v>
      </x:c>
      <x:c r="O97" t="n">
        <x:v>0</x:v>
      </x:c>
      <x:c r="P97" t="n">
        <x:v>2</x:v>
      </x:c>
      <x:c r="Q97" t="n">
        <x:v>0</x:v>
      </x:c>
      <x:c r="R97" t="n">
        <x:v>0</x:v>
      </x:c>
      <x:c r="S97" t="n">
        <x:v>0</x:v>
      </x:c>
      <x:c r="T97" s="50" t="n">
        <x:f>IF(D97=0,"",H97/D97)</x:f>
        <x:v>0.3504424778761062</x:v>
      </x:c>
      <x:c r="U97" t="n">
        <x:f>MAX(I97:S97)</x:f>
        <x:v>189</x:v>
      </x:c>
      <x:c r="V97" t="n">
        <x:f>H97-U97</x:f>
        <x:v>9</x:v>
      </x:c>
      <x:c r="W97" s="52" t="n">
        <x:f>IF(D97=0,"",(V97)/D97)</x:f>
        <x:v>0.01592920353982301</x:v>
      </x:c>
      <x:c r="X97" t="str">
        <x:v>AVTAR SINGH BHADANA</x:v>
      </x:c>
      <x:c r="Y97" t="n">
        <x:f>D97-E97-F97</x:f>
        <x:v>0</x:v>
      </x:c>
    </x:row>
    <x:row r="98">
      <x:c r="A98" t="n">
        <x:v>90</x:v>
      </x:c>
      <x:c r="B98" t="str">
        <x:v>RAJENDRA INTER COLLEGE BILASPUR ROOM NO 1</x:v>
      </x:c>
      <x:c r="C98" t="n">
        <x:v>938</x:v>
      </x:c>
      <x:c r="D98" t="n">
        <x:v>600</x:v>
      </x:c>
      <x:c r="E98" t="n">
        <x:f>SUM(H98:S98)</x:f>
        <x:v>596</x:v>
      </x:c>
      <x:c r="F98" t="n">
        <x:v>4</x:v>
      </x:c>
      <x:c r="G98" s="50" t="n">
        <x:f>IF(C98="","",IFERROR(D98/C98,0))</x:f>
        <x:v>0.6396588486140725</x:v>
      </x:c>
      <x:c r="H98" s="36" t="n">
        <x:v>156</x:v>
      </x:c>
      <x:c r="I98" t="n">
        <x:v>236</x:v>
      </x:c>
      <x:c r="J98" t="n">
        <x:v>181</x:v>
      </x:c>
      <x:c r="K98" t="n">
        <x:v>4</x:v>
      </x:c>
      <x:c r="L98" t="n">
        <x:v>0</x:v>
      </x:c>
      <x:c r="M98" t="n">
        <x:v>0</x:v>
      </x:c>
      <x:c r="N98" t="n">
        <x:v>0</x:v>
      </x:c>
      <x:c r="O98" t="n">
        <x:v>4</x:v>
      </x:c>
      <x:c r="P98" t="n">
        <x:v>8</x:v>
      </x:c>
      <x:c r="Q98" t="n">
        <x:v>0</x:v>
      </x:c>
      <x:c r="R98" t="n">
        <x:v>4</x:v>
      </x:c>
      <x:c r="S98" t="n">
        <x:v>3</x:v>
      </x:c>
      <x:c r="T98" s="50" t="n">
        <x:f>IF(D98=0,"",H98/D98)</x:f>
        <x:v>0.26</x:v>
      </x:c>
      <x:c r="U98" t="n">
        <x:f>MAX(I98:S98)</x:f>
        <x:v>236</x:v>
      </x:c>
      <x:c r="V98" t="n">
        <x:f>H98-U98</x:f>
        <x:v>-80</x:v>
      </x:c>
      <x:c r="W98" s="52" t="n">
        <x:f>IF(D98=0,"",(V98)/D98)</x:f>
        <x:v>-0.13333333333333333</x:v>
      </x:c>
      <x:c r="X98" t="str">
        <x:v>DHIRENDRA SINGH</x:v>
      </x:c>
      <x:c r="Y98" t="n">
        <x:f>D98-E98-F98</x:f>
        <x:v>0</x:v>
      </x:c>
    </x:row>
    <x:row r="99">
      <x:c r="A99" t="n">
        <x:v>91</x:v>
      </x:c>
      <x:c r="B99" t="str">
        <x:v>RAJENDRA INTER COLLEGE BILASPUR ROOM NO 2</x:v>
      </x:c>
      <x:c r="C99" t="n">
        <x:v>634</x:v>
      </x:c>
      <x:c r="D99" t="n">
        <x:v>437</x:v>
      </x:c>
      <x:c r="E99" t="n">
        <x:f>SUM(H99:S99)</x:f>
        <x:v>432</x:v>
      </x:c>
      <x:c r="F99" t="n">
        <x:v>5</x:v>
      </x:c>
      <x:c r="G99" s="50" t="n">
        <x:f>IF(C99="","",IFERROR(D99/C99,0))</x:f>
        <x:v>0.6892744479495269</x:v>
      </x:c>
      <x:c r="H99" s="36" t="n">
        <x:v>117</x:v>
      </x:c>
      <x:c r="I99" t="n">
        <x:v>258</x:v>
      </x:c>
      <x:c r="J99" t="n">
        <x:v>43</x:v>
      </x:c>
      <x:c r="K99" t="n">
        <x:v>4</x:v>
      </x:c>
      <x:c r="L99" t="n">
        <x:v>1</x:v>
      </x:c>
      <x:c r="M99" t="n">
        <x:v>0</x:v>
      </x:c>
      <x:c r="N99" t="n">
        <x:v>0</x:v>
      </x:c>
      <x:c r="O99" t="n">
        <x:v>1</x:v>
      </x:c>
      <x:c r="P99" t="n">
        <x:v>0</x:v>
      </x:c>
      <x:c r="Q99" t="n">
        <x:v>3</x:v>
      </x:c>
      <x:c r="R99" t="n">
        <x:v>0</x:v>
      </x:c>
      <x:c r="S99" t="n">
        <x:v>5</x:v>
      </x:c>
      <x:c r="T99" s="50" t="n">
        <x:f>IF(D99=0,"",H99/D99)</x:f>
        <x:v>0.26773455377574373</x:v>
      </x:c>
      <x:c r="U99" t="n">
        <x:f>MAX(I99:S99)</x:f>
        <x:v>258</x:v>
      </x:c>
      <x:c r="V99" t="n">
        <x:f>H99-U99</x:f>
        <x:v>-141</x:v>
      </x:c>
      <x:c r="W99" s="52" t="n">
        <x:f>IF(D99=0,"",(V99)/D99)</x:f>
        <x:v>-0.32265446224256294</x:v>
      </x:c>
      <x:c r="X99" t="str">
        <x:v>DHIRENDRA SINGH</x:v>
      </x:c>
      <x:c r="Y99" t="n">
        <x:f>D99-E99-F99</x:f>
        <x:v>0</x:v>
      </x:c>
    </x:row>
    <x:row r="100">
      <x:c r="A100" t="n">
        <x:v>92</x:v>
      </x:c>
      <x:c r="B100" t="str">
        <x:v>RAJENDRA INTER COLLEGE BILASPUR ROOM NO 3</x:v>
      </x:c>
      <x:c r="C100" t="n">
        <x:v>869</x:v>
      </x:c>
      <x:c r="D100" t="n">
        <x:v>500</x:v>
      </x:c>
      <x:c r="E100" t="n">
        <x:f>SUM(H100:S100)</x:f>
        <x:v>497</x:v>
      </x:c>
      <x:c r="F100" t="n">
        <x:v>3</x:v>
      </x:c>
      <x:c r="G100" s="50" t="n">
        <x:f>IF(C100="","",IFERROR(D100/C100,0))</x:f>
        <x:v>0.5753739930955121</x:v>
      </x:c>
      <x:c r="H100" s="36" t="n">
        <x:v>248</x:v>
      </x:c>
      <x:c r="I100" t="n">
        <x:v>208</x:v>
      </x:c>
      <x:c r="J100" t="n">
        <x:v>27</x:v>
      </x:c>
      <x:c r="K100" t="n">
        <x:v>4</x:v>
      </x:c>
      <x:c r="L100" t="n">
        <x:v>0</x:v>
      </x:c>
      <x:c r="M100" t="n">
        <x:v>5</x:v>
      </x:c>
      <x:c r="N100" t="n">
        <x:v>0</x:v>
      </x:c>
      <x:c r="O100" t="n">
        <x:v>0</x:v>
      </x:c>
      <x:c r="P100" t="n">
        <x:v>0</x:v>
      </x:c>
      <x:c r="Q100" t="n">
        <x:v>1</x:v>
      </x:c>
      <x:c r="R100" t="n">
        <x:v>1</x:v>
      </x:c>
      <x:c r="S100" t="n">
        <x:v>3</x:v>
      </x:c>
      <x:c r="T100" s="50" t="n">
        <x:f>IF(D100=0,"",H100/D100)</x:f>
        <x:v>0.496</x:v>
      </x:c>
      <x:c r="U100" t="n">
        <x:f>MAX(I100:S100)</x:f>
        <x:v>208</x:v>
      </x:c>
      <x:c r="V100" t="n">
        <x:f>H100-U100</x:f>
        <x:v>40</x:v>
      </x:c>
      <x:c r="W100" s="52" t="n">
        <x:f>IF(D100=0,"",(V100)/D100)</x:f>
        <x:v>0.08</x:v>
      </x:c>
      <x:c r="X100" t="str">
        <x:v>AVTAR SINGH BHADANA</x:v>
      </x:c>
      <x:c r="Y100" t="n">
        <x:f>D100-E100-F100</x:f>
        <x:v>0</x:v>
      </x:c>
    </x:row>
    <x:row r="101">
      <x:c r="A101" t="n">
        <x:v>93</x:v>
      </x:c>
      <x:c r="B101" t="str">
        <x:v>RAJENDRA INTER COLLEGE BILASPUR ROOM NO 4</x:v>
      </x:c>
      <x:c r="C101" t="n">
        <x:v>852</x:v>
      </x:c>
      <x:c r="D101" t="n">
        <x:v>509</x:v>
      </x:c>
      <x:c r="E101" t="n">
        <x:f>SUM(H101:S101)</x:f>
        <x:v>506</x:v>
      </x:c>
      <x:c r="F101" t="n">
        <x:v>3</x:v>
      </x:c>
      <x:c r="G101" s="50" t="n">
        <x:f>IF(C101="","",IFERROR(D101/C101,0))</x:f>
        <x:v>0.5974178403755869</x:v>
      </x:c>
      <x:c r="H101" s="36" t="n">
        <x:v>245</x:v>
      </x:c>
      <x:c r="I101" t="n">
        <x:v>174</x:v>
      </x:c>
      <x:c r="J101" t="n">
        <x:v>77</x:v>
      </x:c>
      <x:c r="K101" t="n">
        <x:v>7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2</x:v>
      </x:c>
      <x:c r="R101" t="n">
        <x:v>0</x:v>
      </x:c>
      <x:c r="S101" t="n">
        <x:v>1</x:v>
      </x:c>
      <x:c r="T101" s="50" t="n">
        <x:f>IF(D101=0,"",H101/D101)</x:f>
        <x:v>0.481335952848723</x:v>
      </x:c>
      <x:c r="U101" t="n">
        <x:f>MAX(I101:S101)</x:f>
        <x:v>174</x:v>
      </x:c>
      <x:c r="V101" t="n">
        <x:f>H101-U101</x:f>
        <x:v>71</x:v>
      </x:c>
      <x:c r="W101" s="52" t="n">
        <x:f>IF(D101=0,"",(V101)/D101)</x:f>
        <x:v>0.13948919449901767</x:v>
      </x:c>
      <x:c r="X101" t="str">
        <x:v>AVTAR SINGH BHADANA</x:v>
      </x:c>
      <x:c r="Y101" t="n">
        <x:f>D101-E101-F101</x:f>
        <x:v>0</x:v>
      </x:c>
    </x:row>
    <x:row r="102">
      <x:c r="A102" t="n">
        <x:v>94</x:v>
      </x:c>
      <x:c r="B102" t="str">
        <x:v>RAJENDRA INTER COLLEGE BILASPUR ROOM NO 5</x:v>
      </x:c>
      <x:c r="C102" t="n">
        <x:v>640</x:v>
      </x:c>
      <x:c r="D102" t="n">
        <x:v>304</x:v>
      </x:c>
      <x:c r="E102" t="n">
        <x:f>SUM(H102:S102)</x:f>
        <x:v>304</x:v>
      </x:c>
      <x:c r="F102" t="n">
        <x:v>0</x:v>
      </x:c>
      <x:c r="G102" s="50" t="n">
        <x:f>IF(C102="","",IFERROR(D102/C102,0))</x:f>
        <x:v>0.475</x:v>
      </x:c>
      <x:c r="H102" s="36" t="n">
        <x:v>151</x:v>
      </x:c>
      <x:c r="I102" t="n">
        <x:v>110</x:v>
      </x:c>
      <x:c r="J102" t="n">
        <x:v>28</x:v>
      </x:c>
      <x:c r="K102" t="n">
        <x:v>8</x:v>
      </x:c>
      <x:c r="L102" t="n">
        <x:v>1</x:v>
      </x:c>
      <x:c r="M102" t="n">
        <x:v>0</x:v>
      </x:c>
      <x:c r="N102" t="n">
        <x:v>0</x:v>
      </x:c>
      <x:c r="O102" t="n">
        <x:v>0</x:v>
      </x:c>
      <x:c r="P102" t="n">
        <x:v>2</x:v>
      </x:c>
      <x:c r="Q102" t="n">
        <x:v>1</x:v>
      </x:c>
      <x:c r="R102" t="n">
        <x:v>1</x:v>
      </x:c>
      <x:c r="S102" t="n">
        <x:v>2</x:v>
      </x:c>
      <x:c r="T102" s="50" t="n">
        <x:f>IF(D102=0,"",H102/D102)</x:f>
        <x:v>0.4967105263157895</x:v>
      </x:c>
      <x:c r="U102" t="n">
        <x:f>MAX(I102:S102)</x:f>
        <x:v>110</x:v>
      </x:c>
      <x:c r="V102" t="n">
        <x:f>H102-U102</x:f>
        <x:v>41</x:v>
      </x:c>
      <x:c r="W102" s="52" t="n">
        <x:f>IF(D102=0,"",(V102)/D102)</x:f>
        <x:v>0.13486842105263158</x:v>
      </x:c>
      <x:c r="X102" t="str">
        <x:v>AVTAR SINGH BHADANA</x:v>
      </x:c>
      <x:c r="Y102" t="n">
        <x:f>D102-E102-F102</x:f>
        <x:v>0</x:v>
      </x:c>
    </x:row>
    <x:row r="103">
      <x:c r="A103" t="n">
        <x:v>95</x:v>
      </x:c>
      <x:c r="B103" t="str">
        <x:v>RAJENDRA INTER COLLEGE BILASPUR ROOM NO 6</x:v>
      </x:c>
      <x:c r="C103" t="n">
        <x:v>1011</x:v>
      </x:c>
      <x:c r="D103" t="n">
        <x:v>607</x:v>
      </x:c>
      <x:c r="E103" t="n">
        <x:f>SUM(H103:S103)</x:f>
        <x:v>606</x:v>
      </x:c>
      <x:c r="F103" t="n">
        <x:v>1</x:v>
      </x:c>
      <x:c r="G103" s="50" t="n">
        <x:f>IF(C103="","",IFERROR(D103/C103,0))</x:f>
        <x:v>0.6003956478733927</x:v>
      </x:c>
      <x:c r="H103" s="36" t="n">
        <x:v>139</x:v>
      </x:c>
      <x:c r="I103" t="n">
        <x:v>432</x:v>
      </x:c>
      <x:c r="J103" t="n">
        <x:v>10</x:v>
      </x:c>
      <x:c r="K103" t="n">
        <x:v>16</x:v>
      </x:c>
      <x:c r="L103" t="n">
        <x:v>1</x:v>
      </x:c>
      <x:c r="M103" t="n">
        <x:v>3</x:v>
      </x:c>
      <x:c r="N103" t="n">
        <x:v>1</x:v>
      </x:c>
      <x:c r="O103" t="n">
        <x:v>2</x:v>
      </x:c>
      <x:c r="P103" t="n">
        <x:v>2</x:v>
      </x:c>
      <x:c r="Q103" t="n">
        <x:v>0</x:v>
      </x:c>
      <x:c r="R103" t="n">
        <x:v>0</x:v>
      </x:c>
      <x:c r="S103" t="n">
        <x:v>0</x:v>
      </x:c>
      <x:c r="T103" s="50" t="n">
        <x:f>IF(D103=0,"",H103/D103)</x:f>
        <x:v>0.22899505766062603</x:v>
      </x:c>
      <x:c r="U103" t="n">
        <x:f>MAX(I103:S103)</x:f>
        <x:v>432</x:v>
      </x:c>
      <x:c r="V103" t="n">
        <x:f>H103-U103</x:f>
        <x:v>-293</x:v>
      </x:c>
      <x:c r="W103" s="52" t="n">
        <x:f>IF(D103=0,"",(V103)/D103)</x:f>
        <x:v>-0.4827018121911038</x:v>
      </x:c>
      <x:c r="X103" t="str">
        <x:v>DHIRENDRA SINGH</x:v>
      </x:c>
      <x:c r="Y103" t="n">
        <x:f>D103-E103-F103</x:f>
        <x:v>0</x:v>
      </x:c>
    </x:row>
    <x:row r="104">
      <x:c r="A104" t="n">
        <x:v>96</x:v>
      </x:c>
      <x:c r="B104" t="str">
        <x:v>RAJENDRA INTER COLLEGE BILASPUR ROOM NO 7</x:v>
      </x:c>
      <x:c r="C104" t="n">
        <x:v>1035</x:v>
      </x:c>
      <x:c r="D104" t="n">
        <x:v>394</x:v>
      </x:c>
      <x:c r="E104" t="n">
        <x:f>SUM(H104:S104)</x:f>
        <x:v>390</x:v>
      </x:c>
      <x:c r="F104" t="n">
        <x:v>4</x:v>
      </x:c>
      <x:c r="G104" s="50" t="n">
        <x:f>IF(C104="","",IFERROR(D104/C104,0))</x:f>
        <x:v>0.38067632850241545</x:v>
      </x:c>
      <x:c r="H104" s="36" t="n">
        <x:v>100</x:v>
      </x:c>
      <x:c r="I104" t="n">
        <x:v>240</x:v>
      </x:c>
      <x:c r="J104" t="n">
        <x:v>16</x:v>
      </x:c>
      <x:c r="K104" t="n">
        <x:v>29</x:v>
      </x:c>
      <x:c r="L104" t="n">
        <x:v>0</x:v>
      </x:c>
      <x:c r="M104" t="n">
        <x:v>0</x:v>
      </x:c>
      <x:c r="N104" t="n">
        <x:v>1</x:v>
      </x:c>
      <x:c r="O104" t="n">
        <x:v>0</x:v>
      </x:c>
      <x:c r="P104" t="n">
        <x:v>1</x:v>
      </x:c>
      <x:c r="Q104" t="n">
        <x:v>1</x:v>
      </x:c>
      <x:c r="R104" t="n">
        <x:v>2</x:v>
      </x:c>
      <x:c r="S104" t="n">
        <x:v>0</x:v>
      </x:c>
      <x:c r="T104" s="50" t="n">
        <x:f>IF(D104=0,"",H104/D104)</x:f>
        <x:v>0.25380710659898476</x:v>
      </x:c>
      <x:c r="U104" t="n">
        <x:f>MAX(I104:S104)</x:f>
        <x:v>240</x:v>
      </x:c>
      <x:c r="V104" t="n">
        <x:f>H104-U104</x:f>
        <x:v>-140</x:v>
      </x:c>
      <x:c r="W104" s="52" t="n">
        <x:f>IF(D104=0,"",(V104)/D104)</x:f>
        <x:v>-0.3553299492385787</x:v>
      </x:c>
      <x:c r="X104" t="str">
        <x:v>DHIRENDRA SINGH</x:v>
      </x:c>
      <x:c r="Y104" t="n">
        <x:f>D104-E104-F104</x:f>
        <x:v>0</x:v>
      </x:c>
    </x:row>
    <x:row r="105">
      <x:c r="A105" t="n">
        <x:v>97</x:v>
      </x:c>
      <x:c r="B105" t="str">
        <x:v>SHIVRAJ SHARMA INTER COLLEGE BILASPUR ROOM NO 1</x:v>
      </x:c>
      <x:c r="C105" t="n">
        <x:v>939</x:v>
      </x:c>
      <x:c r="D105" t="n">
        <x:v>499</x:v>
      </x:c>
      <x:c r="E105" t="n">
        <x:f>SUM(H105:S105)</x:f>
        <x:v>495</x:v>
      </x:c>
      <x:c r="F105" t="n">
        <x:v>4</x:v>
      </x:c>
      <x:c r="G105" s="50" t="n">
        <x:f>IF(C105="","",IFERROR(D105/C105,0))</x:f>
        <x:v>0.531416400425985</x:v>
      </x:c>
      <x:c r="H105" s="36" t="n">
        <x:v>228</x:v>
      </x:c>
      <x:c r="I105" t="n">
        <x:v>136</x:v>
      </x:c>
      <x:c r="J105" t="n">
        <x:v>118</x:v>
      </x:c>
      <x:c r="K105" t="n">
        <x:v>7</x:v>
      </x:c>
      <x:c r="L105" t="n">
        <x:v>0</x:v>
      </x:c>
      <x:c r="M105" t="n">
        <x:v>2</x:v>
      </x:c>
      <x:c r="N105" t="n">
        <x:v>0</x:v>
      </x:c>
      <x:c r="O105" t="n">
        <x:v>2</x:v>
      </x:c>
      <x:c r="P105" t="n">
        <x:v>0</x:v>
      </x:c>
      <x:c r="Q105" t="n">
        <x:v>1</x:v>
      </x:c>
      <x:c r="R105" t="n">
        <x:v>1</x:v>
      </x:c>
      <x:c r="S105" t="n">
        <x:v>0</x:v>
      </x:c>
      <x:c r="T105" s="50" t="n">
        <x:f>IF(D105=0,"",H105/D105)</x:f>
        <x:v>0.45691382765531063</x:v>
      </x:c>
      <x:c r="U105" t="n">
        <x:f>MAX(I105:S105)</x:f>
        <x:v>136</x:v>
      </x:c>
      <x:c r="V105" t="n">
        <x:f>H105-U105</x:f>
        <x:v>92</x:v>
      </x:c>
      <x:c r="W105" s="52" t="n">
        <x:f>IF(D105=0,"",(V105)/D105)</x:f>
        <x:v>0.1843687374749499</x:v>
      </x:c>
      <x:c r="X105" t="str">
        <x:v>AVTAR SINGH BHADANA</x:v>
      </x:c>
      <x:c r="Y105" t="n">
        <x:f>D105-E105-F105</x:f>
        <x:v>0</x:v>
      </x:c>
    </x:row>
    <x:row r="106">
      <x:c r="A106" t="n">
        <x:v>98</x:v>
      </x:c>
      <x:c r="B106" t="str">
        <x:v>SHIVRAJ SHARMA INTER COLLEGE BILASPUR ROOM NO 2</x:v>
      </x:c>
      <x:c r="C106" t="n">
        <x:v>1076</x:v>
      </x:c>
      <x:c r="D106" t="n">
        <x:v>622</x:v>
      </x:c>
      <x:c r="E106" t="n">
        <x:f>SUM(H106:S106)</x:f>
        <x:v>617</x:v>
      </x:c>
      <x:c r="F106" t="n">
        <x:v>5</x:v>
      </x:c>
      <x:c r="G106" s="50" t="n">
        <x:f>IF(C106="","",IFERROR(D106/C106,0))</x:f>
        <x:v>0.5780669144981413</x:v>
      </x:c>
      <x:c r="H106" s="36" t="n">
        <x:v>428</x:v>
      </x:c>
      <x:c r="I106" t="n">
        <x:v>161</x:v>
      </x:c>
      <x:c r="J106" t="n">
        <x:v>16</x:v>
      </x:c>
      <x:c r="K106" t="n">
        <x:v>8</x:v>
      </x:c>
      <x:c r="L106" t="n">
        <x:v>1</x:v>
      </x:c>
      <x:c r="M106" t="n">
        <x:v>0</x:v>
      </x:c>
      <x:c r="N106" t="n">
        <x:v>0</x:v>
      </x:c>
      <x:c r="O106" t="n">
        <x:v>0</x:v>
      </x:c>
      <x:c r="P106" t="n">
        <x:v>1</x:v>
      </x:c>
      <x:c r="Q106" t="n">
        <x:v>0</x:v>
      </x:c>
      <x:c r="R106" t="n">
        <x:v>1</x:v>
      </x:c>
      <x:c r="S106" t="n">
        <x:v>1</x:v>
      </x:c>
      <x:c r="T106" s="50" t="n">
        <x:f>IF(D106=0,"",H106/D106)</x:f>
        <x:v>0.6881028938906752</x:v>
      </x:c>
      <x:c r="U106" t="n">
        <x:f>MAX(I106:S106)</x:f>
        <x:v>161</x:v>
      </x:c>
      <x:c r="V106" t="n">
        <x:f>H106-U106</x:f>
        <x:v>267</x:v>
      </x:c>
      <x:c r="W106" s="52" t="n">
        <x:f>IF(D106=0,"",(V106)/D106)</x:f>
        <x:v>0.4292604501607717</x:v>
      </x:c>
      <x:c r="X106" t="str">
        <x:v>AVTAR SINGH BHADANA</x:v>
      </x:c>
      <x:c r="Y106" t="n">
        <x:f>D106-E106-F106</x:f>
        <x:v>0</x:v>
      </x:c>
    </x:row>
    <x:row r="107">
      <x:c r="A107" t="n">
        <x:v>99</x:v>
      </x:c>
      <x:c r="B107" t="str">
        <x:v>SHIVRAJ SHARMA INTER COLLEGE BILASPUR ROOM NO 3</x:v>
      </x:c>
      <x:c r="C107" t="n">
        <x:v>931</x:v>
      </x:c>
      <x:c r="D107" t="n">
        <x:v>572</x:v>
      </x:c>
      <x:c r="E107" t="n">
        <x:f>SUM(H107:S107)</x:f>
        <x:v>571</x:v>
      </x:c>
      <x:c r="F107" t="n">
        <x:v>1</x:v>
      </x:c>
      <x:c r="G107" s="50" t="n">
        <x:f>IF(C107="","",IFERROR(D107/C107,0))</x:f>
        <x:v>0.6143931256713212</x:v>
      </x:c>
      <x:c r="H107" s="36" t="n">
        <x:v>205</x:v>
      </x:c>
      <x:c r="I107" t="n">
        <x:v>63</x:v>
      </x:c>
      <x:c r="J107" t="n">
        <x:v>286</x:v>
      </x:c>
      <x:c r="K107" t="n">
        <x:v>11</x:v>
      </x:c>
      <x:c r="L107" t="n">
        <x:v>1</x:v>
      </x:c>
      <x:c r="M107" t="n">
        <x:v>1</x:v>
      </x:c>
      <x:c r="N107" t="n">
        <x:v>0</x:v>
      </x:c>
      <x:c r="O107" t="n">
        <x:v>0</x:v>
      </x:c>
      <x:c r="P107" t="n">
        <x:v>3</x:v>
      </x:c>
      <x:c r="Q107" t="n">
        <x:v>0</x:v>
      </x:c>
      <x:c r="R107" t="n">
        <x:v>1</x:v>
      </x:c>
      <x:c r="S107" t="n">
        <x:v>0</x:v>
      </x:c>
      <x:c r="T107" s="50" t="n">
        <x:f>IF(D107=0,"",H107/D107)</x:f>
        <x:v>0.3583916083916084</x:v>
      </x:c>
      <x:c r="U107" t="n">
        <x:f>MAX(I107:S107)</x:f>
        <x:v>286</x:v>
      </x:c>
      <x:c r="V107" t="n">
        <x:f>H107-U107</x:f>
        <x:v>-81</x:v>
      </x:c>
      <x:c r="W107" s="52" t="n">
        <x:f>IF(D107=0,"",(V107)/D107)</x:f>
        <x:v>-0.14160839160839161</x:v>
      </x:c>
      <x:c r="X107" t="str">
        <x:v>NARENDER KUMAR</x:v>
      </x:c>
      <x:c r="Y107" t="n">
        <x:f>D107-E107-F107</x:f>
        <x:v>0</x:v>
      </x:c>
    </x:row>
    <x:row r="108">
      <x:c r="A108" t="n">
        <x:v>100</x:v>
      </x:c>
      <x:c r="B108" t="str">
        <x:v>SHIVRAJ SHARMA INTER COLLEGE BILASPUR ROOM NO 4</x:v>
      </x:c>
      <x:c r="C108" t="n">
        <x:v>678</x:v>
      </x:c>
      <x:c r="D108" t="n">
        <x:v>395</x:v>
      </x:c>
      <x:c r="E108" t="n">
        <x:f>SUM(H108:S108)</x:f>
        <x:v>391</x:v>
      </x:c>
      <x:c r="F108" t="n">
        <x:v>4</x:v>
      </x:c>
      <x:c r="G108" s="50" t="n">
        <x:f>IF(C108="","",IFERROR(D108/C108,0))</x:f>
        <x:v>0.5825958702064897</x:v>
      </x:c>
      <x:c r="H108" s="36" t="n">
        <x:v>133</x:v>
      </x:c>
      <x:c r="I108" t="n">
        <x:v>26</x:v>
      </x:c>
      <x:c r="J108" t="n">
        <x:v>212</x:v>
      </x:c>
      <x:c r="K108" t="n">
        <x:v>16</x:v>
      </x:c>
      <x:c r="L108" t="n">
        <x:v>0</x:v>
      </x:c>
      <x:c r="M108" t="n">
        <x:v>1</x:v>
      </x:c>
      <x:c r="N108" t="n">
        <x:v>0</x:v>
      </x:c>
      <x:c r="O108" t="n">
        <x:v>0</x:v>
      </x:c>
      <x:c r="P108" t="n">
        <x:v>1</x:v>
      </x:c>
      <x:c r="Q108" t="n">
        <x:v>1</x:v>
      </x:c>
      <x:c r="R108" t="n">
        <x:v>1</x:v>
      </x:c>
      <x:c r="S108" t="n">
        <x:v>0</x:v>
      </x:c>
      <x:c r="T108" s="50" t="n">
        <x:f>IF(D108=0,"",H108/D108)</x:f>
        <x:v>0.3367088607594937</x:v>
      </x:c>
      <x:c r="U108" t="n">
        <x:f>MAX(I108:S108)</x:f>
        <x:v>212</x:v>
      </x:c>
      <x:c r="V108" t="n">
        <x:f>H108-U108</x:f>
        <x:v>-79</x:v>
      </x:c>
      <x:c r="W108" s="52" t="n">
        <x:f>IF(D108=0,"",(V108)/D108)</x:f>
        <x:v>-0.2</x:v>
      </x:c>
      <x:c r="X108" t="str">
        <x:v>NARENDER KUMAR</x:v>
      </x:c>
      <x:c r="Y108" t="n">
        <x:f>D108-E108-F108</x:f>
        <x:v>0</x:v>
      </x:c>
    </x:row>
    <x:row r="109">
      <x:c r="A109" t="n">
        <x:v>101</x:v>
      </x:c>
      <x:c r="B109" t="str">
        <x:v>PRIMARY SCHOOL AZAMPUR GARHI ROOM NO 1</x:v>
      </x:c>
      <x:c r="C109" t="n">
        <x:v>995</x:v>
      </x:c>
      <x:c r="D109" t="n">
        <x:v>738</x:v>
      </x:c>
      <x:c r="E109" t="n">
        <x:f>SUM(H109:S109)</x:f>
        <x:v>730</x:v>
      </x:c>
      <x:c r="F109" t="n">
        <x:v>8</x:v>
      </x:c>
      <x:c r="G109" s="50" t="n">
        <x:f>IF(C109="","",IFERROR(D109/C109,0))</x:f>
        <x:v>0.7417085427135678</x:v>
      </x:c>
      <x:c r="H109" s="36" t="n">
        <x:v>248</x:v>
      </x:c>
      <x:c r="I109" t="n">
        <x:v>366</x:v>
      </x:c>
      <x:c r="J109" t="n">
        <x:v>100</x:v>
      </x:c>
      <x:c r="K109" t="n">
        <x:v>7</x:v>
      </x:c>
      <x:c r="L109" t="n">
        <x:v>1</x:v>
      </x:c>
      <x:c r="M109" t="n">
        <x:v>1</x:v>
      </x:c>
      <x:c r="N109" t="n">
        <x:v>0</x:v>
      </x:c>
      <x:c r="O109" t="n">
        <x:v>0</x:v>
      </x:c>
      <x:c r="P109" t="n">
        <x:v>2</x:v>
      </x:c>
      <x:c r="Q109" t="n">
        <x:v>2</x:v>
      </x:c>
      <x:c r="R109" t="n">
        <x:v>1</x:v>
      </x:c>
      <x:c r="S109" t="n">
        <x:v>2</x:v>
      </x:c>
      <x:c r="T109" s="50" t="n">
        <x:f>IF(D109=0,"",H109/D109)</x:f>
        <x:v>0.33604336043360433</x:v>
      </x:c>
      <x:c r="U109" t="n">
        <x:f>MAX(I109:S109)</x:f>
        <x:v>366</x:v>
      </x:c>
      <x:c r="V109" t="n">
        <x:f>H109-U109</x:f>
        <x:v>-118</x:v>
      </x:c>
      <x:c r="W109" s="52" t="n">
        <x:f>IF(D109=0,"",(V109)/D109)</x:f>
        <x:v>-0.15989159891598917</x:v>
      </x:c>
      <x:c r="X109" t="str">
        <x:v>DHIRENDRA SINGH</x:v>
      </x:c>
      <x:c r="Y109" t="n">
        <x:f>D109-E109-F109</x:f>
        <x:v>0</x:v>
      </x:c>
    </x:row>
    <x:row r="110">
      <x:c r="A110" t="n">
        <x:v>102</x:v>
      </x:c>
      <x:c r="B110" t="str">
        <x:v>PRIMARY SCHOOL BAZARPUR ROOM NO 1</x:v>
      </x:c>
      <x:c r="C110" t="n">
        <x:v>748</x:v>
      </x:c>
      <x:c r="D110" t="n">
        <x:v>565</x:v>
      </x:c>
      <x:c r="E110" t="n">
        <x:f>SUM(H110:S110)</x:f>
        <x:v>555</x:v>
      </x:c>
      <x:c r="F110" t="n">
        <x:v>10</x:v>
      </x:c>
      <x:c r="G110" s="50" t="n">
        <x:f>IF(C110="","",IFERROR(D110/C110,0))</x:f>
        <x:v>0.7553475935828877</x:v>
      </x:c>
      <x:c r="H110" s="36" t="n">
        <x:v>280</x:v>
      </x:c>
      <x:c r="I110" t="n">
        <x:v>141</x:v>
      </x:c>
      <x:c r="J110" t="n">
        <x:v>125</x:v>
      </x:c>
      <x:c r="K110" t="n">
        <x:v>7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2</x:v>
      </x:c>
      <x:c r="T110" s="50" t="n">
        <x:f>IF(D110=0,"",H110/D110)</x:f>
        <x:v>0.49557522123893805</x:v>
      </x:c>
      <x:c r="U110" t="n">
        <x:f>MAX(I110:S110)</x:f>
        <x:v>141</x:v>
      </x:c>
      <x:c r="V110" t="n">
        <x:f>H110-U110</x:f>
        <x:v>139</x:v>
      </x:c>
      <x:c r="W110" s="52" t="n">
        <x:f>IF(D110=0,"",(V110)/D110)</x:f>
        <x:v>0.24601769911504426</x:v>
      </x:c>
      <x:c r="X110" t="str">
        <x:v>AVTAR SINGH BHADANA</x:v>
      </x:c>
      <x:c r="Y110" t="n">
        <x:f>D110-E110-F110</x:f>
        <x:v>0</x:v>
      </x:c>
    </x:row>
    <x:row r="111">
      <x:c r="A111" t="n">
        <x:v>103</x:v>
      </x:c>
      <x:c r="B111" t="str">
        <x:v>PRIMARY SCHOOL BAZARPUR ROOM NO 2</x:v>
      </x:c>
      <x:c r="C111" t="n">
        <x:v>690</x:v>
      </x:c>
      <x:c r="D111" t="n">
        <x:v>539</x:v>
      </x:c>
      <x:c r="E111" t="n">
        <x:f>SUM(H111:S111)</x:f>
        <x:v>535</x:v>
      </x:c>
      <x:c r="F111" t="n">
        <x:v>4</x:v>
      </x:c>
      <x:c r="G111" s="50" t="n">
        <x:f>IF(C111="","",IFERROR(D111/C111,0))</x:f>
        <x:v>0.7811594202898551</x:v>
      </x:c>
      <x:c r="H111" s="36" t="n">
        <x:v>156</x:v>
      </x:c>
      <x:c r="I111" t="n">
        <x:v>59</x:v>
      </x:c>
      <x:c r="J111" t="n">
        <x:v>302</x:v>
      </x:c>
      <x:c r="K111" t="n">
        <x:v>4</x:v>
      </x:c>
      <x:c r="L111" t="n">
        <x:v>0</x:v>
      </x:c>
      <x:c r="M111" t="n">
        <x:v>4</x:v>
      </x:c>
      <x:c r="N111" t="n">
        <x:v>2</x:v>
      </x:c>
      <x:c r="O111" t="n">
        <x:v>1</x:v>
      </x:c>
      <x:c r="P111" t="n">
        <x:v>0</x:v>
      </x:c>
      <x:c r="Q111" t="n">
        <x:v>1</x:v>
      </x:c>
      <x:c r="R111" t="n">
        <x:v>4</x:v>
      </x:c>
      <x:c r="S111" t="n">
        <x:v>2</x:v>
      </x:c>
      <x:c r="T111" s="50" t="n">
        <x:f>IF(D111=0,"",H111/D111)</x:f>
        <x:v>0.2894248608534323</x:v>
      </x:c>
      <x:c r="U111" t="n">
        <x:f>MAX(I111:S111)</x:f>
        <x:v>302</x:v>
      </x:c>
      <x:c r="V111" t="n">
        <x:f>H111-U111</x:f>
        <x:v>-146</x:v>
      </x:c>
      <x:c r="W111" s="52" t="n">
        <x:f>IF(D111=0,"",(V111)/D111)</x:f>
        <x:v>-0.27087198515769945</x:v>
      </x:c>
      <x:c r="X111" t="str">
        <x:v>NARENDER KUMAR</x:v>
      </x:c>
      <x:c r="Y111" t="n">
        <x:f>D111-E111-F111</x:f>
        <x:v>0</x:v>
      </x:c>
    </x:row>
    <x:row r="112">
      <x:c r="A112" t="n">
        <x:v>104</x:v>
      </x:c>
      <x:c r="B112" t="str">
        <x:v>PRIMARY SCHOOL SARAKPUR ROOM NO 1</x:v>
      </x:c>
      <x:c r="C112" t="n">
        <x:v>823</x:v>
      </x:c>
      <x:c r="D112" t="n">
        <x:v>478</x:v>
      </x:c>
      <x:c r="E112" t="n">
        <x:f>SUM(H112:S112)</x:f>
        <x:v>476</x:v>
      </x:c>
      <x:c r="F112" t="n">
        <x:v>2</x:v>
      </x:c>
      <x:c r="G112" s="50" t="n">
        <x:f>IF(C112="","",IFERROR(D112/C112,0))</x:f>
        <x:v>0.5808019441069259</x:v>
      </x:c>
      <x:c r="H112" s="36" t="n">
        <x:v>128</x:v>
      </x:c>
      <x:c r="I112" t="n">
        <x:v>213</x:v>
      </x:c>
      <x:c r="J112" t="n">
        <x:v>122</x:v>
      </x:c>
      <x:c r="K112" t="n">
        <x:v>9</x:v>
      </x:c>
      <x:c r="L112" t="n">
        <x:v>0</x:v>
      </x:c>
      <x:c r="M112" t="n">
        <x:v>1</x:v>
      </x:c>
      <x:c r="N112" t="n">
        <x:v>0</x:v>
      </x:c>
      <x:c r="O112" t="n">
        <x:v>0</x:v>
      </x:c>
      <x:c r="P112" t="n">
        <x:v>2</x:v>
      </x:c>
      <x:c r="Q112" t="n">
        <x:v>0</x:v>
      </x:c>
      <x:c r="R112" t="n">
        <x:v>1</x:v>
      </x:c>
      <x:c r="S112" t="n">
        <x:v>0</x:v>
      </x:c>
      <x:c r="T112" s="50" t="n">
        <x:f>IF(D112=0,"",H112/D112)</x:f>
        <x:v>0.26778242677824265</x:v>
      </x:c>
      <x:c r="U112" t="n">
        <x:f>MAX(I112:S112)</x:f>
        <x:v>213</x:v>
      </x:c>
      <x:c r="V112" t="n">
        <x:f>H112-U112</x:f>
        <x:v>-85</x:v>
      </x:c>
      <x:c r="W112" s="52" t="n">
        <x:f>IF(D112=0,"",(V112)/D112)</x:f>
        <x:v>-0.17782426778242677</x:v>
      </x:c>
      <x:c r="X112" t="str">
        <x:v>DHIRENDRA SINGH</x:v>
      </x:c>
      <x:c r="Y112" t="n">
        <x:f>D112-E112-F112</x:f>
        <x:v>0</x:v>
      </x:c>
    </x:row>
    <x:row r="113">
      <x:c r="A113" t="n">
        <x:v>105</x:v>
      </x:c>
      <x:c r="B113" t="str">
        <x:v>PRIMARY SCHOOL BHATTA ROOM NO. 1</x:v>
      </x:c>
      <x:c r="C113" t="n">
        <x:v>980</x:v>
      </x:c>
      <x:c r="D113" t="n">
        <x:v>532</x:v>
      </x:c>
      <x:c r="E113" t="n">
        <x:f>SUM(H113:S113)</x:f>
        <x:v>525</x:v>
      </x:c>
      <x:c r="F113" t="n">
        <x:v>7</x:v>
      </x:c>
      <x:c r="G113" s="50" t="n">
        <x:f>IF(C113="","",IFERROR(D113/C113,0))</x:f>
        <x:v>0.5428571428571428</x:v>
      </x:c>
      <x:c r="H113" s="36" t="n">
        <x:v>203</x:v>
      </x:c>
      <x:c r="I113" t="n">
        <x:v>240</x:v>
      </x:c>
      <x:c r="J113" t="n">
        <x:v>72</x:v>
      </x:c>
      <x:c r="K113" t="n">
        <x:v>5</x:v>
      </x:c>
      <x:c r="L113" t="n">
        <x:v>0</x:v>
      </x:c>
      <x:c r="M113" t="n">
        <x:v>0</x:v>
      </x:c>
      <x:c r="N113" t="n">
        <x:v>1</x:v>
      </x:c>
      <x:c r="O113" t="n">
        <x:v>1</x:v>
      </x:c>
      <x:c r="P113" t="n">
        <x:v>0</x:v>
      </x:c>
      <x:c r="Q113" t="n">
        <x:v>0</x:v>
      </x:c>
      <x:c r="R113" t="n">
        <x:v>1</x:v>
      </x:c>
      <x:c r="S113" t="n">
        <x:v>2</x:v>
      </x:c>
      <x:c r="T113" s="50" t="n">
        <x:f>IF(D113=0,"",H113/D113)</x:f>
        <x:v>0.3815789473684211</x:v>
      </x:c>
      <x:c r="U113" t="n">
        <x:f>MAX(I113:S113)</x:f>
        <x:v>240</x:v>
      </x:c>
      <x:c r="V113" t="n">
        <x:f>H113-U113</x:f>
        <x:v>-37</x:v>
      </x:c>
      <x:c r="W113" s="52" t="n">
        <x:f>IF(D113=0,"",(V113)/D113)</x:f>
        <x:v>-0.06954887218045112</x:v>
      </x:c>
      <x:c r="X113" t="str">
        <x:v>DHIRENDRA SINGH</x:v>
      </x:c>
      <x:c r="Y113" t="n">
        <x:f>D113-E113-F113</x:f>
        <x:v>0</x:v>
      </x:c>
    </x:row>
    <x:row r="114">
      <x:c r="A114" t="n">
        <x:v>106</x:v>
      </x:c>
      <x:c r="B114" t="str">
        <x:v>PRIMARY SCHOOL BHATTA ROOM NO. 2</x:v>
      </x:c>
      <x:c r="C114" t="n">
        <x:v>1063</x:v>
      </x:c>
      <x:c r="D114" t="n">
        <x:v>683</x:v>
      </x:c>
      <x:c r="E114" t="n">
        <x:f>SUM(H114:S114)</x:f>
        <x:v>679</x:v>
      </x:c>
      <x:c r="F114" t="n">
        <x:v>4</x:v>
      </x:c>
      <x:c r="G114" s="50" t="n">
        <x:f>IF(C114="","",IFERROR(D114/C114,0))</x:f>
        <x:v>0.6425211665098777</x:v>
      </x:c>
      <x:c r="H114" s="36" t="n">
        <x:v>255</x:v>
      </x:c>
      <x:c r="I114" t="n">
        <x:v>379</x:v>
      </x:c>
      <x:c r="J114" t="n">
        <x:v>29</x:v>
      </x:c>
      <x:c r="K114" t="n">
        <x:v>5</x:v>
      </x:c>
      <x:c r="L114" t="n">
        <x:v>1</x:v>
      </x:c>
      <x:c r="M114" t="n">
        <x:v>3</x:v>
      </x:c>
      <x:c r="N114" t="n">
        <x:v>1</x:v>
      </x:c>
      <x:c r="O114" t="n">
        <x:v>1</x:v>
      </x:c>
      <x:c r="P114" t="n">
        <x:v>1</x:v>
      </x:c>
      <x:c r="Q114" t="n">
        <x:v>2</x:v>
      </x:c>
      <x:c r="R114" t="n">
        <x:v>0</x:v>
      </x:c>
      <x:c r="S114" t="n">
        <x:v>2</x:v>
      </x:c>
      <x:c r="T114" s="50" t="n">
        <x:f>IF(D114=0,"",H114/D114)</x:f>
        <x:v>0.3733528550512445</x:v>
      </x:c>
      <x:c r="U114" t="n">
        <x:f>MAX(I114:S114)</x:f>
        <x:v>379</x:v>
      </x:c>
      <x:c r="V114" t="n">
        <x:f>H114-U114</x:f>
        <x:v>-124</x:v>
      </x:c>
      <x:c r="W114" s="52" t="n">
        <x:f>IF(D114=0,"",(V114)/D114)</x:f>
        <x:v>-0.1815519765739385</x:v>
      </x:c>
      <x:c r="X114" t="str">
        <x:v>DHIRENDRA SINGH</x:v>
      </x:c>
      <x:c r="Y114" t="n">
        <x:f>D114-E114-F114</x:f>
        <x:v>0</x:v>
      </x:c>
    </x:row>
    <x:row r="115">
      <x:c r="A115" t="n">
        <x:v>107</x:v>
      </x:c>
      <x:c r="B115" t="str">
        <x:v>PRIMARY SCHOOL BHATTA ROOM NO. 3</x:v>
      </x:c>
      <x:c r="C115" t="n">
        <x:v>1000</x:v>
      </x:c>
      <x:c r="D115" t="n">
        <x:v>642</x:v>
      </x:c>
      <x:c r="E115" t="n">
        <x:f>SUM(H115:S115)</x:f>
        <x:v>637</x:v>
      </x:c>
      <x:c r="F115" t="n">
        <x:v>5</x:v>
      </x:c>
      <x:c r="G115" s="50" t="n">
        <x:f>IF(C115="","",IFERROR(D115/C115,0))</x:f>
        <x:v>0.642</x:v>
      </x:c>
      <x:c r="H115" s="36" t="n">
        <x:v>217</x:v>
      </x:c>
      <x:c r="I115" t="n">
        <x:v>231</x:v>
      </x:c>
      <x:c r="J115" t="n">
        <x:v>155</x:v>
      </x:c>
      <x:c r="K115" t="n">
        <x:v>24</x:v>
      </x:c>
      <x:c r="L115" t="n">
        <x:v>2</x:v>
      </x:c>
      <x:c r="M115" t="n">
        <x:v>2</x:v>
      </x:c>
      <x:c r="N115" t="n">
        <x:v>0</x:v>
      </x:c>
      <x:c r="O115" t="n">
        <x:v>3</x:v>
      </x:c>
      <x:c r="P115" t="n">
        <x:v>0</x:v>
      </x:c>
      <x:c r="Q115" t="n">
        <x:v>0</x:v>
      </x:c>
      <x:c r="R115" t="n">
        <x:v>2</x:v>
      </x:c>
      <x:c r="S115" t="n">
        <x:v>1</x:v>
      </x:c>
      <x:c r="T115" s="50" t="n">
        <x:f>IF(D115=0,"",H115/D115)</x:f>
        <x:v>0.338006230529595</x:v>
      </x:c>
      <x:c r="U115" t="n">
        <x:f>MAX(I115:S115)</x:f>
        <x:v>231</x:v>
      </x:c>
      <x:c r="V115" t="n">
        <x:f>H115-U115</x:f>
        <x:v>-14</x:v>
      </x:c>
      <x:c r="W115" s="52" t="n">
        <x:f>IF(D115=0,"",(V115)/D115)</x:f>
        <x:v>-0.021806853582554516</x:v>
      </x:c>
      <x:c r="X115" t="str">
        <x:v>DHIRENDRA SINGH</x:v>
      </x:c>
      <x:c r="Y115" t="n">
        <x:f>D115-E115-F115</x:f>
        <x:v>0</x:v>
      </x:c>
    </x:row>
    <x:row r="116">
      <x:c r="A116" t="n">
        <x:v>108</x:v>
      </x:c>
      <x:c r="B116" t="str">
        <x:v>PRIMARY SCHOOL CHUHADPUR BANGAR ROOM NO 1</x:v>
      </x:c>
      <x:c r="C116" t="n">
        <x:v>987</x:v>
      </x:c>
      <x:c r="D116" t="n">
        <x:v>733</x:v>
      </x:c>
      <x:c r="E116" t="n">
        <x:f>SUM(H116:S116)</x:f>
        <x:v>730</x:v>
      </x:c>
      <x:c r="F116" t="n">
        <x:v>3</x:v>
      </x:c>
      <x:c r="G116" s="50" t="n">
        <x:f>IF(C116="","",IFERROR(D116/C116,0))</x:f>
        <x:v>0.7426545086119554</x:v>
      </x:c>
      <x:c r="H116" s="36" t="n">
        <x:v>506</x:v>
      </x:c>
      <x:c r="I116" t="n">
        <x:v>102</x:v>
      </x:c>
      <x:c r="J116" t="n">
        <x:v>93</x:v>
      </x:c>
      <x:c r="K116" t="n">
        <x:v>10</x:v>
      </x:c>
      <x:c r="L116" t="n">
        <x:v>0</x:v>
      </x:c>
      <x:c r="M116" t="n">
        <x:v>5</x:v>
      </x:c>
      <x:c r="N116" t="n">
        <x:v>1</x:v>
      </x:c>
      <x:c r="O116" t="n">
        <x:v>0</x:v>
      </x:c>
      <x:c r="P116" t="n">
        <x:v>2</x:v>
      </x:c>
      <x:c r="Q116" t="n">
        <x:v>5</x:v>
      </x:c>
      <x:c r="R116" t="n">
        <x:v>3</x:v>
      </x:c>
      <x:c r="S116" t="n">
        <x:v>3</x:v>
      </x:c>
      <x:c r="T116" s="50" t="n">
        <x:f>IF(D116=0,"",H116/D116)</x:f>
        <x:v>0.6903137789904502</x:v>
      </x:c>
      <x:c r="U116" t="n">
        <x:f>MAX(I116:S116)</x:f>
        <x:v>102</x:v>
      </x:c>
      <x:c r="V116" t="n">
        <x:f>H116-U116</x:f>
        <x:v>404</x:v>
      </x:c>
      <x:c r="W116" s="52" t="n">
        <x:f>IF(D116=0,"",(V116)/D116)</x:f>
        <x:v>0.5511596180081856</x:v>
      </x:c>
      <x:c r="X116" t="str">
        <x:v>AVTAR SINGH BHADANA</x:v>
      </x:c>
      <x:c r="Y116" t="n">
        <x:f>D116-E116-F116</x:f>
        <x:v>0</x:v>
      </x:c>
    </x:row>
    <x:row r="117">
      <x:c r="A117" t="n">
        <x:v>109</x:v>
      </x:c>
      <x:c r="B117" t="str">
        <x:v>PRIMARY PATHSHALA TALDA ROOM NO 1</x:v>
      </x:c>
      <x:c r="C117" t="n">
        <x:v>770</x:v>
      </x:c>
      <x:c r="D117" t="n">
        <x:v>510</x:v>
      </x:c>
      <x:c r="E117" t="n">
        <x:f>SUM(H117:S117)</x:f>
        <x:v>504</x:v>
      </x:c>
      <x:c r="F117" t="n">
        <x:v>6</x:v>
      </x:c>
      <x:c r="G117" s="50" t="n">
        <x:f>IF(C117="","",IFERROR(D117/C117,0))</x:f>
        <x:v>0.6623376623376623</x:v>
      </x:c>
      <x:c r="H117" s="36" t="n">
        <x:v>176</x:v>
      </x:c>
      <x:c r="I117" t="n">
        <x:v>67</x:v>
      </x:c>
      <x:c r="J117" t="n">
        <x:v>244</x:v>
      </x:c>
      <x:c r="K117" t="n">
        <x:v>2</x:v>
      </x:c>
      <x:c r="L117" t="n">
        <x:v>2</x:v>
      </x:c>
      <x:c r="M117" t="n">
        <x:v>2</x:v>
      </x:c>
      <x:c r="N117" t="n">
        <x:v>1</x:v>
      </x:c>
      <x:c r="O117" t="n">
        <x:v>1</x:v>
      </x:c>
      <x:c r="P117" t="n">
        <x:v>0</x:v>
      </x:c>
      <x:c r="Q117" t="n">
        <x:v>1</x:v>
      </x:c>
      <x:c r="R117" t="n">
        <x:v>5</x:v>
      </x:c>
      <x:c r="S117" t="n">
        <x:v>3</x:v>
      </x:c>
      <x:c r="T117" s="50" t="n">
        <x:f>IF(D117=0,"",H117/D117)</x:f>
        <x:v>0.34509803921568627</x:v>
      </x:c>
      <x:c r="U117" t="n">
        <x:f>MAX(I117:S117)</x:f>
        <x:v>244</x:v>
      </x:c>
      <x:c r="V117" t="n">
        <x:f>H117-U117</x:f>
        <x:v>-68</x:v>
      </x:c>
      <x:c r="W117" s="52" t="n">
        <x:f>IF(D117=0,"",(V117)/D117)</x:f>
        <x:v>-0.13333333333333333</x:v>
      </x:c>
      <x:c r="X117" t="str">
        <x:v>NARENDER KUMAR</x:v>
      </x:c>
      <x:c r="Y117" t="n">
        <x:f>D117-E117-F117</x:f>
        <x:v>0</x:v>
      </x:c>
    </x:row>
    <x:row r="118">
      <x:c r="A118" t="n">
        <x:v>110</x:v>
      </x:c>
      <x:c r="B118" t="str">
        <x:v>PRIMARY PATHSHALA TALDA ROOM NO 2</x:v>
      </x:c>
      <x:c r="C118" t="n">
        <x:v>704</x:v>
      </x:c>
      <x:c r="D118" t="n">
        <x:v>474</x:v>
      </x:c>
      <x:c r="E118" t="n">
        <x:f>SUM(H118:S118)</x:f>
        <x:v>468</x:v>
      </x:c>
      <x:c r="F118" t="n">
        <x:v>6</x:v>
      </x:c>
      <x:c r="G118" s="50" t="n">
        <x:f>IF(C118="","",IFERROR(D118/C118,0))</x:f>
        <x:v>0.6732954545454546</x:v>
      </x:c>
      <x:c r="H118" s="36" t="n">
        <x:v>128</x:v>
      </x:c>
      <x:c r="I118" t="n">
        <x:v>70</x:v>
      </x:c>
      <x:c r="J118" t="n">
        <x:v>246</x:v>
      </x:c>
      <x:c r="K118" t="n">
        <x:v>11</x:v>
      </x:c>
      <x:c r="L118" t="n">
        <x:v>1</x:v>
      </x:c>
      <x:c r="M118" t="n">
        <x:v>1</x:v>
      </x:c>
      <x:c r="N118" t="n">
        <x:v>0</x:v>
      </x:c>
      <x:c r="O118" t="n">
        <x:v>0</x:v>
      </x:c>
      <x:c r="P118" t="n">
        <x:v>5</x:v>
      </x:c>
      <x:c r="Q118" t="n">
        <x:v>3</x:v>
      </x:c>
      <x:c r="R118" t="n">
        <x:v>0</x:v>
      </x:c>
      <x:c r="S118" t="n">
        <x:v>3</x:v>
      </x:c>
      <x:c r="T118" s="50" t="n">
        <x:f>IF(D118=0,"",H118/D118)</x:f>
        <x:v>0.270042194092827</x:v>
      </x:c>
      <x:c r="U118" t="n">
        <x:f>MAX(I118:S118)</x:f>
        <x:v>246</x:v>
      </x:c>
      <x:c r="V118" t="n">
        <x:f>H118-U118</x:f>
        <x:v>-118</x:v>
      </x:c>
      <x:c r="W118" s="52" t="n">
        <x:f>IF(D118=0,"",(V118)/D118)</x:f>
        <x:v>-0.2489451476793249</x:v>
      </x:c>
      <x:c r="X118" t="str">
        <x:v>NARENDER KUMAR</x:v>
      </x:c>
      <x:c r="Y118" t="n">
        <x:f>D118-E118-F118</x:f>
        <x:v>0</x:v>
      </x:c>
    </x:row>
    <x:row r="119">
      <x:c r="A119" t="n">
        <x:v>111</x:v>
      </x:c>
      <x:c r="B119" t="str">
        <x:v>PRIMARY SCHOOL HATEWA ROOM NO. 1</x:v>
      </x:c>
      <x:c r="C119" t="n">
        <x:v>639</x:v>
      </x:c>
      <x:c r="D119" t="n">
        <x:v>504</x:v>
      </x:c>
      <x:c r="E119" t="n">
        <x:f>SUM(H119:S119)</x:f>
        <x:v>504</x:v>
      </x:c>
      <x:c r="F119" t="n">
        <x:v>0</x:v>
      </x:c>
      <x:c r="G119" s="50" t="n">
        <x:f>IF(C119="","",IFERROR(D119/C119,0))</x:f>
        <x:v>0.7887323943661971</x:v>
      </x:c>
      <x:c r="H119" s="36" t="n">
        <x:v>57</x:v>
      </x:c>
      <x:c r="I119" t="n">
        <x:v>371</x:v>
      </x:c>
      <x:c r="J119" t="n">
        <x:v>38</x:v>
      </x:c>
      <x:c r="K119" t="n">
        <x:v>29</x:v>
      </x:c>
      <x:c r="L119" t="n">
        <x:v>0</x:v>
      </x:c>
      <x:c r="M119" t="n">
        <x:v>3</x:v>
      </x:c>
      <x:c r="N119" t="n">
        <x:v>0</x:v>
      </x:c>
      <x:c r="O119" t="n">
        <x:v>1</x:v>
      </x:c>
      <x:c r="P119" t="n">
        <x:v>1</x:v>
      </x:c>
      <x:c r="Q119" t="n">
        <x:v>0</x:v>
      </x:c>
      <x:c r="R119" t="n">
        <x:v>0</x:v>
      </x:c>
      <x:c r="S119" t="n">
        <x:v>4</x:v>
      </x:c>
      <x:c r="T119" s="50" t="n">
        <x:f>IF(D119=0,"",H119/D119)</x:f>
        <x:v>0.1130952380952381</x:v>
      </x:c>
      <x:c r="U119" t="n">
        <x:f>MAX(I119:S119)</x:f>
        <x:v>371</x:v>
      </x:c>
      <x:c r="V119" t="n">
        <x:f>H119-U119</x:f>
        <x:v>-314</x:v>
      </x:c>
      <x:c r="W119" s="52" t="n">
        <x:f>IF(D119=0,"",(V119)/D119)</x:f>
        <x:v>-0.623015873015873</x:v>
      </x:c>
      <x:c r="X119" t="str">
        <x:v>DHIRENDRA SINGH</x:v>
      </x:c>
      <x:c r="Y119" t="n">
        <x:f>D119-E119-F119</x:f>
        <x:v>0</x:v>
      </x:c>
    </x:row>
    <x:row r="120">
      <x:c r="A120" t="n">
        <x:v>112</x:v>
      </x:c>
      <x:c r="B120" t="str">
        <x:v>PRIMARY SCHOOL HATEWA ROOM NO. 2</x:v>
      </x:c>
      <x:c r="C120" t="n">
        <x:v>640</x:v>
      </x:c>
      <x:c r="D120" t="n">
        <x:v>488</x:v>
      </x:c>
      <x:c r="E120" t="n">
        <x:f>SUM(H120:S120)</x:f>
        <x:v>488</x:v>
      </x:c>
      <x:c r="F120" t="n">
        <x:v>0</x:v>
      </x:c>
      <x:c r="G120" s="50" t="n">
        <x:f>IF(C120="","",IFERROR(D120/C120,0))</x:f>
        <x:v>0.7625</x:v>
      </x:c>
      <x:c r="H120" s="36" t="n">
        <x:v>27</x:v>
      </x:c>
      <x:c r="I120" t="n">
        <x:v>108</x:v>
      </x:c>
      <x:c r="J120" t="n">
        <x:v>338</x:v>
      </x:c>
      <x:c r="K120" t="n">
        <x:v>11</x:v>
      </x:c>
      <x:c r="L120" t="n">
        <x:v>1</x:v>
      </x:c>
      <x:c r="M120" t="n">
        <x:v>0</x:v>
      </x:c>
      <x:c r="N120" t="n">
        <x:v>0</x:v>
      </x:c>
      <x:c r="O120" t="n">
        <x:v>0</x:v>
      </x:c>
      <x:c r="P120" t="n">
        <x:v>1</x:v>
      </x:c>
      <x:c r="Q120" t="n">
        <x:v>0</x:v>
      </x:c>
      <x:c r="R120" t="n">
        <x:v>2</x:v>
      </x:c>
      <x:c r="S120" t="n">
        <x:v>0</x:v>
      </x:c>
      <x:c r="T120" s="50" t="n">
        <x:f>IF(D120=0,"",H120/D120)</x:f>
        <x:v>0.055327868852459015</x:v>
      </x:c>
      <x:c r="U120" t="n">
        <x:f>MAX(I120:S120)</x:f>
        <x:v>338</x:v>
      </x:c>
      <x:c r="V120" t="n">
        <x:f>H120-U120</x:f>
        <x:v>-311</x:v>
      </x:c>
      <x:c r="W120" s="52" t="n">
        <x:f>IF(D120=0,"",(V120)/D120)</x:f>
        <x:v>-0.6372950819672131</x:v>
      </x:c>
      <x:c r="X120" t="str">
        <x:v>NARENDER KUMAR</x:v>
      </x:c>
      <x:c r="Y120" t="n">
        <x:f>D120-E120-F120</x:f>
        <x:v>0</x:v>
      </x:c>
    </x:row>
    <x:row r="121">
      <x:c r="A121" t="n">
        <x:v>113</x:v>
      </x:c>
      <x:c r="B121" t="str">
        <x:v>PRIMARY SCHOOL DALELGARH ROOM NO 1</x:v>
      </x:c>
      <x:c r="C121" t="n">
        <x:v>707</x:v>
      </x:c>
      <x:c r="D121" t="n">
        <x:v>459</x:v>
      </x:c>
      <x:c r="E121" t="n">
        <x:f>SUM(H121:S121)</x:f>
        <x:v>458</x:v>
      </x:c>
      <x:c r="F121" t="n">
        <x:v>1</x:v>
      </x:c>
      <x:c r="G121" s="50" t="n">
        <x:f>IF(C121="","",IFERROR(D121/C121,0))</x:f>
        <x:v>0.6492220650636492</x:v>
      </x:c>
      <x:c r="H121" s="36" t="n">
        <x:v>51</x:v>
      </x:c>
      <x:c r="I121" t="n">
        <x:v>129</x:v>
      </x:c>
      <x:c r="J121" t="n">
        <x:v>221</x:v>
      </x:c>
      <x:c r="K121" t="n">
        <x:v>48</x:v>
      </x:c>
      <x:c r="L121" t="n">
        <x:v>0</x:v>
      </x:c>
      <x:c r="M121" t="n">
        <x:v>0</x:v>
      </x:c>
      <x:c r="N121" t="n">
        <x:v>1</x:v>
      </x:c>
      <x:c r="O121" t="n">
        <x:v>0</x:v>
      </x:c>
      <x:c r="P121" t="n">
        <x:v>0</x:v>
      </x:c>
      <x:c r="Q121" t="n">
        <x:v>2</x:v>
      </x:c>
      <x:c r="R121" t="n">
        <x:v>5</x:v>
      </x:c>
      <x:c r="S121" t="n">
        <x:v>1</x:v>
      </x:c>
      <x:c r="T121" s="50" t="n">
        <x:f>IF(D121=0,"",H121/D121)</x:f>
        <x:v>0.1111111111111111</x:v>
      </x:c>
      <x:c r="U121" t="n">
        <x:f>MAX(I121:S121)</x:f>
        <x:v>221</x:v>
      </x:c>
      <x:c r="V121" t="n">
        <x:f>H121-U121</x:f>
        <x:v>-170</x:v>
      </x:c>
      <x:c r="W121" s="52" t="n">
        <x:f>IF(D121=0,"",(V121)/D121)</x:f>
        <x:v>-0.37037037037037035</x:v>
      </x:c>
      <x:c r="X121" t="str">
        <x:v>NARENDER KUMAR</x:v>
      </x:c>
      <x:c r="Y121" t="n">
        <x:f>D121-E121-F121</x:f>
        <x:v>0</x:v>
      </x:c>
    </x:row>
    <x:row r="122">
      <x:c r="A122" t="n">
        <x:v>114</x:v>
      </x:c>
      <x:c r="B122" t="str">
        <x:v>PRIMARY SCHOOL DALELGARH ROOM NO 2</x:v>
      </x:c>
      <x:c r="C122" t="n">
        <x:v>754</x:v>
      </x:c>
      <x:c r="D122" t="n">
        <x:v>477</x:v>
      </x:c>
      <x:c r="E122" t="n">
        <x:f>SUM(H122:S122)</x:f>
        <x:v>477</x:v>
      </x:c>
      <x:c r="F122" t="n">
        <x:v>0</x:v>
      </x:c>
      <x:c r="G122" s="50" t="n">
        <x:f>IF(C122="","",IFERROR(D122/C122,0))</x:f>
        <x:v>0.6326259946949602</x:v>
      </x:c>
      <x:c r="H122" s="36" t="n">
        <x:v>149</x:v>
      </x:c>
      <x:c r="I122" t="n">
        <x:v>145</x:v>
      </x:c>
      <x:c r="J122" t="n">
        <x:v>123</x:v>
      </x:c>
      <x:c r="K122" t="n">
        <x:v>53</x:v>
      </x:c>
      <x:c r="L122" t="n">
        <x:v>3</x:v>
      </x:c>
      <x:c r="M122" t="n">
        <x:v>1</x:v>
      </x:c>
      <x:c r="N122" t="n">
        <x:v>0</x:v>
      </x:c>
      <x:c r="O122" t="n">
        <x:v>1</x:v>
      </x:c>
      <x:c r="P122" t="n">
        <x:v>1</x:v>
      </x:c>
      <x:c r="Q122" t="n">
        <x:v>0</x:v>
      </x:c>
      <x:c r="R122" t="n">
        <x:v>0</x:v>
      </x:c>
      <x:c r="S122" t="n">
        <x:v>1</x:v>
      </x:c>
      <x:c r="T122" s="50" t="n">
        <x:f>IF(D122=0,"",H122/D122)</x:f>
        <x:v>0.31236897274633124</x:v>
      </x:c>
      <x:c r="U122" t="n">
        <x:f>MAX(I122:S122)</x:f>
        <x:v>145</x:v>
      </x:c>
      <x:c r="V122" t="n">
        <x:f>H122-U122</x:f>
        <x:v>4</x:v>
      </x:c>
      <x:c r="W122" s="52" t="n">
        <x:f>IF(D122=0,"",(V122)/D122)</x:f>
        <x:v>0.008385744234800839</x:v>
      </x:c>
      <x:c r="X122" t="str">
        <x:v>AVTAR SINGH BHADANA</x:v>
      </x:c>
      <x:c r="Y122" t="n">
        <x:f>D122-E122-F122</x:f>
        <x:v>0</x:v>
      </x:c>
    </x:row>
    <x:row r="123">
      <x:c r="A123" t="n">
        <x:v>115</x:v>
      </x:c>
      <x:c r="B123" t="str">
        <x:v>PRIMARY SCHOOL BAGPUR ROOM NO 1</x:v>
      </x:c>
      <x:c r="C123" t="n">
        <x:v>1020</x:v>
      </x:c>
      <x:c r="D123" t="n">
        <x:v>683</x:v>
      </x:c>
      <x:c r="E123" t="n">
        <x:f>SUM(H123:S123)</x:f>
        <x:v>680</x:v>
      </x:c>
      <x:c r="F123" t="n">
        <x:v>3</x:v>
      </x:c>
      <x:c r="G123" s="50" t="n">
        <x:f>IF(C123="","",IFERROR(D123/C123,0))</x:f>
        <x:v>0.6696078431372549</x:v>
      </x:c>
      <x:c r="H123" s="36" t="n">
        <x:v>117</x:v>
      </x:c>
      <x:c r="I123" t="n">
        <x:v>356</x:v>
      </x:c>
      <x:c r="J123" t="n">
        <x:v>153</x:v>
      </x:c>
      <x:c r="K123" t="n">
        <x:v>36</x:v>
      </x:c>
      <x:c r="L123" t="n">
        <x:v>3</x:v>
      </x:c>
      <x:c r="M123" t="n">
        <x:v>0</x:v>
      </x:c>
      <x:c r="N123" t="n">
        <x:v>0</x:v>
      </x:c>
      <x:c r="O123" t="n">
        <x:v>1</x:v>
      </x:c>
      <x:c r="P123" t="n">
        <x:v>4</x:v>
      </x:c>
      <x:c r="Q123" t="n">
        <x:v>4</x:v>
      </x:c>
      <x:c r="R123" t="n">
        <x:v>3</x:v>
      </x:c>
      <x:c r="S123" t="n">
        <x:v>3</x:v>
      </x:c>
      <x:c r="T123" s="50" t="n">
        <x:f>IF(D123=0,"",H123/D123)</x:f>
        <x:v>0.17130307467057102</x:v>
      </x:c>
      <x:c r="U123" t="n">
        <x:f>MAX(I123:S123)</x:f>
        <x:v>356</x:v>
      </x:c>
      <x:c r="V123" t="n">
        <x:f>H123-U123</x:f>
        <x:v>-239</x:v>
      </x:c>
      <x:c r="W123" s="52" t="n">
        <x:f>IF(D123=0,"",(V123)/D123)</x:f>
        <x:v>-0.34992679355783307</x:v>
      </x:c>
      <x:c r="X123" t="str">
        <x:v>DHIRENDRA SINGH</x:v>
      </x:c>
      <x:c r="Y123" t="n">
        <x:f>D123-E123-F123</x:f>
        <x:v>0</x:v>
      </x:c>
    </x:row>
    <x:row r="124">
      <x:c r="A124" t="n">
        <x:v>116</x:v>
      </x:c>
      <x:c r="B124" t="str">
        <x:v>PRIMARY SCHOOL PEEPALKA SURATPUR ROOM NO 1</x:v>
      </x:c>
      <x:c r="C124" t="n">
        <x:v>917</x:v>
      </x:c>
      <x:c r="D124" t="n">
        <x:v>555</x:v>
      </x:c>
      <x:c r="E124" t="n">
        <x:f>SUM(H124:S124)</x:f>
        <x:v>552</x:v>
      </x:c>
      <x:c r="F124" t="n">
        <x:v>3</x:v>
      </x:c>
      <x:c r="G124" s="50" t="n">
        <x:f>IF(C124="","",IFERROR(D124/C124,0))</x:f>
        <x:v>0.6052344601962922</x:v>
      </x:c>
      <x:c r="H124" s="36" t="n">
        <x:v>178</x:v>
      </x:c>
      <x:c r="I124" t="n">
        <x:v>150</x:v>
      </x:c>
      <x:c r="J124" t="n">
        <x:v>178</x:v>
      </x:c>
      <x:c r="K124" t="n">
        <x:v>34</x:v>
      </x:c>
      <x:c r="L124" t="n">
        <x:v>4</x:v>
      </x:c>
      <x:c r="M124" t="n">
        <x:v>1</x:v>
      </x:c>
      <x:c r="N124" t="n">
        <x:v>1</x:v>
      </x:c>
      <x:c r="O124" t="n">
        <x:v>2</x:v>
      </x:c>
      <x:c r="P124" t="n">
        <x:v>1</x:v>
      </x:c>
      <x:c r="Q124" t="n">
        <x:v>2</x:v>
      </x:c>
      <x:c r="R124" t="n">
        <x:v>1</x:v>
      </x:c>
      <x:c r="S124" t="n">
        <x:v>0</x:v>
      </x:c>
      <x:c r="T124" s="50" t="n">
        <x:f>IF(D124=0,"",H124/D124)</x:f>
        <x:v>0.3207207207207207</x:v>
      </x:c>
      <x:c r="U124" t="n">
        <x:f>MAX(I124:S124)</x:f>
        <x:v>178</x:v>
      </x:c>
      <x:c r="V124" t="n">
        <x:f>H124-U124</x:f>
        <x:v>0</x:v>
      </x:c>
      <x:c r="W124" s="52" t="n">
        <x:f>IF(D124=0,"",(V124)/D124)</x:f>
        <x:v>0</x:v>
      </x:c>
      <x:c r="X124" t="str">
        <x:v>AVTAR SINGH BHADANA</x:v>
      </x:c>
      <x:c r="Y124" t="n">
        <x:f>D124-E124-F124</x:f>
        <x:v>0</x:v>
      </x:c>
    </x:row>
    <x:row r="125">
      <x:c r="A125" t="n">
        <x:v>117</x:v>
      </x:c>
      <x:c r="B125" t="str">
        <x:v>PRIMARY SCHOOL PEEPALKA SURATPUR ROOM NO 2</x:v>
      </x:c>
      <x:c r="C125" t="n">
        <x:v>955</x:v>
      </x:c>
      <x:c r="D125" t="n">
        <x:v>589</x:v>
      </x:c>
      <x:c r="E125" t="n">
        <x:f>SUM(H125:S125)</x:f>
        <x:v>585</x:v>
      </x:c>
      <x:c r="F125" t="n">
        <x:v>4</x:v>
      </x:c>
      <x:c r="G125" s="50" t="n">
        <x:f>IF(C125="","",IFERROR(D125/C125,0))</x:f>
        <x:v>0.6167539267015707</x:v>
      </x:c>
      <x:c r="H125" s="36" t="n">
        <x:v>173</x:v>
      </x:c>
      <x:c r="I125" t="n">
        <x:v>250</x:v>
      </x:c>
      <x:c r="J125" t="n">
        <x:v>98</x:v>
      </x:c>
      <x:c r="K125" t="n">
        <x:v>59</x:v>
      </x:c>
      <x:c r="L125" t="n">
        <x:v>0</x:v>
      </x:c>
      <x:c r="M125" t="n">
        <x:v>0</x:v>
      </x:c>
      <x:c r="N125" t="n">
        <x:v>2</x:v>
      </x:c>
      <x:c r="O125" t="n">
        <x:v>0</x:v>
      </x:c>
      <x:c r="P125" t="n">
        <x:v>0</x:v>
      </x:c>
      <x:c r="Q125" t="n">
        <x:v>1</x:v>
      </x:c>
      <x:c r="R125" t="n">
        <x:v>1</x:v>
      </x:c>
      <x:c r="S125" t="n">
        <x:v>1</x:v>
      </x:c>
      <x:c r="T125" s="50" t="n">
        <x:f>IF(D125=0,"",H125/D125)</x:f>
        <x:v>0.2937181663837012</x:v>
      </x:c>
      <x:c r="U125" t="n">
        <x:f>MAX(I125:S125)</x:f>
        <x:v>250</x:v>
      </x:c>
      <x:c r="V125" t="n">
        <x:f>H125-U125</x:f>
        <x:v>-77</x:v>
      </x:c>
      <x:c r="W125" s="52" t="n">
        <x:f>IF(D125=0,"",(V125)/D125)</x:f>
        <x:v>-0.1307300509337861</x:v>
      </x:c>
      <x:c r="X125" t="str">
        <x:v>DHIRENDRA SINGH</x:v>
      </x:c>
      <x:c r="Y125" t="n">
        <x:f>D125-E125-F125</x:f>
        <x:v>0</x:v>
      </x:c>
    </x:row>
    <x:row r="126">
      <x:c r="A126" t="n">
        <x:v>118</x:v>
      </x:c>
      <x:c r="B126" t="str">
        <x:v>PRIMARY SCHOOL BISICH ROOM NO. 1</x:v>
      </x:c>
      <x:c r="C126" t="n">
        <x:v>499</x:v>
      </x:c>
      <x:c r="D126" t="n">
        <x:v>391</x:v>
      </x:c>
      <x:c r="E126" t="n">
        <x:f>SUM(H126:S126)</x:f>
        <x:v>387</x:v>
      </x:c>
      <x:c r="F126" t="n">
        <x:v>4</x:v>
      </x:c>
      <x:c r="G126" s="50" t="n">
        <x:f>IF(C126="","",IFERROR(D126/C126,0))</x:f>
        <x:v>0.7835671342685371</x:v>
      </x:c>
      <x:c r="H126" s="36" t="n">
        <x:v>167</x:v>
      </x:c>
      <x:c r="I126" t="n">
        <x:v>157</x:v>
      </x:c>
      <x:c r="J126" t="n">
        <x:v>49</x:v>
      </x:c>
      <x:c r="K126" t="n">
        <x:v>4</x:v>
      </x:c>
      <x:c r="L126" t="n">
        <x:v>1</x:v>
      </x:c>
      <x:c r="M126" t="n">
        <x:v>1</x:v>
      </x:c>
      <x:c r="N126" t="n">
        <x:v>1</x:v>
      </x:c>
      <x:c r="O126" t="n">
        <x:v>1</x:v>
      </x:c>
      <x:c r="P126" t="n">
        <x:v>3</x:v>
      </x:c>
      <x:c r="Q126" t="n">
        <x:v>0</x:v>
      </x:c>
      <x:c r="R126" t="n">
        <x:v>0</x:v>
      </x:c>
      <x:c r="S126" t="n">
        <x:v>3</x:v>
      </x:c>
      <x:c r="T126" s="50" t="n">
        <x:f>IF(D126=0,"",H126/D126)</x:f>
        <x:v>0.42710997442455245</x:v>
      </x:c>
      <x:c r="U126" t="n">
        <x:f>MAX(I126:S126)</x:f>
        <x:v>157</x:v>
      </x:c>
      <x:c r="V126" t="n">
        <x:f>H126-U126</x:f>
        <x:v>10</x:v>
      </x:c>
      <x:c r="W126" s="52" t="n">
        <x:f>IF(D126=0,"",(V126)/D126)</x:f>
        <x:v>0.02557544757033248</x:v>
      </x:c>
      <x:c r="X126" t="str">
        <x:v>AVTAR SINGH BHADANA</x:v>
      </x:c>
      <x:c r="Y126" t="n">
        <x:f>D126-E126-F126</x:f>
        <x:v>0</x:v>
      </x:c>
    </x:row>
    <x:row r="127">
      <x:c r="A127" t="n">
        <x:v>119</x:v>
      </x:c>
      <x:c r="B127" t="str">
        <x:v>PRIMARY SCHOOL DADUPUR DANKOUR ROOM NO 1</x:v>
      </x:c>
      <x:c r="C127" t="n">
        <x:v>926</x:v>
      </x:c>
      <x:c r="D127" t="n">
        <x:v>645</x:v>
      </x:c>
      <x:c r="E127" t="n">
        <x:f>SUM(H127:S127)</x:f>
        <x:v>637</x:v>
      </x:c>
      <x:c r="F127" t="n">
        <x:v>8</x:v>
      </x:c>
      <x:c r="G127" s="50" t="n">
        <x:f>IF(C127="","",IFERROR(D127/C127,0))</x:f>
        <x:v>0.6965442764578834</x:v>
      </x:c>
      <x:c r="H127" s="36" t="n">
        <x:v>110</x:v>
      </x:c>
      <x:c r="I127" t="n">
        <x:v>171</x:v>
      </x:c>
      <x:c r="J127" t="n">
        <x:v>331</x:v>
      </x:c>
      <x:c r="K127" t="n">
        <x:v>10</x:v>
      </x:c>
      <x:c r="L127" t="n">
        <x:v>0</x:v>
      </x:c>
      <x:c r="M127" t="n">
        <x:v>4</x:v>
      </x:c>
      <x:c r="N127" t="n">
        <x:v>2</x:v>
      </x:c>
      <x:c r="O127" t="n">
        <x:v>0</x:v>
      </x:c>
      <x:c r="P127" t="n">
        <x:v>3</x:v>
      </x:c>
      <x:c r="Q127" t="n">
        <x:v>1</x:v>
      </x:c>
      <x:c r="R127" t="n">
        <x:v>4</x:v>
      </x:c>
      <x:c r="S127" t="n">
        <x:v>1</x:v>
      </x:c>
      <x:c r="T127" s="50" t="n">
        <x:f>IF(D127=0,"",H127/D127)</x:f>
        <x:v>0.17054263565891473</x:v>
      </x:c>
      <x:c r="U127" t="n">
        <x:f>MAX(I127:S127)</x:f>
        <x:v>331</x:v>
      </x:c>
      <x:c r="V127" t="n">
        <x:f>H127-U127</x:f>
        <x:v>-221</x:v>
      </x:c>
      <x:c r="W127" s="52" t="n">
        <x:f>IF(D127=0,"",(V127)/D127)</x:f>
        <x:v>-0.3426356589147287</x:v>
      </x:c>
      <x:c r="X127" t="str">
        <x:v>NARENDER KUMAR</x:v>
      </x:c>
      <x:c r="Y127" t="n">
        <x:f>D127-E127-F127</x:f>
        <x:v>0</x:v>
      </x:c>
    </x:row>
    <x:row r="128">
      <x:c r="A128" t="n">
        <x:v>120</x:v>
      </x:c>
      <x:c r="B128" t="str">
        <x:v>PRIMARY SCHOOL DADUPUR DANKOUR ROOM NO 2</x:v>
      </x:c>
      <x:c r="C128" t="n">
        <x:v>932</x:v>
      </x:c>
      <x:c r="D128" t="n">
        <x:v>596</x:v>
      </x:c>
      <x:c r="E128" t="n">
        <x:f>SUM(H128:S128)</x:f>
        <x:v>593</x:v>
      </x:c>
      <x:c r="F128" t="n">
        <x:v>3</x:v>
      </x:c>
      <x:c r="G128" s="50" t="n">
        <x:f>IF(C128="","",IFERROR(D128/C128,0))</x:f>
        <x:v>0.6394849785407726</x:v>
      </x:c>
      <x:c r="H128" s="36" t="n">
        <x:v>230</x:v>
      </x:c>
      <x:c r="I128" t="n">
        <x:v>246</x:v>
      </x:c>
      <x:c r="J128" t="n">
        <x:v>95</x:v>
      </x:c>
      <x:c r="K128" t="n">
        <x:v>10</x:v>
      </x:c>
      <x:c r="L128" t="n">
        <x:v>0</x:v>
      </x:c>
      <x:c r="M128" t="n">
        <x:v>0</x:v>
      </x:c>
      <x:c r="N128" t="n">
        <x:v>0</x:v>
      </x:c>
      <x:c r="O128" t="n">
        <x:v>1</x:v>
      </x:c>
      <x:c r="P128" t="n">
        <x:v>1</x:v>
      </x:c>
      <x:c r="Q128" t="n">
        <x:v>1</x:v>
      </x:c>
      <x:c r="R128" t="n">
        <x:v>3</x:v>
      </x:c>
      <x:c r="S128" t="n">
        <x:v>6</x:v>
      </x:c>
      <x:c r="T128" s="50" t="n">
        <x:f>IF(D128=0,"",H128/D128)</x:f>
        <x:v>0.3859060402684564</x:v>
      </x:c>
      <x:c r="U128" t="n">
        <x:f>MAX(I128:S128)</x:f>
        <x:v>246</x:v>
      </x:c>
      <x:c r="V128" t="n">
        <x:f>H128-U128</x:f>
        <x:v>-16</x:v>
      </x:c>
      <x:c r="W128" s="52" t="n">
        <x:f>IF(D128=0,"",(V128)/D128)</x:f>
        <x:v>-0.026845637583892617</x:v>
      </x:c>
      <x:c r="X128" t="str">
        <x:v>DHIRENDRA SINGH</x:v>
      </x:c>
      <x:c r="Y128" t="n">
        <x:f>D128-E128-F128</x:f>
        <x:v>0</x:v>
      </x:c>
    </x:row>
    <x:row r="129">
      <x:c r="A129" t="n">
        <x:v>121</x:v>
      </x:c>
      <x:c r="B129" t="str">
        <x:v>PRIMARY SCHOOL DADUPUR DANKOUR ROOM NO 3</x:v>
      </x:c>
      <x:c r="C129" t="n">
        <x:v>815</x:v>
      </x:c>
      <x:c r="D129" t="n">
        <x:v>571</x:v>
      </x:c>
      <x:c r="E129" t="n">
        <x:f>SUM(H129:S129)</x:f>
        <x:v>565</x:v>
      </x:c>
      <x:c r="F129" t="n">
        <x:v>6</x:v>
      </x:c>
      <x:c r="G129" s="50" t="n">
        <x:f>IF(C129="","",IFERROR(D129/C129,0))</x:f>
        <x:v>0.7006134969325153</x:v>
      </x:c>
      <x:c r="H129" s="36" t="n">
        <x:v>250</x:v>
      </x:c>
      <x:c r="I129" t="n">
        <x:v>191</x:v>
      </x:c>
      <x:c r="J129" t="n">
        <x:v>114</x:v>
      </x:c>
      <x:c r="K129" t="n">
        <x:v>6</x:v>
      </x:c>
      <x:c r="L129" t="n">
        <x:v>1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1</x:v>
      </x:c>
      <x:c r="S129" t="n">
        <x:v>2</x:v>
      </x:c>
      <x:c r="T129" s="50" t="n">
        <x:f>IF(D129=0,"",H129/D129)</x:f>
        <x:v>0.43782837127845886</x:v>
      </x:c>
      <x:c r="U129" t="n">
        <x:f>MAX(I129:S129)</x:f>
        <x:v>191</x:v>
      </x:c>
      <x:c r="V129" t="n">
        <x:f>H129-U129</x:f>
        <x:v>59</x:v>
      </x:c>
      <x:c r="W129" s="52" t="n">
        <x:f>IF(D129=0,"",(V129)/D129)</x:f>
        <x:v>0.10332749562171628</x:v>
      </x:c>
      <x:c r="X129" t="str">
        <x:v>AVTAR SINGH BHADANA</x:v>
      </x:c>
      <x:c r="Y129" t="n">
        <x:f>D129-E129-F129</x:f>
        <x:v>0</x:v>
      </x:c>
    </x:row>
    <x:row r="130">
      <x:c r="A130" t="n">
        <x:v>122</x:v>
      </x:c>
      <x:c r="B130" t="str">
        <x:v>PRIMARY SCHOOL AMARPUR ROOM NO 1</x:v>
      </x:c>
      <x:c r="C130" t="n">
        <x:v>650</x:v>
      </x:c>
      <x:c r="D130" t="n">
        <x:v>518</x:v>
      </x:c>
      <x:c r="E130" t="n">
        <x:f>SUM(H130:S130)</x:f>
        <x:v>515</x:v>
      </x:c>
      <x:c r="F130" t="n">
        <x:v>3</x:v>
      </x:c>
      <x:c r="G130" s="50" t="n">
        <x:f>IF(C130="","",IFERROR(D130/C130,0))</x:f>
        <x:v>0.796923076923077</x:v>
      </x:c>
      <x:c r="H130" s="36" t="n">
        <x:v>288</x:v>
      </x:c>
      <x:c r="I130" t="n">
        <x:v>113</x:v>
      </x:c>
      <x:c r="J130" t="n">
        <x:v>47</x:v>
      </x:c>
      <x:c r="K130" t="n">
        <x:v>25</x:v>
      </x:c>
      <x:c r="L130" t="n">
        <x:v>0</x:v>
      </x:c>
      <x:c r="M130" t="n">
        <x:v>2</x:v>
      </x:c>
      <x:c r="N130" t="n">
        <x:v>2</x:v>
      </x:c>
      <x:c r="O130" t="n">
        <x:v>0</x:v>
      </x:c>
      <x:c r="P130" t="n">
        <x:v>38</x:v>
      </x:c>
      <x:c r="Q130" t="n">
        <x:v>0</x:v>
      </x:c>
      <x:c r="R130" t="n">
        <x:v>0</x:v>
      </x:c>
      <x:c r="S130" t="n">
        <x:v>0</x:v>
      </x:c>
      <x:c r="T130" s="50" t="n">
        <x:f>IF(D130=0,"",H130/D130)</x:f>
        <x:v>0.555984555984556</x:v>
      </x:c>
      <x:c r="U130" t="n">
        <x:f>MAX(I130:S130)</x:f>
        <x:v>113</x:v>
      </x:c>
      <x:c r="V130" t="n">
        <x:f>H130-U130</x:f>
        <x:v>175</x:v>
      </x:c>
      <x:c r="W130" s="52" t="n">
        <x:f>IF(D130=0,"",(V130)/D130)</x:f>
        <x:v>0.33783783783783783</x:v>
      </x:c>
      <x:c r="X130" t="str">
        <x:v>AVTAR SINGH BHADANA</x:v>
      </x:c>
      <x:c r="Y130" t="n">
        <x:f>D130-E130-F130</x:f>
        <x:v>0</x:v>
      </x:c>
    </x:row>
    <x:row r="131">
      <x:c r="A131" t="n">
        <x:v>123</x:v>
      </x:c>
      <x:c r="B131" t="str">
        <x:v>PRIMARY SCHOOL AMARPUR ROOM NO 2</x:v>
      </x:c>
      <x:c r="C131" t="n">
        <x:v>547</x:v>
      </x:c>
      <x:c r="D131" t="n">
        <x:v>435</x:v>
      </x:c>
      <x:c r="E131" t="n">
        <x:f>SUM(H131:S131)</x:f>
        <x:v>435</x:v>
      </x:c>
      <x:c r="F131" t="n">
        <x:v>0</x:v>
      </x:c>
      <x:c r="G131" s="50" t="n">
        <x:f>IF(C131="","",IFERROR(D131/C131,0))</x:f>
        <x:v>0.7952468007312614</x:v>
      </x:c>
      <x:c r="H131" s="36" t="n">
        <x:v>136</x:v>
      </x:c>
      <x:c r="I131" t="n">
        <x:v>61</x:v>
      </x:c>
      <x:c r="J131" t="n">
        <x:v>111</x:v>
      </x:c>
      <x:c r="K131" t="n">
        <x:v>79</x:v>
      </x:c>
      <x:c r="L131" t="n">
        <x:v>1</x:v>
      </x:c>
      <x:c r="M131" t="n">
        <x:v>0</x:v>
      </x:c>
      <x:c r="N131" t="n">
        <x:v>0</x:v>
      </x:c>
      <x:c r="O131" t="n">
        <x:v>0</x:v>
      </x:c>
      <x:c r="P131" t="n">
        <x:v>43</x:v>
      </x:c>
      <x:c r="Q131" t="n">
        <x:v>1</x:v>
      </x:c>
      <x:c r="R131" t="n">
        <x:v>1</x:v>
      </x:c>
      <x:c r="S131" t="n">
        <x:v>2</x:v>
      </x:c>
      <x:c r="T131" s="50" t="n">
        <x:f>IF(D131=0,"",H131/D131)</x:f>
        <x:v>0.31264367816091954</x:v>
      </x:c>
      <x:c r="U131" t="n">
        <x:f>MAX(I131:S131)</x:f>
        <x:v>111</x:v>
      </x:c>
      <x:c r="V131" t="n">
        <x:f>H131-U131</x:f>
        <x:v>25</x:v>
      </x:c>
      <x:c r="W131" s="52" t="n">
        <x:f>IF(D131=0,"",(V131)/D131)</x:f>
        <x:v>0.05747126436781609</x:v>
      </x:c>
      <x:c r="X131" t="str">
        <x:v>AVTAR SINGH BHADANA</x:v>
      </x:c>
      <x:c r="Y131" t="n">
        <x:f>D131-E131-F131</x:f>
        <x:v>0</x:v>
      </x:c>
    </x:row>
    <x:row r="132">
      <x:c r="A132" t="n">
        <x:v>124</x:v>
      </x:c>
      <x:c r="B132" t="str">
        <x:v>PRIMARY SCHOOL NANUA KA RAJPUR ROOM NO 1</x:v>
      </x:c>
      <x:c r="C132" t="n">
        <x:v>576</x:v>
      </x:c>
      <x:c r="D132" t="n">
        <x:v>476</x:v>
      </x:c>
      <x:c r="E132" t="n">
        <x:f>SUM(H132:S132)</x:f>
        <x:v>471</x:v>
      </x:c>
      <x:c r="F132" t="n">
        <x:v>5</x:v>
      </x:c>
      <x:c r="G132" s="50" t="n">
        <x:f>IF(C132="","",IFERROR(D132/C132,0))</x:f>
        <x:v>0.8263888888888888</x:v>
      </x:c>
      <x:c r="H132" s="36" t="n">
        <x:v>308</x:v>
      </x:c>
      <x:c r="I132" t="n">
        <x:v>135</x:v>
      </x:c>
      <x:c r="J132" t="n">
        <x:v>11</x:v>
      </x:c>
      <x:c r="K132" t="n">
        <x:v>8</x:v>
      </x:c>
      <x:c r="L132" t="n">
        <x:v>0</x:v>
      </x:c>
      <x:c r="M132" t="n">
        <x:v>1</x:v>
      </x:c>
      <x:c r="N132" t="n">
        <x:v>0</x:v>
      </x:c>
      <x:c r="O132" t="n">
        <x:v>0</x:v>
      </x:c>
      <x:c r="P132" t="n">
        <x:v>4</x:v>
      </x:c>
      <x:c r="Q132" t="n">
        <x:v>0</x:v>
      </x:c>
      <x:c r="R132" t="n">
        <x:v>0</x:v>
      </x:c>
      <x:c r="S132" t="n">
        <x:v>4</x:v>
      </x:c>
      <x:c r="T132" s="50" t="n">
        <x:f>IF(D132=0,"",H132/D132)</x:f>
        <x:v>0.6470588235294118</x:v>
      </x:c>
      <x:c r="U132" t="n">
        <x:f>MAX(I132:S132)</x:f>
        <x:v>135</x:v>
      </x:c>
      <x:c r="V132" t="n">
        <x:f>H132-U132</x:f>
        <x:v>173</x:v>
      </x:c>
      <x:c r="W132" s="52" t="n">
        <x:f>IF(D132=0,"",(V132)/D132)</x:f>
        <x:v>0.3634453781512605</x:v>
      </x:c>
      <x:c r="X132" t="str">
        <x:v>AVTAR SINGH BHADANA</x:v>
      </x:c>
      <x:c r="Y132" t="n">
        <x:f>D132-E132-F132</x:f>
        <x:v>0</x:v>
      </x:c>
    </x:row>
    <x:row r="133">
      <x:c r="A133" t="n">
        <x:v>125</x:v>
      </x:c>
      <x:c r="B133" t="str">
        <x:v>PRIMARY SCHOOL NAWADA ROOM NO 1</x:v>
      </x:c>
      <x:c r="C133" t="n">
        <x:v>955</x:v>
      </x:c>
      <x:c r="D133" t="n">
        <x:v>639</x:v>
      </x:c>
      <x:c r="E133" t="n">
        <x:f>SUM(H133:S133)</x:f>
        <x:v>629</x:v>
      </x:c>
      <x:c r="F133" t="n">
        <x:v>10</x:v>
      </x:c>
      <x:c r="G133" s="50" t="n">
        <x:f>IF(C133="","",IFERROR(D133/C133,0))</x:f>
        <x:v>0.669109947643979</x:v>
      </x:c>
      <x:c r="H133" s="36" t="n">
        <x:v>265</x:v>
      </x:c>
      <x:c r="I133" t="n">
        <x:v>236</x:v>
      </x:c>
      <x:c r="J133" t="n">
        <x:v>91</x:v>
      </x:c>
      <x:c r="K133" t="n">
        <x:v>31</x:v>
      </x:c>
      <x:c r="L133" t="n">
        <x:v>0</x:v>
      </x:c>
      <x:c r="M133" t="n">
        <x:v>1</x:v>
      </x:c>
      <x:c r="N133" t="n">
        <x:v>0</x:v>
      </x:c>
      <x:c r="O133" t="n">
        <x:v>1</x:v>
      </x:c>
      <x:c r="P133" t="n">
        <x:v>0</x:v>
      </x:c>
      <x:c r="Q133" t="n">
        <x:v>0</x:v>
      </x:c>
      <x:c r="R133" t="n">
        <x:v>1</x:v>
      </x:c>
      <x:c r="S133" t="n">
        <x:v>3</x:v>
      </x:c>
      <x:c r="T133" s="50" t="n">
        <x:f>IF(D133=0,"",H133/D133)</x:f>
        <x:v>0.41471048513302033</x:v>
      </x:c>
      <x:c r="U133" t="n">
        <x:f>MAX(I133:S133)</x:f>
        <x:v>236</x:v>
      </x:c>
      <x:c r="V133" t="n">
        <x:f>H133-U133</x:f>
        <x:v>29</x:v>
      </x:c>
      <x:c r="W133" s="52" t="n">
        <x:f>IF(D133=0,"",(V133)/D133)</x:f>
        <x:v>0.04538341158059468</x:v>
      </x:c>
      <x:c r="X133" t="str">
        <x:v>AVTAR SINGH BHADANA</x:v>
      </x:c>
      <x:c r="Y133" t="n">
        <x:f>D133-E133-F133</x:f>
        <x:v>0</x:v>
      </x:c>
    </x:row>
    <x:row r="134">
      <x:c r="A134" t="n">
        <x:v>126</x:v>
      </x:c>
      <x:c r="B134" t="str">
        <x:v>PRIMARY SCHOOL NAWADA ROOM NO 2</x:v>
      </x:c>
      <x:c r="C134" t="n">
        <x:v>844</x:v>
      </x:c>
      <x:c r="D134" t="n">
        <x:v>488</x:v>
      </x:c>
      <x:c r="E134" t="n">
        <x:f>SUM(H134:S134)</x:f>
        <x:v>482</x:v>
      </x:c>
      <x:c r="F134" t="n">
        <x:v>6</x:v>
      </x:c>
      <x:c r="G134" s="50" t="n">
        <x:f>IF(C134="","",IFERROR(D134/C134,0))</x:f>
        <x:v>0.5781990521327014</x:v>
      </x:c>
      <x:c r="H134" s="36" t="n">
        <x:v>93</x:v>
      </x:c>
      <x:c r="I134" t="n">
        <x:v>152</x:v>
      </x:c>
      <x:c r="J134" t="n">
        <x:v>206</x:v>
      </x:c>
      <x:c r="K134" t="n">
        <x:v>14</x:v>
      </x:c>
      <x:c r="L134" t="n">
        <x:v>3</x:v>
      </x:c>
      <x:c r="M134" t="n">
        <x:v>0</x:v>
      </x:c>
      <x:c r="N134" t="n">
        <x:v>0</x:v>
      </x:c>
      <x:c r="O134" t="n">
        <x:v>3</x:v>
      </x:c>
      <x:c r="P134" t="n">
        <x:v>1</x:v>
      </x:c>
      <x:c r="Q134" t="n">
        <x:v>0</x:v>
      </x:c>
      <x:c r="R134" t="n">
        <x:v>7</x:v>
      </x:c>
      <x:c r="S134" t="n">
        <x:v>3</x:v>
      </x:c>
      <x:c r="T134" s="50" t="n">
        <x:f>IF(D134=0,"",H134/D134)</x:f>
        <x:v>0.19057377049180327</x:v>
      </x:c>
      <x:c r="U134" t="n">
        <x:f>MAX(I134:S134)</x:f>
        <x:v>206</x:v>
      </x:c>
      <x:c r="V134" t="n">
        <x:f>H134-U134</x:f>
        <x:v>-113</x:v>
      </x:c>
      <x:c r="W134" s="52" t="n">
        <x:f>IF(D134=0,"",(V134)/D134)</x:f>
        <x:v>-0.23155737704918034</x:v>
      </x:c>
      <x:c r="X134" t="str">
        <x:v>NARENDER KUMAR</x:v>
      </x:c>
      <x:c r="Y134" t="n">
        <x:f>D134-E134-F134</x:f>
        <x:v>0</x:v>
      </x:c>
    </x:row>
    <x:row r="135">
      <x:c r="A135" t="n">
        <x:v>127</x:v>
      </x:c>
      <x:c r="B135" t="str">
        <x:v>PRIMARY SCHOOL NAWADA ROOM NO 3</x:v>
      </x:c>
      <x:c r="C135" t="n">
        <x:v>932</x:v>
      </x:c>
      <x:c r="D135" t="n">
        <x:v>619</x:v>
      </x:c>
      <x:c r="E135" t="n">
        <x:f>SUM(H135:S135)</x:f>
        <x:v>617</x:v>
      </x:c>
      <x:c r="F135" t="n">
        <x:v>2</x:v>
      </x:c>
      <x:c r="G135" s="50" t="n">
        <x:f>IF(C135="","",IFERROR(D135/C135,0))</x:f>
        <x:v>0.6641630901287554</x:v>
      </x:c>
      <x:c r="H135" s="36" t="n">
        <x:v>210</x:v>
      </x:c>
      <x:c r="I135" t="n">
        <x:v>123</x:v>
      </x:c>
      <x:c r="J135" t="n">
        <x:v>248</x:v>
      </x:c>
      <x:c r="K135" t="n">
        <x:v>26</x:v>
      </x:c>
      <x:c r="L135" t="n">
        <x:v>2</x:v>
      </x:c>
      <x:c r="M135" t="n">
        <x:v>2</x:v>
      </x:c>
      <x:c r="N135" t="n">
        <x:v>0</x:v>
      </x:c>
      <x:c r="O135" t="n">
        <x:v>1</x:v>
      </x:c>
      <x:c r="P135" t="n">
        <x:v>0</x:v>
      </x:c>
      <x:c r="Q135" t="n">
        <x:v>1</x:v>
      </x:c>
      <x:c r="R135" t="n">
        <x:v>3</x:v>
      </x:c>
      <x:c r="S135" t="n">
        <x:v>1</x:v>
      </x:c>
      <x:c r="T135" s="50" t="n">
        <x:f>IF(D135=0,"",H135/D135)</x:f>
        <x:v>0.3392568659127625</x:v>
      </x:c>
      <x:c r="U135" t="n">
        <x:f>MAX(I135:S135)</x:f>
        <x:v>248</x:v>
      </x:c>
      <x:c r="V135" t="n">
        <x:f>H135-U135</x:f>
        <x:v>-38</x:v>
      </x:c>
      <x:c r="W135" s="52" t="n">
        <x:f>IF(D135=0,"",(V135)/D135)</x:f>
        <x:v>-0.061389337641357025</x:v>
      </x:c>
      <x:c r="X135" t="str">
        <x:v>NARENDER KUMAR</x:v>
      </x:c>
      <x:c r="Y135" t="n">
        <x:f>D135-E135-F135</x:f>
        <x:v>0</x:v>
      </x:c>
    </x:row>
    <x:row r="136">
      <x:c r="A136" t="n">
        <x:v>128</x:v>
      </x:c>
      <x:c r="B136" t="str">
        <x:v>PRIMARY SCHOOL KANARSA MAJRA KANARSI ROOM NO 1</x:v>
      </x:c>
      <x:c r="C136" t="n">
        <x:v>1134</x:v>
      </x:c>
      <x:c r="D136" t="n">
        <x:v>753</x:v>
      </x:c>
      <x:c r="E136" t="n">
        <x:f>SUM(H136:S136)</x:f>
        <x:v>746</x:v>
      </x:c>
      <x:c r="F136" t="n">
        <x:v>7</x:v>
      </x:c>
      <x:c r="G136" s="50" t="n">
        <x:f>IF(C136="","",IFERROR(D136/C136,0))</x:f>
        <x:v>0.6640211640211641</x:v>
      </x:c>
      <x:c r="H136" s="36" t="n">
        <x:v>98</x:v>
      </x:c>
      <x:c r="I136" t="n">
        <x:v>149</x:v>
      </x:c>
      <x:c r="J136" t="n">
        <x:v>477</x:v>
      </x:c>
      <x:c r="K136" t="n">
        <x:v>3</x:v>
      </x:c>
      <x:c r="L136" t="n">
        <x:v>0</x:v>
      </x:c>
      <x:c r="M136" t="n">
        <x:v>2</x:v>
      </x:c>
      <x:c r="N136" t="n">
        <x:v>1</x:v>
      </x:c>
      <x:c r="O136" t="n">
        <x:v>0</x:v>
      </x:c>
      <x:c r="P136" t="n">
        <x:v>0</x:v>
      </x:c>
      <x:c r="Q136" t="n">
        <x:v>0</x:v>
      </x:c>
      <x:c r="R136" t="n">
        <x:v>8</x:v>
      </x:c>
      <x:c r="S136" t="n">
        <x:v>8</x:v>
      </x:c>
      <x:c r="T136" s="50" t="n">
        <x:f>IF(D136=0,"",H136/D136)</x:f>
        <x:v>0.1301460823373174</x:v>
      </x:c>
      <x:c r="U136" t="n">
        <x:f>MAX(I136:S136)</x:f>
        <x:v>477</x:v>
      </x:c>
      <x:c r="V136" t="n">
        <x:f>H136-U136</x:f>
        <x:v>-379</x:v>
      </x:c>
      <x:c r="W136" s="52" t="n">
        <x:f>IF(D136=0,"",(V136)/D136)</x:f>
        <x:v>-0.5033200531208499</x:v>
      </x:c>
      <x:c r="X136" t="str">
        <x:v>NARENDER KUMAR</x:v>
      </x:c>
      <x:c r="Y136" t="n">
        <x:f>D136-E136-F136</x:f>
        <x:v>0</x:v>
      </x:c>
    </x:row>
    <x:row r="137">
      <x:c r="A137" t="n">
        <x:v>129</x:v>
      </x:c>
      <x:c r="B137" t="str">
        <x:v>PRIMARY SCHOOL KANARASI ROOM NO 1</x:v>
      </x:c>
      <x:c r="C137" t="n">
        <x:v>927</x:v>
      </x:c>
      <x:c r="D137" t="n">
        <x:v>671</x:v>
      </x:c>
      <x:c r="E137" t="n">
        <x:f>SUM(H137:S137)</x:f>
        <x:v>669</x:v>
      </x:c>
      <x:c r="F137" t="n">
        <x:v>2</x:v>
      </x:c>
      <x:c r="G137" s="50" t="n">
        <x:f>IF(C137="","",IFERROR(D137/C137,0))</x:f>
        <x:v>0.7238403451995685</x:v>
      </x:c>
      <x:c r="H137" s="36" t="n">
        <x:v>196</x:v>
      </x:c>
      <x:c r="I137" t="n">
        <x:v>267</x:v>
      </x:c>
      <x:c r="J137" t="n">
        <x:v>191</x:v>
      </x:c>
      <x:c r="K137" t="n">
        <x:v>11</x:v>
      </x:c>
      <x:c r="L137" t="n">
        <x:v>0</x:v>
      </x:c>
      <x:c r="M137" t="n">
        <x:v>0</x:v>
      </x:c>
      <x:c r="N137" t="n">
        <x:v>0</x:v>
      </x:c>
      <x:c r="O137" t="n">
        <x:v>1</x:v>
      </x:c>
      <x:c r="P137" t="n">
        <x:v>1</x:v>
      </x:c>
      <x:c r="Q137" t="n">
        <x:v>0</x:v>
      </x:c>
      <x:c r="R137" t="n">
        <x:v>2</x:v>
      </x:c>
      <x:c r="S137" t="n">
        <x:v>0</x:v>
      </x:c>
      <x:c r="T137" s="50" t="n">
        <x:f>IF(D137=0,"",H137/D137)</x:f>
        <x:v>0.29210134128166915</x:v>
      </x:c>
      <x:c r="U137" t="n">
        <x:f>MAX(I137:S137)</x:f>
        <x:v>267</x:v>
      </x:c>
      <x:c r="V137" t="n">
        <x:f>H137-U137</x:f>
        <x:v>-71</x:v>
      </x:c>
      <x:c r="W137" s="52" t="n">
        <x:f>IF(D137=0,"",(V137)/D137)</x:f>
        <x:v>-0.10581222056631892</x:v>
      </x:c>
      <x:c r="X137" t="str">
        <x:v>DHIRENDRA SINGH</x:v>
      </x:c>
      <x:c r="Y137" t="n">
        <x:f>D137-E137-F137</x:f>
        <x:v>0</x:v>
      </x:c>
    </x:row>
    <x:row r="138">
      <x:c r="A138" t="n">
        <x:v>130</x:v>
      </x:c>
      <x:c r="B138" t="str">
        <x:v>PRIMARY SCHOOL KANARASI ROOM NO 2</x:v>
      </x:c>
      <x:c r="C138" t="n">
        <x:v>905</x:v>
      </x:c>
      <x:c r="D138" t="n">
        <x:v>647</x:v>
      </x:c>
      <x:c r="E138" t="n">
        <x:f>SUM(H138:S138)</x:f>
        <x:v>640</x:v>
      </x:c>
      <x:c r="F138" t="n">
        <x:v>7</x:v>
      </x:c>
      <x:c r="G138" s="50" t="n">
        <x:f>IF(C138="","",IFERROR(D138/C138,0))</x:f>
        <x:v>0.7149171270718232</x:v>
      </x:c>
      <x:c r="H138" s="36" t="n">
        <x:v>153</x:v>
      </x:c>
      <x:c r="I138" t="n">
        <x:v>288</x:v>
      </x:c>
      <x:c r="J138" t="n">
        <x:v>168</x:v>
      </x:c>
      <x:c r="K138" t="n">
        <x:v>18</x:v>
      </x:c>
      <x:c r="L138" t="n">
        <x:v>0</x:v>
      </x:c>
      <x:c r="M138" t="n">
        <x:v>2</x:v>
      </x:c>
      <x:c r="N138" t="n">
        <x:v>0</x:v>
      </x:c>
      <x:c r="O138" t="n">
        <x:v>1</x:v>
      </x:c>
      <x:c r="P138" t="n">
        <x:v>2</x:v>
      </x:c>
      <x:c r="Q138" t="n">
        <x:v>1</x:v>
      </x:c>
      <x:c r="R138" t="n">
        <x:v>3</x:v>
      </x:c>
      <x:c r="S138" t="n">
        <x:v>4</x:v>
      </x:c>
      <x:c r="T138" s="50" t="n">
        <x:f>IF(D138=0,"",H138/D138)</x:f>
        <x:v>0.23647604327666152</x:v>
      </x:c>
      <x:c r="U138" t="n">
        <x:f>MAX(I138:S138)</x:f>
        <x:v>288</x:v>
      </x:c>
      <x:c r="V138" t="n">
        <x:f>H138-U138</x:f>
        <x:v>-135</x:v>
      </x:c>
      <x:c r="W138" s="52" t="n">
        <x:f>IF(D138=0,"",(V138)/D138)</x:f>
        <x:v>-0.20865533230293662</x:v>
      </x:c>
      <x:c r="X138" t="str">
        <x:v>DHIRENDRA SINGH</x:v>
      </x:c>
      <x:c r="Y138" t="n">
        <x:f>D138-E138-F138</x:f>
        <x:v>0</x:v>
      </x:c>
    </x:row>
    <x:row r="139">
      <x:c r="A139" t="n">
        <x:v>131</x:v>
      </x:c>
      <x:c r="B139" t="str">
        <x:v>PRIMARY SCHOOL JUNAIDPUR ROOM NO 1</x:v>
      </x:c>
      <x:c r="C139" t="n">
        <x:v>864</x:v>
      </x:c>
      <x:c r="D139" t="n">
        <x:v>560</x:v>
      </x:c>
      <x:c r="E139" t="n">
        <x:f>SUM(H139:S139)</x:f>
        <x:v>551</x:v>
      </x:c>
      <x:c r="F139" t="n">
        <x:v>9</x:v>
      </x:c>
      <x:c r="G139" s="50" t="n">
        <x:f>IF(C139="","",IFERROR(D139/C139,0))</x:f>
        <x:v>0.6481481481481481</x:v>
      </x:c>
      <x:c r="H139" s="36" t="n">
        <x:v>253</x:v>
      </x:c>
      <x:c r="I139" t="n">
        <x:v>130</x:v>
      </x:c>
      <x:c r="J139" t="n">
        <x:v>151</x:v>
      </x:c>
      <x:c r="K139" t="n">
        <x:v>8</x:v>
      </x:c>
      <x:c r="L139" t="n">
        <x:v>1</x:v>
      </x:c>
      <x:c r="M139" t="n">
        <x:v>1</x:v>
      </x:c>
      <x:c r="N139" t="n">
        <x:v>0</x:v>
      </x:c>
      <x:c r="O139" t="n">
        <x:v>1</x:v>
      </x:c>
      <x:c r="P139" t="n">
        <x:v>0</x:v>
      </x:c>
      <x:c r="Q139" t="n">
        <x:v>0</x:v>
      </x:c>
      <x:c r="R139" t="n">
        <x:v>6</x:v>
      </x:c>
      <x:c r="S139" t="n">
        <x:v>0</x:v>
      </x:c>
      <x:c r="T139" s="50" t="n">
        <x:f>IF(D139=0,"",H139/D139)</x:f>
        <x:v>0.4517857142857143</x:v>
      </x:c>
      <x:c r="U139" t="n">
        <x:f>MAX(I139:S139)</x:f>
        <x:v>151</x:v>
      </x:c>
      <x:c r="V139" t="n">
        <x:f>H139-U139</x:f>
        <x:v>102</x:v>
      </x:c>
      <x:c r="W139" s="52" t="n">
        <x:f>IF(D139=0,"",(V139)/D139)</x:f>
        <x:v>0.18214285714285713</x:v>
      </x:c>
      <x:c r="X139" t="str">
        <x:v>AVTAR SINGH BHADANA</x:v>
      </x:c>
      <x:c r="Y139" t="n">
        <x:f>D139-E139-F139</x:f>
        <x:v>0</x:v>
      </x:c>
    </x:row>
    <x:row r="140">
      <x:c r="A140" t="n">
        <x:v>132</x:v>
      </x:c>
      <x:c r="B140" t="str">
        <x:v>PRIMARY SCHOOL JUNAIDPUR ROOM NO 2</x:v>
      </x:c>
      <x:c r="C140" t="n">
        <x:v>795</x:v>
      </x:c>
      <x:c r="D140" t="n">
        <x:v>483</x:v>
      </x:c>
      <x:c r="E140" t="n">
        <x:f>SUM(H140:S140)</x:f>
        <x:v>474</x:v>
      </x:c>
      <x:c r="F140" t="n">
        <x:v>9</x:v>
      </x:c>
      <x:c r="G140" s="50" t="n">
        <x:f>IF(C140="","",IFERROR(D140/C140,0))</x:f>
        <x:v>0.6075471698113207</x:v>
      </x:c>
      <x:c r="H140" s="36" t="n">
        <x:v>306</x:v>
      </x:c>
      <x:c r="I140" t="n">
        <x:v>103</x:v>
      </x:c>
      <x:c r="J140" t="n">
        <x:v>37</x:v>
      </x:c>
      <x:c r="K140" t="n">
        <x:v>17</x:v>
      </x:c>
      <x:c r="L140" t="n">
        <x:v>0</x:v>
      </x:c>
      <x:c r="M140" t="n">
        <x:v>1</x:v>
      </x:c>
      <x:c r="N140" t="n">
        <x:v>0</x:v>
      </x:c>
      <x:c r="O140" t="n">
        <x:v>1</x:v>
      </x:c>
      <x:c r="P140" t="n">
        <x:v>3</x:v>
      </x:c>
      <x:c r="Q140" t="n">
        <x:v>2</x:v>
      </x:c>
      <x:c r="R140" t="n">
        <x:v>1</x:v>
      </x:c>
      <x:c r="S140" t="n">
        <x:v>3</x:v>
      </x:c>
      <x:c r="T140" s="50" t="n">
        <x:f>IF(D140=0,"",H140/D140)</x:f>
        <x:v>0.6335403726708074</x:v>
      </x:c>
      <x:c r="U140" t="n">
        <x:f>MAX(I140:S140)</x:f>
        <x:v>103</x:v>
      </x:c>
      <x:c r="V140" t="n">
        <x:f>H140-U140</x:f>
        <x:v>203</x:v>
      </x:c>
      <x:c r="W140" s="52" t="n">
        <x:f>IF(D140=0,"",(V140)/D140)</x:f>
        <x:v>0.42028985507246375</x:v>
      </x:c>
      <x:c r="X140" t="str">
        <x:v>AVTAR SINGH BHADANA</x:v>
      </x:c>
      <x:c r="Y140" t="n">
        <x:f>D140-E140-F140</x:f>
        <x:v>0</x:v>
      </x:c>
    </x:row>
    <x:row r="141">
      <x:c r="A141" t="n">
        <x:v>133</x:v>
      </x:c>
      <x:c r="B141" t="str">
        <x:v>PRIMARY SCHOOL CHACHULA ROOM NO 1</x:v>
      </x:c>
      <x:c r="C141" t="n">
        <x:v>1010</x:v>
      </x:c>
      <x:c r="D141" t="n">
        <x:v>706</x:v>
      </x:c>
      <x:c r="E141" t="n">
        <x:f>SUM(H141:S141)</x:f>
        <x:v>703</x:v>
      </x:c>
      <x:c r="F141" t="n">
        <x:v>3</x:v>
      </x:c>
      <x:c r="G141" s="50" t="n">
        <x:f>IF(C141="","",IFERROR(D141/C141,0))</x:f>
        <x:v>0.699009900990099</x:v>
      </x:c>
      <x:c r="H141" s="36" t="n">
        <x:v>160</x:v>
      </x:c>
      <x:c r="I141" t="n">
        <x:v>393</x:v>
      </x:c>
      <x:c r="J141" t="n">
        <x:v>142</x:v>
      </x:c>
      <x:c r="K141" t="n">
        <x:v>2</x:v>
      </x:c>
      <x:c r="L141" t="n">
        <x:v>1</x:v>
      </x:c>
      <x:c r="M141" t="n">
        <x:v>1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2</x:v>
      </x:c>
      <x:c r="S141" t="n">
        <x:v>2</x:v>
      </x:c>
      <x:c r="T141" s="50" t="n">
        <x:f>IF(D141=0,"",H141/D141)</x:f>
        <x:v>0.22662889518413598</x:v>
      </x:c>
      <x:c r="U141" t="n">
        <x:f>MAX(I141:S141)</x:f>
        <x:v>393</x:v>
      </x:c>
      <x:c r="V141" t="n">
        <x:f>H141-U141</x:f>
        <x:v>-233</x:v>
      </x:c>
      <x:c r="W141" s="52" t="n">
        <x:f>IF(D141=0,"",(V141)/D141)</x:f>
        <x:v>-0.330028328611898</x:v>
      </x:c>
      <x:c r="X141" t="str">
        <x:v>DHIRENDRA SINGH</x:v>
      </x:c>
      <x:c r="Y141" t="n">
        <x:f>D141-E141-F141</x:f>
        <x:v>0</x:v>
      </x:c>
    </x:row>
    <x:row r="142">
      <x:c r="A142" t="n">
        <x:v>134</x:v>
      </x:c>
      <x:c r="B142" t="str">
        <x:v>PRIMARY SCHOOL CHACHULA ROOM NO 2</x:v>
      </x:c>
      <x:c r="C142" t="n">
        <x:v>937</x:v>
      </x:c>
      <x:c r="D142" t="n">
        <x:v>520</x:v>
      </x:c>
      <x:c r="E142" t="n">
        <x:f>SUM(H142:S142)</x:f>
        <x:v>517</x:v>
      </x:c>
      <x:c r="F142" t="n">
        <x:v>3</x:v>
      </x:c>
      <x:c r="G142" s="50" t="n">
        <x:f>IF(C142="","",IFERROR(D142/C142,0))</x:f>
        <x:v>0.5549626467449307</x:v>
      </x:c>
      <x:c r="H142" s="36" t="n">
        <x:v>161</x:v>
      </x:c>
      <x:c r="I142" t="n">
        <x:v>257</x:v>
      </x:c>
      <x:c r="J142" t="n">
        <x:v>84</x:v>
      </x:c>
      <x:c r="K142" t="n">
        <x:v>11</x:v>
      </x:c>
      <x:c r="L142" t="n">
        <x:v>0</x:v>
      </x:c>
      <x:c r="M142" t="n">
        <x:v>1</x:v>
      </x:c>
      <x:c r="N142" t="n">
        <x:v>0</x:v>
      </x:c>
      <x:c r="O142" t="n">
        <x:v>0</x:v>
      </x:c>
      <x:c r="P142" t="n">
        <x:v>1</x:v>
      </x:c>
      <x:c r="Q142" t="n">
        <x:v>0</x:v>
      </x:c>
      <x:c r="R142" t="n">
        <x:v>2</x:v>
      </x:c>
      <x:c r="S142" t="n">
        <x:v>0</x:v>
      </x:c>
      <x:c r="T142" s="50" t="n">
        <x:f>IF(D142=0,"",H142/D142)</x:f>
        <x:v>0.3096153846153846</x:v>
      </x:c>
      <x:c r="U142" t="n">
        <x:f>MAX(I142:S142)</x:f>
        <x:v>257</x:v>
      </x:c>
      <x:c r="V142" t="n">
        <x:f>H142-U142</x:f>
        <x:v>-96</x:v>
      </x:c>
      <x:c r="W142" s="52" t="n">
        <x:f>IF(D142=0,"",(V142)/D142)</x:f>
        <x:v>-0.18461538461538463</x:v>
      </x:c>
      <x:c r="X142" t="str">
        <x:v>DHIRENDRA SINGH</x:v>
      </x:c>
      <x:c r="Y142" t="n">
        <x:f>D142-E142-F142</x:f>
        <x:v>0</x:v>
      </x:c>
    </x:row>
    <x:row r="143">
      <x:c r="A143" t="n">
        <x:v>135</x:v>
      </x:c>
      <x:c r="B143" t="str">
        <x:v>PRIMARY SCHOOL ROSHANPUR ROOM NO 1</x:v>
      </x:c>
      <x:c r="C143" t="n">
        <x:v>866</x:v>
      </x:c>
      <x:c r="D143" t="n">
        <x:v>567</x:v>
      </x:c>
      <x:c r="E143" t="n">
        <x:f>SUM(H143:S143)</x:f>
        <x:v>566</x:v>
      </x:c>
      <x:c r="F143" t="n">
        <x:v>1</x:v>
      </x:c>
      <x:c r="G143" s="50" t="n">
        <x:f>IF(C143="","",IFERROR(D143/C143,0))</x:f>
        <x:v>0.6547344110854504</x:v>
      </x:c>
      <x:c r="H143" s="36" t="n">
        <x:v>32</x:v>
      </x:c>
      <x:c r="I143" t="n">
        <x:v>257</x:v>
      </x:c>
      <x:c r="J143" t="n">
        <x:v>264</x:v>
      </x:c>
      <x:c r="K143" t="n">
        <x:v>6</x:v>
      </x:c>
      <x:c r="L143" t="n">
        <x:v>1</x:v>
      </x:c>
      <x:c r="M143" t="n">
        <x:v>1</x:v>
      </x:c>
      <x:c r="N143" t="n">
        <x:v>0</x:v>
      </x:c>
      <x:c r="O143" t="n">
        <x:v>0</x:v>
      </x:c>
      <x:c r="P143" t="n">
        <x:v>0</x:v>
      </x:c>
      <x:c r="Q143" t="n">
        <x:v>2</x:v>
      </x:c>
      <x:c r="R143" t="n">
        <x:v>2</x:v>
      </x:c>
      <x:c r="S143" t="n">
        <x:v>1</x:v>
      </x:c>
      <x:c r="T143" s="50" t="n">
        <x:f>IF(D143=0,"",H143/D143)</x:f>
        <x:v>0.0564373897707231</x:v>
      </x:c>
      <x:c r="U143" t="n">
        <x:f>MAX(I143:S143)</x:f>
        <x:v>264</x:v>
      </x:c>
      <x:c r="V143" t="n">
        <x:f>H143-U143</x:f>
        <x:v>-232</x:v>
      </x:c>
      <x:c r="W143" s="52" t="n">
        <x:f>IF(D143=0,"",(V143)/D143)</x:f>
        <x:v>-0.4091710758377425</x:v>
      </x:c>
      <x:c r="X143" t="str">
        <x:v>NARENDER KUMAR</x:v>
      </x:c>
      <x:c r="Y143" t="n">
        <x:f>D143-E143-F143</x:f>
        <x:v>0</x:v>
      </x:c>
    </x:row>
    <x:row r="144">
      <x:c r="A144" t="n">
        <x:v>136</x:v>
      </x:c>
      <x:c r="B144" t="str">
        <x:v>PRIMARY SCHOOL DHANAURI ROOM NO 1</x:v>
      </x:c>
      <x:c r="C144" t="n">
        <x:v>1029</x:v>
      </x:c>
      <x:c r="D144" t="n">
        <x:v>762</x:v>
      </x:c>
      <x:c r="E144" t="n">
        <x:f>SUM(H144:S144)</x:f>
        <x:v>758</x:v>
      </x:c>
      <x:c r="F144" t="n">
        <x:v>4</x:v>
      </x:c>
      <x:c r="G144" s="50" t="n">
        <x:f>IF(C144="","",IFERROR(D144/C144,0))</x:f>
        <x:v>0.7405247813411079</x:v>
      </x:c>
      <x:c r="H144" s="36" t="n">
        <x:v>42</x:v>
      </x:c>
      <x:c r="I144" t="n">
        <x:v>490</x:v>
      </x:c>
      <x:c r="J144" t="n">
        <x:v>208</x:v>
      </x:c>
      <x:c r="K144" t="n">
        <x:v>10</x:v>
      </x:c>
      <x:c r="L144" t="n">
        <x:v>1</x:v>
      </x:c>
      <x:c r="M144" t="n">
        <x:v>0</x:v>
      </x:c>
      <x:c r="N144" t="n">
        <x:v>1</x:v>
      </x:c>
      <x:c r="O144" t="n">
        <x:v>0</x:v>
      </x:c>
      <x:c r="P144" t="n">
        <x:v>1</x:v>
      </x:c>
      <x:c r="Q144" t="n">
        <x:v>1</x:v>
      </x:c>
      <x:c r="R144" t="n">
        <x:v>1</x:v>
      </x:c>
      <x:c r="S144" t="n">
        <x:v>3</x:v>
      </x:c>
      <x:c r="T144" s="50" t="n">
        <x:f>IF(D144=0,"",H144/D144)</x:f>
        <x:v>0.05511811023622047</x:v>
      </x:c>
      <x:c r="U144" t="n">
        <x:f>MAX(I144:S144)</x:f>
        <x:v>490</x:v>
      </x:c>
      <x:c r="V144" t="n">
        <x:f>H144-U144</x:f>
        <x:v>-448</x:v>
      </x:c>
      <x:c r="W144" s="52" t="n">
        <x:f>IF(D144=0,"",(V144)/D144)</x:f>
        <x:v>-0.5879265091863517</x:v>
      </x:c>
      <x:c r="X144" t="str">
        <x:v>DHIRENDRA SINGH</x:v>
      </x:c>
      <x:c r="Y144" t="n">
        <x:f>D144-E144-F144</x:f>
        <x:v>0</x:v>
      </x:c>
    </x:row>
    <x:row r="145">
      <x:c r="A145" t="n">
        <x:v>137</x:v>
      </x:c>
      <x:c r="B145" t="str">
        <x:v>PRIMARY SCHOOL DHANAURI ROOM NO 2</x:v>
      </x:c>
      <x:c r="C145" t="n">
        <x:v>767</x:v>
      </x:c>
      <x:c r="D145" t="n">
        <x:v>516</x:v>
      </x:c>
      <x:c r="E145" t="n">
        <x:f>SUM(H145:S145)</x:f>
        <x:v>511</x:v>
      </x:c>
      <x:c r="F145" t="n">
        <x:v>5</x:v>
      </x:c>
      <x:c r="G145" s="50" t="n">
        <x:f>IF(C145="","",IFERROR(D145/C145,0))</x:f>
        <x:v>0.6727509778357236</x:v>
      </x:c>
      <x:c r="H145" s="36" t="n">
        <x:v>46</x:v>
      </x:c>
      <x:c r="I145" t="n">
        <x:v>393</x:v>
      </x:c>
      <x:c r="J145" t="n">
        <x:v>65</x:v>
      </x:c>
      <x:c r="K145" t="n">
        <x:v>4</x:v>
      </x:c>
      <x:c r="L145" t="n">
        <x:v>0</x:v>
      </x:c>
      <x:c r="M145" t="n">
        <x:v>1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2</x:v>
      </x:c>
      <x:c r="T145" s="50" t="n">
        <x:f>IF(D145=0,"",H145/D145)</x:f>
        <x:v>0.08914728682170543</x:v>
      </x:c>
      <x:c r="U145" t="n">
        <x:f>MAX(I145:S145)</x:f>
        <x:v>393</x:v>
      </x:c>
      <x:c r="V145" t="n">
        <x:f>H145-U145</x:f>
        <x:v>-347</x:v>
      </x:c>
      <x:c r="W145" s="52" t="n">
        <x:f>IF(D145=0,"",(V145)/D145)</x:f>
        <x:v>-0.6724806201550387</x:v>
      </x:c>
      <x:c r="X145" t="str">
        <x:v>DHIRENDRA SINGH</x:v>
      </x:c>
      <x:c r="Y145" t="n">
        <x:f>D145-E145-F145</x:f>
        <x:v>0</x:v>
      </x:c>
    </x:row>
    <x:row r="146">
      <x:c r="A146" t="n">
        <x:v>138</x:v>
      </x:c>
      <x:c r="B146" t="str">
        <x:v>SUNHARI LAL BALMUKUND INTER COLLEGE DHANAURI ROOM NO. 1</x:v>
      </x:c>
      <x:c r="C146" t="n">
        <x:v>843</x:v>
      </x:c>
      <x:c r="D146" t="n">
        <x:v>617</x:v>
      </x:c>
      <x:c r="E146" t="n">
        <x:f>SUM(H146:S146)</x:f>
        <x:v>607</x:v>
      </x:c>
      <x:c r="F146" t="n">
        <x:v>10</x:v>
      </x:c>
      <x:c r="G146" s="50" t="n">
        <x:f>IF(C146="","",IFERROR(D146/C146,0))</x:f>
        <x:v>0.7319098457888493</x:v>
      </x:c>
      <x:c r="H146" s="36" t="n">
        <x:v>171</x:v>
      </x:c>
      <x:c r="I146" t="n">
        <x:v>244</x:v>
      </x:c>
      <x:c r="J146" t="n">
        <x:v>160</x:v>
      </x:c>
      <x:c r="K146" t="n">
        <x:v>14</x:v>
      </x:c>
      <x:c r="L146" t="n">
        <x:v>3</x:v>
      </x:c>
      <x:c r="M146" t="n">
        <x:v>0</x:v>
      </x:c>
      <x:c r="N146" t="n">
        <x:v>0</x:v>
      </x:c>
      <x:c r="O146" t="n">
        <x:v>2</x:v>
      </x:c>
      <x:c r="P146" t="n">
        <x:v>1</x:v>
      </x:c>
      <x:c r="Q146" t="n">
        <x:v>1</x:v>
      </x:c>
      <x:c r="R146" t="n">
        <x:v>6</x:v>
      </x:c>
      <x:c r="S146" t="n">
        <x:v>5</x:v>
      </x:c>
      <x:c r="T146" s="50" t="n">
        <x:f>IF(D146=0,"",H146/D146)</x:f>
        <x:v>0.2771474878444084</x:v>
      </x:c>
      <x:c r="U146" t="n">
        <x:f>MAX(I146:S146)</x:f>
        <x:v>244</x:v>
      </x:c>
      <x:c r="V146" t="n">
        <x:f>H146-U146</x:f>
        <x:v>-73</x:v>
      </x:c>
      <x:c r="W146" s="52" t="n">
        <x:f>IF(D146=0,"",(V146)/D146)</x:f>
        <x:v>-0.11831442463533225</x:v>
      </x:c>
      <x:c r="X146" t="str">
        <x:v>DHIRENDRA SINGH</x:v>
      </x:c>
      <x:c r="Y146" t="n">
        <x:f>D146-E146-F146</x:f>
        <x:v>0</x:v>
      </x:c>
    </x:row>
    <x:row r="147">
      <x:c r="A147" t="n">
        <x:v>139</x:v>
      </x:c>
      <x:c r="B147" t="str">
        <x:v>SUNHARI LAL BALMUKUND INTER COLLEGE DHANAURI ROOM NO. 2</x:v>
      </x:c>
      <x:c r="C147" t="n">
        <x:v>806</x:v>
      </x:c>
      <x:c r="D147" t="n">
        <x:v>588</x:v>
      </x:c>
      <x:c r="E147" t="n">
        <x:f>SUM(H147:S147)</x:f>
        <x:v>584</x:v>
      </x:c>
      <x:c r="F147" t="n">
        <x:v>4</x:v>
      </x:c>
      <x:c r="G147" s="50" t="n">
        <x:f>IF(C147="","",IFERROR(D147/C147,0))</x:f>
        <x:v>0.7295285359801489</x:v>
      </x:c>
      <x:c r="H147" s="36" t="n">
        <x:v>162</x:v>
      </x:c>
      <x:c r="I147" t="n">
        <x:v>334</x:v>
      </x:c>
      <x:c r="J147" t="n">
        <x:v>57</x:v>
      </x:c>
      <x:c r="K147" t="n">
        <x:v>20</x:v>
      </x:c>
      <x:c r="L147" t="n">
        <x:v>0</x:v>
      </x:c>
      <x:c r="M147" t="n">
        <x:v>6</x:v>
      </x:c>
      <x:c r="N147" t="n">
        <x:v>0</x:v>
      </x:c>
      <x:c r="O147" t="n">
        <x:v>0</x:v>
      </x:c>
      <x:c r="P147" t="n">
        <x:v>0</x:v>
      </x:c>
      <x:c r="Q147" t="n">
        <x:v>1</x:v>
      </x:c>
      <x:c r="R147" t="n">
        <x:v>1</x:v>
      </x:c>
      <x:c r="S147" t="n">
        <x:v>3</x:v>
      </x:c>
      <x:c r="T147" s="50" t="n">
        <x:f>IF(D147=0,"",H147/D147)</x:f>
        <x:v>0.2755102040816326</x:v>
      </x:c>
      <x:c r="U147" t="n">
        <x:f>MAX(I147:S147)</x:f>
        <x:v>334</x:v>
      </x:c>
      <x:c r="V147" t="n">
        <x:f>H147-U147</x:f>
        <x:v>-172</x:v>
      </x:c>
      <x:c r="W147" s="52" t="n">
        <x:f>IF(D147=0,"",(V147)/D147)</x:f>
        <x:v>-0.2925170068027211</x:v>
      </x:c>
      <x:c r="X147" t="str">
        <x:v>DHIRENDRA SINGH</x:v>
      </x:c>
      <x:c r="Y147" t="n">
        <x:f>D147-E147-F147</x:f>
        <x:v>0</x:v>
      </x:c>
    </x:row>
    <x:row r="148">
      <x:c r="A148" t="n">
        <x:v>140</x:v>
      </x:c>
      <x:c r="B148" t="str">
        <x:v>PRIMARY SCHOOL, THASRANA ROOM NO. 1</x:v>
      </x:c>
      <x:c r="C148" t="n">
        <x:v>1101</x:v>
      </x:c>
      <x:c r="D148" t="n">
        <x:v>800</x:v>
      </x:c>
      <x:c r="E148" t="n">
        <x:f>SUM(H148:S148)</x:f>
        <x:v>797</x:v>
      </x:c>
      <x:c r="F148" t="n">
        <x:v>3</x:v>
      </x:c>
      <x:c r="G148" s="50" t="n">
        <x:f>IF(C148="","",IFERROR(D148/C148,0))</x:f>
        <x:v>0.7266121707538601</x:v>
      </x:c>
      <x:c r="H148" s="36" t="n">
        <x:v>47</x:v>
      </x:c>
      <x:c r="I148" t="n">
        <x:v>507</x:v>
      </x:c>
      <x:c r="J148" t="n">
        <x:v>200</x:v>
      </x:c>
      <x:c r="K148" t="n">
        <x:v>13</x:v>
      </x:c>
      <x:c r="L148" t="n">
        <x:v>1</x:v>
      </x:c>
      <x:c r="M148" t="n">
        <x:v>20</x:v>
      </x:c>
      <x:c r="N148" t="n">
        <x:v>0</x:v>
      </x:c>
      <x:c r="O148" t="n">
        <x:v>0</x:v>
      </x:c>
      <x:c r="P148" t="n">
        <x:v>0</x:v>
      </x:c>
      <x:c r="Q148" t="n">
        <x:v>1</x:v>
      </x:c>
      <x:c r="R148" t="n">
        <x:v>4</x:v>
      </x:c>
      <x:c r="S148" t="n">
        <x:v>4</x:v>
      </x:c>
      <x:c r="T148" s="50" t="n">
        <x:f>IF(D148=0,"",H148/D148)</x:f>
        <x:v>0.05875</x:v>
      </x:c>
      <x:c r="U148" t="n">
        <x:f>MAX(I148:S148)</x:f>
        <x:v>507</x:v>
      </x:c>
      <x:c r="V148" t="n">
        <x:f>H148-U148</x:f>
        <x:v>-460</x:v>
      </x:c>
      <x:c r="W148" s="52" t="n">
        <x:f>IF(D148=0,"",(V148)/D148)</x:f>
        <x:v>-0.575</x:v>
      </x:c>
      <x:c r="X148" t="str">
        <x:v>DHIRENDRA SINGH</x:v>
      </x:c>
      <x:c r="Y148" t="n">
        <x:f>D148-E148-F148</x:f>
        <x:v>0</x:v>
      </x:c>
    </x:row>
    <x:row r="149">
      <x:c r="A149" t="n">
        <x:v>141</x:v>
      </x:c>
      <x:c r="B149" t="str">
        <x:v>PRIMARY SCHOOL CHANGULI ROOM NO 1</x:v>
      </x:c>
      <x:c r="C149" t="n">
        <x:v>683</x:v>
      </x:c>
      <x:c r="D149" t="n">
        <x:v>534</x:v>
      </x:c>
      <x:c r="E149" t="n">
        <x:f>SUM(H149:S149)</x:f>
        <x:v>532</x:v>
      </x:c>
      <x:c r="F149" t="n">
        <x:v>2</x:v>
      </x:c>
      <x:c r="G149" s="50" t="n">
        <x:f>IF(C149="","",IFERROR(D149/C149,0))</x:f>
        <x:v>0.7818448023426061</x:v>
      </x:c>
      <x:c r="H149" s="36" t="n">
        <x:v>73</x:v>
      </x:c>
      <x:c r="I149" t="n">
        <x:v>411</x:v>
      </x:c>
      <x:c r="J149" t="n">
        <x:v>45</x:v>
      </x:c>
      <x:c r="K149" t="n">
        <x:v>0</x:v>
      </x:c>
      <x:c r="L149" t="n">
        <x:v>0</x:v>
      </x:c>
      <x:c r="M149" t="n">
        <x:v>2</x:v>
      </x:c>
      <x:c r="N149" t="n">
        <x:v>0</x:v>
      </x:c>
      <x:c r="O149" t="n">
        <x:v>0</x:v>
      </x:c>
      <x:c r="P149" t="n">
        <x:v>1</x:v>
      </x:c>
      <x:c r="Q149" t="n">
        <x:v>0</x:v>
      </x:c>
      <x:c r="R149" t="n">
        <x:v>0</x:v>
      </x:c>
      <x:c r="S149" t="n">
        <x:v>0</x:v>
      </x:c>
      <x:c r="T149" s="50" t="n">
        <x:f>IF(D149=0,"",H149/D149)</x:f>
        <x:v>0.13670411985018727</x:v>
      </x:c>
      <x:c r="U149" t="n">
        <x:f>MAX(I149:S149)</x:f>
        <x:v>411</x:v>
      </x:c>
      <x:c r="V149" t="n">
        <x:f>H149-U149</x:f>
        <x:v>-338</x:v>
      </x:c>
      <x:c r="W149" s="52" t="n">
        <x:f>IF(D149=0,"",(V149)/D149)</x:f>
        <x:v>-0.6329588014981273</x:v>
      </x:c>
      <x:c r="X149" t="str">
        <x:v>DHIRENDRA SINGH</x:v>
      </x:c>
      <x:c r="Y149" t="n">
        <x:f>D149-E149-F149</x:f>
        <x:v>0</x:v>
      </x:c>
    </x:row>
    <x:row r="150">
      <x:c r="A150" t="n">
        <x:v>142</x:v>
      </x:c>
      <x:c r="B150" t="str">
        <x:v>PRIMARY SCHOOL USMANPUR ROOM NO 1</x:v>
      </x:c>
      <x:c r="C150" t="n">
        <x:v>977</x:v>
      </x:c>
      <x:c r="D150" t="n">
        <x:v>707</x:v>
      </x:c>
      <x:c r="E150" t="n">
        <x:f>SUM(H150:S150)</x:f>
        <x:v>702</x:v>
      </x:c>
      <x:c r="F150" t="n">
        <x:v>5</x:v>
      </x:c>
      <x:c r="G150" s="50" t="n">
        <x:f>IF(C150="","",IFERROR(D150/C150,0))</x:f>
        <x:v>0.7236438075742068</x:v>
      </x:c>
      <x:c r="H150" s="36" t="n">
        <x:v>304</x:v>
      </x:c>
      <x:c r="I150" t="n">
        <x:v>294</x:v>
      </x:c>
      <x:c r="J150" t="n">
        <x:v>87</x:v>
      </x:c>
      <x:c r="K150" t="n">
        <x:v>9</x:v>
      </x:c>
      <x:c r="L150" t="n">
        <x:v>1</x:v>
      </x:c>
      <x:c r="M150" t="n">
        <x:v>0</x:v>
      </x:c>
      <x:c r="N150" t="n">
        <x:v>0</x:v>
      </x:c>
      <x:c r="O150" t="n">
        <x:v>1</x:v>
      </x:c>
      <x:c r="P150" t="n">
        <x:v>0</x:v>
      </x:c>
      <x:c r="Q150" t="n">
        <x:v>0</x:v>
      </x:c>
      <x:c r="R150" t="n">
        <x:v>0</x:v>
      </x:c>
      <x:c r="S150" t="n">
        <x:v>6</x:v>
      </x:c>
      <x:c r="T150" s="50" t="n">
        <x:f>IF(D150=0,"",H150/D150)</x:f>
        <x:v>0.42998585572843</x:v>
      </x:c>
      <x:c r="U150" t="n">
        <x:f>MAX(I150:S150)</x:f>
        <x:v>294</x:v>
      </x:c>
      <x:c r="V150" t="n">
        <x:f>H150-U150</x:f>
        <x:v>10</x:v>
      </x:c>
      <x:c r="W150" s="52" t="n">
        <x:f>IF(D150=0,"",(V150)/D150)</x:f>
        <x:v>0.014144271570014143</x:v>
      </x:c>
      <x:c r="X150" t="str">
        <x:v>AVTAR SINGH BHADANA</x:v>
      </x:c>
      <x:c r="Y150" t="n">
        <x:f>D150-E150-F150</x:f>
        <x:v>0</x:v>
      </x:c>
    </x:row>
    <x:row r="151">
      <x:c r="A151" t="n">
        <x:v>143</x:v>
      </x:c>
      <x:c r="B151" t="str">
        <x:v>PRIMARY SCHOOL USMANPUR ROOM NO 2</x:v>
      </x:c>
      <x:c r="C151" t="n">
        <x:v>1106</x:v>
      </x:c>
      <x:c r="D151" t="n">
        <x:v>914</x:v>
      </x:c>
      <x:c r="E151" t="n">
        <x:f>SUM(H151:S151)</x:f>
        <x:v>901</x:v>
      </x:c>
      <x:c r="F151" t="n">
        <x:v>13</x:v>
      </x:c>
      <x:c r="G151" s="50" t="n">
        <x:f>IF(C151="","",IFERROR(D151/C151,0))</x:f>
        <x:v>0.8264014466546112</x:v>
      </x:c>
      <x:c r="H151" s="36" t="n">
        <x:v>616</x:v>
      </x:c>
      <x:c r="I151" t="n">
        <x:v>180</x:v>
      </x:c>
      <x:c r="J151" t="n">
        <x:v>81</x:v>
      </x:c>
      <x:c r="K151" t="n">
        <x:v>7</x:v>
      </x:c>
      <x:c r="L151" t="n">
        <x:v>1</x:v>
      </x:c>
      <x:c r="M151" t="n">
        <x:v>5</x:v>
      </x:c>
      <x:c r="N151" t="n">
        <x:v>3</x:v>
      </x:c>
      <x:c r="O151" t="n">
        <x:v>0</x:v>
      </x:c>
      <x:c r="P151" t="n">
        <x:v>1</x:v>
      </x:c>
      <x:c r="Q151" t="n">
        <x:v>2</x:v>
      </x:c>
      <x:c r="R151" t="n">
        <x:v>1</x:v>
      </x:c>
      <x:c r="S151" t="n">
        <x:v>4</x:v>
      </x:c>
      <x:c r="T151" s="50" t="n">
        <x:f>IF(D151=0,"",H151/D151)</x:f>
        <x:v>0.6739606126914661</x:v>
      </x:c>
      <x:c r="U151" t="n">
        <x:f>MAX(I151:S151)</x:f>
        <x:v>180</x:v>
      </x:c>
      <x:c r="V151" t="n">
        <x:f>H151-U151</x:f>
        <x:v>436</x:v>
      </x:c>
      <x:c r="W151" s="52" t="n">
        <x:f>IF(D151=0,"",(V151)/D151)</x:f>
        <x:v>0.47702407002188185</x:v>
      </x:c>
      <x:c r="X151" t="str">
        <x:v>AVTAR SINGH BHADANA</x:v>
      </x:c>
      <x:c r="Y151" t="n">
        <x:f>D151-E151-F151</x:f>
        <x:v>0</x:v>
      </x:c>
    </x:row>
    <x:row r="152">
      <x:c r="A152" t="n">
        <x:v>144</x:v>
      </x:c>
      <x:c r="B152" t="str">
        <x:v>PRIMARY SCHOOL MUTAINA ROOM NO 1</x:v>
      </x:c>
      <x:c r="C152" t="n">
        <x:v>928</x:v>
      </x:c>
      <x:c r="D152" t="n">
        <x:v>688</x:v>
      </x:c>
      <x:c r="E152" t="n">
        <x:f>SUM(H152:S152)</x:f>
        <x:v>685</x:v>
      </x:c>
      <x:c r="F152" t="n">
        <x:v>3</x:v>
      </x:c>
      <x:c r="G152" s="50" t="n">
        <x:f>IF(C152="","",IFERROR(D152/C152,0))</x:f>
        <x:v>0.7413793103448276</x:v>
      </x:c>
      <x:c r="H152" s="36" t="n">
        <x:v>139</x:v>
      </x:c>
      <x:c r="I152" t="n">
        <x:v>432</x:v>
      </x:c>
      <x:c r="J152" t="n">
        <x:v>100</x:v>
      </x:c>
      <x:c r="K152" t="n">
        <x:v>2</x:v>
      </x:c>
      <x:c r="L152" t="n">
        <x:v>1</x:v>
      </x:c>
      <x:c r="M152" t="n">
        <x:v>1</x:v>
      </x:c>
      <x:c r="N152" t="n">
        <x:v>0</x:v>
      </x:c>
      <x:c r="O152" t="n">
        <x:v>1</x:v>
      </x:c>
      <x:c r="P152" t="n">
        <x:v>0</x:v>
      </x:c>
      <x:c r="Q152" t="n">
        <x:v>4</x:v>
      </x:c>
      <x:c r="R152" t="n">
        <x:v>2</x:v>
      </x:c>
      <x:c r="S152" t="n">
        <x:v>3</x:v>
      </x:c>
      <x:c r="T152" s="50" t="n">
        <x:f>IF(D152=0,"",H152/D152)</x:f>
        <x:v>0.20203488372093023</x:v>
      </x:c>
      <x:c r="U152" t="n">
        <x:f>MAX(I152:S152)</x:f>
        <x:v>432</x:v>
      </x:c>
      <x:c r="V152" t="n">
        <x:f>H152-U152</x:f>
        <x:v>-293</x:v>
      </x:c>
      <x:c r="W152" s="52" t="n">
        <x:f>IF(D152=0,"",(V152)/D152)</x:f>
        <x:v>-0.4258720930232558</x:v>
      </x:c>
      <x:c r="X152" t="str">
        <x:v>DHIRENDRA SINGH</x:v>
      </x:c>
      <x:c r="Y152" t="n">
        <x:f>D152-E152-F152</x:f>
        <x:v>0</x:v>
      </x:c>
    </x:row>
    <x:row r="153">
      <x:c r="A153" t="n">
        <x:v>145</x:v>
      </x:c>
      <x:c r="B153" t="str">
        <x:v>KISAN INTER COLLEGE PARSAUL ROOM NO 1</x:v>
      </x:c>
      <x:c r="C153" t="n">
        <x:v>1078</x:v>
      </x:c>
      <x:c r="D153" t="n">
        <x:v>609</x:v>
      </x:c>
      <x:c r="E153" t="n">
        <x:f>SUM(H153:S153)</x:f>
        <x:v>606</x:v>
      </x:c>
      <x:c r="F153" t="n">
        <x:v>3</x:v>
      </x:c>
      <x:c r="G153" s="50" t="n">
        <x:f>IF(C153="","",IFERROR(D153/C153,0))</x:f>
        <x:v>0.564935064935065</x:v>
      </x:c>
      <x:c r="H153" s="36" t="n">
        <x:v>206</x:v>
      </x:c>
      <x:c r="I153" t="n">
        <x:v>382</x:v>
      </x:c>
      <x:c r="J153" t="n">
        <x:v>13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2</x:v>
      </x:c>
      <x:c r="P153" t="n">
        <x:v>0</x:v>
      </x:c>
      <x:c r="Q153" t="n">
        <x:v>0</x:v>
      </x:c>
      <x:c r="R153" t="n">
        <x:v>0</x:v>
      </x:c>
      <x:c r="S153" t="n">
        <x:v>3</x:v>
      </x:c>
      <x:c r="T153" s="50" t="n">
        <x:f>IF(D153=0,"",H153/D153)</x:f>
        <x:v>0.33825944170771755</x:v>
      </x:c>
      <x:c r="U153" t="n">
        <x:f>MAX(I153:S153)</x:f>
        <x:v>382</x:v>
      </x:c>
      <x:c r="V153" t="n">
        <x:f>H153-U153</x:f>
        <x:v>-176</x:v>
      </x:c>
      <x:c r="W153" s="52" t="n">
        <x:f>IF(D153=0,"",(V153)/D153)</x:f>
        <x:v>-0.2889983579638752</x:v>
      </x:c>
      <x:c r="X153" t="str">
        <x:v>DHIRENDRA SINGH</x:v>
      </x:c>
      <x:c r="Y153" t="n">
        <x:f>D153-E153-F153</x:f>
        <x:v>0</x:v>
      </x:c>
    </x:row>
    <x:row r="154">
      <x:c r="A154" t="n">
        <x:v>146</x:v>
      </x:c>
      <x:c r="B154" t="str">
        <x:v>KISAN INTER COLLEGE PARSAUL ROOM NO 2</x:v>
      </x:c>
      <x:c r="C154" t="n">
        <x:v>875</x:v>
      </x:c>
      <x:c r="D154" t="n">
        <x:v>619</x:v>
      </x:c>
      <x:c r="E154" t="n">
        <x:f>SUM(H154:S154)</x:f>
        <x:v>616</x:v>
      </x:c>
      <x:c r="F154" t="n">
        <x:v>3</x:v>
      </x:c>
      <x:c r="G154" s="50" t="n">
        <x:f>IF(C154="","",IFERROR(D154/C154,0))</x:f>
        <x:v>0.7074285714285714</x:v>
      </x:c>
      <x:c r="H154" s="36" t="n">
        <x:v>204</x:v>
      </x:c>
      <x:c r="I154" t="n">
        <x:v>310</x:v>
      </x:c>
      <x:c r="J154" t="n">
        <x:v>97</x:v>
      </x:c>
      <x:c r="K154" t="n">
        <x:v>1</x:v>
      </x:c>
      <x:c r="L154" t="n">
        <x:v>0</x:v>
      </x:c>
      <x:c r="M154" t="n">
        <x:v>0</x:v>
      </x:c>
      <x:c r="N154" t="n">
        <x:v>1</x:v>
      </x:c>
      <x:c r="O154" t="n">
        <x:v>0</x:v>
      </x:c>
      <x:c r="P154" t="n">
        <x:v>0</x:v>
      </x:c>
      <x:c r="Q154" t="n">
        <x:v>0</x:v>
      </x:c>
      <x:c r="R154" t="n">
        <x:v>2</x:v>
      </x:c>
      <x:c r="S154" t="n">
        <x:v>1</x:v>
      </x:c>
      <x:c r="T154" s="50" t="n">
        <x:f>IF(D154=0,"",H154/D154)</x:f>
        <x:v>0.3295638126009693</x:v>
      </x:c>
      <x:c r="U154" t="n">
        <x:f>MAX(I154:S154)</x:f>
        <x:v>310</x:v>
      </x:c>
      <x:c r="V154" t="n">
        <x:f>H154-U154</x:f>
        <x:v>-106</x:v>
      </x:c>
      <x:c r="W154" s="52" t="n">
        <x:f>IF(D154=0,"",(V154)/D154)</x:f>
        <x:v>-0.17124394184168013</x:v>
      </x:c>
      <x:c r="X154" t="str">
        <x:v>DHIRENDRA SINGH</x:v>
      </x:c>
      <x:c r="Y154" t="n">
        <x:f>D154-E154-F154</x:f>
        <x:v>0</x:v>
      </x:c>
    </x:row>
    <x:row r="155">
      <x:c r="A155" t="n">
        <x:v>147</x:v>
      </x:c>
      <x:c r="B155" t="str">
        <x:v>KISAN INTER COLLEGE PARSAUL ROOM NO 3</x:v>
      </x:c>
      <x:c r="C155" t="n">
        <x:v>845</x:v>
      </x:c>
      <x:c r="D155" t="n">
        <x:v>491</x:v>
      </x:c>
      <x:c r="E155" t="n">
        <x:f>SUM(H155:S155)</x:f>
        <x:v>486</x:v>
      </x:c>
      <x:c r="F155" t="n">
        <x:v>5</x:v>
      </x:c>
      <x:c r="G155" s="50" t="n">
        <x:f>IF(C155="","",IFERROR(D155/C155,0))</x:f>
        <x:v>0.5810650887573965</x:v>
      </x:c>
      <x:c r="H155" s="36" t="n">
        <x:v>148</x:v>
      </x:c>
      <x:c r="I155" t="n">
        <x:v>247</x:v>
      </x:c>
      <x:c r="J155" t="n">
        <x:v>76</x:v>
      </x:c>
      <x:c r="K155" t="n">
        <x:v>5</x:v>
      </x:c>
      <x:c r="L155" t="n">
        <x:v>0</x:v>
      </x:c>
      <x:c r="M155" t="n">
        <x:v>1</x:v>
      </x:c>
      <x:c r="N155" t="n">
        <x:v>1</x:v>
      </x:c>
      <x:c r="O155" t="n">
        <x:v>0</x:v>
      </x:c>
      <x:c r="P155" t="n">
        <x:v>1</x:v>
      </x:c>
      <x:c r="Q155" t="n">
        <x:v>0</x:v>
      </x:c>
      <x:c r="R155" t="n">
        <x:v>2</x:v>
      </x:c>
      <x:c r="S155" t="n">
        <x:v>5</x:v>
      </x:c>
      <x:c r="T155" s="50" t="n">
        <x:f>IF(D155=0,"",H155/D155)</x:f>
        <x:v>0.3014256619144603</x:v>
      </x:c>
      <x:c r="U155" t="n">
        <x:f>MAX(I155:S155)</x:f>
        <x:v>247</x:v>
      </x:c>
      <x:c r="V155" t="n">
        <x:f>H155-U155</x:f>
        <x:v>-99</x:v>
      </x:c>
      <x:c r="W155" s="52" t="n">
        <x:f>IF(D155=0,"",(V155)/D155)</x:f>
        <x:v>-0.20162932790224034</x:v>
      </x:c>
      <x:c r="X155" t="str">
        <x:v>DHIRENDRA SINGH</x:v>
      </x:c>
      <x:c r="Y155" t="n">
        <x:f>D155-E155-F155</x:f>
        <x:v>0</x:v>
      </x:c>
    </x:row>
    <x:row r="156">
      <x:c r="A156" t="n">
        <x:v>148</x:v>
      </x:c>
      <x:c r="B156" t="str">
        <x:v>KISAN INTER COLLEGE PARSAUL ROOM NO 4</x:v>
      </x:c>
      <x:c r="C156" t="n">
        <x:v>797</x:v>
      </x:c>
      <x:c r="D156" t="n">
        <x:v>461</x:v>
      </x:c>
      <x:c r="E156" t="n">
        <x:f>SUM(H156:S156)</x:f>
        <x:v>456</x:v>
      </x:c>
      <x:c r="F156" t="n">
        <x:v>5</x:v>
      </x:c>
      <x:c r="G156" s="50" t="n">
        <x:f>IF(C156="","",IFERROR(D156/C156,0))</x:f>
        <x:v>0.5784190715181933</x:v>
      </x:c>
      <x:c r="H156" s="36" t="n">
        <x:v>130</x:v>
      </x:c>
      <x:c r="I156" t="n">
        <x:v>224</x:v>
      </x:c>
      <x:c r="J156" t="n">
        <x:v>88</x:v>
      </x:c>
      <x:c r="K156" t="n">
        <x:v>5</x:v>
      </x:c>
      <x:c r="L156" t="n">
        <x:v>1</x:v>
      </x:c>
      <x:c r="M156" t="n">
        <x:v>2</x:v>
      </x:c>
      <x:c r="N156" t="n">
        <x:v>1</x:v>
      </x:c>
      <x:c r="O156" t="n">
        <x:v>0</x:v>
      </x:c>
      <x:c r="P156" t="n">
        <x:v>0</x:v>
      </x:c>
      <x:c r="Q156" t="n">
        <x:v>0</x:v>
      </x:c>
      <x:c r="R156" t="n">
        <x:v>3</x:v>
      </x:c>
      <x:c r="S156" t="n">
        <x:v>2</x:v>
      </x:c>
      <x:c r="T156" s="50" t="n">
        <x:f>IF(D156=0,"",H156/D156)</x:f>
        <x:v>0.28199566160520606</x:v>
      </x:c>
      <x:c r="U156" t="n">
        <x:f>MAX(I156:S156)</x:f>
        <x:v>224</x:v>
      </x:c>
      <x:c r="V156" t="n">
        <x:f>H156-U156</x:f>
        <x:v>-94</x:v>
      </x:c>
      <x:c r="W156" s="52" t="n">
        <x:f>IF(D156=0,"",(V156)/D156)</x:f>
        <x:v>-0.2039045553145336</x:v>
      </x:c>
      <x:c r="X156" t="str">
        <x:v>DHIRENDRA SINGH</x:v>
      </x:c>
      <x:c r="Y156" t="n">
        <x:f>D156-E156-F156</x:f>
        <x:v>0</x:v>
      </x:c>
    </x:row>
    <x:row r="157">
      <x:c r="A157" t="n">
        <x:v>149</x:v>
      </x:c>
      <x:c r="B157" t="str">
        <x:v>PRIMARY SCHOOL AACHEPUR R. NO 1</x:v>
      </x:c>
      <x:c r="C157" t="n">
        <x:v>869</x:v>
      </x:c>
      <x:c r="D157" t="n">
        <x:v>578</x:v>
      </x:c>
      <x:c r="E157" t="n">
        <x:f>SUM(H157:S157)</x:f>
        <x:v>574</x:v>
      </x:c>
      <x:c r="F157" t="n">
        <x:v>4</x:v>
      </x:c>
      <x:c r="G157" s="50" t="n">
        <x:f>IF(C157="","",IFERROR(D157/C157,0))</x:f>
        <x:v>0.6651323360184119</x:v>
      </x:c>
      <x:c r="H157" s="36" t="n">
        <x:v>19</x:v>
      </x:c>
      <x:c r="I157" t="n">
        <x:v>528</x:v>
      </x:c>
      <x:c r="J157" t="n">
        <x:v>16</x:v>
      </x:c>
      <x:c r="K157" t="n">
        <x:v>3</x:v>
      </x:c>
      <x:c r="L157" t="n">
        <x:v>2</x:v>
      </x:c>
      <x:c r="M157" t="n">
        <x:v>2</x:v>
      </x:c>
      <x:c r="N157" t="n">
        <x:v>1</x:v>
      </x:c>
      <x:c r="O157" t="n">
        <x:v>0</x:v>
      </x:c>
      <x:c r="P157" t="n">
        <x:v>0</x:v>
      </x:c>
      <x:c r="Q157" t="n">
        <x:v>0</x:v>
      </x:c>
      <x:c r="R157" t="n">
        <x:v>2</x:v>
      </x:c>
      <x:c r="S157" t="n">
        <x:v>1</x:v>
      </x:c>
      <x:c r="T157" s="50" t="n">
        <x:f>IF(D157=0,"",H157/D157)</x:f>
        <x:v>0.0328719723183391</x:v>
      </x:c>
      <x:c r="U157" t="n">
        <x:f>MAX(I157:S157)</x:f>
        <x:v>528</x:v>
      </x:c>
      <x:c r="V157" t="n">
        <x:f>H157-U157</x:f>
        <x:v>-509</x:v>
      </x:c>
      <x:c r="W157" s="52" t="n">
        <x:f>IF(D157=0,"",(V157)/D157)</x:f>
        <x:v>-0.8806228373702422</x:v>
      </x:c>
      <x:c r="X157" t="str">
        <x:v>DHIRENDRA SINGH</x:v>
      </x:c>
      <x:c r="Y157" t="n">
        <x:f>D157-E157-F157</x:f>
        <x:v>0</x:v>
      </x:c>
    </x:row>
    <x:row r="158">
      <x:c r="A158" t="n">
        <x:v>150</x:v>
      </x:c>
      <x:c r="B158" t="str">
        <x:v>PRIMARY SCHOOL AACHEPUR R. NO 2</x:v>
      </x:c>
      <x:c r="C158" t="n">
        <x:v>821</x:v>
      </x:c>
      <x:c r="D158" t="n">
        <x:v>552</x:v>
      </x:c>
      <x:c r="E158" t="n">
        <x:f>SUM(H158:S158)</x:f>
        <x:v>551</x:v>
      </x:c>
      <x:c r="F158" t="n">
        <x:v>1</x:v>
      </x:c>
      <x:c r="G158" s="50" t="n">
        <x:f>IF(C158="","",IFERROR(D158/C158,0))</x:f>
        <x:v>0.6723507917174177</x:v>
      </x:c>
      <x:c r="H158" s="36" t="n">
        <x:v>28</x:v>
      </x:c>
      <x:c r="I158" t="n">
        <x:v>483</x:v>
      </x:c>
      <x:c r="J158" t="n">
        <x:v>20</x:v>
      </x:c>
      <x:c r="K158" t="n">
        <x:v>2</x:v>
      </x:c>
      <x:c r="L158" t="n">
        <x:v>4</x:v>
      </x:c>
      <x:c r="M158" t="n">
        <x:v>1</x:v>
      </x:c>
      <x:c r="N158" t="n">
        <x:v>0</x:v>
      </x:c>
      <x:c r="O158" t="n">
        <x:v>1</x:v>
      </x:c>
      <x:c r="P158" t="n">
        <x:v>1</x:v>
      </x:c>
      <x:c r="Q158" t="n">
        <x:v>0</x:v>
      </x:c>
      <x:c r="R158" t="n">
        <x:v>3</x:v>
      </x:c>
      <x:c r="S158" t="n">
        <x:v>8</x:v>
      </x:c>
      <x:c r="T158" s="50" t="n">
        <x:f>IF(D158=0,"",H158/D158)</x:f>
        <x:v>0.050724637681159424</x:v>
      </x:c>
      <x:c r="U158" t="n">
        <x:f>MAX(I158:S158)</x:f>
        <x:v>483</x:v>
      </x:c>
      <x:c r="V158" t="n">
        <x:f>H158-U158</x:f>
        <x:v>-455</x:v>
      </x:c>
      <x:c r="W158" s="52" t="n">
        <x:f>IF(D158=0,"",(V158)/D158)</x:f>
        <x:v>-0.8242753623188406</x:v>
      </x:c>
      <x:c r="X158" t="str">
        <x:v>DHIRENDRA SINGH</x:v>
      </x:c>
      <x:c r="Y158" t="n">
        <x:f>D158-E158-F158</x:f>
        <x:v>0</x:v>
      </x:c>
    </x:row>
    <x:row r="159">
      <x:c r="A159" t="n">
        <x:v>151</x:v>
      </x:c>
      <x:c r="B159" t="str">
        <x:v>PRIMARY SCHOOL CHANDPUR ROOM NO 1</x:v>
      </x:c>
      <x:c r="C159" t="n">
        <x:v>916</x:v>
      </x:c>
      <x:c r="D159" t="n">
        <x:v>599</x:v>
      </x:c>
      <x:c r="E159" t="n">
        <x:f>SUM(H159:S159)</x:f>
        <x:v>596</x:v>
      </x:c>
      <x:c r="F159" t="n">
        <x:v>3</x:v>
      </x:c>
      <x:c r="G159" s="50" t="n">
        <x:f>IF(C159="","",IFERROR(D159/C159,0))</x:f>
        <x:v>0.6539301310043668</x:v>
      </x:c>
      <x:c r="H159" s="36" t="n">
        <x:v>17</x:v>
      </x:c>
      <x:c r="I159" t="n">
        <x:v>493</x:v>
      </x:c>
      <x:c r="J159" t="n">
        <x:v>71</x:v>
      </x:c>
      <x:c r="K159" t="n">
        <x:v>5</x:v>
      </x:c>
      <x:c r="L159" t="n">
        <x:v>1</x:v>
      </x:c>
      <x:c r="M159" t="n">
        <x:v>1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3</x:v>
      </x:c>
      <x:c r="S159" t="n">
        <x:v>5</x:v>
      </x:c>
      <x:c r="T159" s="50" t="n">
        <x:f>IF(D159=0,"",H159/D159)</x:f>
        <x:v>0.028380634390651086</x:v>
      </x:c>
      <x:c r="U159" t="n">
        <x:f>MAX(I159:S159)</x:f>
        <x:v>493</x:v>
      </x:c>
      <x:c r="V159" t="n">
        <x:f>H159-U159</x:f>
        <x:v>-476</x:v>
      </x:c>
      <x:c r="W159" s="52" t="n">
        <x:f>IF(D159=0,"",(V159)/D159)</x:f>
        <x:v>-0.7946577629382304</x:v>
      </x:c>
      <x:c r="X159" t="str">
        <x:v>DHIRENDRA SINGH</x:v>
      </x:c>
      <x:c r="Y159" t="n">
        <x:f>D159-E159-F159</x:f>
        <x:v>0</x:v>
      </x:c>
    </x:row>
    <x:row r="160">
      <x:c r="A160" t="n">
        <x:v>152</x:v>
      </x:c>
      <x:c r="B160" t="str">
        <x:v>PRIMARY SCHOOL NILAUNI ROOM NO. 1</x:v>
      </x:c>
      <x:c r="C160" t="n">
        <x:v>1033</x:v>
      </x:c>
      <x:c r="D160" t="n">
        <x:v>633</x:v>
      </x:c>
      <x:c r="E160" t="n">
        <x:f>SUM(H160:S160)</x:f>
        <x:v>631</x:v>
      </x:c>
      <x:c r="F160" t="n">
        <x:v>2</x:v>
      </x:c>
      <x:c r="G160" s="50" t="n">
        <x:f>IF(C160="","",IFERROR(D160/C160,0))</x:f>
        <x:v>0.6127783155856728</x:v>
      </x:c>
      <x:c r="H160" s="36" t="n">
        <x:v>126</x:v>
      </x:c>
      <x:c r="I160" t="n">
        <x:v>304</x:v>
      </x:c>
      <x:c r="J160" t="n">
        <x:v>169</x:v>
      </x:c>
      <x:c r="K160" t="n">
        <x:v>12</x:v>
      </x:c>
      <x:c r="L160" t="n">
        <x:v>2</x:v>
      </x:c>
      <x:c r="M160" t="n">
        <x:v>1</x:v>
      </x:c>
      <x:c r="N160" t="n">
        <x:v>0</x:v>
      </x:c>
      <x:c r="O160" t="n">
        <x:v>2</x:v>
      </x:c>
      <x:c r="P160" t="n">
        <x:v>4</x:v>
      </x:c>
      <x:c r="Q160" t="n">
        <x:v>1</x:v>
      </x:c>
      <x:c r="R160" t="n">
        <x:v>5</x:v>
      </x:c>
      <x:c r="S160" t="n">
        <x:v>5</x:v>
      </x:c>
      <x:c r="T160" s="50" t="n">
        <x:f>IF(D160=0,"",H160/D160)</x:f>
        <x:v>0.1990521327014218</x:v>
      </x:c>
      <x:c r="U160" t="n">
        <x:f>MAX(I160:S160)</x:f>
        <x:v>304</x:v>
      </x:c>
      <x:c r="V160" t="n">
        <x:f>H160-U160</x:f>
        <x:v>-178</x:v>
      </x:c>
      <x:c r="W160" s="52" t="n">
        <x:f>IF(D160=0,"",(V160)/D160)</x:f>
        <x:v>-0.2812006319115324</x:v>
      </x:c>
      <x:c r="X160" t="str">
        <x:v>DHIRENDRA SINGH</x:v>
      </x:c>
      <x:c r="Y160" t="n">
        <x:f>D160-E160-F160</x:f>
        <x:v>0</x:v>
      </x:c>
    </x:row>
    <x:row r="161">
      <x:c r="A161" t="n">
        <x:v>153</x:v>
      </x:c>
      <x:c r="B161" t="str">
        <x:v>PRIMARY SCHOOL NILAUNI ROOM NO. 2</x:v>
      </x:c>
      <x:c r="C161" t="n">
        <x:v>995</x:v>
      </x:c>
      <x:c r="D161" t="n">
        <x:v>624</x:v>
      </x:c>
      <x:c r="E161" t="n">
        <x:f>SUM(H161:S161)</x:f>
        <x:v>620</x:v>
      </x:c>
      <x:c r="F161" t="n">
        <x:v>4</x:v>
      </x:c>
      <x:c r="G161" s="50" t="n">
        <x:f>IF(C161="","",IFERROR(D161/C161,0))</x:f>
        <x:v>0.6271356783919598</x:v>
      </x:c>
      <x:c r="H161" s="36" t="n">
        <x:v>112</x:v>
      </x:c>
      <x:c r="I161" t="n">
        <x:v>383</x:v>
      </x:c>
      <x:c r="J161" t="n">
        <x:v>108</x:v>
      </x:c>
      <x:c r="K161" t="n">
        <x:v>4</x:v>
      </x:c>
      <x:c r="L161" t="n">
        <x:v>0</x:v>
      </x:c>
      <x:c r="M161" t="n">
        <x:v>0</x:v>
      </x:c>
      <x:c r="N161" t="n">
        <x:v>3</x:v>
      </x:c>
      <x:c r="O161" t="n">
        <x:v>1</x:v>
      </x:c>
      <x:c r="P161" t="n">
        <x:v>1</x:v>
      </x:c>
      <x:c r="Q161" t="n">
        <x:v>0</x:v>
      </x:c>
      <x:c r="R161" t="n">
        <x:v>2</x:v>
      </x:c>
      <x:c r="S161" t="n">
        <x:v>6</x:v>
      </x:c>
      <x:c r="T161" s="50" t="n">
        <x:f>IF(D161=0,"",H161/D161)</x:f>
        <x:v>0.1794871794871795</x:v>
      </x:c>
      <x:c r="U161" t="n">
        <x:f>MAX(I161:S161)</x:f>
        <x:v>383</x:v>
      </x:c>
      <x:c r="V161" t="n">
        <x:f>H161-U161</x:f>
        <x:v>-271</x:v>
      </x:c>
      <x:c r="W161" s="52" t="n">
        <x:f>IF(D161=0,"",(V161)/D161)</x:f>
        <x:v>-0.4342948717948718</x:v>
      </x:c>
      <x:c r="X161" t="str">
        <x:v>DHIRENDRA SINGH</x:v>
      </x:c>
      <x:c r="Y161" t="n">
        <x:f>D161-E161-F161</x:f>
        <x:v>0</x:v>
      </x:c>
    </x:row>
    <x:row r="162">
      <x:c r="A162" t="n">
        <x:v>154</x:v>
      </x:c>
      <x:c r="B162" t="str">
        <x:v>PRIMARY SCHOOL SHAHPUR ROOM NO 1</x:v>
      </x:c>
      <x:c r="C162" t="n">
        <x:v>751</x:v>
      </x:c>
      <x:c r="D162" t="n">
        <x:v>429</x:v>
      </x:c>
      <x:c r="E162" t="n">
        <x:f>SUM(H162:S162)</x:f>
        <x:v>426</x:v>
      </x:c>
      <x:c r="F162" t="n">
        <x:v>3</x:v>
      </x:c>
      <x:c r="G162" s="50" t="n">
        <x:f>IF(C162="","",IFERROR(D162/C162,0))</x:f>
        <x:v>0.5712383488681758</x:v>
      </x:c>
      <x:c r="H162" s="36" t="n">
        <x:v>44</x:v>
      </x:c>
      <x:c r="I162" t="n">
        <x:v>198</x:v>
      </x:c>
      <x:c r="J162" t="n">
        <x:v>171</x:v>
      </x:c>
      <x:c r="K162" t="n">
        <x:v>2</x:v>
      </x:c>
      <x:c r="L162" t="n">
        <x:v>0</x:v>
      </x:c>
      <x:c r="M162" t="n">
        <x:v>1</x:v>
      </x:c>
      <x:c r="N162" t="n">
        <x:v>1</x:v>
      </x:c>
      <x:c r="O162" t="n">
        <x:v>1</x:v>
      </x:c>
      <x:c r="P162" t="n">
        <x:v>0</x:v>
      </x:c>
      <x:c r="Q162" t="n">
        <x:v>1</x:v>
      </x:c>
      <x:c r="R162" t="n">
        <x:v>1</x:v>
      </x:c>
      <x:c r="S162" t="n">
        <x:v>6</x:v>
      </x:c>
      <x:c r="T162" s="50" t="n">
        <x:f>IF(D162=0,"",H162/D162)</x:f>
        <x:v>0.10256410256410256</x:v>
      </x:c>
      <x:c r="U162" t="n">
        <x:f>MAX(I162:S162)</x:f>
        <x:v>198</x:v>
      </x:c>
      <x:c r="V162" t="n">
        <x:f>H162-U162</x:f>
        <x:v>-154</x:v>
      </x:c>
      <x:c r="W162" s="52" t="n">
        <x:f>IF(D162=0,"",(V162)/D162)</x:f>
        <x:v>-0.358974358974359</x:v>
      </x:c>
      <x:c r="X162" t="str">
        <x:v>DHIRENDRA SINGH</x:v>
      </x:c>
      <x:c r="Y162" t="n">
        <x:f>D162-E162-F162</x:f>
        <x:v>0</x:v>
      </x:c>
    </x:row>
    <x:row r="163">
      <x:c r="A163" t="n">
        <x:v>155</x:v>
      </x:c>
      <x:c r="B163" t="str">
        <x:v>PRIMARY SCHOOL MIRZAPUR ROOM NO 1</x:v>
      </x:c>
      <x:c r="C163" t="n">
        <x:v>948</x:v>
      </x:c>
      <x:c r="D163" t="n">
        <x:v>576</x:v>
      </x:c>
      <x:c r="E163" t="n">
        <x:f>SUM(H163:S163)</x:f>
        <x:v>572</x:v>
      </x:c>
      <x:c r="F163" t="n">
        <x:v>4</x:v>
      </x:c>
      <x:c r="G163" s="50" t="n">
        <x:f>IF(C163="","",IFERROR(D163/C163,0))</x:f>
        <x:v>0.6075949367088608</x:v>
      </x:c>
      <x:c r="H163" s="36" t="n">
        <x:v>71</x:v>
      </x:c>
      <x:c r="I163" t="n">
        <x:v>408</x:v>
      </x:c>
      <x:c r="J163" t="n">
        <x:v>79</x:v>
      </x:c>
      <x:c r="K163" t="n">
        <x:v>1</x:v>
      </x:c>
      <x:c r="L163" t="n">
        <x:v>3</x:v>
      </x:c>
      <x:c r="M163" t="n">
        <x:v>1</x:v>
      </x:c>
      <x:c r="N163" t="n">
        <x:v>1</x:v>
      </x:c>
      <x:c r="O163" t="n">
        <x:v>0</x:v>
      </x:c>
      <x:c r="P163" t="n">
        <x:v>0</x:v>
      </x:c>
      <x:c r="Q163" t="n">
        <x:v>2</x:v>
      </x:c>
      <x:c r="R163" t="n">
        <x:v>1</x:v>
      </x:c>
      <x:c r="S163" t="n">
        <x:v>5</x:v>
      </x:c>
      <x:c r="T163" s="50" t="n">
        <x:f>IF(D163=0,"",H163/D163)</x:f>
        <x:v>0.1232638888888889</x:v>
      </x:c>
      <x:c r="U163" t="n">
        <x:f>MAX(I163:S163)</x:f>
        <x:v>408</x:v>
      </x:c>
      <x:c r="V163" t="n">
        <x:f>H163-U163</x:f>
        <x:v>-337</x:v>
      </x:c>
      <x:c r="W163" s="52" t="n">
        <x:f>IF(D163=0,"",(V163)/D163)</x:f>
        <x:v>-0.5850694444444444</x:v>
      </x:c>
      <x:c r="X163" t="str">
        <x:v>DHIRENDRA SINGH</x:v>
      </x:c>
      <x:c r="Y163" t="n">
        <x:f>D163-E163-F163</x:f>
        <x:v>0</x:v>
      </x:c>
    </x:row>
    <x:row r="164">
      <x:c r="A164" t="n">
        <x:v>156</x:v>
      </x:c>
      <x:c r="B164" t="str">
        <x:v>PRIMARY SCHOOL MIRZAPUR ROOM NO 2</x:v>
      </x:c>
      <x:c r="C164" t="n">
        <x:v>778</x:v>
      </x:c>
      <x:c r="D164" t="n">
        <x:v>510</x:v>
      </x:c>
      <x:c r="E164" t="n">
        <x:f>SUM(H164:S164)</x:f>
        <x:v>506</x:v>
      </x:c>
      <x:c r="F164" t="n">
        <x:v>4</x:v>
      </x:c>
      <x:c r="G164" s="50" t="n">
        <x:f>IF(C164="","",IFERROR(D164/C164,0))</x:f>
        <x:v>0.6555269922879178</x:v>
      </x:c>
      <x:c r="H164" s="36" t="n">
        <x:v>57</x:v>
      </x:c>
      <x:c r="I164" t="n">
        <x:v>412</x:v>
      </x:c>
      <x:c r="J164" t="n">
        <x:v>26</x:v>
      </x:c>
      <x:c r="K164" t="n">
        <x:v>1</x:v>
      </x:c>
      <x:c r="L164" t="n">
        <x:v>1</x:v>
      </x:c>
      <x:c r="M164" t="n">
        <x:v>2</x:v>
      </x:c>
      <x:c r="N164" t="n">
        <x:v>0</x:v>
      </x:c>
      <x:c r="O164" t="n">
        <x:v>1</x:v>
      </x:c>
      <x:c r="P164" t="n">
        <x:v>0</x:v>
      </x:c>
      <x:c r="Q164" t="n">
        <x:v>0</x:v>
      </x:c>
      <x:c r="R164" t="n">
        <x:v>2</x:v>
      </x:c>
      <x:c r="S164" t="n">
        <x:v>4</x:v>
      </x:c>
      <x:c r="T164" s="50" t="n">
        <x:f>IF(D164=0,"",H164/D164)</x:f>
        <x:v>0.11176470588235295</x:v>
      </x:c>
      <x:c r="U164" t="n">
        <x:f>MAX(I164:S164)</x:f>
        <x:v>412</x:v>
      </x:c>
      <x:c r="V164" t="n">
        <x:f>H164-U164</x:f>
        <x:v>-355</x:v>
      </x:c>
      <x:c r="W164" s="52" t="n">
        <x:f>IF(D164=0,"",(V164)/D164)</x:f>
        <x:v>-0.696078431372549</x:v>
      </x:c>
      <x:c r="X164" t="str">
        <x:v>DHIRENDRA SINGH</x:v>
      </x:c>
      <x:c r="Y164" t="n">
        <x:f>D164-E164-F164</x:f>
        <x:v>0</x:v>
      </x:c>
    </x:row>
    <x:row r="165">
      <x:c r="A165" t="n">
        <x:v>157</x:v>
      </x:c>
      <x:c r="B165" t="str">
        <x:v>SHRI HARDWARI LAL JANHIT HIGHER SECONDARY SCHOOL, MIRZAPUR ROOM NO. 1</x:v>
      </x:c>
      <x:c r="C165" t="n">
        <x:v>1084</x:v>
      </x:c>
      <x:c r="D165" t="n">
        <x:v>801</x:v>
      </x:c>
      <x:c r="E165" t="n">
        <x:f>SUM(H165:S165)</x:f>
        <x:v>800</x:v>
      </x:c>
      <x:c r="F165" t="n">
        <x:v>1</x:v>
      </x:c>
      <x:c r="G165" s="50" t="n">
        <x:f>IF(C165="","",IFERROR(D165/C165,0))</x:f>
        <x:v>0.738929889298893</x:v>
      </x:c>
      <x:c r="H165" s="36" t="n">
        <x:v>38</x:v>
      </x:c>
      <x:c r="I165" t="n">
        <x:v>586</x:v>
      </x:c>
      <x:c r="J165" t="n">
        <x:v>164</x:v>
      </x:c>
      <x:c r="K165" t="n">
        <x:v>5</x:v>
      </x:c>
      <x:c r="L165" t="n">
        <x:v>1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n">
        <x:v>0</x:v>
      </x:c>
      <x:c r="R165" t="n">
        <x:v>1</x:v>
      </x:c>
      <x:c r="S165" t="n">
        <x:v>4</x:v>
      </x:c>
      <x:c r="T165" s="50" t="n">
        <x:f>IF(D165=0,"",H165/D165)</x:f>
        <x:v>0.04744069912609238</x:v>
      </x:c>
      <x:c r="U165" t="n">
        <x:f>MAX(I165:S165)</x:f>
        <x:v>586</x:v>
      </x:c>
      <x:c r="V165" t="n">
        <x:f>H165-U165</x:f>
        <x:v>-548</x:v>
      </x:c>
      <x:c r="W165" s="52" t="n">
        <x:f>IF(D165=0,"",(V165)/D165)</x:f>
        <x:v>-0.6841448189762797</x:v>
      </x:c>
      <x:c r="X165" t="str">
        <x:v>DHIRENDRA SINGH</x:v>
      </x:c>
      <x:c r="Y165" t="n">
        <x:f>D165-E165-F165</x:f>
        <x:v>0</x:v>
      </x:c>
    </x:row>
    <x:row r="166">
      <x:c r="A166" t="n">
        <x:v>158</x:v>
      </x:c>
      <x:c r="B166" t="str">
        <x:v>SHRI HARDWARI LAL JANHIT HIGHER SECONDARY SCHOOL, MIRZAPUR ROOM NO. 2</x:v>
      </x:c>
      <x:c r="C166" t="n">
        <x:v>868</x:v>
      </x:c>
      <x:c r="D166" t="n">
        <x:v>578</x:v>
      </x:c>
      <x:c r="E166" t="n">
        <x:f>SUM(H166:S166)</x:f>
        <x:v>575</x:v>
      </x:c>
      <x:c r="F166" t="n">
        <x:v>3</x:v>
      </x:c>
      <x:c r="G166" s="50" t="n">
        <x:f>IF(C166="","",IFERROR(D166/C166,0))</x:f>
        <x:v>0.6658986175115207</x:v>
      </x:c>
      <x:c r="H166" s="36" t="n">
        <x:v>23</x:v>
      </x:c>
      <x:c r="I166" t="n">
        <x:v>394</x:v>
      </x:c>
      <x:c r="J166" t="n">
        <x:v>153</x:v>
      </x:c>
      <x:c r="K166" t="n">
        <x:v>0</x:v>
      </x:c>
      <x:c r="L166" t="n">
        <x:v>1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4</x:v>
      </x:c>
      <x:c r="T166" s="50" t="n">
        <x:f>IF(D166=0,"",H166/D166)</x:f>
        <x:v>0.039792387543252594</x:v>
      </x:c>
      <x:c r="U166" t="n">
        <x:f>MAX(I166:S166)</x:f>
        <x:v>394</x:v>
      </x:c>
      <x:c r="V166" t="n">
        <x:f>H166-U166</x:f>
        <x:v>-371</x:v>
      </x:c>
      <x:c r="W166" s="52" t="n">
        <x:f>IF(D166=0,"",(V166)/D166)</x:f>
        <x:v>-0.6418685121107266</x:v>
      </x:c>
      <x:c r="X166" t="str">
        <x:v>DHIRENDRA SINGH</x:v>
      </x:c>
      <x:c r="Y166" t="n">
        <x:f>D166-E166-F166</x:f>
        <x:v>0</x:v>
      </x:c>
    </x:row>
    <x:row r="167">
      <x:c r="A167" t="n">
        <x:v>159</x:v>
      </x:c>
      <x:c r="B167" t="str">
        <x:v>SHRI HARDWARI LAL JANHIT HIGHER SECONDARY SCHOOL, MIRZAPUR ROOM NO. 3</x:v>
      </x:c>
      <x:c r="C167" t="n">
        <x:v>1073</x:v>
      </x:c>
      <x:c r="D167" t="n">
        <x:v>605</x:v>
      </x:c>
      <x:c r="E167" t="n">
        <x:f>SUM(H167:S167)</x:f>
        <x:v>602</x:v>
      </x:c>
      <x:c r="F167" t="n">
        <x:v>3</x:v>
      </x:c>
      <x:c r="G167" s="50" t="n">
        <x:f>IF(C167="","",IFERROR(D167/C167,0))</x:f>
        <x:v>0.5638397017707363</x:v>
      </x:c>
      <x:c r="H167" s="36" t="n">
        <x:v>53</x:v>
      </x:c>
      <x:c r="I167" t="n">
        <x:v>481</x:v>
      </x:c>
      <x:c r="J167" t="n">
        <x:v>57</x:v>
      </x:c>
      <x:c r="K167" t="n">
        <x:v>3</x:v>
      </x:c>
      <x:c r="L167" t="n">
        <x:v>0</x:v>
      </x:c>
      <x:c r="M167" t="n">
        <x:v>3</x:v>
      </x:c>
      <x:c r="N167" t="n">
        <x:v>0</x:v>
      </x:c>
      <x:c r="O167" t="n">
        <x:v>0</x:v>
      </x:c>
      <x:c r="P167" t="n">
        <x:v>2</x:v>
      </x:c>
      <x:c r="Q167" t="n">
        <x:v>1</x:v>
      </x:c>
      <x:c r="R167" t="n">
        <x:v>1</x:v>
      </x:c>
      <x:c r="S167" t="n">
        <x:v>1</x:v>
      </x:c>
      <x:c r="T167" s="50" t="n">
        <x:f>IF(D167=0,"",H167/D167)</x:f>
        <x:v>0.08760330578512397</x:v>
      </x:c>
      <x:c r="U167" t="n">
        <x:f>MAX(I167:S167)</x:f>
        <x:v>481</x:v>
      </x:c>
      <x:c r="V167" t="n">
        <x:f>H167-U167</x:f>
        <x:v>-428</x:v>
      </x:c>
      <x:c r="W167" s="52" t="n">
        <x:f>IF(D167=0,"",(V167)/D167)</x:f>
        <x:v>-0.7074380165289256</x:v>
      </x:c>
      <x:c r="X167" t="str">
        <x:v>DHIRENDRA SINGH</x:v>
      </x:c>
      <x:c r="Y167" t="n">
        <x:f>D167-E167-F167</x:f>
        <x:v>0</x:v>
      </x:c>
    </x:row>
    <x:row r="168">
      <x:c r="A168" t="n">
        <x:v>160</x:v>
      </x:c>
      <x:c r="B168" t="str">
        <x:v>PRIMARY SCHOOL CHAPARGARH ROOM NO 1</x:v>
      </x:c>
      <x:c r="C168" t="n">
        <x:v>592</x:v>
      </x:c>
      <x:c r="D168" t="n">
        <x:v>527</x:v>
      </x:c>
      <x:c r="E168" t="n">
        <x:f>SUM(H168:S168)</x:f>
        <x:v>521</x:v>
      </x:c>
      <x:c r="F168" t="n">
        <x:v>6</x:v>
      </x:c>
      <x:c r="G168" s="50" t="n">
        <x:f>IF(C168="","",IFERROR(D168/C168,0))</x:f>
        <x:v>0.8902027027027027</x:v>
      </x:c>
      <x:c r="H168" s="36" t="n">
        <x:v>398</x:v>
      </x:c>
      <x:c r="I168" t="n">
        <x:v>79</x:v>
      </x:c>
      <x:c r="J168" t="n">
        <x:v>33</x:v>
      </x:c>
      <x:c r="K168" t="n">
        <x:v>8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1</x:v>
      </x:c>
      <x:c r="Q168" t="n">
        <x:v>0</x:v>
      </x:c>
      <x:c r="R168" t="n">
        <x:v>0</x:v>
      </x:c>
      <x:c r="S168" t="n">
        <x:v>2</x:v>
      </x:c>
      <x:c r="T168" s="50" t="n">
        <x:f>IF(D168=0,"",H168/D168)</x:f>
        <x:v>0.7552182163187856</x:v>
      </x:c>
      <x:c r="U168" t="n">
        <x:f>MAX(I168:S168)</x:f>
        <x:v>79</x:v>
      </x:c>
      <x:c r="V168" t="n">
        <x:f>H168-U168</x:f>
        <x:v>319</x:v>
      </x:c>
      <x:c r="W168" s="52" t="n">
        <x:f>IF(D168=0,"",(V168)/D168)</x:f>
        <x:v>0.6053130929791272</x:v>
      </x:c>
      <x:c r="X168" t="str">
        <x:v>AVTAR SINGH BHADANA</x:v>
      </x:c>
      <x:c r="Y168" t="n">
        <x:f>D168-E168-F168</x:f>
        <x:v>0</x:v>
      </x:c>
    </x:row>
    <x:row r="169">
      <x:c r="A169" t="n">
        <x:v>161</x:v>
      </x:c>
      <x:c r="B169" t="str">
        <x:v>PRIMARY SCHOOL RAMPUR BANGAR ROOM NO 1</x:v>
      </x:c>
      <x:c r="C169" t="n">
        <x:v>985</x:v>
      </x:c>
      <x:c r="D169" t="n">
        <x:v>689</x:v>
      </x:c>
      <x:c r="E169" t="n">
        <x:f>SUM(H169:S169)</x:f>
        <x:v>688</x:v>
      </x:c>
      <x:c r="F169" t="n">
        <x:v>1</x:v>
      </x:c>
      <x:c r="G169" s="50" t="n">
        <x:f>IF(C169="","",IFERROR(D169/C169,0))</x:f>
        <x:v>0.6994923857868021</x:v>
      </x:c>
      <x:c r="H169" s="36" t="n">
        <x:v>115</x:v>
      </x:c>
      <x:c r="I169" t="n">
        <x:v>558</x:v>
      </x:c>
      <x:c r="J169" t="n">
        <x:v>6</x:v>
      </x:c>
      <x:c r="K169" t="n">
        <x:v>3</x:v>
      </x:c>
      <x:c r="L169" t="n">
        <x:v>0</x:v>
      </x:c>
      <x:c r="M169" t="n">
        <x:v>3</x:v>
      </x:c>
      <x:c r="N169" t="n">
        <x:v>0</x:v>
      </x:c>
      <x:c r="O169" t="n">
        <x:v>1</x:v>
      </x:c>
      <x:c r="P169" t="n">
        <x:v>0</x:v>
      </x:c>
      <x:c r="Q169" t="n">
        <x:v>0</x:v>
      </x:c>
      <x:c r="R169" t="n">
        <x:v>1</x:v>
      </x:c>
      <x:c r="S169" t="n">
        <x:v>1</x:v>
      </x:c>
      <x:c r="T169" s="50" t="n">
        <x:f>IF(D169=0,"",H169/D169)</x:f>
        <x:v>0.16690856313497823</x:v>
      </x:c>
      <x:c r="U169" t="n">
        <x:f>MAX(I169:S169)</x:f>
        <x:v>558</x:v>
      </x:c>
      <x:c r="V169" t="n">
        <x:f>H169-U169</x:f>
        <x:v>-443</x:v>
      </x:c>
      <x:c r="W169" s="52" t="n">
        <x:f>IF(D169=0,"",(V169)/D169)</x:f>
        <x:v>-0.6429608127721336</x:v>
      </x:c>
      <x:c r="X169" t="str">
        <x:v>DHIRENDRA SINGH</x:v>
      </x:c>
      <x:c r="Y169" t="n">
        <x:f>D169-E169-F169</x:f>
        <x:v>0</x:v>
      </x:c>
    </x:row>
    <x:row r="170">
      <x:c r="A170" t="n">
        <x:v>162</x:v>
      </x:c>
      <x:c r="B170" t="str">
        <x:v>PRIMARY SCHOOL ACHHEJA BUJURG ROOM NO. 1</x:v>
      </x:c>
      <x:c r="C170" t="n">
        <x:v>695</x:v>
      </x:c>
      <x:c r="D170" t="n">
        <x:v>523</x:v>
      </x:c>
      <x:c r="E170" t="n">
        <x:f>SUM(H170:S170)</x:f>
        <x:v>520</x:v>
      </x:c>
      <x:c r="F170" t="n">
        <x:v>3</x:v>
      </x:c>
      <x:c r="G170" s="50" t="n">
        <x:f>IF(C170="","",IFERROR(D170/C170,0))</x:f>
        <x:v>0.7525179856115108</x:v>
      </x:c>
      <x:c r="H170" s="36" t="n">
        <x:v>270</x:v>
      </x:c>
      <x:c r="I170" t="n">
        <x:v>195</x:v>
      </x:c>
      <x:c r="J170" t="n">
        <x:v>43</x:v>
      </x:c>
      <x:c r="K170" t="n">
        <x:v>5</x:v>
      </x:c>
      <x:c r="L170" t="n">
        <x:v>0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n">
        <x:v>0</x:v>
      </x:c>
      <x:c r="R170" t="n">
        <x:v>2</x:v>
      </x:c>
      <x:c r="S170" t="n">
        <x:v>3</x:v>
      </x:c>
      <x:c r="T170" s="50" t="n">
        <x:f>IF(D170=0,"",H170/D170)</x:f>
        <x:v>0.5162523900573613</x:v>
      </x:c>
      <x:c r="U170" t="n">
        <x:f>MAX(I170:S170)</x:f>
        <x:v>195</x:v>
      </x:c>
      <x:c r="V170" t="n">
        <x:f>H170-U170</x:f>
        <x:v>75</x:v>
      </x:c>
      <x:c r="W170" s="52" t="n">
        <x:f>IF(D170=0,"",(V170)/D170)</x:f>
        <x:v>0.14340344168260039</x:v>
      </x:c>
      <x:c r="X170" t="str">
        <x:v>AVTAR SINGH BHADANA</x:v>
      </x:c>
      <x:c r="Y170" t="n">
        <x:f>D170-E170-F170</x:f>
        <x:v>0</x:v>
      </x:c>
    </x:row>
    <x:row r="171">
      <x:c r="A171" t="n">
        <x:v>163</x:v>
      </x:c>
      <x:c r="B171" t="str">
        <x:v>PRIMARY SCHOOL ACHHEJA BUJURG ROOM NO. 2</x:v>
      </x:c>
      <x:c r="C171" t="n">
        <x:v>730</x:v>
      </x:c>
      <x:c r="D171" t="n">
        <x:v>553</x:v>
      </x:c>
      <x:c r="E171" t="n">
        <x:f>SUM(H171:S171)</x:f>
        <x:v>551</x:v>
      </x:c>
      <x:c r="F171" t="n">
        <x:v>2</x:v>
      </x:c>
      <x:c r="G171" s="50" t="n">
        <x:f>IF(C171="","",IFERROR(D171/C171,0))</x:f>
        <x:v>0.7575342465753425</x:v>
      </x:c>
      <x:c r="H171" s="36" t="n">
        <x:v>242</x:v>
      </x:c>
      <x:c r="I171" t="n">
        <x:v>101</x:v>
      </x:c>
      <x:c r="J171" t="n">
        <x:v>198</x:v>
      </x:c>
      <x:c r="K171" t="n">
        <x:v>4</x:v>
      </x:c>
      <x:c r="L171" t="n">
        <x:v>0</x:v>
      </x:c>
      <x:c r="M171" t="n">
        <x:v>1</x:v>
      </x:c>
      <x:c r="N171" t="n">
        <x:v>1</x:v>
      </x:c>
      <x:c r="O171" t="n">
        <x:v>0</x:v>
      </x:c>
      <x:c r="P171" t="n">
        <x:v>0</x:v>
      </x:c>
      <x:c r="Q171" t="n">
        <x:v>0</x:v>
      </x:c>
      <x:c r="R171" t="n">
        <x:v>1</x:v>
      </x:c>
      <x:c r="S171" t="n">
        <x:v>3</x:v>
      </x:c>
      <x:c r="T171" s="50" t="n">
        <x:f>IF(D171=0,"",H171/D171)</x:f>
        <x:v>0.4376130198915009</x:v>
      </x:c>
      <x:c r="U171" t="n">
        <x:f>MAX(I171:S171)</x:f>
        <x:v>198</x:v>
      </x:c>
      <x:c r="V171" t="n">
        <x:f>H171-U171</x:f>
        <x:v>44</x:v>
      </x:c>
      <x:c r="W171" s="52" t="n">
        <x:f>IF(D171=0,"",(V171)/D171)</x:f>
        <x:v>0.07956600361663653</x:v>
      </x:c>
      <x:c r="X171" t="str">
        <x:v>AVTAR SINGH BHADANA</x:v>
      </x:c>
      <x:c r="Y171" t="n">
        <x:f>D171-E171-F171</x:f>
        <x:v>0</x:v>
      </x:c>
    </x:row>
    <x:row r="172">
      <x:c r="A172" t="n">
        <x:v>164</x:v>
      </x:c>
      <x:c r="B172" t="str">
        <x:v>PRIMARY SCHOOL DUGARPUR RILKA ROOM NO 1</x:v>
      </x:c>
      <x:c r="C172" t="n">
        <x:v>916</x:v>
      </x:c>
      <x:c r="D172" t="n">
        <x:v>592</x:v>
      </x:c>
      <x:c r="E172" t="n">
        <x:f>SUM(H172:S172)</x:f>
        <x:v>582</x:v>
      </x:c>
      <x:c r="F172" t="n">
        <x:v>10</x:v>
      </x:c>
      <x:c r="G172" s="50" t="n">
        <x:f>IF(C172="","",IFERROR(D172/C172,0))</x:f>
        <x:v>0.6462882096069869</x:v>
      </x:c>
      <x:c r="H172" s="36" t="n">
        <x:v>427</x:v>
      </x:c>
      <x:c r="I172" t="n">
        <x:v>123</x:v>
      </x:c>
      <x:c r="J172" t="n">
        <x:v>22</x:v>
      </x:c>
      <x:c r="K172" t="n">
        <x:v>2</x:v>
      </x:c>
      <x:c r="L172" t="n">
        <x:v>1</x:v>
      </x:c>
      <x:c r="M172" t="n">
        <x:v>1</x:v>
      </x:c>
      <x:c r="N172" t="n">
        <x:v>0</x:v>
      </x:c>
      <x:c r="O172" t="n">
        <x:v>2</x:v>
      </x:c>
      <x:c r="P172" t="n">
        <x:v>2</x:v>
      </x:c>
      <x:c r="Q172" t="n">
        <x:v>0</x:v>
      </x:c>
      <x:c r="R172" t="n">
        <x:v>1</x:v>
      </x:c>
      <x:c r="S172" t="n">
        <x:v>1</x:v>
      </x:c>
      <x:c r="T172" s="50" t="n">
        <x:f>IF(D172=0,"",H172/D172)</x:f>
        <x:v>0.7212837837837838</x:v>
      </x:c>
      <x:c r="U172" t="n">
        <x:f>MAX(I172:S172)</x:f>
        <x:v>123</x:v>
      </x:c>
      <x:c r="V172" t="n">
        <x:f>H172-U172</x:f>
        <x:v>304</x:v>
      </x:c>
      <x:c r="W172" s="52" t="n">
        <x:f>IF(D172=0,"",(V172)/D172)</x:f>
        <x:v>0.5135135135135135</x:v>
      </x:c>
      <x:c r="X172" t="str">
        <x:v>AVTAR SINGH BHADANA</x:v>
      </x:c>
      <x:c r="Y172" t="n">
        <x:f>D172-E172-F172</x:f>
        <x:v>0</x:v>
      </x:c>
    </x:row>
    <x:row r="173">
      <x:c r="A173" t="n">
        <x:v>165</x:v>
      </x:c>
      <x:c r="B173" t="str">
        <x:v>PRIMARY SCHOOL DUGARPUR RILKA ROOM NO 2</x:v>
      </x:c>
      <x:c r="C173" t="n">
        <x:v>971</x:v>
      </x:c>
      <x:c r="D173" t="n">
        <x:v>680</x:v>
      </x:c>
      <x:c r="E173" t="n">
        <x:f>SUM(H173:S173)</x:f>
        <x:v>674</x:v>
      </x:c>
      <x:c r="F173" t="n">
        <x:v>6</x:v>
      </x:c>
      <x:c r="G173" s="50" t="n">
        <x:f>IF(C173="","",IFERROR(D173/C173,0))</x:f>
        <x:v>0.7003089598352215</x:v>
      </x:c>
      <x:c r="H173" s="36" t="n">
        <x:v>281</x:v>
      </x:c>
      <x:c r="I173" t="n">
        <x:v>133</x:v>
      </x:c>
      <x:c r="J173" t="n">
        <x:v>238</x:v>
      </x:c>
      <x:c r="K173" t="n">
        <x:v>12</x:v>
      </x:c>
      <x:c r="L173" t="n">
        <x:v>0</x:v>
      </x:c>
      <x:c r="M173" t="n">
        <x:v>0</x:v>
      </x:c>
      <x:c r="N173" t="n">
        <x:v>0</x:v>
      </x:c>
      <x:c r="O173" t="n">
        <x:v>2</x:v>
      </x:c>
      <x:c r="P173" t="n">
        <x:v>1</x:v>
      </x:c>
      <x:c r="Q173" t="n">
        <x:v>1</x:v>
      </x:c>
      <x:c r="R173" t="n">
        <x:v>4</x:v>
      </x:c>
      <x:c r="S173" t="n">
        <x:v>2</x:v>
      </x:c>
      <x:c r="T173" s="50" t="n">
        <x:f>IF(D173=0,"",H173/D173)</x:f>
        <x:v>0.41323529411764703</x:v>
      </x:c>
      <x:c r="U173" t="n">
        <x:f>MAX(I173:S173)</x:f>
        <x:v>238</x:v>
      </x:c>
      <x:c r="V173" t="n">
        <x:f>H173-U173</x:f>
        <x:v>43</x:v>
      </x:c>
      <x:c r="W173" s="52" t="n">
        <x:f>IF(D173=0,"",(V173)/D173)</x:f>
        <x:v>0.06323529411764706</x:v>
      </x:c>
      <x:c r="X173" t="str">
        <x:v>AVTAR SINGH BHADANA</x:v>
      </x:c>
      <x:c r="Y173" t="n">
        <x:f>D173-E173-F173</x:f>
        <x:v>0</x:v>
      </x:c>
    </x:row>
    <x:row r="174">
      <x:c r="A174" t="n">
        <x:v>166</x:v>
      </x:c>
      <x:c r="B174" t="str">
        <x:v>PRIMARY SCHOOL MOHAMMADPUR GUJAR ROOM NO.1</x:v>
      </x:c>
      <x:c r="C174" t="n">
        <x:v>925</x:v>
      </x:c>
      <x:c r="D174" t="n">
        <x:v>564</x:v>
      </x:c>
      <x:c r="E174" t="n">
        <x:f>SUM(H174:S174)</x:f>
        <x:v>559</x:v>
      </x:c>
      <x:c r="F174" t="n">
        <x:v>5</x:v>
      </x:c>
      <x:c r="G174" s="50" t="n">
        <x:f>IF(C174="","",IFERROR(D174/C174,0))</x:f>
        <x:v>0.6097297297297297</x:v>
      </x:c>
      <x:c r="H174" s="36" t="n">
        <x:v>350</x:v>
      </x:c>
      <x:c r="I174" t="n">
        <x:v>126</x:v>
      </x:c>
      <x:c r="J174" t="n">
        <x:v>36</x:v>
      </x:c>
      <x:c r="K174" t="n">
        <x:v>32</x:v>
      </x:c>
      <x:c r="L174" t="n">
        <x:v>1</x:v>
      </x:c>
      <x:c r="M174" t="n">
        <x:v>1</x:v>
      </x:c>
      <x:c r="N174" t="n">
        <x:v>1</x:v>
      </x:c>
      <x:c r="O174" t="n">
        <x:v>1</x:v>
      </x:c>
      <x:c r="P174" t="n">
        <x:v>2</x:v>
      </x:c>
      <x:c r="Q174" t="n">
        <x:v>2</x:v>
      </x:c>
      <x:c r="R174" t="n">
        <x:v>3</x:v>
      </x:c>
      <x:c r="S174" t="n">
        <x:v>4</x:v>
      </x:c>
      <x:c r="T174" s="50" t="n">
        <x:f>IF(D174=0,"",H174/D174)</x:f>
        <x:v>0.6205673758865248</x:v>
      </x:c>
      <x:c r="U174" t="n">
        <x:f>MAX(I174:S174)</x:f>
        <x:v>126</x:v>
      </x:c>
      <x:c r="V174" t="n">
        <x:f>H174-U174</x:f>
        <x:v>224</x:v>
      </x:c>
      <x:c r="W174" s="52" t="n">
        <x:f>IF(D174=0,"",(V174)/D174)</x:f>
        <x:v>0.3971631205673759</x:v>
      </x:c>
      <x:c r="X174" t="str">
        <x:v>AVTAR SINGH BHADANA</x:v>
      </x:c>
      <x:c r="Y174" t="n">
        <x:f>D174-E174-F174</x:f>
        <x:v>0</x:v>
      </x:c>
    </x:row>
    <x:row r="175">
      <x:c r="A175" t="n">
        <x:v>167</x:v>
      </x:c>
      <x:c r="B175" t="str">
        <x:v>BIHARI LAL INTER COLLEGE DANKAUR ROOM NO. 1</x:v>
      </x:c>
      <x:c r="C175" t="n">
        <x:v>644</x:v>
      </x:c>
      <x:c r="D175" t="n">
        <x:v>392</x:v>
      </x:c>
      <x:c r="E175" t="n">
        <x:f>SUM(H175:S175)</x:f>
        <x:v>389</x:v>
      </x:c>
      <x:c r="F175" t="n">
        <x:v>3</x:v>
      </x:c>
      <x:c r="G175" s="50" t="n">
        <x:f>IF(C175="","",IFERROR(D175/C175,0))</x:f>
        <x:v>0.6086956521739131</x:v>
      </x:c>
      <x:c r="H175" s="36" t="n">
        <x:v>120</x:v>
      </x:c>
      <x:c r="I175" t="n">
        <x:v>245</x:v>
      </x:c>
      <x:c r="J175" t="n">
        <x:v>17</x:v>
      </x:c>
      <x:c r="K175" t="n">
        <x:v>5</x:v>
      </x:c>
      <x:c r="L175" t="n">
        <x:v>0</x:v>
      </x:c>
      <x:c r="M175" t="n">
        <x:v>1</x:v>
      </x:c>
      <x:c r="N175" t="n">
        <x:v>0</x:v>
      </x:c>
      <x:c r="O175" t="n">
        <x:v>0</x:v>
      </x:c>
      <x:c r="P175" t="n">
        <x:v>0</x:v>
      </x:c>
      <x:c r="Q175" t="n">
        <x:v>1</x:v>
      </x:c>
      <x:c r="R175" t="n">
        <x:v>0</x:v>
      </x:c>
      <x:c r="S175" t="n">
        <x:v>0</x:v>
      </x:c>
      <x:c r="T175" s="50" t="n">
        <x:f>IF(D175=0,"",H175/D175)</x:f>
        <x:v>0.30612244897959184</x:v>
      </x:c>
      <x:c r="U175" t="n">
        <x:f>MAX(I175:S175)</x:f>
        <x:v>245</x:v>
      </x:c>
      <x:c r="V175" t="n">
        <x:f>H175-U175</x:f>
        <x:v>-125</x:v>
      </x:c>
      <x:c r="W175" s="52" t="n">
        <x:f>IF(D175=0,"",(V175)/D175)</x:f>
        <x:v>-0.31887755102040816</x:v>
      </x:c>
      <x:c r="X175" t="str">
        <x:v>DHIRENDRA SINGH</x:v>
      </x:c>
      <x:c r="Y175" t="n">
        <x:f>D175-E175-F175</x:f>
        <x:v>0</x:v>
      </x:c>
    </x:row>
    <x:row r="176">
      <x:c r="A176" t="n">
        <x:v>168</x:v>
      </x:c>
      <x:c r="B176" t="str">
        <x:v>BIHARI LAL INTER COLLEGE DANKAUR ROOM NO. 2</x:v>
      </x:c>
      <x:c r="C176" t="n">
        <x:v>902</x:v>
      </x:c>
      <x:c r="D176" t="n">
        <x:v>507</x:v>
      </x:c>
      <x:c r="E176" t="n">
        <x:f>SUM(H176:S176)</x:f>
        <x:v>502</x:v>
      </x:c>
      <x:c r="F176" t="n">
        <x:v>5</x:v>
      </x:c>
      <x:c r="G176" s="50" t="n">
        <x:f>IF(C176="","",IFERROR(D176/C176,0))</x:f>
        <x:v>0.5620842572062085</x:v>
      </x:c>
      <x:c r="H176" s="36" t="n">
        <x:v>116</x:v>
      </x:c>
      <x:c r="I176" t="n">
        <x:v>354</x:v>
      </x:c>
      <x:c r="J176" t="n">
        <x:v>20</x:v>
      </x:c>
      <x:c r="K176" t="n">
        <x:v>6</x:v>
      </x:c>
      <x:c r="L176" t="n">
        <x:v>0</x:v>
      </x:c>
      <x:c r="M176" t="n">
        <x:v>2</x:v>
      </x:c>
      <x:c r="N176" t="n">
        <x:v>0</x:v>
      </x:c>
      <x:c r="O176" t="n">
        <x:v>0</x:v>
      </x:c>
      <x:c r="P176" t="n">
        <x:v>1</x:v>
      </x:c>
      <x:c r="Q176" t="n">
        <x:v>2</x:v>
      </x:c>
      <x:c r="R176" t="n">
        <x:v>1</x:v>
      </x:c>
      <x:c r="S176" t="n">
        <x:v>0</x:v>
      </x:c>
      <x:c r="T176" s="50" t="n">
        <x:f>IF(D176=0,"",H176/D176)</x:f>
        <x:v>0.22879684418145957</x:v>
      </x:c>
      <x:c r="U176" t="n">
        <x:f>MAX(I176:S176)</x:f>
        <x:v>354</x:v>
      </x:c>
      <x:c r="V176" t="n">
        <x:f>H176-U176</x:f>
        <x:v>-238</x:v>
      </x:c>
      <x:c r="W176" s="52" t="n">
        <x:f>IF(D176=0,"",(V176)/D176)</x:f>
        <x:v>-0.46942800788954636</x:v>
      </x:c>
      <x:c r="X176" t="str">
        <x:v>DHIRENDRA SINGH</x:v>
      </x:c>
      <x:c r="Y176" t="n">
        <x:f>D176-E176-F176</x:f>
        <x:v>0</x:v>
      </x:c>
    </x:row>
    <x:row r="177">
      <x:c r="A177" t="n">
        <x:v>169</x:v>
      </x:c>
      <x:c r="B177" t="str">
        <x:v>BIHARI LAL INTER COLLEGE DANKAUR ROOM NO. 3</x:v>
      </x:c>
      <x:c r="C177" t="n">
        <x:v>1106</x:v>
      </x:c>
      <x:c r="D177" t="n">
        <x:v>593</x:v>
      </x:c>
      <x:c r="E177" t="n">
        <x:f>SUM(H177:S177)</x:f>
        <x:v>587</x:v>
      </x:c>
      <x:c r="F177" t="n">
        <x:v>6</x:v>
      </x:c>
      <x:c r="G177" s="50" t="n">
        <x:f>IF(C177="","",IFERROR(D177/C177,0))</x:f>
        <x:v>0.5361663652802894</x:v>
      </x:c>
      <x:c r="H177" s="36" t="n">
        <x:v>172</x:v>
      </x:c>
      <x:c r="I177" t="n">
        <x:v>321</x:v>
      </x:c>
      <x:c r="J177" t="n">
        <x:v>78</x:v>
      </x:c>
      <x:c r="K177" t="n">
        <x:v>7</x:v>
      </x:c>
      <x:c r="L177" t="n">
        <x:v>1</x:v>
      </x:c>
      <x:c r="M177" t="n">
        <x:v>6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2</x:v>
      </x:c>
      <x:c r="T177" s="50" t="n">
        <x:f>IF(D177=0,"",H177/D177)</x:f>
        <x:v>0.2900505902192243</x:v>
      </x:c>
      <x:c r="U177" t="n">
        <x:f>MAX(I177:S177)</x:f>
        <x:v>321</x:v>
      </x:c>
      <x:c r="V177" t="n">
        <x:f>H177-U177</x:f>
        <x:v>-149</x:v>
      </x:c>
      <x:c r="W177" s="52" t="n">
        <x:f>IF(D177=0,"",(V177)/D177)</x:f>
        <x:v>-0.25126475548060706</x:v>
      </x:c>
      <x:c r="X177" t="str">
        <x:v>DHIRENDRA SINGH</x:v>
      </x:c>
      <x:c r="Y177" t="n">
        <x:f>D177-E177-F177</x:f>
        <x:v>0</x:v>
      </x:c>
    </x:row>
    <x:row r="178">
      <x:c r="A178" t="n">
        <x:v>170</x:v>
      </x:c>
      <x:c r="B178" t="str">
        <x:v>BIHARI LAL INTER COLLEGE DANKAUR ROOM NO. 4</x:v>
      </x:c>
      <x:c r="C178" t="n">
        <x:v>1049</x:v>
      </x:c>
      <x:c r="D178" t="n">
        <x:v>601</x:v>
      </x:c>
      <x:c r="E178" t="n">
        <x:f>SUM(H178:S178)</x:f>
        <x:v>599</x:v>
      </x:c>
      <x:c r="F178" t="n">
        <x:v>2</x:v>
      </x:c>
      <x:c r="G178" s="50" t="n">
        <x:f>IF(C178="","",IFERROR(D178/C178,0))</x:f>
        <x:v>0.572926596758818</x:v>
      </x:c>
      <x:c r="H178" s="36" t="n">
        <x:v>150</x:v>
      </x:c>
      <x:c r="I178" t="n">
        <x:v>333</x:v>
      </x:c>
      <x:c r="J178" t="n">
        <x:v>100</x:v>
      </x:c>
      <x:c r="K178" t="n">
        <x:v>3</x:v>
      </x:c>
      <x:c r="L178" t="n">
        <x:v>0</x:v>
      </x:c>
      <x:c r="M178" t="n">
        <x:v>4</x:v>
      </x:c>
      <x:c r="N178" t="n">
        <x:v>2</x:v>
      </x:c>
      <x:c r="O178" t="n">
        <x:v>0</x:v>
      </x:c>
      <x:c r="P178" t="n">
        <x:v>2</x:v>
      </x:c>
      <x:c r="Q178" t="n">
        <x:v>0</x:v>
      </x:c>
      <x:c r="R178" t="n">
        <x:v>3</x:v>
      </x:c>
      <x:c r="S178" t="n">
        <x:v>2</x:v>
      </x:c>
      <x:c r="T178" s="50" t="n">
        <x:f>IF(D178=0,"",H178/D178)</x:f>
        <x:v>0.24958402662229617</x:v>
      </x:c>
      <x:c r="U178" t="n">
        <x:f>MAX(I178:S178)</x:f>
        <x:v>333</x:v>
      </x:c>
      <x:c r="V178" t="n">
        <x:f>H178-U178</x:f>
        <x:v>-183</x:v>
      </x:c>
      <x:c r="W178" s="52" t="n">
        <x:f>IF(D178=0,"",(V178)/D178)</x:f>
        <x:v>-0.30449251247920134</x:v>
      </x:c>
      <x:c r="X178" t="str">
        <x:v>DHIRENDRA SINGH</x:v>
      </x:c>
      <x:c r="Y178" t="n">
        <x:f>D178-E178-F178</x:f>
        <x:v>0</x:v>
      </x:c>
    </x:row>
    <x:row r="179">
      <x:c r="A179" t="n">
        <x:v>171</x:v>
      </x:c>
      <x:c r="B179" t="str">
        <x:v>BIHARI LAL INTER COLLEGE DANKAUR ROOM NO. 5</x:v>
      </x:c>
      <x:c r="C179" t="n">
        <x:v>934</x:v>
      </x:c>
      <x:c r="D179" t="n">
        <x:v>474</x:v>
      </x:c>
      <x:c r="E179" t="n">
        <x:f>SUM(H179:S179)</x:f>
        <x:v>474</x:v>
      </x:c>
      <x:c r="F179" t="n">
        <x:v>0</x:v>
      </x:c>
      <x:c r="G179" s="50" t="n">
        <x:f>IF(C179="","",IFERROR(D179/C179,0))</x:f>
        <x:v>0.5074946466809421</x:v>
      </x:c>
      <x:c r="H179" s="36" t="n">
        <x:v>113</x:v>
      </x:c>
      <x:c r="I179" t="n">
        <x:v>203</x:v>
      </x:c>
      <x:c r="J179" t="n">
        <x:v>146</x:v>
      </x:c>
      <x:c r="K179" t="n">
        <x:v>5</x:v>
      </x:c>
      <x:c r="L179" t="n">
        <x:v>1</x:v>
      </x:c>
      <x:c r="M179" t="n">
        <x:v>0</x:v>
      </x:c>
      <x:c r="N179" t="n">
        <x:v>0</x:v>
      </x:c>
      <x:c r="O179" t="n">
        <x:v>3</x:v>
      </x:c>
      <x:c r="P179" t="n">
        <x:v>0</x:v>
      </x:c>
      <x:c r="Q179" t="n">
        <x:v>0</x:v>
      </x:c>
      <x:c r="R179" t="n">
        <x:v>3</x:v>
      </x:c>
      <x:c r="S179" t="n">
        <x:v>0</x:v>
      </x:c>
      <x:c r="T179" s="50" t="n">
        <x:f>IF(D179=0,"",H179/D179)</x:f>
        <x:v>0.23839662447257384</x:v>
      </x:c>
      <x:c r="U179" t="n">
        <x:f>MAX(I179:S179)</x:f>
        <x:v>203</x:v>
      </x:c>
      <x:c r="V179" t="n">
        <x:f>H179-U179</x:f>
        <x:v>-90</x:v>
      </x:c>
      <x:c r="W179" s="52" t="n">
        <x:f>IF(D179=0,"",(V179)/D179)</x:f>
        <x:v>-0.189873417721519</x:v>
      </x:c>
      <x:c r="X179" t="str">
        <x:v>DHIRENDRA SINGH</x:v>
      </x:c>
      <x:c r="Y179" t="n">
        <x:f>D179-E179-F179</x:f>
        <x:v>0</x:v>
      </x:c>
    </x:row>
    <x:row r="180">
      <x:c r="A180" t="n">
        <x:v>172</x:v>
      </x:c>
      <x:c r="B180" t="str">
        <x:v>BIHARI LAL INTER COLLEGE DANKAUR ROOM NO. 6</x:v>
      </x:c>
      <x:c r="C180" t="n">
        <x:v>1102</x:v>
      </x:c>
      <x:c r="D180" t="n">
        <x:v>665</x:v>
      </x:c>
      <x:c r="E180" t="n">
        <x:f>SUM(H180:S180)</x:f>
        <x:v>659</x:v>
      </x:c>
      <x:c r="F180" t="n">
        <x:v>6</x:v>
      </x:c>
      <x:c r="G180" s="50" t="n">
        <x:f>IF(C180="","",IFERROR(D180/C180,0))</x:f>
        <x:v>0.603448275862069</x:v>
      </x:c>
      <x:c r="H180" s="36" t="n">
        <x:v>159</x:v>
      </x:c>
      <x:c r="I180" t="n">
        <x:v>446</x:v>
      </x:c>
      <x:c r="J180" t="n">
        <x:v>44</x:v>
      </x:c>
      <x:c r="K180" t="n">
        <x:v>3</x:v>
      </x:c>
      <x:c r="L180" t="n">
        <x:v>3</x:v>
      </x:c>
      <x:c r="M180" t="n">
        <x:v>2</x:v>
      </x:c>
      <x:c r="N180" t="n">
        <x:v>0</x:v>
      </x:c>
      <x:c r="O180" t="n">
        <x:v>0</x:v>
      </x:c>
      <x:c r="P180" t="n">
        <x:v>0</x:v>
      </x:c>
      <x:c r="Q180" t="n">
        <x:v>1</x:v>
      </x:c>
      <x:c r="R180" t="n">
        <x:v>0</x:v>
      </x:c>
      <x:c r="S180" t="n">
        <x:v>1</x:v>
      </x:c>
      <x:c r="T180" s="50" t="n">
        <x:f>IF(D180=0,"",H180/D180)</x:f>
        <x:v>0.23909774436090225</x:v>
      </x:c>
      <x:c r="U180" t="n">
        <x:f>MAX(I180:S180)</x:f>
        <x:v>446</x:v>
      </x:c>
      <x:c r="V180" t="n">
        <x:f>H180-U180</x:f>
        <x:v>-287</x:v>
      </x:c>
      <x:c r="W180" s="52" t="n">
        <x:f>IF(D180=0,"",(V180)/D180)</x:f>
        <x:v>-0.43157894736842106</x:v>
      </x:c>
      <x:c r="X180" t="str">
        <x:v>DHIRENDRA SINGH</x:v>
      </x:c>
      <x:c r="Y180" t="n">
        <x:f>D180-E180-F180</x:f>
        <x:v>0</x:v>
      </x:c>
    </x:row>
    <x:row r="181">
      <x:c r="A181" t="n">
        <x:v>173</x:v>
      </x:c>
      <x:c r="B181" t="str">
        <x:v>BIHARI LAL INTER COLLEGE DANKAUR ROOM NO. 7</x:v>
      </x:c>
      <x:c r="C181" t="n">
        <x:v>1033</x:v>
      </x:c>
      <x:c r="D181" t="n">
        <x:v>659</x:v>
      </x:c>
      <x:c r="E181" t="n">
        <x:f>SUM(H181:S181)</x:f>
        <x:v>655</x:v>
      </x:c>
      <x:c r="F181" t="n">
        <x:v>4</x:v>
      </x:c>
      <x:c r="G181" s="50" t="n">
        <x:f>IF(C181="","",IFERROR(D181/C181,0))</x:f>
        <x:v>0.6379477250726041</x:v>
      </x:c>
      <x:c r="H181" s="36" t="n">
        <x:v>279</x:v>
      </x:c>
      <x:c r="I181" t="n">
        <x:v>225</x:v>
      </x:c>
      <x:c r="J181" t="n">
        <x:v>138</x:v>
      </x:c>
      <x:c r="K181" t="n">
        <x:v>3</x:v>
      </x:c>
      <x:c r="L181" t="n">
        <x:v>1</x:v>
      </x:c>
      <x:c r="M181" t="n">
        <x:v>1</x:v>
      </x:c>
      <x:c r="N181" t="n">
        <x:v>0</x:v>
      </x:c>
      <x:c r="O181" t="n">
        <x:v>2</x:v>
      </x:c>
      <x:c r="P181" t="n">
        <x:v>0</x:v>
      </x:c>
      <x:c r="Q181" t="n">
        <x:v>0</x:v>
      </x:c>
      <x:c r="R181" t="n">
        <x:v>2</x:v>
      </x:c>
      <x:c r="S181" t="n">
        <x:v>4</x:v>
      </x:c>
      <x:c r="T181" s="50" t="n">
        <x:f>IF(D181=0,"",H181/D181)</x:f>
        <x:v>0.4233687405159332</x:v>
      </x:c>
      <x:c r="U181" t="n">
        <x:f>MAX(I181:S181)</x:f>
        <x:v>225</x:v>
      </x:c>
      <x:c r="V181" t="n">
        <x:f>H181-U181</x:f>
        <x:v>54</x:v>
      </x:c>
      <x:c r="W181" s="52" t="n">
        <x:f>IF(D181=0,"",(V181)/D181)</x:f>
        <x:v>0.0819423368740516</x:v>
      </x:c>
      <x:c r="X181" t="str">
        <x:v>AVTAR SINGH BHADANA</x:v>
      </x:c>
      <x:c r="Y181" t="n">
        <x:f>D181-E181-F181</x:f>
        <x:v>0</x:v>
      </x:c>
    </x:row>
    <x:row r="182">
      <x:c r="A182" t="n">
        <x:v>174</x:v>
      </x:c>
      <x:c r="B182" t="str">
        <x:v>BIHARI LAL INTER COLLEGE DANKAUR ROOM NO. 8</x:v>
      </x:c>
      <x:c r="C182" t="n">
        <x:v>979</x:v>
      </x:c>
      <x:c r="D182" t="n">
        <x:v>629</x:v>
      </x:c>
      <x:c r="E182" t="n">
        <x:f>SUM(H182:S182)</x:f>
        <x:v>621</x:v>
      </x:c>
      <x:c r="F182" t="n">
        <x:v>8</x:v>
      </x:c>
      <x:c r="G182" s="50" t="n">
        <x:f>IF(C182="","",IFERROR(D182/C182,0))</x:f>
        <x:v>0.6424923391215526</x:v>
      </x:c>
      <x:c r="H182" s="36" t="n">
        <x:v>273</x:v>
      </x:c>
      <x:c r="I182" t="n">
        <x:v>267</x:v>
      </x:c>
      <x:c r="J182" t="n">
        <x:v>71</x:v>
      </x:c>
      <x:c r="K182" t="n">
        <x:v>2</x:v>
      </x:c>
      <x:c r="L182" t="n">
        <x:v>1</x:v>
      </x:c>
      <x:c r="M182" t="n">
        <x:v>4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1</x:v>
      </x:c>
      <x:c r="S182" t="n">
        <x:v>2</x:v>
      </x:c>
      <x:c r="T182" s="50" t="n">
        <x:f>IF(D182=0,"",H182/D182)</x:f>
        <x:v>0.43402225755166934</x:v>
      </x:c>
      <x:c r="U182" t="n">
        <x:f>MAX(I182:S182)</x:f>
        <x:v>267</x:v>
      </x:c>
      <x:c r="V182" t="n">
        <x:f>H182-U182</x:f>
        <x:v>6</x:v>
      </x:c>
      <x:c r="W182" s="52" t="n">
        <x:f>IF(D182=0,"",(V182)/D182)</x:f>
        <x:v>0.009538950715421303</x:v>
      </x:c>
      <x:c r="X182" t="str">
        <x:v>AVTAR SINGH BHADANA</x:v>
      </x:c>
      <x:c r="Y182" t="n">
        <x:f>D182-E182-F182</x:f>
        <x:v>0</x:v>
      </x:c>
    </x:row>
    <x:row r="183">
      <x:c r="A183" t="n">
        <x:v>175</x:v>
      </x:c>
      <x:c r="B183" t="str">
        <x:v>PRE SECONDARY SCHOOL TOWN AREA DANKAUR ROOM NO 1</x:v>
      </x:c>
      <x:c r="C183" t="n">
        <x:v>902</x:v>
      </x:c>
      <x:c r="D183" t="n">
        <x:v>622</x:v>
      </x:c>
      <x:c r="E183" t="n">
        <x:f>SUM(H183:S183)</x:f>
        <x:v>613</x:v>
      </x:c>
      <x:c r="F183" t="n">
        <x:v>9</x:v>
      </x:c>
      <x:c r="G183" s="50" t="n">
        <x:f>IF(C183="","",IFERROR(D183/C183,0))</x:f>
        <x:v>0.6895787139689579</x:v>
      </x:c>
      <x:c r="H183" s="36" t="n">
        <x:v>57</x:v>
      </x:c>
      <x:c r="I183" t="n">
        <x:v>96</x:v>
      </x:c>
      <x:c r="J183" t="n">
        <x:v>445</x:v>
      </x:c>
      <x:c r="K183" t="n">
        <x:v>2</x:v>
      </x:c>
      <x:c r="L183" t="n">
        <x:v>1</x:v>
      </x:c>
      <x:c r="M183" t="n">
        <x:v>0</x:v>
      </x:c>
      <x:c r="N183" t="n">
        <x:v>0</x:v>
      </x:c>
      <x:c r="O183" t="n">
        <x:v>1</x:v>
      </x:c>
      <x:c r="P183" t="n">
        <x:v>0</x:v>
      </x:c>
      <x:c r="Q183" t="n">
        <x:v>1</x:v>
      </x:c>
      <x:c r="R183" t="n">
        <x:v>10</x:v>
      </x:c>
      <x:c r="S183" t="n">
        <x:v>0</x:v>
      </x:c>
      <x:c r="T183" s="50" t="n">
        <x:f>IF(D183=0,"",H183/D183)</x:f>
        <x:v>0.09163987138263666</x:v>
      </x:c>
      <x:c r="U183" t="n">
        <x:f>MAX(I183:S183)</x:f>
        <x:v>445</x:v>
      </x:c>
      <x:c r="V183" t="n">
        <x:f>H183-U183</x:f>
        <x:v>-388</x:v>
      </x:c>
      <x:c r="W183" s="52" t="n">
        <x:f>IF(D183=0,"",(V183)/D183)</x:f>
        <x:v>-0.6237942122186495</x:v>
      </x:c>
      <x:c r="X183" t="str">
        <x:v>NARENDER KUMAR</x:v>
      </x:c>
      <x:c r="Y183" t="n">
        <x:f>D183-E183-F183</x:f>
        <x:v>0</x:v>
      </x:c>
    </x:row>
    <x:row r="184">
      <x:c r="A184" t="n">
        <x:v>176</x:v>
      </x:c>
      <x:c r="B184" t="str">
        <x:v>PRE SECONDARY SCHOOL TOWN AREA DANKAUR ROOM NO 2</x:v>
      </x:c>
      <x:c r="C184" t="n">
        <x:v>472</x:v>
      </x:c>
      <x:c r="D184" t="n">
        <x:v>266</x:v>
      </x:c>
      <x:c r="E184" t="n">
        <x:f>SUM(H184:S184)</x:f>
        <x:v>265</x:v>
      </x:c>
      <x:c r="F184" t="n">
        <x:v>1</x:v>
      </x:c>
      <x:c r="G184" s="50" t="n">
        <x:f>IF(C184="","",IFERROR(D184/C184,0))</x:f>
        <x:v>0.5635593220338984</x:v>
      </x:c>
      <x:c r="H184" s="36" t="n">
        <x:v>60</x:v>
      </x:c>
      <x:c r="I184" t="n">
        <x:v>179</x:v>
      </x:c>
      <x:c r="J184" t="n">
        <x:v>24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2</x:v>
      </x:c>
      <x:c r="T184" s="50" t="n">
        <x:f>IF(D184=0,"",H184/D184)</x:f>
        <x:v>0.22556390977443608</x:v>
      </x:c>
      <x:c r="U184" t="n">
        <x:f>MAX(I184:S184)</x:f>
        <x:v>179</x:v>
      </x:c>
      <x:c r="V184" t="n">
        <x:f>H184-U184</x:f>
        <x:v>-119</x:v>
      </x:c>
      <x:c r="W184" s="52" t="n">
        <x:f>IF(D184=0,"",(V184)/D184)</x:f>
        <x:v>-0.4473684210526316</x:v>
      </x:c>
      <x:c r="X184" t="str">
        <x:v>DHIRENDRA SINGH</x:v>
      </x:c>
      <x:c r="Y184" t="n">
        <x:f>D184-E184-F184</x:f>
        <x:v>0</x:v>
      </x:c>
    </x:row>
    <x:row r="185">
      <x:c r="A185" t="n">
        <x:v>177</x:v>
      </x:c>
      <x:c r="B185" t="str">
        <x:v>PRE SECONDARY SCHOOL TOWN AREA DANKAUR ROOM NO 3</x:v>
      </x:c>
      <x:c r="C185" t="n">
        <x:v>922</x:v>
      </x:c>
      <x:c r="D185" t="n">
        <x:v>494</x:v>
      </x:c>
      <x:c r="E185" t="n">
        <x:f>SUM(H185:S185)</x:f>
        <x:v>493</x:v>
      </x:c>
      <x:c r="F185" t="n">
        <x:v>1</x:v>
      </x:c>
      <x:c r="G185" s="50" t="n">
        <x:f>IF(C185="","",IFERROR(D185/C185,0))</x:f>
        <x:v>0.5357917570498916</x:v>
      </x:c>
      <x:c r="H185" s="36" t="n">
        <x:v>109</x:v>
      </x:c>
      <x:c r="I185" t="n">
        <x:v>258</x:v>
      </x:c>
      <x:c r="J185" t="n">
        <x:v>94</x:v>
      </x:c>
      <x:c r="K185" t="n">
        <x:v>28</x:v>
      </x:c>
      <x:c r="L185" t="n">
        <x:v>0</x:v>
      </x:c>
      <x:c r="M185" t="n">
        <x:v>3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1</x:v>
      </x:c>
      <x:c r="T185" s="50" t="n">
        <x:f>IF(D185=0,"",H185/D185)</x:f>
        <x:v>0.22064777327935223</x:v>
      </x:c>
      <x:c r="U185" t="n">
        <x:f>MAX(I185:S185)</x:f>
        <x:v>258</x:v>
      </x:c>
      <x:c r="V185" t="n">
        <x:f>H185-U185</x:f>
        <x:v>-149</x:v>
      </x:c>
      <x:c r="W185" s="52" t="n">
        <x:f>IF(D185=0,"",(V185)/D185)</x:f>
        <x:v>-0.3016194331983806</x:v>
      </x:c>
      <x:c r="X185" t="str">
        <x:v>DHIRENDRA SINGH</x:v>
      </x:c>
      <x:c r="Y185" t="n">
        <x:f>D185-E185-F185</x:f>
        <x:v>0</x:v>
      </x:c>
    </x:row>
    <x:row r="186">
      <x:c r="A186" t="n">
        <x:v>178</x:v>
      </x:c>
      <x:c r="B186" t="str">
        <x:v>PRE SECONDARY SCHOOL TOWN AREA DANKAUR ROOM NO 4</x:v>
      </x:c>
      <x:c r="C186" t="n">
        <x:v>949</x:v>
      </x:c>
      <x:c r="D186" t="n">
        <x:v>668</x:v>
      </x:c>
      <x:c r="E186" t="n">
        <x:f>SUM(H186:S186)</x:f>
        <x:v>663</x:v>
      </x:c>
      <x:c r="F186" t="n">
        <x:v>5</x:v>
      </x:c>
      <x:c r="G186" s="50" t="n">
        <x:f>IF(C186="","",IFERROR(D186/C186,0))</x:f>
        <x:v>0.7038988408851422</x:v>
      </x:c>
      <x:c r="H186" s="36" t="n">
        <x:v>264</x:v>
      </x:c>
      <x:c r="I186" t="n">
        <x:v>374</x:v>
      </x:c>
      <x:c r="J186" t="n">
        <x:v>9</x:v>
      </x:c>
      <x:c r="K186" t="n">
        <x:v>8</x:v>
      </x:c>
      <x:c r="L186" t="n">
        <x:v>4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2</x:v>
      </x:c>
      <x:c r="R186" t="n">
        <x:v>1</x:v>
      </x:c>
      <x:c r="S186" t="n">
        <x:v>1</x:v>
      </x:c>
      <x:c r="T186" s="50" t="n">
        <x:f>IF(D186=0,"",H186/D186)</x:f>
        <x:v>0.39520958083832336</x:v>
      </x:c>
      <x:c r="U186" t="n">
        <x:f>MAX(I186:S186)</x:f>
        <x:v>374</x:v>
      </x:c>
      <x:c r="V186" t="n">
        <x:f>H186-U186</x:f>
        <x:v>-110</x:v>
      </x:c>
      <x:c r="W186" s="52" t="n">
        <x:f>IF(D186=0,"",(V186)/D186)</x:f>
        <x:v>-0.16467065868263472</x:v>
      </x:c>
      <x:c r="X186" t="str">
        <x:v>DHIRENDRA SINGH</x:v>
      </x:c>
      <x:c r="Y186" t="n">
        <x:f>D186-E186-F186</x:f>
        <x:v>0</x:v>
      </x:c>
    </x:row>
    <x:row r="187">
      <x:c r="A187" t="n">
        <x:v>179</x:v>
      </x:c>
      <x:c r="B187" t="str">
        <x:v>PRIMARY SCHOOL NO 1 TOWN AREA DANKAUR ROOM NO 1</x:v>
      </x:c>
      <x:c r="C187" t="n">
        <x:v>988</x:v>
      </x:c>
      <x:c r="D187" t="n">
        <x:v>631</x:v>
      </x:c>
      <x:c r="E187" t="n">
        <x:f>SUM(H187:S187)</x:f>
        <x:v>622</x:v>
      </x:c>
      <x:c r="F187" t="n">
        <x:v>9</x:v>
      </x:c>
      <x:c r="G187" s="50" t="n">
        <x:f>IF(C187="","",IFERROR(D187/C187,0))</x:f>
        <x:v>0.638663967611336</x:v>
      </x:c>
      <x:c r="H187" s="36" t="n">
        <x:v>295</x:v>
      </x:c>
      <x:c r="I187" t="n">
        <x:v>296</x:v>
      </x:c>
      <x:c r="J187" t="n">
        <x:v>9</x:v>
      </x:c>
      <x:c r="K187" t="n">
        <x:v>9</x:v>
      </x:c>
      <x:c r="L187" t="n">
        <x:v>0</x:v>
      </x:c>
      <x:c r="M187" t="n">
        <x:v>7</x:v>
      </x:c>
      <x:c r="N187" t="n">
        <x:v>0</x:v>
      </x:c>
      <x:c r="O187" t="n">
        <x:v>1</x:v>
      </x:c>
      <x:c r="P187" t="n">
        <x:v>0</x:v>
      </x:c>
      <x:c r="Q187" t="n">
        <x:v>1</x:v>
      </x:c>
      <x:c r="R187" t="n">
        <x:v>1</x:v>
      </x:c>
      <x:c r="S187" t="n">
        <x:v>3</x:v>
      </x:c>
      <x:c r="T187" s="50" t="n">
        <x:f>IF(D187=0,"",H187/D187)</x:f>
        <x:v>0.4675118858954041</x:v>
      </x:c>
      <x:c r="U187" t="n">
        <x:f>MAX(I187:S187)</x:f>
        <x:v>296</x:v>
      </x:c>
      <x:c r="V187" t="n">
        <x:f>H187-U187</x:f>
        <x:v>-1</x:v>
      </x:c>
      <x:c r="W187" s="52" t="n">
        <x:f>IF(D187=0,"",(V187)/D187)</x:f>
        <x:v>-0.001584786053882726</x:v>
      </x:c>
      <x:c r="X187" t="str">
        <x:v>DHIRENDRA SINGH</x:v>
      </x:c>
      <x:c r="Y187" t="n">
        <x:f>D187-E187-F187</x:f>
        <x:v>0</x:v>
      </x:c>
    </x:row>
    <x:row r="188">
      <x:c r="A188" t="n">
        <x:v>180</x:v>
      </x:c>
      <x:c r="B188" t="str">
        <x:v>PRIMARY SCHOOL NO 1 TOWN AREA DANKAUR ROOM NO 2</x:v>
      </x:c>
      <x:c r="C188" t="n">
        <x:v>622</x:v>
      </x:c>
      <x:c r="D188" t="n">
        <x:v>444</x:v>
      </x:c>
      <x:c r="E188" t="n">
        <x:f>SUM(H188:S188)</x:f>
        <x:v>442</x:v>
      </x:c>
      <x:c r="F188" t="n">
        <x:v>2</x:v>
      </x:c>
      <x:c r="G188" s="50" t="n">
        <x:f>IF(C188="","",IFERROR(D188/C188,0))</x:f>
        <x:v>0.7138263665594855</x:v>
      </x:c>
      <x:c r="H188" s="36" t="n">
        <x:v>79</x:v>
      </x:c>
      <x:c r="I188" t="n">
        <x:v>344</x:v>
      </x:c>
      <x:c r="J188" t="n">
        <x:v>9</x:v>
      </x:c>
      <x:c r="K188" t="n">
        <x:v>1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1</x:v>
      </x:c>
      <x:c r="S188" t="n">
        <x:v>8</x:v>
      </x:c>
      <x:c r="T188" s="50" t="n">
        <x:f>IF(D188=0,"",H188/D188)</x:f>
        <x:v>0.17792792792792791</x:v>
      </x:c>
      <x:c r="U188" t="n">
        <x:f>MAX(I188:S188)</x:f>
        <x:v>344</x:v>
      </x:c>
      <x:c r="V188" t="n">
        <x:f>H188-U188</x:f>
        <x:v>-265</x:v>
      </x:c>
      <x:c r="W188" s="52" t="n">
        <x:f>IF(D188=0,"",(V188)/D188)</x:f>
        <x:v>-0.5968468468468469</x:v>
      </x:c>
      <x:c r="X188" t="str">
        <x:v>DHIRENDRA SINGH</x:v>
      </x:c>
      <x:c r="Y188" t="n">
        <x:f>D188-E188-F188</x:f>
        <x:v>0</x:v>
      </x:c>
    </x:row>
    <x:row r="189">
      <x:c r="A189" t="n">
        <x:v>181</x:v>
      </x:c>
      <x:c r="B189" t="str">
        <x:v>PRIMARY SCHOOL NO 1 TOWN AREA DANKAUR ROOM NO 3</x:v>
      </x:c>
      <x:c r="C189" t="n">
        <x:v>524</x:v>
      </x:c>
      <x:c r="D189" t="n">
        <x:v>363</x:v>
      </x:c>
      <x:c r="E189" t="n">
        <x:f>SUM(H189:S189)</x:f>
        <x:v>358</x:v>
      </x:c>
      <x:c r="F189" t="n">
        <x:v>5</x:v>
      </x:c>
      <x:c r="G189" s="50" t="n">
        <x:f>IF(C189="","",IFERROR(D189/C189,0))</x:f>
        <x:v>0.6927480916030534</x:v>
      </x:c>
      <x:c r="H189" s="36" t="n">
        <x:v>70</x:v>
      </x:c>
      <x:c r="I189" t="n">
        <x:v>271</x:v>
      </x:c>
      <x:c r="J189" t="n">
        <x:v>6</x:v>
      </x:c>
      <x:c r="K189" t="n">
        <x:v>3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2</x:v>
      </x:c>
      <x:c r="S189" t="n">
        <x:v>6</x:v>
      </x:c>
      <x:c r="T189" s="50" t="n">
        <x:f>IF(D189=0,"",H189/D189)</x:f>
        <x:v>0.1928374655647383</x:v>
      </x:c>
      <x:c r="U189" t="n">
        <x:f>MAX(I189:S189)</x:f>
        <x:v>271</x:v>
      </x:c>
      <x:c r="V189" t="n">
        <x:f>H189-U189</x:f>
        <x:v>-201</x:v>
      </x:c>
      <x:c r="W189" s="52" t="n">
        <x:f>IF(D189=0,"",(V189)/D189)</x:f>
        <x:v>-0.5537190082644629</x:v>
      </x:c>
      <x:c r="X189" t="str">
        <x:v>DHIRENDRA SINGH</x:v>
      </x:c>
      <x:c r="Y189" t="n">
        <x:f>D189-E189-F189</x:f>
        <x:v>0</x:v>
      </x:c>
    </x:row>
    <x:row r="190">
      <x:c r="A190" t="n">
        <x:v>182</x:v>
      </x:c>
      <x:c r="B190" t="str">
        <x:v>KISAN ADHYATMIK INTER COLLEGE DANKAUR ROOM NO. 1</x:v>
      </x:c>
      <x:c r="C190" t="n">
        <x:v>719</x:v>
      </x:c>
      <x:c r="D190" t="n">
        <x:v>371</x:v>
      </x:c>
      <x:c r="E190" t="n">
        <x:f>SUM(H190:S190)</x:f>
        <x:v>368</x:v>
      </x:c>
      <x:c r="F190" t="n">
        <x:v>3</x:v>
      </x:c>
      <x:c r="G190" s="50" t="n">
        <x:f>IF(C190="","",IFERROR(D190/C190,0))</x:f>
        <x:v>0.5159944367176634</x:v>
      </x:c>
      <x:c r="H190" s="36" t="n">
        <x:v>169</x:v>
      </x:c>
      <x:c r="I190" t="n">
        <x:v>68</x:v>
      </x:c>
      <x:c r="J190" t="n">
        <x:v>120</x:v>
      </x:c>
      <x:c r="K190" t="n">
        <x:v>7</x:v>
      </x:c>
      <x:c r="L190" t="n">
        <x:v>0</x:v>
      </x:c>
      <x:c r="M190" t="n">
        <x:v>0</x:v>
      </x:c>
      <x:c r="N190" t="n">
        <x:v>1</x:v>
      </x:c>
      <x:c r="O190" t="n">
        <x:v>1</x:v>
      </x:c>
      <x:c r="P190" t="n">
        <x:v>2</x:v>
      </x:c>
      <x:c r="Q190" t="n">
        <x:v>0</x:v>
      </x:c>
      <x:c r="R190" t="n">
        <x:v>0</x:v>
      </x:c>
      <x:c r="S190" t="n">
        <x:v>0</x:v>
      </x:c>
      <x:c r="T190" s="50" t="n">
        <x:f>IF(D190=0,"",H190/D190)</x:f>
        <x:v>0.4555256064690027</x:v>
      </x:c>
      <x:c r="U190" t="n">
        <x:f>MAX(I190:S190)</x:f>
        <x:v>120</x:v>
      </x:c>
      <x:c r="V190" t="n">
        <x:f>H190-U190</x:f>
        <x:v>49</x:v>
      </x:c>
      <x:c r="W190" s="52" t="n">
        <x:f>IF(D190=0,"",(V190)/D190)</x:f>
        <x:v>0.1320754716981132</x:v>
      </x:c>
      <x:c r="X190" t="str">
        <x:v>AVTAR SINGH BHADANA</x:v>
      </x:c>
      <x:c r="Y190" t="n">
        <x:f>D190-E190-F190</x:f>
        <x:v>0</x:v>
      </x:c>
    </x:row>
    <x:row r="191">
      <x:c r="A191" t="n">
        <x:v>183</x:v>
      </x:c>
      <x:c r="B191" t="str">
        <x:v>KISAN ADHYATMIK INTER COLLEGE DANKAUR ROOM NO. 2</x:v>
      </x:c>
      <x:c r="C191" t="n">
        <x:v>735</x:v>
      </x:c>
      <x:c r="D191" t="n">
        <x:v>380</x:v>
      </x:c>
      <x:c r="E191" t="n">
        <x:f>SUM(H191:S191)</x:f>
        <x:v>380</x:v>
      </x:c>
      <x:c r="F191" t="n">
        <x:v>0</x:v>
      </x:c>
      <x:c r="G191" s="50" t="n">
        <x:f>IF(C191="","",IFERROR(D191/C191,0))</x:f>
        <x:v>0.5170068027210885</x:v>
      </x:c>
      <x:c r="H191" s="36" t="n">
        <x:v>221</x:v>
      </x:c>
      <x:c r="I191" t="n">
        <x:v>116</x:v>
      </x:c>
      <x:c r="J191" t="n">
        <x:v>39</x:v>
      </x:c>
      <x:c r="K191" t="n">
        <x:v>2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2</x:v>
      </x:c>
      <x:c r="S191" t="n">
        <x:v>0</x:v>
      </x:c>
      <x:c r="T191" s="50" t="n">
        <x:f>IF(D191=0,"",H191/D191)</x:f>
        <x:v>0.5815789473684211</x:v>
      </x:c>
      <x:c r="U191" t="n">
        <x:f>MAX(I191:S191)</x:f>
        <x:v>116</x:v>
      </x:c>
      <x:c r="V191" t="n">
        <x:f>H191-U191</x:f>
        <x:v>105</x:v>
      </x:c>
      <x:c r="W191" s="52" t="n">
        <x:f>IF(D191=0,"",(V191)/D191)</x:f>
        <x:v>0.27631578947368424</x:v>
      </x:c>
      <x:c r="X191" t="str">
        <x:v>AVTAR SINGH BHADANA</x:v>
      </x:c>
      <x:c r="Y191" t="n">
        <x:f>D191-E191-F191</x:f>
        <x:v>0</x:v>
      </x:c>
    </x:row>
    <x:row r="192">
      <x:c r="A192" t="n">
        <x:v>184</x:v>
      </x:c>
      <x:c r="B192" t="str">
        <x:v>KISAN ADHYATMIK INTER COLLEGE DANKAUR ROOM NO. 3</x:v>
      </x:c>
      <x:c r="C192" t="n">
        <x:v>570</x:v>
      </x:c>
      <x:c r="D192" t="n">
        <x:v>347</x:v>
      </x:c>
      <x:c r="E192" t="n">
        <x:f>SUM(H192:S192)</x:f>
        <x:v>342</x:v>
      </x:c>
      <x:c r="F192" t="n">
        <x:v>5</x:v>
      </x:c>
      <x:c r="G192" s="50" t="n">
        <x:f>IF(C192="","",IFERROR(D192/C192,0))</x:f>
        <x:v>0.6087719298245614</x:v>
      </x:c>
      <x:c r="H192" s="36" t="n">
        <x:v>245</x:v>
      </x:c>
      <x:c r="I192" t="n">
        <x:v>68</x:v>
      </x:c>
      <x:c r="J192" t="n">
        <x:v>19</x:v>
      </x:c>
      <x:c r="K192" t="n">
        <x:v>3</x:v>
      </x:c>
      <x:c r="L192" t="n">
        <x:v>0</x:v>
      </x:c>
      <x:c r="M192" t="n">
        <x:v>1</x:v>
      </x:c>
      <x:c r="N192" t="n">
        <x:v>0</x:v>
      </x:c>
      <x:c r="O192" t="n">
        <x:v>1</x:v>
      </x:c>
      <x:c r="P192" t="n">
        <x:v>0</x:v>
      </x:c>
      <x:c r="Q192" t="n">
        <x:v>0</x:v>
      </x:c>
      <x:c r="R192" t="n">
        <x:v>2</x:v>
      </x:c>
      <x:c r="S192" t="n">
        <x:v>3</x:v>
      </x:c>
      <x:c r="T192" s="50" t="n">
        <x:f>IF(D192=0,"",H192/D192)</x:f>
        <x:v>0.7060518731988472</x:v>
      </x:c>
      <x:c r="U192" t="n">
        <x:f>MAX(I192:S192)</x:f>
        <x:v>68</x:v>
      </x:c>
      <x:c r="V192" t="n">
        <x:f>H192-U192</x:f>
        <x:v>177</x:v>
      </x:c>
      <x:c r="W192" s="52" t="n">
        <x:f>IF(D192=0,"",(V192)/D192)</x:f>
        <x:v>0.5100864553314121</x:v>
      </x:c>
      <x:c r="X192" t="str">
        <x:v>AVTAR SINGH BHADANA</x:v>
      </x:c>
      <x:c r="Y192" t="n">
        <x:f>D192-E192-F192</x:f>
        <x:v>0</x:v>
      </x:c>
    </x:row>
    <x:row r="193">
      <x:c r="A193" t="n">
        <x:v>185</x:v>
      </x:c>
      <x:c r="B193" t="str">
        <x:v>PRIMARY SCHOOL GUNPURA ROOM NO 1</x:v>
      </x:c>
      <x:c r="C193" t="n">
        <x:v>441</x:v>
      </x:c>
      <x:c r="D193" t="n">
        <x:v>298</x:v>
      </x:c>
      <x:c r="E193" t="n">
        <x:f>SUM(H193:S193)</x:f>
        <x:v>296</x:v>
      </x:c>
      <x:c r="F193" t="n">
        <x:v>2</x:v>
      </x:c>
      <x:c r="G193" s="50" t="n">
        <x:f>IF(C193="","",IFERROR(D193/C193,0))</x:f>
        <x:v>0.6757369614512472</x:v>
      </x:c>
      <x:c r="H193" s="36" t="n">
        <x:v>176</x:v>
      </x:c>
      <x:c r="I193" t="n">
        <x:v>40</x:v>
      </x:c>
      <x:c r="J193" t="n">
        <x:v>71</x:v>
      </x:c>
      <x:c r="K193" t="n">
        <x:v>5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1</x:v>
      </x:c>
      <x:c r="Q193" t="n">
        <x:v>0</x:v>
      </x:c>
      <x:c r="R193" t="n">
        <x:v>1</x:v>
      </x:c>
      <x:c r="S193" t="n">
        <x:v>2</x:v>
      </x:c>
      <x:c r="T193" s="50" t="n">
        <x:f>IF(D193=0,"",H193/D193)</x:f>
        <x:v>0.5906040268456376</x:v>
      </x:c>
      <x:c r="U193" t="n">
        <x:f>MAX(I193:S193)</x:f>
        <x:v>71</x:v>
      </x:c>
      <x:c r="V193" t="n">
        <x:f>H193-U193</x:f>
        <x:v>105</x:v>
      </x:c>
      <x:c r="W193" s="52" t="n">
        <x:f>IF(D193=0,"",(V193)/D193)</x:f>
        <x:v>0.3523489932885906</x:v>
      </x:c>
      <x:c r="X193" t="str">
        <x:v>AVTAR SINGH BHADANA</x:v>
      </x:c>
      <x:c r="Y193" t="n">
        <x:f>D193-E193-F193</x:f>
        <x:v>0</x:v>
      </x:c>
    </x:row>
    <x:row r="194">
      <x:c r="A194" t="n">
        <x:v>186</x:v>
      </x:c>
      <x:c r="B194" t="str">
        <x:v>PRIMARY SCHOOL ATTA GUJRAN ROOM NO. 1</x:v>
      </x:c>
      <x:c r="C194" t="n">
        <x:v>977</x:v>
      </x:c>
      <x:c r="D194" t="n">
        <x:v>627</x:v>
      </x:c>
      <x:c r="E194" t="n">
        <x:f>SUM(H194:S194)</x:f>
        <x:v>620</x:v>
      </x:c>
      <x:c r="F194" t="n">
        <x:v>7</x:v>
      </x:c>
      <x:c r="G194" s="50" t="n">
        <x:f>IF(C194="","",IFERROR(D194/C194,0))</x:f>
        <x:v>0.6417604912998977</x:v>
      </x:c>
      <x:c r="H194" s="36" t="n">
        <x:v>410</x:v>
      </x:c>
      <x:c r="I194" t="n">
        <x:v>160</x:v>
      </x:c>
      <x:c r="J194" t="n">
        <x:v>36</x:v>
      </x:c>
      <x:c r="K194" t="n">
        <x:v>5</x:v>
      </x:c>
      <x:c r="L194" t="n">
        <x:v>0</x:v>
      </x:c>
      <x:c r="M194" t="n">
        <x:v>2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5</x:v>
      </x:c>
      <x:c r="S194" t="n">
        <x:v>2</x:v>
      </x:c>
      <x:c r="T194" s="50" t="n">
        <x:f>IF(D194=0,"",H194/D194)</x:f>
        <x:v>0.6539074960127592</x:v>
      </x:c>
      <x:c r="U194" t="n">
        <x:f>MAX(I194:S194)</x:f>
        <x:v>160</x:v>
      </x:c>
      <x:c r="V194" t="n">
        <x:f>H194-U194</x:f>
        <x:v>250</x:v>
      </x:c>
      <x:c r="W194" s="52" t="n">
        <x:f>IF(D194=0,"",(V194)/D194)</x:f>
        <x:v>0.39872408293460926</x:v>
      </x:c>
      <x:c r="X194" t="str">
        <x:v>AVTAR SINGH BHADANA</x:v>
      </x:c>
      <x:c r="Y194" t="n">
        <x:f>D194-E194-F194</x:f>
        <x:v>0</x:v>
      </x:c>
    </x:row>
    <x:row r="195">
      <x:c r="A195" t="n">
        <x:v>187</x:v>
      </x:c>
      <x:c r="B195" t="str">
        <x:v>PRIMARY SCHOOL ATTA GUJRAN ROOM NO. 2</x:v>
      </x:c>
      <x:c r="C195" t="n">
        <x:v>858</x:v>
      </x:c>
      <x:c r="D195" t="n">
        <x:v>524</x:v>
      </x:c>
      <x:c r="E195" t="n">
        <x:f>SUM(H195:S195)</x:f>
        <x:v>517</x:v>
      </x:c>
      <x:c r="F195" t="n">
        <x:v>7</x:v>
      </x:c>
      <x:c r="G195" s="50" t="n">
        <x:f>IF(C195="","",IFERROR(D195/C195,0))</x:f>
        <x:v>0.6107226107226107</x:v>
      </x:c>
      <x:c r="H195" s="36" t="n">
        <x:v>154</x:v>
      </x:c>
      <x:c r="I195" t="n">
        <x:v>42</x:v>
      </x:c>
      <x:c r="J195" t="n">
        <x:v>301</x:v>
      </x:c>
      <x:c r="K195" t="n">
        <x:v>5</x:v>
      </x:c>
      <x:c r="L195" t="n">
        <x:v>1</x:v>
      </x:c>
      <x:c r="M195" t="n">
        <x:v>1</x:v>
      </x:c>
      <x:c r="N195" t="n">
        <x:v>0</x:v>
      </x:c>
      <x:c r="O195" t="n">
        <x:v>1</x:v>
      </x:c>
      <x:c r="P195" t="n">
        <x:v>0</x:v>
      </x:c>
      <x:c r="Q195" t="n">
        <x:v>3</x:v>
      </x:c>
      <x:c r="R195" t="n">
        <x:v>4</x:v>
      </x:c>
      <x:c r="S195" t="n">
        <x:v>5</x:v>
      </x:c>
      <x:c r="T195" s="50" t="n">
        <x:f>IF(D195=0,"",H195/D195)</x:f>
        <x:v>0.29389312977099236</x:v>
      </x:c>
      <x:c r="U195" t="n">
        <x:f>MAX(I195:S195)</x:f>
        <x:v>301</x:v>
      </x:c>
      <x:c r="V195" t="n">
        <x:f>H195-U195</x:f>
        <x:v>-147</x:v>
      </x:c>
      <x:c r="W195" s="52" t="n">
        <x:f>IF(D195=0,"",(V195)/D195)</x:f>
        <x:v>-0.28053435114503816</x:v>
      </x:c>
      <x:c r="X195" t="str">
        <x:v>NARENDER KUMAR</x:v>
      </x:c>
      <x:c r="Y195" t="n">
        <x:f>D195-E195-F195</x:f>
        <x:v>0</x:v>
      </x:c>
    </x:row>
    <x:row r="196">
      <x:c r="A196" t="n">
        <x:v>188</x:v>
      </x:c>
      <x:c r="B196" t="str">
        <x:v>PRIMARY SCHOOL ATTA GUJRAN ROOM NO. 3</x:v>
      </x:c>
      <x:c r="C196" t="n">
        <x:v>734</x:v>
      </x:c>
      <x:c r="D196" t="n">
        <x:v>501</x:v>
      </x:c>
      <x:c r="E196" t="n">
        <x:f>SUM(H196:S196)</x:f>
        <x:v>497</x:v>
      </x:c>
      <x:c r="F196" t="n">
        <x:v>4</x:v>
      </x:c>
      <x:c r="G196" s="50" t="n">
        <x:f>IF(C196="","",IFERROR(D196/C196,0))</x:f>
        <x:v>0.6825613079019074</x:v>
      </x:c>
      <x:c r="H196" s="36" t="n">
        <x:v>112</x:v>
      </x:c>
      <x:c r="I196" t="n">
        <x:v>47</x:v>
      </x:c>
      <x:c r="J196" t="n">
        <x:v>311</x:v>
      </x:c>
      <x:c r="K196" t="n">
        <x:v>13</x:v>
      </x:c>
      <x:c r="L196" t="n">
        <x:v>1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2</x:v>
      </x:c>
      <x:c r="R196" t="n">
        <x:v>4</x:v>
      </x:c>
      <x:c r="S196" t="n">
        <x:v>7</x:v>
      </x:c>
      <x:c r="T196" s="50" t="n">
        <x:f>IF(D196=0,"",H196/D196)</x:f>
        <x:v>0.22355289421157684</x:v>
      </x:c>
      <x:c r="U196" t="n">
        <x:f>MAX(I196:S196)</x:f>
        <x:v>311</x:v>
      </x:c>
      <x:c r="V196" t="n">
        <x:f>H196-U196</x:f>
        <x:v>-199</x:v>
      </x:c>
      <x:c r="W196" s="52" t="n">
        <x:f>IF(D196=0,"",(V196)/D196)</x:f>
        <x:v>-0.3972055888223553</x:v>
      </x:c>
      <x:c r="X196" t="str">
        <x:v>NARENDER KUMAR</x:v>
      </x:c>
      <x:c r="Y196" t="n">
        <x:f>D196-E196-F196</x:f>
        <x:v>0</x:v>
      </x:c>
    </x:row>
    <x:row r="197">
      <x:c r="A197" t="n">
        <x:v>189</x:v>
      </x:c>
      <x:c r="B197" t="str">
        <x:v>PRIMARY SCHOOL JAGANPUR AFZALPUR ROOM NO 1</x:v>
      </x:c>
      <x:c r="C197" t="n">
        <x:v>823</x:v>
      </x:c>
      <x:c r="D197" t="n">
        <x:v>470</x:v>
      </x:c>
      <x:c r="E197" t="n">
        <x:f>SUM(H197:S197)</x:f>
        <x:v>463</x:v>
      </x:c>
      <x:c r="F197" t="n">
        <x:v>7</x:v>
      </x:c>
      <x:c r="G197" s="50" t="n">
        <x:f>IF(C197="","",IFERROR(D197/C197,0))</x:f>
        <x:v>0.5710814094775213</x:v>
      </x:c>
      <x:c r="H197" s="36" t="n">
        <x:v>221</x:v>
      </x:c>
      <x:c r="I197" t="n">
        <x:v>132</x:v>
      </x:c>
      <x:c r="J197" t="n">
        <x:v>102</x:v>
      </x:c>
      <x:c r="K197" t="n">
        <x:v>3</x:v>
      </x:c>
      <x:c r="L197" t="n">
        <x:v>0</x:v>
      </x:c>
      <x:c r="M197" t="n">
        <x:v>0</x:v>
      </x:c>
      <x:c r="N197" t="n">
        <x:v>0</x:v>
      </x:c>
      <x:c r="O197" t="n">
        <x:v>1</x:v>
      </x:c>
      <x:c r="P197" t="n">
        <x:v>1</x:v>
      </x:c>
      <x:c r="Q197" t="n">
        <x:v>0</x:v>
      </x:c>
      <x:c r="R197" t="n">
        <x:v>1</x:v>
      </x:c>
      <x:c r="S197" t="n">
        <x:v>2</x:v>
      </x:c>
      <x:c r="T197" s="50" t="n">
        <x:f>IF(D197=0,"",H197/D197)</x:f>
        <x:v>0.4702127659574468</x:v>
      </x:c>
      <x:c r="U197" t="n">
        <x:f>MAX(I197:S197)</x:f>
        <x:v>132</x:v>
      </x:c>
      <x:c r="V197" t="n">
        <x:f>H197-U197</x:f>
        <x:v>89</x:v>
      </x:c>
      <x:c r="W197" s="52" t="n">
        <x:f>IF(D197=0,"",(V197)/D197)</x:f>
        <x:v>0.18936170212765957</x:v>
      </x:c>
      <x:c r="X197" t="str">
        <x:v>AVTAR SINGH BHADANA</x:v>
      </x:c>
      <x:c r="Y197" t="n">
        <x:f>D197-E197-F197</x:f>
        <x:v>0</x:v>
      </x:c>
    </x:row>
    <x:row r="198">
      <x:c r="A198" t="n">
        <x:v>190</x:v>
      </x:c>
      <x:c r="B198" t="str">
        <x:v>PRIMARY SCHOOL AURANGPUR ROOM NO 1</x:v>
      </x:c>
      <x:c r="C198" t="n">
        <x:v>928</x:v>
      </x:c>
      <x:c r="D198" t="n">
        <x:v>652</x:v>
      </x:c>
      <x:c r="E198" t="n">
        <x:f>SUM(H198:S198)</x:f>
        <x:v>636</x:v>
      </x:c>
      <x:c r="F198" t="n">
        <x:v>16</x:v>
      </x:c>
      <x:c r="G198" s="50" t="n">
        <x:f>IF(C198="","",IFERROR(D198/C198,0))</x:f>
        <x:v>0.7025862068965517</x:v>
      </x:c>
      <x:c r="H198" s="36" t="n">
        <x:v>365</x:v>
      </x:c>
      <x:c r="I198" t="n">
        <x:v>119</x:v>
      </x:c>
      <x:c r="J198" t="n">
        <x:v>106</x:v>
      </x:c>
      <x:c r="K198" t="n">
        <x:v>33</x:v>
      </x:c>
      <x:c r="L198" t="n">
        <x:v>0</x:v>
      </x:c>
      <x:c r="M198" t="n">
        <x:v>0</x:v>
      </x:c>
      <x:c r="N198" t="n">
        <x:v>2</x:v>
      </x:c>
      <x:c r="O198" t="n">
        <x:v>1</x:v>
      </x:c>
      <x:c r="P198" t="n">
        <x:v>2</x:v>
      </x:c>
      <x:c r="Q198" t="n">
        <x:v>3</x:v>
      </x:c>
      <x:c r="R198" t="n">
        <x:v>1</x:v>
      </x:c>
      <x:c r="S198" t="n">
        <x:v>4</x:v>
      </x:c>
      <x:c r="T198" s="50" t="n">
        <x:f>IF(D198=0,"",H198/D198)</x:f>
        <x:v>0.5598159509202454</x:v>
      </x:c>
      <x:c r="U198" t="n">
        <x:f>MAX(I198:S198)</x:f>
        <x:v>119</x:v>
      </x:c>
      <x:c r="V198" t="n">
        <x:f>H198-U198</x:f>
        <x:v>246</x:v>
      </x:c>
      <x:c r="W198" s="52" t="n">
        <x:f>IF(D198=0,"",(V198)/D198)</x:f>
        <x:v>0.3773006134969325</x:v>
      </x:c>
      <x:c r="X198" t="str">
        <x:v>AVTAR SINGH BHADANA</x:v>
      </x:c>
      <x:c r="Y198" t="n">
        <x:f>D198-E198-F198</x:f>
        <x:v>0</x:v>
      </x:c>
    </x:row>
    <x:row r="199">
      <x:c r="A199" t="n">
        <x:v>191</x:v>
      </x:c>
      <x:c r="B199" t="str">
        <x:v>PRIMARY SCHOOL FATEHPUR ATTA ROOM NO. 1</x:v>
      </x:c>
      <x:c r="C199" t="n">
        <x:v>854</x:v>
      </x:c>
      <x:c r="D199" t="n">
        <x:v>586</x:v>
      </x:c>
      <x:c r="E199" t="n">
        <x:f>SUM(H199:S199)</x:f>
        <x:v>580</x:v>
      </x:c>
      <x:c r="F199" t="n">
        <x:v>6</x:v>
      </x:c>
      <x:c r="G199" s="50" t="n">
        <x:f>IF(C199="","",IFERROR(D199/C199,0))</x:f>
        <x:v>0.6861826697892272</x:v>
      </x:c>
      <x:c r="H199" s="36" t="n">
        <x:v>274</x:v>
      </x:c>
      <x:c r="I199" t="n">
        <x:v>254</x:v>
      </x:c>
      <x:c r="J199" t="n">
        <x:v>44</x:v>
      </x:c>
      <x:c r="K199" t="n">
        <x:v>2</x:v>
      </x:c>
      <x:c r="L199" t="n">
        <x:v>1</x:v>
      </x:c>
      <x:c r="M199" t="n">
        <x:v>0</x:v>
      </x:c>
      <x:c r="N199" t="n">
        <x:v>1</x:v>
      </x:c>
      <x:c r="O199" t="n">
        <x:v>1</x:v>
      </x:c>
      <x:c r="P199" t="n">
        <x:v>1</x:v>
      </x:c>
      <x:c r="Q199" t="n">
        <x:v>0</x:v>
      </x:c>
      <x:c r="R199" t="n">
        <x:v>2</x:v>
      </x:c>
      <x:c r="S199" t="n">
        <x:v>0</x:v>
      </x:c>
      <x:c r="T199" s="50" t="n">
        <x:f>IF(D199=0,"",H199/D199)</x:f>
        <x:v>0.46757679180887374</x:v>
      </x:c>
      <x:c r="U199" t="n">
        <x:f>MAX(I199:S199)</x:f>
        <x:v>254</x:v>
      </x:c>
      <x:c r="V199" t="n">
        <x:f>H199-U199</x:f>
        <x:v>20</x:v>
      </x:c>
      <x:c r="W199" s="52" t="n">
        <x:f>IF(D199=0,"",(V199)/D199)</x:f>
        <x:v>0.034129692832764506</x:v>
      </x:c>
      <x:c r="X199" t="str">
        <x:v>AVTAR SINGH BHADANA</x:v>
      </x:c>
      <x:c r="Y199" t="n">
        <x:f>D199-E199-F199</x:f>
        <x:v>0</x:v>
      </x:c>
    </x:row>
    <x:row r="200">
      <x:c r="A200" t="n">
        <x:v>192</x:v>
      </x:c>
      <x:c r="B200" t="str">
        <x:v>PRIMARY SCHOOL FATEHPUR ATTA ROOM NO. 2</x:v>
      </x:c>
      <x:c r="C200" t="n">
        <x:v>905</x:v>
      </x:c>
      <x:c r="D200" t="n">
        <x:v>645</x:v>
      </x:c>
      <x:c r="E200" t="n">
        <x:f>SUM(H200:S200)</x:f>
        <x:v>634</x:v>
      </x:c>
      <x:c r="F200" t="n">
        <x:v>11</x:v>
      </x:c>
      <x:c r="G200" s="50" t="n">
        <x:f>IF(C200="","",IFERROR(D200/C200,0))</x:f>
        <x:v>0.712707182320442</x:v>
      </x:c>
      <x:c r="H200" s="36" t="n">
        <x:v>462</x:v>
      </x:c>
      <x:c r="I200" t="n">
        <x:v>141</x:v>
      </x:c>
      <x:c r="J200" t="n">
        <x:v>19</x:v>
      </x:c>
      <x:c r="K200" t="n">
        <x:v>3</x:v>
      </x:c>
      <x:c r="L200" t="n">
        <x:v>0</x:v>
      </x:c>
      <x:c r="M200" t="n">
        <x:v>5</x:v>
      </x:c>
      <x:c r="N200" t="n">
        <x:v>0</x:v>
      </x:c>
      <x:c r="O200" t="n">
        <x:v>0</x:v>
      </x:c>
      <x:c r="P200" t="n">
        <x:v>0</x:v>
      </x:c>
      <x:c r="Q200" t="n">
        <x:v>1</x:v>
      </x:c>
      <x:c r="R200" t="n">
        <x:v>0</x:v>
      </x:c>
      <x:c r="S200" t="n">
        <x:v>3</x:v>
      </x:c>
      <x:c r="T200" s="50" t="n">
        <x:f>IF(D200=0,"",H200/D200)</x:f>
        <x:v>0.7162790697674418</x:v>
      </x:c>
      <x:c r="U200" t="n">
        <x:f>MAX(I200:S200)</x:f>
        <x:v>141</x:v>
      </x:c>
      <x:c r="V200" t="n">
        <x:f>H200-U200</x:f>
        <x:v>321</x:v>
      </x:c>
      <x:c r="W200" s="52" t="n">
        <x:f>IF(D200=0,"",(V200)/D200)</x:f>
        <x:v>0.49767441860465117</x:v>
      </x:c>
      <x:c r="X200" t="str">
        <x:v>AVTAR SINGH BHADANA</x:v>
      </x:c>
      <x:c r="Y200" t="n">
        <x:f>D200-E200-F200</x:f>
        <x:v>0</x:v>
      </x:c>
    </x:row>
    <x:row r="201">
      <x:c r="A201" t="n">
        <x:v>193</x:v>
      </x:c>
      <x:c r="B201" t="str">
        <x:v>PRIMARY SCHOOL FATEHPUR ATTA ROOM NO. 3</x:v>
      </x:c>
      <x:c r="C201" t="n">
        <x:v>640</x:v>
      </x:c>
      <x:c r="D201" t="n">
        <x:v>431</x:v>
      </x:c>
      <x:c r="E201" t="n">
        <x:f>SUM(H201:S201)</x:f>
        <x:v>427</x:v>
      </x:c>
      <x:c r="F201" t="n">
        <x:v>4</x:v>
      </x:c>
      <x:c r="G201" s="50" t="n">
        <x:f>IF(C201="","",IFERROR(D201/C201,0))</x:f>
        <x:v>0.6734375</x:v>
      </x:c>
      <x:c r="H201" s="36" t="n">
        <x:v>261</x:v>
      </x:c>
      <x:c r="I201" t="n">
        <x:v>103</x:v>
      </x:c>
      <x:c r="J201" t="n">
        <x:v>25</x:v>
      </x:c>
      <x:c r="K201" t="n">
        <x:v>9</x:v>
      </x:c>
      <x:c r="L201" t="n">
        <x:v>1</x:v>
      </x:c>
      <x:c r="M201" t="n">
        <x:v>18</x:v>
      </x:c>
      <x:c r="N201" t="n">
        <x:v>1</x:v>
      </x:c>
      <x:c r="O201" t="n">
        <x:v>1</x:v>
      </x:c>
      <x:c r="P201" t="n">
        <x:v>1</x:v>
      </x:c>
      <x:c r="Q201" t="n">
        <x:v>0</x:v>
      </x:c>
      <x:c r="R201" t="n">
        <x:v>3</x:v>
      </x:c>
      <x:c r="S201" t="n">
        <x:v>4</x:v>
      </x:c>
      <x:c r="T201" s="50" t="n">
        <x:f>IF(D201=0,"",H201/D201)</x:f>
        <x:v>0.605568445475638</x:v>
      </x:c>
      <x:c r="U201" t="n">
        <x:f>MAX(I201:S201)</x:f>
        <x:v>103</x:v>
      </x:c>
      <x:c r="V201" t="n">
        <x:f>H201-U201</x:f>
        <x:v>158</x:v>
      </x:c>
      <x:c r="W201" s="52" t="n">
        <x:f>IF(D201=0,"",(V201)/D201)</x:f>
        <x:v>0.3665893271461717</x:v>
      </x:c>
      <x:c r="X201" t="str">
        <x:v>AVTAR SINGH BHADANA</x:v>
      </x:c>
      <x:c r="Y201" t="n">
        <x:f>D201-E201-F201</x:f>
        <x:v>0</x:v>
      </x:c>
    </x:row>
    <x:row r="202">
      <x:c r="A202" t="n">
        <x:v>194</x:v>
      </x:c>
      <x:c r="B202" t="str">
        <x:v>PRIMARY SCHOOL SALARPUR ROOM NO 1</x:v>
      </x:c>
      <x:c r="C202" t="n">
        <x:v>713</x:v>
      </x:c>
      <x:c r="D202" t="n">
        <x:v>558</x:v>
      </x:c>
      <x:c r="E202" t="n">
        <x:f>SUM(H202:S202)</x:f>
        <x:v>554</x:v>
      </x:c>
      <x:c r="F202" t="n">
        <x:v>4</x:v>
      </x:c>
      <x:c r="G202" s="50" t="n">
        <x:f>IF(C202="","",IFERROR(D202/C202,0))</x:f>
        <x:v>0.782608695652174</x:v>
      </x:c>
      <x:c r="H202" s="36" t="n">
        <x:v>135</x:v>
      </x:c>
      <x:c r="I202" t="n">
        <x:v>231</x:v>
      </x:c>
      <x:c r="J202" t="n">
        <x:v>176</x:v>
      </x:c>
      <x:c r="K202" t="n">
        <x:v>4</x:v>
      </x:c>
      <x:c r="L202" t="n">
        <x:v>0</x:v>
      </x:c>
      <x:c r="M202" t="n">
        <x:v>2</x:v>
      </x:c>
      <x:c r="N202" t="n">
        <x:v>0</x:v>
      </x:c>
      <x:c r="O202" t="n">
        <x:v>1</x:v>
      </x:c>
      <x:c r="P202" t="n">
        <x:v>1</x:v>
      </x:c>
      <x:c r="Q202" t="n">
        <x:v>0</x:v>
      </x:c>
      <x:c r="R202" t="n">
        <x:v>2</x:v>
      </x:c>
      <x:c r="S202" t="n">
        <x:v>2</x:v>
      </x:c>
      <x:c r="T202" s="50" t="n">
        <x:f>IF(D202=0,"",H202/D202)</x:f>
        <x:v>0.24193548387096775</x:v>
      </x:c>
      <x:c r="U202" t="n">
        <x:f>MAX(I202:S202)</x:f>
        <x:v>231</x:v>
      </x:c>
      <x:c r="V202" t="n">
        <x:f>H202-U202</x:f>
        <x:v>-96</x:v>
      </x:c>
      <x:c r="W202" s="52" t="n">
        <x:f>IF(D202=0,"",(V202)/D202)</x:f>
        <x:v>-0.17204301075268819</x:v>
      </x:c>
      <x:c r="X202" t="str">
        <x:v>DHIRENDRA SINGH</x:v>
      </x:c>
      <x:c r="Y202" t="n">
        <x:f>D202-E202-F202</x:f>
        <x:v>0</x:v>
      </x:c>
    </x:row>
    <x:row r="203">
      <x:c r="A203" t="n">
        <x:v>195</x:v>
      </x:c>
      <x:c r="B203" t="str">
        <x:v>PRIMARY SCHOOL SALARPUR ROOM NO 2</x:v>
      </x:c>
      <x:c r="C203" t="n">
        <x:v>629</x:v>
      </x:c>
      <x:c r="D203" t="n">
        <x:v>467</x:v>
      </x:c>
      <x:c r="E203" t="n">
        <x:f>SUM(H203:S203)</x:f>
        <x:v>465</x:v>
      </x:c>
      <x:c r="F203" t="n">
        <x:v>2</x:v>
      </x:c>
      <x:c r="G203" s="50" t="n">
        <x:f>IF(C203="","",IFERROR(D203/C203,0))</x:f>
        <x:v>0.7424483306836248</x:v>
      </x:c>
      <x:c r="H203" s="36" t="n">
        <x:v>263</x:v>
      </x:c>
      <x:c r="I203" t="n">
        <x:v>84</x:v>
      </x:c>
      <x:c r="J203" t="n">
        <x:v>117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1</x:v>
      </x:c>
      <x:c r="S203" t="n">
        <x:v>0</x:v>
      </x:c>
      <x:c r="T203" s="50" t="n">
        <x:f>IF(D203=0,"",H203/D203)</x:f>
        <x:v>0.563169164882227</x:v>
      </x:c>
      <x:c r="U203" t="n">
        <x:f>MAX(I203:S203)</x:f>
        <x:v>117</x:v>
      </x:c>
      <x:c r="V203" t="n">
        <x:f>H203-U203</x:f>
        <x:v>146</x:v>
      </x:c>
      <x:c r="W203" s="52" t="n">
        <x:f>IF(D203=0,"",(V203)/D203)</x:f>
        <x:v>0.31263383297644537</x:v>
      </x:c>
      <x:c r="X203" t="str">
        <x:v>AVTAR SINGH BHADANA</x:v>
      </x:c>
      <x:c r="Y203" t="n">
        <x:f>D203-E203-F203</x:f>
        <x:v>0</x:v>
      </x:c>
    </x:row>
    <x:row r="204">
      <x:c r="A204" t="n">
        <x:v>196</x:v>
      </x:c>
      <x:c r="B204" t="str">
        <x:v>PRIMARY SCHOOL MOOJKHEDA ROOM NO. 1</x:v>
      </x:c>
      <x:c r="C204" t="n">
        <x:v>893</x:v>
      </x:c>
      <x:c r="D204" t="n">
        <x:v>672</x:v>
      </x:c>
      <x:c r="E204" t="n">
        <x:f>SUM(H204:S204)</x:f>
        <x:v>662</x:v>
      </x:c>
      <x:c r="F204" t="n">
        <x:v>10</x:v>
      </x:c>
      <x:c r="G204" s="50" t="n">
        <x:f>IF(C204="","",IFERROR(D204/C204,0))</x:f>
        <x:v>0.7525195968645016</x:v>
      </x:c>
      <x:c r="H204" s="36" t="n">
        <x:v>252</x:v>
      </x:c>
      <x:c r="I204" t="n">
        <x:v>372</x:v>
      </x:c>
      <x:c r="J204" t="n">
        <x:v>24</x:v>
      </x:c>
      <x:c r="K204" t="n">
        <x:v>5</x:v>
      </x:c>
      <x:c r="L204" t="n">
        <x:v>0</x:v>
      </x:c>
      <x:c r="M204" t="n">
        <x:v>2</x:v>
      </x:c>
      <x:c r="N204" t="n">
        <x:v>1</x:v>
      </x:c>
      <x:c r="O204" t="n">
        <x:v>1</x:v>
      </x:c>
      <x:c r="P204" t="n">
        <x:v>0</x:v>
      </x:c>
      <x:c r="Q204" t="n">
        <x:v>1</x:v>
      </x:c>
      <x:c r="R204" t="n">
        <x:v>0</x:v>
      </x:c>
      <x:c r="S204" t="n">
        <x:v>4</x:v>
      </x:c>
      <x:c r="T204" s="50" t="n">
        <x:f>IF(D204=0,"",H204/D204)</x:f>
        <x:v>0.375</x:v>
      </x:c>
      <x:c r="U204" t="n">
        <x:f>MAX(I204:S204)</x:f>
        <x:v>372</x:v>
      </x:c>
      <x:c r="V204" t="n">
        <x:f>H204-U204</x:f>
        <x:v>-120</x:v>
      </x:c>
      <x:c r="W204" s="52" t="n">
        <x:f>IF(D204=0,"",(V204)/D204)</x:f>
        <x:v>-0.17857142857142858</x:v>
      </x:c>
      <x:c r="X204" t="str">
        <x:v>DHIRENDRA SINGH</x:v>
      </x:c>
      <x:c r="Y204" t="n">
        <x:f>D204-E204-F204</x:f>
        <x:v>0</x:v>
      </x:c>
    </x:row>
    <x:row r="205">
      <x:c r="A205" t="n">
        <x:v>197</x:v>
      </x:c>
      <x:c r="B205" t="str">
        <x:v>PRIMARY SCHOOL BALLUKHERA MAJRA MOONJKHERA ROOM NO. 1</x:v>
      </x:c>
      <x:c r="C205" t="n">
        <x:v>1052</x:v>
      </x:c>
      <x:c r="D205" t="n">
        <x:v>738</x:v>
      </x:c>
      <x:c r="E205" t="n">
        <x:f>SUM(H205:S205)</x:f>
        <x:v>734</x:v>
      </x:c>
      <x:c r="F205" t="n">
        <x:v>4</x:v>
      </x:c>
      <x:c r="G205" s="50" t="n">
        <x:f>IF(C205="","",IFERROR(D205/C205,0))</x:f>
        <x:v>0.7015209125475285</x:v>
      </x:c>
      <x:c r="H205" s="36" t="n">
        <x:v>32</x:v>
      </x:c>
      <x:c r="I205" t="n">
        <x:v>20</x:v>
      </x:c>
      <x:c r="J205" t="n">
        <x:v>661</x:v>
      </x:c>
      <x:c r="K205" t="n">
        <x:v>12</x:v>
      </x:c>
      <x:c r="L205" t="n">
        <x:v>0</x:v>
      </x:c>
      <x:c r="M205" t="n">
        <x:v>2</x:v>
      </x:c>
      <x:c r="N205" t="n">
        <x:v>0</x:v>
      </x:c>
      <x:c r="O205" t="n">
        <x:v>0</x:v>
      </x:c>
      <x:c r="P205" t="n">
        <x:v>0</x:v>
      </x:c>
      <x:c r="Q205" t="n">
        <x:v>1</x:v>
      </x:c>
      <x:c r="R205" t="n">
        <x:v>3</x:v>
      </x:c>
      <x:c r="S205" t="n">
        <x:v>3</x:v>
      </x:c>
      <x:c r="T205" s="50" t="n">
        <x:f>IF(D205=0,"",H205/D205)</x:f>
        <x:v>0.04336043360433604</x:v>
      </x:c>
      <x:c r="U205" t="n">
        <x:f>MAX(I205:S205)</x:f>
        <x:v>661</x:v>
      </x:c>
      <x:c r="V205" t="n">
        <x:f>H205-U205</x:f>
        <x:v>-629</x:v>
      </x:c>
      <x:c r="W205" s="52" t="n">
        <x:f>IF(D205=0,"",(V205)/D205)</x:f>
        <x:v>-0.8523035230352304</x:v>
      </x:c>
      <x:c r="X205" t="str">
        <x:v>NARENDER KUMAR</x:v>
      </x:c>
      <x:c r="Y205" t="n">
        <x:f>D205-E205-F205</x:f>
        <x:v>0</x:v>
      </x:c>
    </x:row>
    <x:row r="206">
      <x:c r="A206" t="n">
        <x:v>198</x:v>
      </x:c>
      <x:c r="B206" t="str">
        <x:v>PRIMARY SCHOOL DERIN KHUBAN MAJRA MOONJKHERA ROOM NO 1</x:v>
      </x:c>
      <x:c r="C206" t="n">
        <x:v>678</x:v>
      </x:c>
      <x:c r="D206" t="n">
        <x:v>502</x:v>
      </x:c>
      <x:c r="E206" t="n">
        <x:f>SUM(H206:S206)</x:f>
        <x:v>490</x:v>
      </x:c>
      <x:c r="F206" t="n">
        <x:v>12</x:v>
      </x:c>
      <x:c r="G206" s="50" t="n">
        <x:f>IF(C206="","",IFERROR(D206/C206,0))</x:f>
        <x:v>0.7404129793510325</x:v>
      </x:c>
      <x:c r="H206" s="36" t="n">
        <x:v>289</x:v>
      </x:c>
      <x:c r="I206" t="n">
        <x:v>151</x:v>
      </x:c>
      <x:c r="J206" t="n">
        <x:v>21</x:v>
      </x:c>
      <x:c r="K206" t="n">
        <x:v>8</x:v>
      </x:c>
      <x:c r="L206" t="n">
        <x:v>1</x:v>
      </x:c>
      <x:c r="M206" t="n">
        <x:v>4</x:v>
      </x:c>
      <x:c r="N206" t="n">
        <x:v>0</x:v>
      </x:c>
      <x:c r="O206" t="n">
        <x:v>2</x:v>
      </x:c>
      <x:c r="P206" t="n">
        <x:v>3</x:v>
      </x:c>
      <x:c r="Q206" t="n">
        <x:v>1</x:v>
      </x:c>
      <x:c r="R206" t="n">
        <x:v>2</x:v>
      </x:c>
      <x:c r="S206" t="n">
        <x:v>8</x:v>
      </x:c>
      <x:c r="T206" s="50" t="n">
        <x:f>IF(D206=0,"",H206/D206)</x:f>
        <x:v>0.5756972111553785</x:v>
      </x:c>
      <x:c r="U206" t="n">
        <x:f>MAX(I206:S206)</x:f>
        <x:v>151</x:v>
      </x:c>
      <x:c r="V206" t="n">
        <x:f>H206-U206</x:f>
        <x:v>138</x:v>
      </x:c>
      <x:c r="W206" s="52" t="n">
        <x:f>IF(D206=0,"",(V206)/D206)</x:f>
        <x:v>0.2749003984063745</x:v>
      </x:c>
      <x:c r="X206" t="str">
        <x:v>AVTAR SINGH BHADANA</x:v>
      </x:c>
      <x:c r="Y206" t="n">
        <x:f>D206-E206-F206</x:f>
        <x:v>0</x:v>
      </x:c>
    </x:row>
    <x:row r="207">
      <x:c r="A207" t="n">
        <x:v>199</x:v>
      </x:c>
      <x:c r="B207" t="str">
        <x:v>PRIMARY SCHOOL KHERLI BHAV ROOM NO 1</x:v>
      </x:c>
      <x:c r="C207" t="n">
        <x:v>1024</x:v>
      </x:c>
      <x:c r="D207" t="n">
        <x:v>805</x:v>
      </x:c>
      <x:c r="E207" t="n">
        <x:f>SUM(H207:S207)</x:f>
        <x:v>796</x:v>
      </x:c>
      <x:c r="F207" t="n">
        <x:v>9</x:v>
      </x:c>
      <x:c r="G207" s="50" t="n">
        <x:f>IF(C207="","",IFERROR(D207/C207,0))</x:f>
        <x:v>0.7861328125</x:v>
      </x:c>
      <x:c r="H207" s="36" t="n">
        <x:v>213</x:v>
      </x:c>
      <x:c r="I207" t="n">
        <x:v>347</x:v>
      </x:c>
      <x:c r="J207" t="n">
        <x:v>210</x:v>
      </x:c>
      <x:c r="K207" t="n">
        <x:v>6</x:v>
      </x:c>
      <x:c r="L207" t="n">
        <x:v>2</x:v>
      </x:c>
      <x:c r="M207" t="n">
        <x:v>5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8</x:v>
      </x:c>
      <x:c r="S207" t="n">
        <x:v>5</x:v>
      </x:c>
      <x:c r="T207" s="50" t="n">
        <x:f>IF(D207=0,"",H207/D207)</x:f>
        <x:v>0.2645962732919255</x:v>
      </x:c>
      <x:c r="U207" t="n">
        <x:f>MAX(I207:S207)</x:f>
        <x:v>347</x:v>
      </x:c>
      <x:c r="V207" t="n">
        <x:f>H207-U207</x:f>
        <x:v>-134</x:v>
      </x:c>
      <x:c r="W207" s="52" t="n">
        <x:f>IF(D207=0,"",(V207)/D207)</x:f>
        <x:v>-0.16645962732919253</x:v>
      </x:c>
      <x:c r="X207" t="str">
        <x:v>DHIRENDRA SINGH</x:v>
      </x:c>
      <x:c r="Y207" t="n">
        <x:f>D207-E207-F207</x:f>
        <x:v>0</x:v>
      </x:c>
    </x:row>
    <x:row r="208">
      <x:c r="A208" t="n">
        <x:v>200</x:v>
      </x:c>
      <x:c r="B208" t="str">
        <x:v>PRIMARY SCHOOL KHERLI BHAV ROOM NO 2</x:v>
      </x:c>
      <x:c r="C208" t="n">
        <x:v>1019</x:v>
      </x:c>
      <x:c r="D208" t="n">
        <x:v>692</x:v>
      </x:c>
      <x:c r="E208" t="n">
        <x:f>SUM(H208:S208)</x:f>
        <x:v>687</x:v>
      </x:c>
      <x:c r="F208" t="n">
        <x:v>5</x:v>
      </x:c>
      <x:c r="G208" s="50" t="n">
        <x:f>IF(C208="","",IFERROR(D208/C208,0))</x:f>
        <x:v>0.6790971540726202</x:v>
      </x:c>
      <x:c r="H208" s="36" t="n">
        <x:v>189</x:v>
      </x:c>
      <x:c r="I208" t="n">
        <x:v>412</x:v>
      </x:c>
      <x:c r="J208" t="n">
        <x:v>66</x:v>
      </x:c>
      <x:c r="K208" t="n">
        <x:v>7</x:v>
      </x:c>
      <x:c r="L208" t="n">
        <x:v>2</x:v>
      </x:c>
      <x:c r="M208" t="n">
        <x:v>6</x:v>
      </x:c>
      <x:c r="N208" t="n">
        <x:v>0</x:v>
      </x:c>
      <x:c r="O208" t="n">
        <x:v>1</x:v>
      </x:c>
      <x:c r="P208" t="n">
        <x:v>0</x:v>
      </x:c>
      <x:c r="Q208" t="n">
        <x:v>0</x:v>
      </x:c>
      <x:c r="R208" t="n">
        <x:v>0</x:v>
      </x:c>
      <x:c r="S208" t="n">
        <x:v>4</x:v>
      </x:c>
      <x:c r="T208" s="50" t="n">
        <x:f>IF(D208=0,"",H208/D208)</x:f>
        <x:v>0.273121387283237</x:v>
      </x:c>
      <x:c r="U208" t="n">
        <x:f>MAX(I208:S208)</x:f>
        <x:v>412</x:v>
      </x:c>
      <x:c r="V208" t="n">
        <x:f>H208-U208</x:f>
        <x:v>-223</x:v>
      </x:c>
      <x:c r="W208" s="52" t="n">
        <x:f>IF(D208=0,"",(V208)/D208)</x:f>
        <x:v>-0.3222543352601156</x:v>
      </x:c>
      <x:c r="X208" t="str">
        <x:v>DHIRENDRA SINGH</x:v>
      </x:c>
      <x:c r="Y208" t="n">
        <x:f>D208-E208-F208</x:f>
        <x:v>0</x:v>
      </x:c>
    </x:row>
    <x:row r="209">
      <x:c r="A209" t="n">
        <x:v>201</x:v>
      </x:c>
      <x:c r="B209" t="str">
        <x:v>PRIMARY SCHOOL LATIFPUR ROOM NO 1</x:v>
      </x:c>
      <x:c r="C209" t="n">
        <x:v>1044</x:v>
      </x:c>
      <x:c r="D209" t="n">
        <x:v>788</x:v>
      </x:c>
      <x:c r="E209" t="n">
        <x:f>SUM(H209:S209)</x:f>
        <x:v>786</x:v>
      </x:c>
      <x:c r="F209" t="n">
        <x:v>2</x:v>
      </x:c>
      <x:c r="G209" s="50" t="n">
        <x:f>IF(C209="","",IFERROR(D209/C209,0))</x:f>
        <x:v>0.7547892720306514</x:v>
      </x:c>
      <x:c r="H209" s="36" t="n">
        <x:v>62</x:v>
      </x:c>
      <x:c r="I209" t="n">
        <x:v>490</x:v>
      </x:c>
      <x:c r="J209" t="n">
        <x:v>216</x:v>
      </x:c>
      <x:c r="K209" t="n">
        <x:v>8</x:v>
      </x:c>
      <x:c r="L209" t="n">
        <x:v>1</x:v>
      </x:c>
      <x:c r="M209" t="n">
        <x:v>2</x:v>
      </x:c>
      <x:c r="N209" t="n">
        <x:v>0</x:v>
      </x:c>
      <x:c r="O209" t="n">
        <x:v>0</x:v>
      </x:c>
      <x:c r="P209" t="n">
        <x:v>0</x:v>
      </x:c>
      <x:c r="Q209" t="n">
        <x:v>1</x:v>
      </x:c>
      <x:c r="R209" t="n">
        <x:v>4</x:v>
      </x:c>
      <x:c r="S209" t="n">
        <x:v>2</x:v>
      </x:c>
      <x:c r="T209" s="50" t="n">
        <x:f>IF(D209=0,"",H209/D209)</x:f>
        <x:v>0.07868020304568528</x:v>
      </x:c>
      <x:c r="U209" t="n">
        <x:f>MAX(I209:S209)</x:f>
        <x:v>490</x:v>
      </x:c>
      <x:c r="V209" t="n">
        <x:f>H209-U209</x:f>
        <x:v>-428</x:v>
      </x:c>
      <x:c r="W209" s="52" t="n">
        <x:f>IF(D209=0,"",(V209)/D209)</x:f>
        <x:v>-0.5431472081218274</x:v>
      </x:c>
      <x:c r="X209" t="str">
        <x:v>DHIRENDRA SINGH</x:v>
      </x:c>
      <x:c r="Y209" t="n">
        <x:f>D209-E209-F209</x:f>
        <x:v>0</x:v>
      </x:c>
    </x:row>
    <x:row r="210">
      <x:c r="A210" t="n">
        <x:v>202</x:v>
      </x:c>
      <x:c r="B210" t="str">
        <x:v>PRIMARY SCHOOL KADALPUR ROOM NO 1</x:v>
      </x:c>
      <x:c r="C210" t="n">
        <x:v>988</x:v>
      </x:c>
      <x:c r="D210" t="n">
        <x:v>766</x:v>
      </x:c>
      <x:c r="E210" t="n">
        <x:f>SUM(H210:S210)</x:f>
        <x:v>761</x:v>
      </x:c>
      <x:c r="F210" t="n">
        <x:v>5</x:v>
      </x:c>
      <x:c r="G210" s="50" t="n">
        <x:f>IF(C210="","",IFERROR(D210/C210,0))</x:f>
        <x:v>0.7753036437246964</x:v>
      </x:c>
      <x:c r="H210" s="36" t="n">
        <x:v>369</x:v>
      </x:c>
      <x:c r="I210" t="n">
        <x:v>308</x:v>
      </x:c>
      <x:c r="J210" t="n">
        <x:v>69</x:v>
      </x:c>
      <x:c r="K210" t="n">
        <x:v>4</x:v>
      </x:c>
      <x:c r="L210" t="n">
        <x:v>1</x:v>
      </x:c>
      <x:c r="M210" t="n">
        <x:v>2</x:v>
      </x:c>
      <x:c r="N210" t="n">
        <x:v>0</x:v>
      </x:c>
      <x:c r="O210" t="n">
        <x:v>5</x:v>
      </x:c>
      <x:c r="P210" t="n">
        <x:v>1</x:v>
      </x:c>
      <x:c r="Q210" t="n">
        <x:v>0</x:v>
      </x:c>
      <x:c r="R210" t="n">
        <x:v>0</x:v>
      </x:c>
      <x:c r="S210" t="n">
        <x:v>2</x:v>
      </x:c>
      <x:c r="T210" s="50" t="n">
        <x:f>IF(D210=0,"",H210/D210)</x:f>
        <x:v>0.48172323759791125</x:v>
      </x:c>
      <x:c r="U210" t="n">
        <x:f>MAX(I210:S210)</x:f>
        <x:v>308</x:v>
      </x:c>
      <x:c r="V210" t="n">
        <x:f>H210-U210</x:f>
        <x:v>61</x:v>
      </x:c>
      <x:c r="W210" s="52" t="n">
        <x:f>IF(D210=0,"",(V210)/D210)</x:f>
        <x:v>0.07963446475195822</x:v>
      </x:c>
      <x:c r="X210" t="str">
        <x:v>AVTAR SINGH BHADANA</x:v>
      </x:c>
      <x:c r="Y210" t="n">
        <x:f>D210-E210-F210</x:f>
        <x:v>0</x:v>
      </x:c>
    </x:row>
    <x:row r="211">
      <x:c r="A211" t="n">
        <x:v>203</x:v>
      </x:c>
      <x:c r="B211" t="str">
        <x:v>PRIMARY SCHOOL KADALPUR ROOM NO 2</x:v>
      </x:c>
      <x:c r="C211" t="n">
        <x:v>831</x:v>
      </x:c>
      <x:c r="D211" t="n">
        <x:v>657</x:v>
      </x:c>
      <x:c r="E211" t="n">
        <x:f>SUM(H211:S211)</x:f>
        <x:v>653</x:v>
      </x:c>
      <x:c r="F211" t="n">
        <x:v>4</x:v>
      </x:c>
      <x:c r="G211" s="50" t="n">
        <x:f>IF(C211="","",IFERROR(D211/C211,0))</x:f>
        <x:v>0.7906137184115524</x:v>
      </x:c>
      <x:c r="H211" s="36" t="n">
        <x:v>343</x:v>
      </x:c>
      <x:c r="I211" t="n">
        <x:v>249</x:v>
      </x:c>
      <x:c r="J211" t="n">
        <x:v>41</x:v>
      </x:c>
      <x:c r="K211" t="n">
        <x:v>8</x:v>
      </x:c>
      <x:c r="L211" t="n">
        <x:v>4</x:v>
      </x:c>
      <x:c r="M211" t="n">
        <x:v>2</x:v>
      </x:c>
      <x:c r="N211" t="n">
        <x:v>0</x:v>
      </x:c>
      <x:c r="O211" t="n">
        <x:v>2</x:v>
      </x:c>
      <x:c r="P211" t="n">
        <x:v>2</x:v>
      </x:c>
      <x:c r="Q211" t="n">
        <x:v>1</x:v>
      </x:c>
      <x:c r="R211" t="n">
        <x:v>0</x:v>
      </x:c>
      <x:c r="S211" t="n">
        <x:v>1</x:v>
      </x:c>
      <x:c r="T211" s="50" t="n">
        <x:f>IF(D211=0,"",H211/D211)</x:f>
        <x:v>0.5220700152207002</x:v>
      </x:c>
      <x:c r="U211" t="n">
        <x:f>MAX(I211:S211)</x:f>
        <x:v>249</x:v>
      </x:c>
      <x:c r="V211" t="n">
        <x:f>H211-U211</x:f>
        <x:v>94</x:v>
      </x:c>
      <x:c r="W211" s="52" t="n">
        <x:f>IF(D211=0,"",(V211)/D211)</x:f>
        <x:v>0.1430745814307458</x:v>
      </x:c>
      <x:c r="X211" t="str">
        <x:v>AVTAR SINGH BHADANA</x:v>
      </x:c>
      <x:c r="Y211" t="n">
        <x:f>D211-E211-F211</x:f>
        <x:v>0</x:v>
      </x:c>
    </x:row>
    <x:row r="212">
      <x:c r="A212" t="n">
        <x:v>204</x:v>
      </x:c>
      <x:c r="B212" t="str">
        <x:v>PRIMARY SCHOOL MAKANPUR BANGAR ROOM NO 1</x:v>
      </x:c>
      <x:c r="C212" t="n">
        <x:v>1022</x:v>
      </x:c>
      <x:c r="D212" t="n">
        <x:v>759</x:v>
      </x:c>
      <x:c r="E212" t="n">
        <x:f>SUM(H212:S212)</x:f>
        <x:v>752</x:v>
      </x:c>
      <x:c r="F212" t="n">
        <x:v>7</x:v>
      </x:c>
      <x:c r="G212" s="50" t="n">
        <x:f>IF(C212="","",IFERROR(D212/C212,0))</x:f>
        <x:v>0.7426614481409002</x:v>
      </x:c>
      <x:c r="H212" s="36" t="n">
        <x:v>28</x:v>
      </x:c>
      <x:c r="I212" t="n">
        <x:v>483</x:v>
      </x:c>
      <x:c r="J212" t="n">
        <x:v>217</x:v>
      </x:c>
      <x:c r="K212" t="n">
        <x:v>8</x:v>
      </x:c>
      <x:c r="L212" t="n">
        <x:v>0</x:v>
      </x:c>
      <x:c r="M212" t="n">
        <x:v>0</x:v>
      </x:c>
      <x:c r="N212" t="n">
        <x:v>0</x:v>
      </x:c>
      <x:c r="O212" t="n">
        <x:v>1</x:v>
      </x:c>
      <x:c r="P212" t="n">
        <x:v>0</x:v>
      </x:c>
      <x:c r="Q212" t="n">
        <x:v>2</x:v>
      </x:c>
      <x:c r="R212" t="n">
        <x:v>3</x:v>
      </x:c>
      <x:c r="S212" t="n">
        <x:v>10</x:v>
      </x:c>
      <x:c r="T212" s="50" t="n">
        <x:f>IF(D212=0,"",H212/D212)</x:f>
        <x:v>0.03689064558629776</x:v>
      </x:c>
      <x:c r="U212" t="n">
        <x:f>MAX(I212:S212)</x:f>
        <x:v>483</x:v>
      </x:c>
      <x:c r="V212" t="n">
        <x:f>H212-U212</x:f>
        <x:v>-455</x:v>
      </x:c>
      <x:c r="W212" s="52" t="n">
        <x:f>IF(D212=0,"",(V212)/D212)</x:f>
        <x:v>-0.5994729907773386</x:v>
      </x:c>
      <x:c r="X212" t="str">
        <x:v>DHIRENDRA SINGH</x:v>
      </x:c>
      <x:c r="Y212" t="n">
        <x:f>D212-E212-F212</x:f>
        <x:v>0</x:v>
      </x:c>
    </x:row>
    <x:row r="213">
      <x:c r="A213" t="n">
        <x:v>205</x:v>
      </x:c>
      <x:c r="B213" t="str">
        <x:v>PRIMARY SCHOOL MAKANPUR KHADAR ROOM NO 1</x:v>
      </x:c>
      <x:c r="C213" t="n">
        <x:v>1170</x:v>
      </x:c>
      <x:c r="D213" t="n">
        <x:v>894</x:v>
      </x:c>
      <x:c r="E213" t="n">
        <x:f>SUM(H213:S213)</x:f>
        <x:v>886</x:v>
      </x:c>
      <x:c r="F213" t="n">
        <x:v>8</x:v>
      </x:c>
      <x:c r="G213" s="50" t="n">
        <x:f>IF(C213="","",IFERROR(D213/C213,0))</x:f>
        <x:v>0.764102564102564</x:v>
      </x:c>
      <x:c r="H213" s="36" t="n">
        <x:v>121</x:v>
      </x:c>
      <x:c r="I213" t="n">
        <x:v>747</x:v>
      </x:c>
      <x:c r="J213" t="n">
        <x:v>13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1</x:v>
      </x:c>
      <x:c r="S213" t="n">
        <x:v>4</x:v>
      </x:c>
      <x:c r="T213" s="50" t="n">
        <x:f>IF(D213=0,"",H213/D213)</x:f>
        <x:v>0.13534675615212527</x:v>
      </x:c>
      <x:c r="U213" t="n">
        <x:f>MAX(I213:S213)</x:f>
        <x:v>747</x:v>
      </x:c>
      <x:c r="V213" t="n">
        <x:f>H213-U213</x:f>
        <x:v>-626</x:v>
      </x:c>
      <x:c r="W213" s="52" t="n">
        <x:f>IF(D213=0,"",(V213)/D213)</x:f>
        <x:v>-0.7002237136465325</x:v>
      </x:c>
      <x:c r="X213" t="str">
        <x:v>DHIRENDRA SINGH</x:v>
      </x:c>
      <x:c r="Y213" t="n">
        <x:f>D213-E213-F213</x:f>
        <x:v>0</x:v>
      </x:c>
    </x:row>
    <x:row r="214">
      <x:c r="A214" t="n">
        <x:v>206</x:v>
      </x:c>
      <x:c r="B214" t="str">
        <x:v>PRIMARY SCHOOL RAMPUR KHADAR ROOM NO 1</x:v>
      </x:c>
      <x:c r="C214" t="n">
        <x:v>787</x:v>
      </x:c>
      <x:c r="D214" t="n">
        <x:v>645</x:v>
      </x:c>
      <x:c r="E214" t="n">
        <x:f>SUM(H214:S214)</x:f>
        <x:v>643</x:v>
      </x:c>
      <x:c r="F214" t="n">
        <x:v>2</x:v>
      </x:c>
      <x:c r="G214" s="50" t="n">
        <x:f>IF(C214="","",IFERROR(D214/C214,0))</x:f>
        <x:v>0.8195679796696315</x:v>
      </x:c>
      <x:c r="H214" s="36" t="n">
        <x:v>11</x:v>
      </x:c>
      <x:c r="I214" t="n">
        <x:v>622</x:v>
      </x:c>
      <x:c r="J214" t="n">
        <x:v>6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4</x:v>
      </x:c>
      <x:c r="T214" s="50" t="n">
        <x:f>IF(D214=0,"",H214/D214)</x:f>
        <x:v>0.017054263565891473</x:v>
      </x:c>
      <x:c r="U214" t="n">
        <x:f>MAX(I214:S214)</x:f>
        <x:v>622</x:v>
      </x:c>
      <x:c r="V214" t="n">
        <x:f>H214-U214</x:f>
        <x:v>-611</x:v>
      </x:c>
      <x:c r="W214" s="52" t="n">
        <x:f>IF(D214=0,"",(V214)/D214)</x:f>
        <x:v>-0.9472868217054263</x:v>
      </x:c>
      <x:c r="X214" t="str">
        <x:v>DHIRENDRA SINGH</x:v>
      </x:c>
      <x:c r="Y214" t="n">
        <x:f>D214-E214-F214</x:f>
        <x:v>0</x:v>
      </x:c>
    </x:row>
    <x:row r="215">
      <x:c r="A215" t="n">
        <x:v>207</x:v>
      </x:c>
      <x:c r="B215" t="str">
        <x:v>PRIMARY SCHOOL MOHAMMADPUR KHEDA ROOM NO 1</x:v>
      </x:c>
      <x:c r="C215" t="n">
        <x:v>1204</x:v>
      </x:c>
      <x:c r="D215" t="n">
        <x:v>853</x:v>
      </x:c>
      <x:c r="E215" t="n">
        <x:f>SUM(H215:S215)</x:f>
        <x:v>848</x:v>
      </x:c>
      <x:c r="F215" t="n">
        <x:v>5</x:v>
      </x:c>
      <x:c r="G215" s="50" t="n">
        <x:f>IF(C215="","",IFERROR(D215/C215,0))</x:f>
        <x:v>0.7084717607973422</x:v>
      </x:c>
      <x:c r="H215" s="36" t="n">
        <x:v>34</x:v>
      </x:c>
      <x:c r="I215" t="n">
        <x:v>801</x:v>
      </x:c>
      <x:c r="J215" t="n">
        <x:v>5</x:v>
      </x:c>
      <x:c r="K215" t="n">
        <x:v>1</x:v>
      </x:c>
      <x:c r="L215" t="n">
        <x:v>0</x:v>
      </x:c>
      <x:c r="M215" t="n">
        <x:v>0</x:v>
      </x:c>
      <x:c r="N215" t="n">
        <x:v>1</x:v>
      </x:c>
      <x:c r="O215" t="n">
        <x:v>0</x:v>
      </x:c>
      <x:c r="P215" t="n">
        <x:v>0</x:v>
      </x:c>
      <x:c r="Q215" t="n">
        <x:v>1</x:v>
      </x:c>
      <x:c r="R215" t="n">
        <x:v>0</x:v>
      </x:c>
      <x:c r="S215" t="n">
        <x:v>5</x:v>
      </x:c>
      <x:c r="T215" s="50" t="n">
        <x:f>IF(D215=0,"",H215/D215)</x:f>
        <x:v>0.03985932004689332</x:v>
      </x:c>
      <x:c r="U215" t="n">
        <x:f>MAX(I215:S215)</x:f>
        <x:v>801</x:v>
      </x:c>
      <x:c r="V215" t="n">
        <x:f>H215-U215</x:f>
        <x:v>-767</x:v>
      </x:c>
      <x:c r="W215" s="52" t="n">
        <x:f>IF(D215=0,"",(V215)/D215)</x:f>
        <x:v>-0.8991793669402111</x:v>
      </x:c>
      <x:c r="X215" t="str">
        <x:v>DHIRENDRA SINGH</x:v>
      </x:c>
      <x:c r="Y215" t="n">
        <x:f>D215-E215-F215</x:f>
        <x:v>0</x:v>
      </x:c>
    </x:row>
    <x:row r="216">
      <x:c r="A216" t="n">
        <x:v>208</x:v>
      </x:c>
      <x:c r="B216" t="str">
        <x:v>PRIMARY SCHOOL MOHAMMADPUR KHEDA ROOM NO 2</x:v>
      </x:c>
      <x:c r="C216" t="n">
        <x:v>782</x:v>
      </x:c>
      <x:c r="D216" t="n">
        <x:v>644</x:v>
      </x:c>
      <x:c r="E216" t="n">
        <x:f>SUM(H216:S216)</x:f>
        <x:v>632</x:v>
      </x:c>
      <x:c r="F216" t="n">
        <x:v>12</x:v>
      </x:c>
      <x:c r="G216" s="50" t="n">
        <x:f>IF(C216="","",IFERROR(D216/C216,0))</x:f>
        <x:v>0.8235294117647058</x:v>
      </x:c>
      <x:c r="H216" s="36" t="n">
        <x:v>43</x:v>
      </x:c>
      <x:c r="I216" t="n">
        <x:v>473</x:v>
      </x:c>
      <x:c r="J216" t="n">
        <x:v>99</x:v>
      </x:c>
      <x:c r="K216" t="n">
        <x:v>0</x:v>
      </x:c>
      <x:c r="L216" t="n">
        <x:v>0</x:v>
      </x:c>
      <x:c r="M216" t="n">
        <x:v>1</x:v>
      </x:c>
      <x:c r="N216" t="n">
        <x:v>2</x:v>
      </x:c>
      <x:c r="O216" t="n">
        <x:v>0</x:v>
      </x:c>
      <x:c r="P216" t="n">
        <x:v>0</x:v>
      </x:c>
      <x:c r="Q216" t="n">
        <x:v>0</x:v>
      </x:c>
      <x:c r="R216" t="n">
        <x:v>6</x:v>
      </x:c>
      <x:c r="S216" t="n">
        <x:v>8</x:v>
      </x:c>
      <x:c r="T216" s="50" t="n">
        <x:f>IF(D216=0,"",H216/D216)</x:f>
        <x:v>0.06677018633540373</x:v>
      </x:c>
      <x:c r="U216" t="n">
        <x:f>MAX(I216:S216)</x:f>
        <x:v>473</x:v>
      </x:c>
      <x:c r="V216" t="n">
        <x:f>H216-U216</x:f>
        <x:v>-430</x:v>
      </x:c>
      <x:c r="W216" s="52" t="n">
        <x:f>IF(D216=0,"",(V216)/D216)</x:f>
        <x:v>-0.6677018633540373</x:v>
      </x:c>
      <x:c r="X216" t="str">
        <x:v>DHIRENDRA SINGH</x:v>
      </x:c>
      <x:c r="Y216" t="n">
        <x:f>D216-E216-F216</x:f>
        <x:v>0</x:v>
      </x:c>
    </x:row>
    <x:row r="217">
      <x:c r="A217" t="n">
        <x:v>209</x:v>
      </x:c>
      <x:c r="B217" t="str">
        <x:v>PRIMARY SCHOOL TAKIPUR BANGAR ROOM NO 1</x:v>
      </x:c>
      <x:c r="C217" t="n">
        <x:v>321</x:v>
      </x:c>
      <x:c r="D217" t="n">
        <x:v>241</x:v>
      </x:c>
      <x:c r="E217" t="n">
        <x:f>SUM(H217:S217)</x:f>
        <x:v>239</x:v>
      </x:c>
      <x:c r="F217" t="n">
        <x:v>2</x:v>
      </x:c>
      <x:c r="G217" s="50" t="n">
        <x:f>IF(C217="","",IFERROR(D217/C217,0))</x:f>
        <x:v>0.7507788161993769</x:v>
      </x:c>
      <x:c r="H217" s="36" t="n">
        <x:v>6</x:v>
      </x:c>
      <x:c r="I217" t="n">
        <x:v>224</x:v>
      </x:c>
      <x:c r="J217" t="n">
        <x:v>2</x:v>
      </x:c>
      <x:c r="K217" t="n">
        <x:v>1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1</x:v>
      </x:c>
      <x:c r="R217" t="n">
        <x:v>0</x:v>
      </x:c>
      <x:c r="S217" t="n">
        <x:v>5</x:v>
      </x:c>
      <x:c r="T217" s="50" t="n">
        <x:f>IF(D217=0,"",H217/D217)</x:f>
        <x:v>0.024896265560165973</x:v>
      </x:c>
      <x:c r="U217" t="n">
        <x:f>MAX(I217:S217)</x:f>
        <x:v>224</x:v>
      </x:c>
      <x:c r="V217" t="n">
        <x:f>H217-U217</x:f>
        <x:v>-218</x:v>
      </x:c>
      <x:c r="W217" s="52" t="n">
        <x:f>IF(D217=0,"",(V217)/D217)</x:f>
        <x:v>-0.9045643153526971</x:v>
      </x:c>
      <x:c r="X217" t="str">
        <x:v>DHIRENDRA SINGH</x:v>
      </x:c>
      <x:c r="Y217" t="n">
        <x:f>D217-E217-F217</x:f>
        <x:v>0</x:v>
      </x:c>
    </x:row>
    <x:row r="218">
      <x:c r="A218" t="n">
        <x:v>210</x:v>
      </x:c>
      <x:c r="B218" t="str">
        <x:v>PRIMARY SCHOOL ANWARGARH BANGAR ROOM NO 1</x:v>
      </x:c>
      <x:c r="C218" t="n">
        <x:v>908</x:v>
      </x:c>
      <x:c r="D218" t="n">
        <x:v>682</x:v>
      </x:c>
      <x:c r="E218" t="n">
        <x:f>SUM(H218:S218)</x:f>
        <x:v>676</x:v>
      </x:c>
      <x:c r="F218" t="n">
        <x:v>6</x:v>
      </x:c>
      <x:c r="G218" s="50" t="n">
        <x:f>IF(C218="","",IFERROR(D218/C218,0))</x:f>
        <x:v>0.751101321585903</x:v>
      </x:c>
      <x:c r="H218" s="36" t="n">
        <x:v>196</x:v>
      </x:c>
      <x:c r="I218" t="n">
        <x:v>461</x:v>
      </x:c>
      <x:c r="J218" t="n">
        <x:v>8</x:v>
      </x:c>
      <x:c r="K218" t="n">
        <x:v>2</x:v>
      </x:c>
      <x:c r="L218" t="n">
        <x:v>0</x:v>
      </x:c>
      <x:c r="M218" t="n">
        <x:v>0</x:v>
      </x:c>
      <x:c r="N218" t="n">
        <x:v>0</x:v>
      </x:c>
      <x:c r="O218" t="n">
        <x:v>1</x:v>
      </x:c>
      <x:c r="P218" t="n">
        <x:v>1</x:v>
      </x:c>
      <x:c r="Q218" t="n">
        <x:v>0</x:v>
      </x:c>
      <x:c r="R218" t="n">
        <x:v>1</x:v>
      </x:c>
      <x:c r="S218" t="n">
        <x:v>6</x:v>
      </x:c>
      <x:c r="T218" s="50" t="n">
        <x:f>IF(D218=0,"",H218/D218)</x:f>
        <x:v>0.2873900293255132</x:v>
      </x:c>
      <x:c r="U218" t="n">
        <x:f>MAX(I218:S218)</x:f>
        <x:v>461</x:v>
      </x:c>
      <x:c r="V218" t="n">
        <x:f>H218-U218</x:f>
        <x:v>-265</x:v>
      </x:c>
      <x:c r="W218" s="52" t="n">
        <x:f>IF(D218=0,"",(V218)/D218)</x:f>
        <x:v>-0.3885630498533724</x:v>
      </x:c>
      <x:c r="X218" t="str">
        <x:v>DHIRENDRA SINGH</x:v>
      </x:c>
      <x:c r="Y218" t="n">
        <x:f>D218-E218-F218</x:f>
        <x:v>0</x:v>
      </x:c>
    </x:row>
    <x:row r="219">
      <x:c r="A219" t="n">
        <x:v>211</x:v>
      </x:c>
      <x:c r="B219" t="str">
        <x:v>JUNIOR HIGH SCHOOL RAUNIJA ROOM NO 1</x:v>
      </x:c>
      <x:c r="C219" t="n">
        <x:v>1080</x:v>
      </x:c>
      <x:c r="D219" t="n">
        <x:v>775</x:v>
      </x:c>
      <x:c r="E219" t="n">
        <x:f>SUM(H219:S219)</x:f>
        <x:v>773</x:v>
      </x:c>
      <x:c r="F219" t="n">
        <x:v>2</x:v>
      </x:c>
      <x:c r="G219" s="50" t="n">
        <x:f>IF(C219="","",IFERROR(D219/C219,0))</x:f>
        <x:v>0.7175925925925926</x:v>
      </x:c>
      <x:c r="H219" s="36" t="n">
        <x:v>36</x:v>
      </x:c>
      <x:c r="I219" t="n">
        <x:v>692</x:v>
      </x:c>
      <x:c r="J219" t="n">
        <x:v>32</x:v>
      </x:c>
      <x:c r="K219" t="n">
        <x:v>5</x:v>
      </x:c>
      <x:c r="L219" t="n">
        <x:v>2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6</x:v>
      </x:c>
      <x:c r="T219" s="50" t="n">
        <x:f>IF(D219=0,"",H219/D219)</x:f>
        <x:v>0.04645161290322581</x:v>
      </x:c>
      <x:c r="U219" t="n">
        <x:f>MAX(I219:S219)</x:f>
        <x:v>692</x:v>
      </x:c>
      <x:c r="V219" t="n">
        <x:f>H219-U219</x:f>
        <x:v>-656</x:v>
      </x:c>
      <x:c r="W219" s="52" t="n">
        <x:f>IF(D219=0,"",(V219)/D219)</x:f>
        <x:v>-0.8464516129032258</x:v>
      </x:c>
      <x:c r="X219" t="str">
        <x:v>DHIRENDRA SINGH</x:v>
      </x:c>
      <x:c r="Y219" t="n">
        <x:f>D219-E219-F219</x:f>
        <x:v>0</x:v>
      </x:c>
    </x:row>
    <x:row r="220">
      <x:c r="A220" t="n">
        <x:v>212</x:v>
      </x:c>
      <x:c r="B220" t="str">
        <x:v>JUNIOR HIGH SCHOOL RAUNIJA ROOM NO 2</x:v>
      </x:c>
      <x:c r="C220" t="n">
        <x:v>781</x:v>
      </x:c>
      <x:c r="D220" t="n">
        <x:v>566</x:v>
      </x:c>
      <x:c r="E220" t="n">
        <x:f>SUM(H220:S220)</x:f>
        <x:v>563</x:v>
      </x:c>
      <x:c r="F220" t="n">
        <x:v>3</x:v>
      </x:c>
      <x:c r="G220" s="50" t="n">
        <x:f>IF(C220="","",IFERROR(D220/C220,0))</x:f>
        <x:v>0.7247119078104993</x:v>
      </x:c>
      <x:c r="H220" s="36" t="n">
        <x:v>47</x:v>
      </x:c>
      <x:c r="I220" t="n">
        <x:v>498</x:v>
      </x:c>
      <x:c r="J220" t="n">
        <x:v>15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3</x:v>
      </x:c>
      <x:c r="T220" s="50" t="n">
        <x:f>IF(D220=0,"",H220/D220)</x:f>
        <x:v>0.08303886925795052</x:v>
      </x:c>
      <x:c r="U220" t="n">
        <x:f>MAX(I220:S220)</x:f>
        <x:v>498</x:v>
      </x:c>
      <x:c r="V220" t="n">
        <x:f>H220-U220</x:f>
        <x:v>-451</x:v>
      </x:c>
      <x:c r="W220" s="52" t="n">
        <x:f>IF(D220=0,"",(V220)/D220)</x:f>
        <x:v>-0.7968197879858657</x:v>
      </x:c>
      <x:c r="X220" t="str">
        <x:v>DHIRENDRA SINGH</x:v>
      </x:c>
      <x:c r="Y220" t="n">
        <x:f>D220-E220-F220</x:f>
        <x:v>0</x:v>
      </x:c>
    </x:row>
    <x:row r="221">
      <x:c r="A221" t="n">
        <x:v>213</x:v>
      </x:c>
      <x:c r="B221" t="str">
        <x:v>JUNIOR HIGH SCHOOL RAUNIJA ROOM NO 3</x:v>
      </x:c>
      <x:c r="C221" t="n">
        <x:v>992</x:v>
      </x:c>
      <x:c r="D221" t="n">
        <x:v>707</x:v>
      </x:c>
      <x:c r="E221" t="n">
        <x:f>SUM(H221:S221)</x:f>
        <x:v>704</x:v>
      </x:c>
      <x:c r="F221" t="n">
        <x:v>3</x:v>
      </x:c>
      <x:c r="G221" s="50" t="n">
        <x:f>IF(C221="","",IFERROR(D221/C221,0))</x:f>
        <x:v>0.7127016129032258</x:v>
      </x:c>
      <x:c r="H221" s="36" t="n">
        <x:v>50</x:v>
      </x:c>
      <x:c r="I221" t="n">
        <x:v>278</x:v>
      </x:c>
      <x:c r="J221" t="n">
        <x:v>359</x:v>
      </x:c>
      <x:c r="K221" t="n">
        <x:v>2</x:v>
      </x:c>
      <x:c r="L221" t="n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n">
        <x:v>0</x:v>
      </x:c>
      <x:c r="R221" t="n">
        <x:v>7</x:v>
      </x:c>
      <x:c r="S221" t="n">
        <x:v>6</x:v>
      </x:c>
      <x:c r="T221" s="50" t="n">
        <x:f>IF(D221=0,"",H221/D221)</x:f>
        <x:v>0.07072135785007072</x:v>
      </x:c>
      <x:c r="U221" t="n">
        <x:f>MAX(I221:S221)</x:f>
        <x:v>359</x:v>
      </x:c>
      <x:c r="V221" t="n">
        <x:f>H221-U221</x:f>
        <x:v>-309</x:v>
      </x:c>
      <x:c r="W221" s="52" t="n">
        <x:f>IF(D221=0,"",(V221)/D221)</x:f>
        <x:v>-0.43705799151343705</x:v>
      </x:c>
      <x:c r="X221" t="str">
        <x:v>NARENDER KUMAR</x:v>
      </x:c>
      <x:c r="Y221" t="n">
        <x:f>D221-E221-F221</x:f>
        <x:v>0</x:v>
      </x:c>
    </x:row>
    <x:row r="222">
      <x:c r="A222" t="n">
        <x:v>214</x:v>
      </x:c>
      <x:c r="B222" t="str">
        <x:v>PRIMARY SCHOOL RUSTAMPUR ROOM NO 1</x:v>
      </x:c>
      <x:c r="C222" t="n">
        <x:v>1084</x:v>
      </x:c>
      <x:c r="D222" t="n">
        <x:v>727</x:v>
      </x:c>
      <x:c r="E222" t="n">
        <x:f>SUM(H222:S222)</x:f>
        <x:v>723</x:v>
      </x:c>
      <x:c r="F222" t="n">
        <x:v>4</x:v>
      </x:c>
      <x:c r="G222" s="50" t="n">
        <x:f>IF(C222="","",IFERROR(D222/C222,0))</x:f>
        <x:v>0.6706642066420664</x:v>
      </x:c>
      <x:c r="H222" s="36" t="n">
        <x:v>20</x:v>
      </x:c>
      <x:c r="I222" t="n">
        <x:v>569</x:v>
      </x:c>
      <x:c r="J222" t="n">
        <x:v>123</x:v>
      </x:c>
      <x:c r="K222" t="n">
        <x:v>3</x:v>
      </x:c>
      <x:c r="L222" t="n">
        <x:v>1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1</x:v>
      </x:c>
      <x:c r="S222" t="n">
        <x:v>6</x:v>
      </x:c>
      <x:c r="T222" s="50" t="n">
        <x:f>IF(D222=0,"",H222/D222)</x:f>
        <x:v>0.027510316368638238</x:v>
      </x:c>
      <x:c r="U222" t="n">
        <x:f>MAX(I222:S222)</x:f>
        <x:v>569</x:v>
      </x:c>
      <x:c r="V222" t="n">
        <x:f>H222-U222</x:f>
        <x:v>-549</x:v>
      </x:c>
      <x:c r="W222" s="52" t="n">
        <x:f>IF(D222=0,"",(V222)/D222)</x:f>
        <x:v>-0.7551581843191196</x:v>
      </x:c>
      <x:c r="X222" t="str">
        <x:v>DHIRENDRA SINGH</x:v>
      </x:c>
      <x:c r="Y222" t="n">
        <x:f>D222-E222-F222</x:f>
        <x:v>0</x:v>
      </x:c>
    </x:row>
    <x:row r="223">
      <x:c r="A223" t="n">
        <x:v>215</x:v>
      </x:c>
      <x:c r="B223" t="str">
        <x:v>PRIMARY SCHOOL CHAKJALALABAD ROOM NO 1</x:v>
      </x:c>
      <x:c r="C223" t="n">
        <x:v>348</x:v>
      </x:c>
      <x:c r="D223" t="n">
        <x:v>283</x:v>
      </x:c>
      <x:c r="E223" t="n">
        <x:f>SUM(H223:S223)</x:f>
        <x:v>283</x:v>
      </x:c>
      <x:c r="F223" t="n">
        <x:v>0</x:v>
      </x:c>
      <x:c r="G223" s="50" t="n">
        <x:f>IF(C223="","",IFERROR(D223/C223,0))</x:f>
        <x:v>0.8132183908045977</x:v>
      </x:c>
      <x:c r="H223" s="36" t="n">
        <x:v>20</x:v>
      </x:c>
      <x:c r="I223" t="n">
        <x:v>10</x:v>
      </x:c>
      <x:c r="J223" t="n">
        <x:v>244</x:v>
      </x:c>
      <x:c r="K223" t="n">
        <x:v>2</x:v>
      </x:c>
      <x:c r="L223" t="n">
        <x:v>1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6</x:v>
      </x:c>
      <x:c r="S223" t="n">
        <x:v>0</x:v>
      </x:c>
      <x:c r="T223" s="50" t="n">
        <x:f>IF(D223=0,"",H223/D223)</x:f>
        <x:v>0.0706713780918728</x:v>
      </x:c>
      <x:c r="U223" t="n">
        <x:f>MAX(I223:S223)</x:f>
        <x:v>244</x:v>
      </x:c>
      <x:c r="V223" t="n">
        <x:f>H223-U223</x:f>
        <x:v>-224</x:v>
      </x:c>
      <x:c r="W223" s="52" t="n">
        <x:f>IF(D223=0,"",(V223)/D223)</x:f>
        <x:v>-0.7915194346289752</x:v>
      </x:c>
      <x:c r="X223" t="str">
        <x:v>NARENDER KUMAR</x:v>
      </x:c>
      <x:c r="Y223" t="n">
        <x:f>D223-E223-F223</x:f>
        <x:v>0</x:v>
      </x:c>
    </x:row>
    <x:row r="224">
      <x:c r="A224" t="n">
        <x:v>216</x:v>
      </x:c>
      <x:c r="B224" t="str">
        <x:v>PRIMER SCHOOL NAGLA PADAM SINGH ROOM NO 1</x:v>
      </x:c>
      <x:c r="C224" t="n">
        <x:v>587</x:v>
      </x:c>
      <x:c r="D224" t="n">
        <x:v>473</x:v>
      </x:c>
      <x:c r="E224" t="n">
        <x:f>SUM(H224:S224)</x:f>
        <x:v>472</x:v>
      </x:c>
      <x:c r="F224" t="n">
        <x:v>1</x:v>
      </x:c>
      <x:c r="G224" s="50" t="n">
        <x:f>IF(C224="","",IFERROR(D224/C224,0))</x:f>
        <x:v>0.8057921635434412</x:v>
      </x:c>
      <x:c r="H224" s="36" t="n">
        <x:v>7</x:v>
      </x:c>
      <x:c r="I224" t="n">
        <x:v>158</x:v>
      </x:c>
      <x:c r="J224" t="n">
        <x:v>298</x:v>
      </x:c>
      <x:c r="K224" t="n">
        <x:v>1</x:v>
      </x:c>
      <x:c r="L224" t="n">
        <x:v>1</x:v>
      </x:c>
      <x:c r="M224" t="n">
        <x:v>1</x:v>
      </x:c>
      <x:c r="N224" t="n">
        <x:v>0</x:v>
      </x:c>
      <x:c r="O224" t="n">
        <x:v>0</x:v>
      </x:c>
      <x:c r="P224" t="n">
        <x:v>0</x:v>
      </x:c>
      <x:c r="Q224" t="n">
        <x:v>3</x:v>
      </x:c>
      <x:c r="R224" t="n">
        <x:v>1</x:v>
      </x:c>
      <x:c r="S224" t="n">
        <x:v>2</x:v>
      </x:c>
      <x:c r="T224" s="50" t="n">
        <x:f>IF(D224=0,"",H224/D224)</x:f>
        <x:v>0.014799154334038054</x:v>
      </x:c>
      <x:c r="U224" t="n">
        <x:f>MAX(I224:S224)</x:f>
        <x:v>298</x:v>
      </x:c>
      <x:c r="V224" t="n">
        <x:f>H224-U224</x:f>
        <x:v>-291</x:v>
      </x:c>
      <x:c r="W224" s="52" t="n">
        <x:f>IF(D224=0,"",(V224)/D224)</x:f>
        <x:v>-0.6152219873150105</x:v>
      </x:c>
      <x:c r="X224" t="str">
        <x:v>NARENDER KUMAR</x:v>
      </x:c>
      <x:c r="Y224" t="n">
        <x:f>D224-E224-F224</x:f>
        <x:v>0</x:v>
      </x:c>
    </x:row>
    <x:row r="225">
      <x:c r="A225" t="n">
        <x:v>217</x:v>
      </x:c>
      <x:c r="B225" t="str">
        <x:v>PRIMARY SCHOOL NAGLA SHREEGOPAL ROOM NO 1</x:v>
      </x:c>
      <x:c r="C225" t="n">
        <x:v>731</x:v>
      </x:c>
      <x:c r="D225" t="n">
        <x:v>530</x:v>
      </x:c>
      <x:c r="E225" t="n">
        <x:f>SUM(H225:S225)</x:f>
        <x:v>527</x:v>
      </x:c>
      <x:c r="F225" t="n">
        <x:v>3</x:v>
      </x:c>
      <x:c r="G225" s="50" t="n">
        <x:f>IF(C225="","",IFERROR(D225/C225,0))</x:f>
        <x:v>0.7250341997264022</x:v>
      </x:c>
      <x:c r="H225" s="36" t="n">
        <x:v>34</x:v>
      </x:c>
      <x:c r="I225" t="n">
        <x:v>115</x:v>
      </x:c>
      <x:c r="J225" t="n">
        <x:v>367</x:v>
      </x:c>
      <x:c r="K225" t="n">
        <x:v>2</x:v>
      </x:c>
      <x:c r="L225" t="n">
        <x:v>1</x:v>
      </x:c>
      <x:c r="M225" t="n">
        <x:v>0</x:v>
      </x:c>
      <x:c r="N225" t="n">
        <x:v>2</x:v>
      </x:c>
      <x:c r="O225" t="n">
        <x:v>1</x:v>
      </x:c>
      <x:c r="P225" t="n">
        <x:v>1</x:v>
      </x:c>
      <x:c r="Q225" t="n">
        <x:v>0</x:v>
      </x:c>
      <x:c r="R225" t="n">
        <x:v>4</x:v>
      </x:c>
      <x:c r="S225" t="n">
        <x:v>0</x:v>
      </x:c>
      <x:c r="T225" s="50" t="n">
        <x:f>IF(D225=0,"",H225/D225)</x:f>
        <x:v>0.06415094339622641</x:v>
      </x:c>
      <x:c r="U225" t="n">
        <x:f>MAX(I225:S225)</x:f>
        <x:v>367</x:v>
      </x:c>
      <x:c r="V225" t="n">
        <x:f>H225-U225</x:f>
        <x:v>-333</x:v>
      </x:c>
      <x:c r="W225" s="52" t="n">
        <x:f>IF(D225=0,"",(V225)/D225)</x:f>
        <x:v>-0.6283018867924528</x:v>
      </x:c>
      <x:c r="X225" t="str">
        <x:v>NARENDER KUMAR</x:v>
      </x:c>
      <x:c r="Y225" t="n">
        <x:f>D225-E225-F225</x:f>
        <x:v>0</x:v>
      </x:c>
    </x:row>
    <x:row r="226">
      <x:c r="A226" t="n">
        <x:v>218</x:v>
      </x:c>
      <x:c r="B226" t="str">
        <x:v>PRIMARY SCHOOL PACHOKARA ROOM NO 1</x:v>
      </x:c>
      <x:c r="C226" t="n">
        <x:v>956</x:v>
      </x:c>
      <x:c r="D226" t="n">
        <x:v>501</x:v>
      </x:c>
      <x:c r="E226" t="n">
        <x:f>SUM(H226:S226)</x:f>
        <x:v>495</x:v>
      </x:c>
      <x:c r="F226" t="n">
        <x:v>6</x:v>
      </x:c>
      <x:c r="G226" s="50" t="n">
        <x:f>IF(C226="","",IFERROR(D226/C226,0))</x:f>
        <x:v>0.5240585774058577</x:v>
      </x:c>
      <x:c r="H226" s="36" t="n">
        <x:v>46</x:v>
      </x:c>
      <x:c r="I226" t="n">
        <x:v>282</x:v>
      </x:c>
      <x:c r="J226" t="n">
        <x:v>144</x:v>
      </x:c>
      <x:c r="K226" t="n">
        <x:v>7</x:v>
      </x:c>
      <x:c r="L226" t="n">
        <x:v>1</x:v>
      </x:c>
      <x:c r="M226" t="n">
        <x:v>1</x:v>
      </x:c>
      <x:c r="N226" t="n">
        <x:v>1</x:v>
      </x:c>
      <x:c r="O226" t="n">
        <x:v>1</x:v>
      </x:c>
      <x:c r="P226" t="n">
        <x:v>1</x:v>
      </x:c>
      <x:c r="Q226" t="n">
        <x:v>2</x:v>
      </x:c>
      <x:c r="R226" t="n">
        <x:v>5</x:v>
      </x:c>
      <x:c r="S226" t="n">
        <x:v>4</x:v>
      </x:c>
      <x:c r="T226" s="50" t="n">
        <x:f>IF(D226=0,"",H226/D226)</x:f>
        <x:v>0.09181636726546906</x:v>
      </x:c>
      <x:c r="U226" t="n">
        <x:f>MAX(I226:S226)</x:f>
        <x:v>282</x:v>
      </x:c>
      <x:c r="V226" t="n">
        <x:f>H226-U226</x:f>
        <x:v>-236</x:v>
      </x:c>
      <x:c r="W226" s="52" t="n">
        <x:f>IF(D226=0,"",(V226)/D226)</x:f>
        <x:v>-0.47105788423153694</x:v>
      </x:c>
      <x:c r="X226" t="str">
        <x:v>DHIRENDRA SINGH</x:v>
      </x:c>
      <x:c r="Y226" t="n">
        <x:f>D226-E226-F226</x:f>
        <x:v>0</x:v>
      </x:c>
    </x:row>
    <x:row r="227">
      <x:c r="A227" t="n">
        <x:v>219</x:v>
      </x:c>
      <x:c r="B227" t="str">
        <x:v>PRIMARY SCHOOL UTRAVALI ROOM NO 1</x:v>
      </x:c>
      <x:c r="C227" t="n">
        <x:v>614</x:v>
      </x:c>
      <x:c r="D227" t="n">
        <x:v>431</x:v>
      </x:c>
      <x:c r="E227" t="n">
        <x:f>SUM(H227:S227)</x:f>
        <x:v>431</x:v>
      </x:c>
      <x:c r="F227" t="n">
        <x:v>0</x:v>
      </x:c>
      <x:c r="G227" s="50" t="n">
        <x:f>IF(C227="","",IFERROR(D227/C227,0))</x:f>
        <x:v>0.7019543973941368</x:v>
      </x:c>
      <x:c r="H227" s="36" t="n">
        <x:v>12</x:v>
      </x:c>
      <x:c r="I227" t="n">
        <x:v>368</x:v>
      </x:c>
      <x:c r="J227" t="n">
        <x:v>43</x:v>
      </x:c>
      <x:c r="K227" t="n">
        <x:v>4</x:v>
      </x:c>
      <x:c r="L227" t="n">
        <x:v>1</x:v>
      </x:c>
      <x:c r="M227" t="n">
        <x:v>1</x:v>
      </x:c>
      <x:c r="N227" t="n">
        <x:v>0</x:v>
      </x:c>
      <x:c r="O227" t="n">
        <x:v>0</x:v>
      </x:c>
      <x:c r="P227" t="n">
        <x:v>0</x:v>
      </x:c>
      <x:c r="Q227" t="n">
        <x:v>1</x:v>
      </x:c>
      <x:c r="R227" t="n">
        <x:v>0</x:v>
      </x:c>
      <x:c r="S227" t="n">
        <x:v>1</x:v>
      </x:c>
      <x:c r="T227" s="50" t="n">
        <x:f>IF(D227=0,"",H227/D227)</x:f>
        <x:v>0.027842227378190254</x:v>
      </x:c>
      <x:c r="U227" t="n">
        <x:f>MAX(I227:S227)</x:f>
        <x:v>368</x:v>
      </x:c>
      <x:c r="V227" t="n">
        <x:f>H227-U227</x:f>
        <x:v>-356</x:v>
      </x:c>
      <x:c r="W227" s="52" t="n">
        <x:f>IF(D227=0,"",(V227)/D227)</x:f>
        <x:v>-0.8259860788863109</x:v>
      </x:c>
      <x:c r="X227" t="str">
        <x:v>DHIRENDRA SINGH</x:v>
      </x:c>
      <x:c r="Y227" t="n">
        <x:f>D227-E227-F227</x:f>
        <x:v>0</x:v>
      </x:c>
    </x:row>
    <x:row r="228">
      <x:c r="A228" t="n">
        <x:v>220</x:v>
      </x:c>
      <x:c r="B228" t="str">
        <x:v>PRIMARY SCHOOL UTRAVALI ROOM NO 2</x:v>
      </x:c>
      <x:c r="C228" t="n">
        <x:v>659</x:v>
      </x:c>
      <x:c r="D228" t="n">
        <x:v>506</x:v>
      </x:c>
      <x:c r="E228" t="n">
        <x:f>SUM(H228:S228)</x:f>
        <x:v>504</x:v>
      </x:c>
      <x:c r="F228" t="n">
        <x:v>2</x:v>
      </x:c>
      <x:c r="G228" s="50" t="n">
        <x:f>IF(C228="","",IFERROR(D228/C228,0))</x:f>
        <x:v>0.7678300455235205</x:v>
      </x:c>
      <x:c r="H228" s="36" t="n">
        <x:v>2</x:v>
      </x:c>
      <x:c r="I228" t="n">
        <x:v>36</x:v>
      </x:c>
      <x:c r="J228" t="n">
        <x:v>447</x:v>
      </x:c>
      <x:c r="K228" t="n">
        <x:v>1</x:v>
      </x:c>
      <x:c r="L228" t="n">
        <x:v>0</x:v>
      </x:c>
      <x:c r="M228" t="n">
        <x:v>3</x:v>
      </x:c>
      <x:c r="N228" t="n">
        <x:v>1</x:v>
      </x:c>
      <x:c r="O228" t="n">
        <x:v>1</x:v>
      </x:c>
      <x:c r="P228" t="n">
        <x:v>0</x:v>
      </x:c>
      <x:c r="Q228" t="n">
        <x:v>4</x:v>
      </x:c>
      <x:c r="R228" t="n">
        <x:v>8</x:v>
      </x:c>
      <x:c r="S228" t="n">
        <x:v>1</x:v>
      </x:c>
      <x:c r="T228" s="50" t="n">
        <x:f>IF(D228=0,"",H228/D228)</x:f>
        <x:v>0.003952569169960474</x:v>
      </x:c>
      <x:c r="U228" t="n">
        <x:f>MAX(I228:S228)</x:f>
        <x:v>447</x:v>
      </x:c>
      <x:c r="V228" t="n">
        <x:f>H228-U228</x:f>
        <x:v>-445</x:v>
      </x:c>
      <x:c r="W228" s="52" t="n">
        <x:f>IF(D228=0,"",(V228)/D228)</x:f>
        <x:v>-0.8794466403162056</x:v>
      </x:c>
      <x:c r="X228" t="str">
        <x:v>NARENDER KUMAR</x:v>
      </x:c>
      <x:c r="Y228" t="n">
        <x:f>D228-E228-F228</x:f>
        <x:v>0</x:v>
      </x:c>
    </x:row>
    <x:row r="229">
      <x:c r="A229" t="n">
        <x:v>221</x:v>
      </x:c>
      <x:c r="B229" t="str">
        <x:v>PRIMARY SCHOOL RASULPUR IQBAIL ROOM NO 1</x:v>
      </x:c>
      <x:c r="C229" t="n">
        <x:v>171</x:v>
      </x:c>
      <x:c r="D229" t="n">
        <x:v>105</x:v>
      </x:c>
      <x:c r="E229" t="n">
        <x:f>SUM(H229:S229)</x:f>
        <x:v>105</x:v>
      </x:c>
      <x:c r="F229" t="n">
        <x:v>0</x:v>
      </x:c>
      <x:c r="G229" s="50" t="n">
        <x:f>IF(C229="","",IFERROR(D229/C229,0))</x:f>
        <x:v>0.6140350877192983</x:v>
      </x:c>
      <x:c r="H229" s="36" t="n">
        <x:v>0</x:v>
      </x:c>
      <x:c r="I229" t="n">
        <x:v>103</x:v>
      </x:c>
      <x:c r="J229" t="n">
        <x:v>2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s="50" t="n">
        <x:f>IF(D229=0,"",H229/D229)</x:f>
        <x:v>0</x:v>
      </x:c>
      <x:c r="U229" t="n">
        <x:f>MAX(I229:S229)</x:f>
        <x:v>103</x:v>
      </x:c>
      <x:c r="V229" t="n">
        <x:f>H229-U229</x:f>
        <x:v>-103</x:v>
      </x:c>
      <x:c r="W229" s="52" t="n">
        <x:f>IF(D229=0,"",(V229)/D229)</x:f>
        <x:v>-0.9809523809523809</x:v>
      </x:c>
      <x:c r="X229" t="str">
        <x:v>DHIRENDRA SINGH</x:v>
      </x:c>
      <x:c r="Y229" t="n">
        <x:f>D229-E229-F229</x:f>
        <x:v>0</x:v>
      </x:c>
    </x:row>
    <x:row r="230">
      <x:c r="A230" t="n">
        <x:v>222</x:v>
      </x:c>
      <x:c r="B230" t="str">
        <x:v>PRIMARY SCHOOL MOHAMMADPUR JANDAU ROOM NO 1</x:v>
      </x:c>
      <x:c r="C230" t="n">
        <x:v>1034</x:v>
      </x:c>
      <x:c r="D230" t="n">
        <x:v>727</x:v>
      </x:c>
      <x:c r="E230" t="n">
        <x:f>SUM(H230:S230)</x:f>
        <x:v>721</x:v>
      </x:c>
      <x:c r="F230" t="n">
        <x:v>6</x:v>
      </x:c>
      <x:c r="G230" s="50" t="n">
        <x:f>IF(C230="","",IFERROR(D230/C230,0))</x:f>
        <x:v>0.7030947775628626</x:v>
      </x:c>
      <x:c r="H230" s="36" t="n">
        <x:v>8</x:v>
      </x:c>
      <x:c r="I230" t="n">
        <x:v>176</x:v>
      </x:c>
      <x:c r="J230" t="n">
        <x:v>506</x:v>
      </x:c>
      <x:c r="K230" t="n">
        <x:v>8</x:v>
      </x:c>
      <x:c r="L230" t="n">
        <x:v>2</x:v>
      </x:c>
      <x:c r="M230" t="n">
        <x:v>3</x:v>
      </x:c>
      <x:c r="N230" t="n">
        <x:v>0</x:v>
      </x:c>
      <x:c r="O230" t="n">
        <x:v>0</x:v>
      </x:c>
      <x:c r="P230" t="n">
        <x:v>1</x:v>
      </x:c>
      <x:c r="Q230" t="n">
        <x:v>3</x:v>
      </x:c>
      <x:c r="R230" t="n">
        <x:v>8</x:v>
      </x:c>
      <x:c r="S230" t="n">
        <x:v>6</x:v>
      </x:c>
      <x:c r="T230" s="50" t="n">
        <x:f>IF(D230=0,"",H230/D230)</x:f>
        <x:v>0.011004126547455296</x:v>
      </x:c>
      <x:c r="U230" t="n">
        <x:f>MAX(I230:S230)</x:f>
        <x:v>506</x:v>
      </x:c>
      <x:c r="V230" t="n">
        <x:f>H230-U230</x:f>
        <x:v>-498</x:v>
      </x:c>
      <x:c r="W230" s="52" t="n">
        <x:f>IF(D230=0,"",(V230)/D230)</x:f>
        <x:v>-0.6850068775790922</x:v>
      </x:c>
      <x:c r="X230" t="str">
        <x:v>NARENDER KUMAR</x:v>
      </x:c>
      <x:c r="Y230" t="n">
        <x:f>D230-E230-F230</x:f>
        <x:v>0</x:v>
      </x:c>
    </x:row>
    <x:row r="231">
      <x:c r="A231" t="n">
        <x:v>223</x:v>
      </x:c>
      <x:c r="B231" t="str">
        <x:v>PRIMARY SCHOOL MOHAMMADPUR JANDAU ROOM NO 2</x:v>
      </x:c>
      <x:c r="C231" t="n">
        <x:v>492</x:v>
      </x:c>
      <x:c r="D231" t="n">
        <x:v>344</x:v>
      </x:c>
      <x:c r="E231" t="n">
        <x:f>SUM(H231:S231)</x:f>
        <x:v>344</x:v>
      </x:c>
      <x:c r="F231" t="n">
        <x:v>0</x:v>
      </x:c>
      <x:c r="G231" s="50" t="n">
        <x:f>IF(C231="","",IFERROR(D231/C231,0))</x:f>
        <x:v>0.6991869918699187</x:v>
      </x:c>
      <x:c r="H231" s="36" t="n">
        <x:v>2</x:v>
      </x:c>
      <x:c r="I231" t="n">
        <x:v>323</x:v>
      </x:c>
      <x:c r="J231" t="n">
        <x:v>18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1</x:v>
      </x:c>
      <x:c r="T231" s="50" t="n">
        <x:f>IF(D231=0,"",H231/D231)</x:f>
        <x:v>0.005813953488372093</x:v>
      </x:c>
      <x:c r="U231" t="n">
        <x:f>MAX(I231:S231)</x:f>
        <x:v>323</x:v>
      </x:c>
      <x:c r="V231" t="n">
        <x:f>H231-U231</x:f>
        <x:v>-321</x:v>
      </x:c>
      <x:c r="W231" s="52" t="n">
        <x:f>IF(D231=0,"",(V231)/D231)</x:f>
        <x:v>-0.9331395348837209</x:v>
      </x:c>
      <x:c r="X231" t="str">
        <x:v>DHIRENDRA SINGH</x:v>
      </x:c>
      <x:c r="Y231" t="n">
        <x:f>D231-E231-F231</x:f>
        <x:v>0</x:v>
      </x:c>
    </x:row>
    <x:row r="232">
      <x:c r="A232" t="n">
        <x:v>224</x:v>
      </x:c>
      <x:c r="B232" t="str">
        <x:v>PRIMARY SCHOOL DUGLI ROOM NO 1</x:v>
      </x:c>
      <x:c r="C232" t="n">
        <x:v>654</x:v>
      </x:c>
      <x:c r="D232" t="n">
        <x:v>550</x:v>
      </x:c>
      <x:c r="E232" t="n">
        <x:f>SUM(H232:S232)</x:f>
        <x:v>547</x:v>
      </x:c>
      <x:c r="F232" t="n">
        <x:v>3</x:v>
      </x:c>
      <x:c r="G232" s="50" t="n">
        <x:f>IF(C232="","",IFERROR(D232/C232,0))</x:f>
        <x:v>0.8409785932721713</x:v>
      </x:c>
      <x:c r="H232" s="36" t="n">
        <x:v>8</x:v>
      </x:c>
      <x:c r="I232" t="n">
        <x:v>264</x:v>
      </x:c>
      <x:c r="J232" t="n">
        <x:v>256</x:v>
      </x:c>
      <x:c r="K232" t="n">
        <x:v>9</x:v>
      </x:c>
      <x:c r="L232" t="n">
        <x:v>0</x:v>
      </x:c>
      <x:c r="M232" t="n">
        <x:v>0</x:v>
      </x:c>
      <x:c r="N232" t="n">
        <x:v>1</x:v>
      </x:c>
      <x:c r="O232" t="n">
        <x:v>0</x:v>
      </x:c>
      <x:c r="P232" t="n">
        <x:v>0</x:v>
      </x:c>
      <x:c r="Q232" t="n">
        <x:v>1</x:v>
      </x:c>
      <x:c r="R232" t="n">
        <x:v>7</x:v>
      </x:c>
      <x:c r="S232" t="n">
        <x:v>1</x:v>
      </x:c>
      <x:c r="T232" s="50" t="n">
        <x:f>IF(D232=0,"",H232/D232)</x:f>
        <x:v>0.014545454545454545</x:v>
      </x:c>
      <x:c r="U232" t="n">
        <x:f>MAX(I232:S232)</x:f>
        <x:v>264</x:v>
      </x:c>
      <x:c r="V232" t="n">
        <x:f>H232-U232</x:f>
        <x:v>-256</x:v>
      </x:c>
      <x:c r="W232" s="52" t="n">
        <x:f>IF(D232=0,"",(V232)/D232)</x:f>
        <x:v>-0.46545454545454545</x:v>
      </x:c>
      <x:c r="X232" t="str">
        <x:v>DHIRENDRA SINGH</x:v>
      </x:c>
      <x:c r="Y232" t="n">
        <x:f>D232-E232-F232</x:f>
        <x:v>0</x:v>
      </x:c>
    </x:row>
    <x:row r="233">
      <x:c r="A233" t="n">
        <x:v>225</x:v>
      </x:c>
      <x:c r="B233" t="str">
        <x:v>PRIMARY SCHOOL HAJIPUR ROOM NO 1</x:v>
      </x:c>
      <x:c r="C233" t="n">
        <x:v>351</x:v>
      </x:c>
      <x:c r="D233" t="n">
        <x:v>256</x:v>
      </x:c>
      <x:c r="E233" t="n">
        <x:f>SUM(H233:S233)</x:f>
        <x:v>253</x:v>
      </x:c>
      <x:c r="F233" t="n">
        <x:v>3</x:v>
      </x:c>
      <x:c r="G233" s="50" t="n">
        <x:f>IF(C233="","",IFERROR(D233/C233,0))</x:f>
        <x:v>0.7293447293447294</x:v>
      </x:c>
      <x:c r="H233" s="36" t="n">
        <x:v>1</x:v>
      </x:c>
      <x:c r="I233" t="n">
        <x:v>157</x:v>
      </x:c>
      <x:c r="J233" t="n">
        <x:v>92</x:v>
      </x:c>
      <x:c r="K233" t="n">
        <x:v>1</x:v>
      </x:c>
      <x:c r="L233" t="n">
        <x:v>0</x:v>
      </x:c>
      <x:c r="M233" t="n">
        <x:v>1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1</x:v>
      </x:c>
      <x:c r="T233" s="50" t="n">
        <x:f>IF(D233=0,"",H233/D233)</x:f>
        <x:v>0.00390625</x:v>
      </x:c>
      <x:c r="U233" t="n">
        <x:f>MAX(I233:S233)</x:f>
        <x:v>157</x:v>
      </x:c>
      <x:c r="V233" t="n">
        <x:f>H233-U233</x:f>
        <x:v>-156</x:v>
      </x:c>
      <x:c r="W233" s="52" t="n">
        <x:f>IF(D233=0,"",(V233)/D233)</x:f>
        <x:v>-0.609375</x:v>
      </x:c>
      <x:c r="X233" t="str">
        <x:v>DHIRENDRA SINGH</x:v>
      </x:c>
      <x:c r="Y233" t="n">
        <x:f>D233-E233-F233</x:f>
        <x:v>0</x:v>
      </x:c>
    </x:row>
    <x:row r="234">
      <x:c r="A234" t="n">
        <x:v>226</x:v>
      </x:c>
      <x:c r="B234" t="str">
        <x:v>INTER COLLEGE TOWN AREA RABUPURA ROOM NO 1</x:v>
      </x:c>
      <x:c r="C234" t="n">
        <x:v>755</x:v>
      </x:c>
      <x:c r="D234" t="n">
        <x:v>532</x:v>
      </x:c>
      <x:c r="E234" t="n">
        <x:f>SUM(H234:S234)</x:f>
        <x:v>530</x:v>
      </x:c>
      <x:c r="F234" t="n">
        <x:v>2</x:v>
      </x:c>
      <x:c r="G234" s="50" t="n">
        <x:f>IF(C234="","",IFERROR(D234/C234,0))</x:f>
        <x:v>0.704635761589404</x:v>
      </x:c>
      <x:c r="H234" s="36" t="n">
        <x:v>92</x:v>
      </x:c>
      <x:c r="I234" t="n">
        <x:v>297</x:v>
      </x:c>
      <x:c r="J234" t="n">
        <x:v>126</x:v>
      </x:c>
      <x:c r="K234" t="n">
        <x:v>4</x:v>
      </x:c>
      <x:c r="L234" t="n">
        <x:v>2</x:v>
      </x:c>
      <x:c r="M234" t="n">
        <x:v>1</x:v>
      </x:c>
      <x:c r="N234" t="n">
        <x:v>0</x:v>
      </x:c>
      <x:c r="O234" t="n">
        <x:v>0</x:v>
      </x:c>
      <x:c r="P234" t="n">
        <x:v>1</x:v>
      </x:c>
      <x:c r="Q234" t="n">
        <x:v>0</x:v>
      </x:c>
      <x:c r="R234" t="n">
        <x:v>5</x:v>
      </x:c>
      <x:c r="S234" t="n">
        <x:v>2</x:v>
      </x:c>
      <x:c r="T234" s="50" t="n">
        <x:f>IF(D234=0,"",H234/D234)</x:f>
        <x:v>0.17293233082706766</x:v>
      </x:c>
      <x:c r="U234" t="n">
        <x:f>MAX(I234:S234)</x:f>
        <x:v>297</x:v>
      </x:c>
      <x:c r="V234" t="n">
        <x:f>H234-U234</x:f>
        <x:v>-205</x:v>
      </x:c>
      <x:c r="W234" s="52" t="n">
        <x:f>IF(D234=0,"",(V234)/D234)</x:f>
        <x:v>-0.38533834586466165</x:v>
      </x:c>
      <x:c r="X234" t="str">
        <x:v>DHIRENDRA SINGH</x:v>
      </x:c>
      <x:c r="Y234" t="n">
        <x:f>D234-E234-F234</x:f>
        <x:v>0</x:v>
      </x:c>
    </x:row>
    <x:row r="235">
      <x:c r="A235" t="n">
        <x:v>227</x:v>
      </x:c>
      <x:c r="B235" t="str">
        <x:v>INTER COLLEGE TOWN AREA RABUPURA ROOM NO 2</x:v>
      </x:c>
      <x:c r="C235" t="n">
        <x:v>713</x:v>
      </x:c>
      <x:c r="D235" t="n">
        <x:v>432</x:v>
      </x:c>
      <x:c r="E235" t="n">
        <x:f>SUM(H235:S235)</x:f>
        <x:v>431</x:v>
      </x:c>
      <x:c r="F235" t="n">
        <x:v>1</x:v>
      </x:c>
      <x:c r="G235" s="50" t="n">
        <x:f>IF(C235="","",IFERROR(D235/C235,0))</x:f>
        <x:v>0.605890603085554</x:v>
      </x:c>
      <x:c r="H235" s="36" t="n">
        <x:v>32</x:v>
      </x:c>
      <x:c r="I235" t="n">
        <x:v>141</x:v>
      </x:c>
      <x:c r="J235" t="n">
        <x:v>231</x:v>
      </x:c>
      <x:c r="K235" t="n">
        <x:v>7</x:v>
      </x:c>
      <x:c r="L235" t="n">
        <x:v>3</x:v>
      </x:c>
      <x:c r="M235" t="n">
        <x:v>2</x:v>
      </x:c>
      <x:c r="N235" t="n">
        <x:v>1</x:v>
      </x:c>
      <x:c r="O235" t="n">
        <x:v>2</x:v>
      </x:c>
      <x:c r="P235" t="n">
        <x:v>3</x:v>
      </x:c>
      <x:c r="Q235" t="n">
        <x:v>1</x:v>
      </x:c>
      <x:c r="R235" t="n">
        <x:v>5</x:v>
      </x:c>
      <x:c r="S235" t="n">
        <x:v>3</x:v>
      </x:c>
      <x:c r="T235" s="50" t="n">
        <x:f>IF(D235=0,"",H235/D235)</x:f>
        <x:v>0.07407407407407407</x:v>
      </x:c>
      <x:c r="U235" t="n">
        <x:f>MAX(I235:S235)</x:f>
        <x:v>231</x:v>
      </x:c>
      <x:c r="V235" t="n">
        <x:f>H235-U235</x:f>
        <x:v>-199</x:v>
      </x:c>
      <x:c r="W235" s="52" t="n">
        <x:f>IF(D235=0,"",(V235)/D235)</x:f>
        <x:v>-0.46064814814814814</x:v>
      </x:c>
      <x:c r="X235" t="str">
        <x:v>NARENDER KUMAR</x:v>
      </x:c>
      <x:c r="Y235" t="n">
        <x:f>D235-E235-F235</x:f>
        <x:v>0</x:v>
      </x:c>
    </x:row>
    <x:row r="236">
      <x:c r="A236" t="n">
        <x:v>228</x:v>
      </x:c>
      <x:c r="B236" t="str">
        <x:v>INTER COLLEGE TOWN AREA RABUPURA ROOM NO 3</x:v>
      </x:c>
      <x:c r="C236" t="n">
        <x:v>725</x:v>
      </x:c>
      <x:c r="D236" t="n">
        <x:v>450</x:v>
      </x:c>
      <x:c r="E236" t="n">
        <x:f>SUM(H236:S236)</x:f>
        <x:v>445</x:v>
      </x:c>
      <x:c r="F236" t="n">
        <x:v>5</x:v>
      </x:c>
      <x:c r="G236" s="50" t="n">
        <x:f>IF(C236="","",IFERROR(D236/C236,0))</x:f>
        <x:v>0.6206896551724138</x:v>
      </x:c>
      <x:c r="H236" s="36" t="n">
        <x:v>16</x:v>
      </x:c>
      <x:c r="I236" t="n">
        <x:v>52</x:v>
      </x:c>
      <x:c r="J236" t="n">
        <x:v>358</x:v>
      </x:c>
      <x:c r="K236" t="n">
        <x:v>1</x:v>
      </x:c>
      <x:c r="L236" t="n">
        <x:v>3</x:v>
      </x:c>
      <x:c r="M236" t="n">
        <x:v>1</x:v>
      </x:c>
      <x:c r="N236" t="n">
        <x:v>1</x:v>
      </x:c>
      <x:c r="O236" t="n">
        <x:v>0</x:v>
      </x:c>
      <x:c r="P236" t="n">
        <x:v>0</x:v>
      </x:c>
      <x:c r="Q236" t="n">
        <x:v>4</x:v>
      </x:c>
      <x:c r="R236" t="n">
        <x:v>5</x:v>
      </x:c>
      <x:c r="S236" t="n">
        <x:v>4</x:v>
      </x:c>
      <x:c r="T236" s="50" t="n">
        <x:f>IF(D236=0,"",H236/D236)</x:f>
        <x:v>0.035555555555555556</x:v>
      </x:c>
      <x:c r="U236" t="n">
        <x:f>MAX(I236:S236)</x:f>
        <x:v>358</x:v>
      </x:c>
      <x:c r="V236" t="n">
        <x:f>H236-U236</x:f>
        <x:v>-342</x:v>
      </x:c>
      <x:c r="W236" s="52" t="n">
        <x:f>IF(D236=0,"",(V236)/D236)</x:f>
        <x:v>-0.76</x:v>
      </x:c>
      <x:c r="X236" t="str">
        <x:v>NARENDER KUMAR</x:v>
      </x:c>
      <x:c r="Y236" t="n">
        <x:f>D236-E236-F236</x:f>
        <x:v>0</x:v>
      </x:c>
    </x:row>
    <x:row r="237">
      <x:c r="A237" t="n">
        <x:v>229</x:v>
      </x:c>
      <x:c r="B237" t="str">
        <x:v>INTER COLLEGE TOWN AREA RABUPURA ROOM NO 4</x:v>
      </x:c>
      <x:c r="C237" t="n">
        <x:v>1076</x:v>
      </x:c>
      <x:c r="D237" t="n">
        <x:v>588</x:v>
      </x:c>
      <x:c r="E237" t="n">
        <x:f>SUM(H237:S237)</x:f>
        <x:v>582</x:v>
      </x:c>
      <x:c r="F237" t="n">
        <x:v>6</x:v>
      </x:c>
      <x:c r="G237" s="50" t="n">
        <x:f>IF(C237="","",IFERROR(D237/C237,0))</x:f>
        <x:v>0.5464684014869888</x:v>
      </x:c>
      <x:c r="H237" s="36" t="n">
        <x:v>289</x:v>
      </x:c>
      <x:c r="I237" t="n">
        <x:v>259</x:v>
      </x:c>
      <x:c r="J237" t="n">
        <x:v>10</x:v>
      </x:c>
      <x:c r="K237" t="n">
        <x:v>11</x:v>
      </x:c>
      <x:c r="L237" t="n">
        <x:v>1</x:v>
      </x:c>
      <x:c r="M237" t="n">
        <x:v>1</x:v>
      </x:c>
      <x:c r="N237" t="n">
        <x:v>1</x:v>
      </x:c>
      <x:c r="O237" t="n">
        <x:v>0</x:v>
      </x:c>
      <x:c r="P237" t="n">
        <x:v>2</x:v>
      </x:c>
      <x:c r="Q237" t="n">
        <x:v>0</x:v>
      </x:c>
      <x:c r="R237" t="n">
        <x:v>3</x:v>
      </x:c>
      <x:c r="S237" t="n">
        <x:v>5</x:v>
      </x:c>
      <x:c r="T237" s="50" t="n">
        <x:f>IF(D237=0,"",H237/D237)</x:f>
        <x:v>0.4914965986394558</x:v>
      </x:c>
      <x:c r="U237" t="n">
        <x:f>MAX(I237:S237)</x:f>
        <x:v>259</x:v>
      </x:c>
      <x:c r="V237" t="n">
        <x:f>H237-U237</x:f>
        <x:v>30</x:v>
      </x:c>
      <x:c r="W237" s="52" t="n">
        <x:f>IF(D237=0,"",(V237)/D237)</x:f>
        <x:v>0.05102040816326531</x:v>
      </x:c>
      <x:c r="X237" t="str">
        <x:v>AVTAR SINGH BHADANA</x:v>
      </x:c>
      <x:c r="Y237" t="n">
        <x:f>D237-E237-F237</x:f>
        <x:v>0</x:v>
      </x:c>
    </x:row>
    <x:row r="238">
      <x:c r="A238" t="n">
        <x:v>230</x:v>
      </x:c>
      <x:c r="B238" t="str">
        <x:v>INTER COLLEGE TOWN AREA RABUPURA ROOM NO 5</x:v>
      </x:c>
      <x:c r="C238" t="n">
        <x:v>786</x:v>
      </x:c>
      <x:c r="D238" t="n">
        <x:v>414</x:v>
      </x:c>
      <x:c r="E238" t="n">
        <x:f>SUM(H238:S238)</x:f>
        <x:v>412</x:v>
      </x:c>
      <x:c r="F238" t="n">
        <x:v>2</x:v>
      </x:c>
      <x:c r="G238" s="50" t="n">
        <x:f>IF(C238="","",IFERROR(D238/C238,0))</x:f>
        <x:v>0.5267175572519084</x:v>
      </x:c>
      <x:c r="H238" s="36" t="n">
        <x:v>51</x:v>
      </x:c>
      <x:c r="I238" t="n">
        <x:v>351</x:v>
      </x:c>
      <x:c r="J238" t="n">
        <x:v>7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1</x:v>
      </x:c>
      <x:c r="P238" t="n">
        <x:v>0</x:v>
      </x:c>
      <x:c r="Q238" t="n">
        <x:v>1</x:v>
      </x:c>
      <x:c r="R238" t="n">
        <x:v>1</x:v>
      </x:c>
      <x:c r="S238" t="n">
        <x:v>0</x:v>
      </x:c>
      <x:c r="T238" s="50" t="n">
        <x:f>IF(D238=0,"",H238/D238)</x:f>
        <x:v>0.12318840579710146</x:v>
      </x:c>
      <x:c r="U238" t="n">
        <x:f>MAX(I238:S238)</x:f>
        <x:v>351</x:v>
      </x:c>
      <x:c r="V238" t="n">
        <x:f>H238-U238</x:f>
        <x:v>-300</x:v>
      </x:c>
      <x:c r="W238" s="52" t="n">
        <x:f>IF(D238=0,"",(V238)/D238)</x:f>
        <x:v>-0.7246376811594203</x:v>
      </x:c>
      <x:c r="X238" t="str">
        <x:v>DHIRENDRA SINGH</x:v>
      </x:c>
      <x:c r="Y238" t="n">
        <x:f>D238-E238-F238</x:f>
        <x:v>0</x:v>
      </x:c>
    </x:row>
    <x:row r="239">
      <x:c r="A239" t="n">
        <x:v>231</x:v>
      </x:c>
      <x:c r="B239" t="str">
        <x:v>INTER COLLEGE TOWN AREA RABUPURA ROOM NO 6</x:v>
      </x:c>
      <x:c r="C239" t="n">
        <x:v>810</x:v>
      </x:c>
      <x:c r="D239" t="n">
        <x:v>431</x:v>
      </x:c>
      <x:c r="E239" t="n">
        <x:f>SUM(H239:S239)</x:f>
        <x:v>429</x:v>
      </x:c>
      <x:c r="F239" t="n">
        <x:v>2</x:v>
      </x:c>
      <x:c r="G239" s="50" t="n">
        <x:f>IF(C239="","",IFERROR(D239/C239,0))</x:f>
        <x:v>0.5320987654320988</x:v>
      </x:c>
      <x:c r="H239" s="36" t="n">
        <x:v>149</x:v>
      </x:c>
      <x:c r="I239" t="n">
        <x:v>262</x:v>
      </x:c>
      <x:c r="J239" t="n">
        <x:v>3</x:v>
      </x:c>
      <x:c r="K239" t="n">
        <x:v>2</x:v>
      </x:c>
      <x:c r="L239" t="n">
        <x:v>2</x:v>
      </x:c>
      <x:c r="M239" t="n">
        <x:v>3</x:v>
      </x:c>
      <x:c r="N239" t="n">
        <x:v>1</x:v>
      </x:c>
      <x:c r="O239" t="n">
        <x:v>1</x:v>
      </x:c>
      <x:c r="P239" t="n">
        <x:v>0</x:v>
      </x:c>
      <x:c r="Q239" t="n">
        <x:v>0</x:v>
      </x:c>
      <x:c r="R239" t="n">
        <x:v>2</x:v>
      </x:c>
      <x:c r="S239" t="n">
        <x:v>4</x:v>
      </x:c>
      <x:c r="T239" s="50" t="n">
        <x:f>IF(D239=0,"",H239/D239)</x:f>
        <x:v>0.345707656612529</x:v>
      </x:c>
      <x:c r="U239" t="n">
        <x:f>MAX(I239:S239)</x:f>
        <x:v>262</x:v>
      </x:c>
      <x:c r="V239" t="n">
        <x:f>H239-U239</x:f>
        <x:v>-113</x:v>
      </x:c>
      <x:c r="W239" s="52" t="n">
        <x:f>IF(D239=0,"",(V239)/D239)</x:f>
        <x:v>-0.26218097447795824</x:v>
      </x:c>
      <x:c r="X239" t="str">
        <x:v>DHIRENDRA SINGH</x:v>
      </x:c>
      <x:c r="Y239" t="n">
        <x:f>D239-E239-F239</x:f>
        <x:v>0</x:v>
      </x:c>
    </x:row>
    <x:row r="240">
      <x:c r="A240" t="n">
        <x:v>232</x:v>
      </x:c>
      <x:c r="B240" t="str">
        <x:v>INTER COLLEGE TOWN AREA RABUPURA ROOM NO 7</x:v>
      </x:c>
      <x:c r="C240" t="n">
        <x:v>918</x:v>
      </x:c>
      <x:c r="D240" t="n">
        <x:v>576</x:v>
      </x:c>
      <x:c r="E240" t="n">
        <x:f>SUM(H240:S240)</x:f>
        <x:v>568</x:v>
      </x:c>
      <x:c r="F240" t="n">
        <x:v>8</x:v>
      </x:c>
      <x:c r="G240" s="50" t="n">
        <x:f>IF(C240="","",IFERROR(D240/C240,0))</x:f>
        <x:v>0.6274509803921569</x:v>
      </x:c>
      <x:c r="H240" s="36" t="n">
        <x:v>127</x:v>
      </x:c>
      <x:c r="I240" t="n">
        <x:v>415</x:v>
      </x:c>
      <x:c r="J240" t="n">
        <x:v>12</x:v>
      </x:c>
      <x:c r="K240" t="n">
        <x:v>1</x:v>
      </x:c>
      <x:c r="L240" t="n">
        <x:v>3</x:v>
      </x:c>
      <x:c r="M240" t="n">
        <x:v>0</x:v>
      </x:c>
      <x:c r="N240" t="n">
        <x:v>2</x:v>
      </x:c>
      <x:c r="O240" t="n">
        <x:v>1</x:v>
      </x:c>
      <x:c r="P240" t="n">
        <x:v>0</x:v>
      </x:c>
      <x:c r="Q240" t="n">
        <x:v>0</x:v>
      </x:c>
      <x:c r="R240" t="n">
        <x:v>2</x:v>
      </x:c>
      <x:c r="S240" t="n">
        <x:v>5</x:v>
      </x:c>
      <x:c r="T240" s="50" t="n">
        <x:f>IF(D240=0,"",H240/D240)</x:f>
        <x:v>0.2204861111111111</x:v>
      </x:c>
      <x:c r="U240" t="n">
        <x:f>MAX(I240:S240)</x:f>
        <x:v>415</x:v>
      </x:c>
      <x:c r="V240" t="n">
        <x:f>H240-U240</x:f>
        <x:v>-288</x:v>
      </x:c>
      <x:c r="W240" s="52" t="n">
        <x:f>IF(D240=0,"",(V240)/D240)</x:f>
        <x:v>-0.5</x:v>
      </x:c>
      <x:c r="X240" t="str">
        <x:v>DHIRENDRA SINGH</x:v>
      </x:c>
      <x:c r="Y240" t="n">
        <x:f>D240-E240-F240</x:f>
        <x:v>0</x:v>
      </x:c>
    </x:row>
    <x:row r="241">
      <x:c r="A241" t="n">
        <x:v>233</x:v>
      </x:c>
      <x:c r="B241" t="str">
        <x:v>INTER COLLEGE TOWN AREA RABUPURA ROOM NO 8</x:v>
      </x:c>
      <x:c r="C241" t="n">
        <x:v>977</x:v>
      </x:c>
      <x:c r="D241" t="n">
        <x:v>557</x:v>
      </x:c>
      <x:c r="E241" t="n">
        <x:f>SUM(H241:S241)</x:f>
        <x:v>555</x:v>
      </x:c>
      <x:c r="F241" t="n">
        <x:v>2</x:v>
      </x:c>
      <x:c r="G241" s="50" t="n">
        <x:f>IF(C241="","",IFERROR(D241/C241,0))</x:f>
        <x:v>0.5701125895598772</x:v>
      </x:c>
      <x:c r="H241" s="36" t="n">
        <x:v>39</x:v>
      </x:c>
      <x:c r="I241" t="n">
        <x:v>493</x:v>
      </x:c>
      <x:c r="J241" t="n">
        <x:v>10</x:v>
      </x:c>
      <x:c r="K241" t="n">
        <x:v>4</x:v>
      </x:c>
      <x:c r="L241" t="n">
        <x:v>2</x:v>
      </x:c>
      <x:c r="M241" t="n">
        <x:v>0</x:v>
      </x:c>
      <x:c r="N241" t="n">
        <x:v>2</x:v>
      </x:c>
      <x:c r="O241" t="n">
        <x:v>0</x:v>
      </x:c>
      <x:c r="P241" t="n">
        <x:v>1</x:v>
      </x:c>
      <x:c r="Q241" t="n">
        <x:v>2</x:v>
      </x:c>
      <x:c r="R241" t="n">
        <x:v>0</x:v>
      </x:c>
      <x:c r="S241" t="n">
        <x:v>2</x:v>
      </x:c>
      <x:c r="T241" s="50" t="n">
        <x:f>IF(D241=0,"",H241/D241)</x:f>
        <x:v>0.07001795332136446</x:v>
      </x:c>
      <x:c r="U241" t="n">
        <x:f>MAX(I241:S241)</x:f>
        <x:v>493</x:v>
      </x:c>
      <x:c r="V241" t="n">
        <x:f>H241-U241</x:f>
        <x:v>-454</x:v>
      </x:c>
      <x:c r="W241" s="52" t="n">
        <x:f>IF(D241=0,"",(V241)/D241)</x:f>
        <x:v>-0.8150807899461401</x:v>
      </x:c>
      <x:c r="X241" t="str">
        <x:v>DHIRENDRA SINGH</x:v>
      </x:c>
      <x:c r="Y241" t="n">
        <x:f>D241-E241-F241</x:f>
        <x:v>0</x:v>
      </x:c>
    </x:row>
    <x:row r="242">
      <x:c r="A242" t="n">
        <x:v>234</x:v>
      </x:c>
      <x:c r="B242" t="str">
        <x:v>INTER COLLEGE TOWN AREA RABUPURA ROOM NO 9</x:v>
      </x:c>
      <x:c r="C242" t="n">
        <x:v>751</x:v>
      </x:c>
      <x:c r="D242" t="n">
        <x:v>482</x:v>
      </x:c>
      <x:c r="E242" t="n">
        <x:f>SUM(H242:S242)</x:f>
        <x:v>474</x:v>
      </x:c>
      <x:c r="F242" t="n">
        <x:v>8</x:v>
      </x:c>
      <x:c r="G242" s="50" t="n">
        <x:f>IF(C242="","",IFERROR(D242/C242,0))</x:f>
        <x:v>0.6418109187749668</x:v>
      </x:c>
      <x:c r="H242" s="36" t="n">
        <x:v>103</x:v>
      </x:c>
      <x:c r="I242" t="n">
        <x:v>354</x:v>
      </x:c>
      <x:c r="J242" t="n">
        <x:v>10</x:v>
      </x:c>
      <x:c r="K242" t="n">
        <x:v>2</x:v>
      </x:c>
      <x:c r="L242" t="n">
        <x:v>0</x:v>
      </x:c>
      <x:c r="M242" t="n">
        <x:v>0</x:v>
      </x:c>
      <x:c r="N242" t="n">
        <x:v>1</x:v>
      </x:c>
      <x:c r="O242" t="n">
        <x:v>0</x:v>
      </x:c>
      <x:c r="P242" t="n">
        <x:v>0</x:v>
      </x:c>
      <x:c r="Q242" t="n">
        <x:v>0</x:v>
      </x:c>
      <x:c r="R242" t="n">
        <x:v>1</x:v>
      </x:c>
      <x:c r="S242" t="n">
        <x:v>3</x:v>
      </x:c>
      <x:c r="T242" s="50" t="n">
        <x:f>IF(D242=0,"",H242/D242)</x:f>
        <x:v>0.21369294605809128</x:v>
      </x:c>
      <x:c r="U242" t="n">
        <x:f>MAX(I242:S242)</x:f>
        <x:v>354</x:v>
      </x:c>
      <x:c r="V242" t="n">
        <x:f>H242-U242</x:f>
        <x:v>-251</x:v>
      </x:c>
      <x:c r="W242" s="52" t="n">
        <x:f>IF(D242=0,"",(V242)/D242)</x:f>
        <x:v>-0.520746887966805</x:v>
      </x:c>
      <x:c r="X242" t="str">
        <x:v>DHIRENDRA SINGH</x:v>
      </x:c>
      <x:c r="Y242" t="n">
        <x:f>D242-E242-F242</x:f>
        <x:v>0</x:v>
      </x:c>
    </x:row>
    <x:row r="243">
      <x:c r="A243" t="n">
        <x:v>235</x:v>
      </x:c>
      <x:c r="B243" t="str">
        <x:v>INTER COLLEGE TOWN AREA RABUPURA ROOM NO 10</x:v>
      </x:c>
      <x:c r="C243" t="n">
        <x:v>729</x:v>
      </x:c>
      <x:c r="D243" t="n">
        <x:v>426</x:v>
      </x:c>
      <x:c r="E243" t="n">
        <x:f>SUM(H243:S243)</x:f>
        <x:v>419</x:v>
      </x:c>
      <x:c r="F243" t="n">
        <x:v>7</x:v>
      </x:c>
      <x:c r="G243" s="50" t="n">
        <x:f>IF(C243="","",IFERROR(D243/C243,0))</x:f>
        <x:v>0.5843621399176955</x:v>
      </x:c>
      <x:c r="H243" s="36" t="n">
        <x:v>138</x:v>
      </x:c>
      <x:c r="I243" t="n">
        <x:v>249</x:v>
      </x:c>
      <x:c r="J243" t="n">
        <x:v>11</x:v>
      </x:c>
      <x:c r="K243" t="n">
        <x:v>5</x:v>
      </x:c>
      <x:c r="L243" t="n">
        <x:v>4</x:v>
      </x:c>
      <x:c r="M243" t="n">
        <x:v>1</x:v>
      </x:c>
      <x:c r="N243" t="n">
        <x:v>0</x:v>
      </x:c>
      <x:c r="O243" t="n">
        <x:v>0</x:v>
      </x:c>
      <x:c r="P243" t="n">
        <x:v>1</x:v>
      </x:c>
      <x:c r="Q243" t="n">
        <x:v>1</x:v>
      </x:c>
      <x:c r="R243" t="n">
        <x:v>3</x:v>
      </x:c>
      <x:c r="S243" t="n">
        <x:v>6</x:v>
      </x:c>
      <x:c r="T243" s="50" t="n">
        <x:f>IF(D243=0,"",H243/D243)</x:f>
        <x:v>0.323943661971831</x:v>
      </x:c>
      <x:c r="U243" t="n">
        <x:f>MAX(I243:S243)</x:f>
        <x:v>249</x:v>
      </x:c>
      <x:c r="V243" t="n">
        <x:f>H243-U243</x:f>
        <x:v>-111</x:v>
      </x:c>
      <x:c r="W243" s="52" t="n">
        <x:f>IF(D243=0,"",(V243)/D243)</x:f>
        <x:v>-0.2605633802816901</x:v>
      </x:c>
      <x:c r="X243" t="str">
        <x:v>DHIRENDRA SINGH</x:v>
      </x:c>
      <x:c r="Y243" t="n">
        <x:f>D243-E243-F243</x:f>
        <x:v>0</x:v>
      </x:c>
    </x:row>
    <x:row r="244">
      <x:c r="A244" t="n">
        <x:v>236</x:v>
      </x:c>
      <x:c r="B244" t="str">
        <x:v>SARASWATI SHISHU MANDIR INTER COLLEGE RABUPURA ROOM NO. 1</x:v>
      </x:c>
      <x:c r="C244" t="n">
        <x:v>722</x:v>
      </x:c>
      <x:c r="D244" t="n">
        <x:v>502</x:v>
      </x:c>
      <x:c r="E244" t="n">
        <x:f>SUM(H244:S244)</x:f>
        <x:v>495</x:v>
      </x:c>
      <x:c r="F244" t="n">
        <x:v>7</x:v>
      </x:c>
      <x:c r="G244" s="50" t="n">
        <x:f>IF(C244="","",IFERROR(D244/C244,0))</x:f>
        <x:v>0.6952908587257618</x:v>
      </x:c>
      <x:c r="H244" s="36" t="n">
        <x:v>71</x:v>
      </x:c>
      <x:c r="I244" t="n">
        <x:v>378</x:v>
      </x:c>
      <x:c r="J244" t="n">
        <x:v>35</x:v>
      </x:c>
      <x:c r="K244" t="n">
        <x:v>3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5</x:v>
      </x:c>
      <x:c r="S244" t="n">
        <x:v>3</x:v>
      </x:c>
      <x:c r="T244" s="50" t="n">
        <x:f>IF(D244=0,"",H244/D244)</x:f>
        <x:v>0.14143426294820718</x:v>
      </x:c>
      <x:c r="U244" t="n">
        <x:f>MAX(I244:S244)</x:f>
        <x:v>378</x:v>
      </x:c>
      <x:c r="V244" t="n">
        <x:f>H244-U244</x:f>
        <x:v>-307</x:v>
      </x:c>
      <x:c r="W244" s="52" t="n">
        <x:f>IF(D244=0,"",(V244)/D244)</x:f>
        <x:v>-0.6115537848605578</x:v>
      </x:c>
      <x:c r="X244" t="str">
        <x:v>DHIRENDRA SINGH</x:v>
      </x:c>
      <x:c r="Y244" t="n">
        <x:f>D244-E244-F244</x:f>
        <x:v>0</x:v>
      </x:c>
    </x:row>
    <x:row r="245">
      <x:c r="A245" t="n">
        <x:v>237</x:v>
      </x:c>
      <x:c r="B245" t="str">
        <x:v>SARASWATI SHISHU MANDIR INTER COLLEGE RABUPURA ROOM NO. 2</x:v>
      </x:c>
      <x:c r="C245" t="n">
        <x:v>764</x:v>
      </x:c>
      <x:c r="D245" t="n">
        <x:v>496</x:v>
      </x:c>
      <x:c r="E245" t="n">
        <x:f>SUM(H245:S245)</x:f>
        <x:v>495</x:v>
      </x:c>
      <x:c r="F245" t="n">
        <x:v>1</x:v>
      </x:c>
      <x:c r="G245" s="50" t="n">
        <x:f>IF(C245="","",IFERROR(D245/C245,0))</x:f>
        <x:v>0.6492146596858639</x:v>
      </x:c>
      <x:c r="H245" s="36" t="n">
        <x:v>135</x:v>
      </x:c>
      <x:c r="I245" t="n">
        <x:v>345</x:v>
      </x:c>
      <x:c r="J245" t="n">
        <x:v>5</x:v>
      </x:c>
      <x:c r="K245" t="n">
        <x:v>3</x:v>
      </x:c>
      <x:c r="L245" t="n">
        <x:v>0</x:v>
      </x:c>
      <x:c r="M245" t="n">
        <x:v>1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2</x:v>
      </x:c>
      <x:c r="S245" t="n">
        <x:v>4</x:v>
      </x:c>
      <x:c r="T245" s="50" t="n">
        <x:f>IF(D245=0,"",H245/D245)</x:f>
        <x:v>0.2721774193548387</x:v>
      </x:c>
      <x:c r="U245" t="n">
        <x:f>MAX(I245:S245)</x:f>
        <x:v>345</x:v>
      </x:c>
      <x:c r="V245" t="n">
        <x:f>H245-U245</x:f>
        <x:v>-210</x:v>
      </x:c>
      <x:c r="W245" s="52" t="n">
        <x:f>IF(D245=0,"",(V245)/D245)</x:f>
        <x:v>-0.42338709677419356</x:v>
      </x:c>
      <x:c r="X245" t="str">
        <x:v>DHIRENDRA SINGH</x:v>
      </x:c>
      <x:c r="Y245" t="n">
        <x:f>D245-E245-F245</x:f>
        <x:v>0</x:v>
      </x:c>
    </x:row>
    <x:row r="246">
      <x:c r="A246" t="n">
        <x:v>238</x:v>
      </x:c>
      <x:c r="B246" t="str">
        <x:v>PRIMARY SCHOOL TOWN AREA RABUPURA ROOM NO 1</x:v>
      </x:c>
      <x:c r="C246" t="n">
        <x:v>852</x:v>
      </x:c>
      <x:c r="D246" t="n">
        <x:v>547</x:v>
      </x:c>
      <x:c r="E246" t="n">
        <x:f>SUM(H246:S246)</x:f>
        <x:v>539</x:v>
      </x:c>
      <x:c r="F246" t="n">
        <x:v>8</x:v>
      </x:c>
      <x:c r="G246" s="50" t="n">
        <x:f>IF(C246="","",IFERROR(D246/C246,0))</x:f>
        <x:v>0.642018779342723</x:v>
      </x:c>
      <x:c r="H246" s="36" t="n">
        <x:v>72</x:v>
      </x:c>
      <x:c r="I246" t="n">
        <x:v>441</x:v>
      </x:c>
      <x:c r="J246" t="n">
        <x:v>9</x:v>
      </x:c>
      <x:c r="K246" t="n">
        <x:v>2</x:v>
      </x:c>
      <x:c r="L246" t="n">
        <x:v>2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n">
        <x:v>2</x:v>
      </x:c>
      <x:c r="R246" t="n">
        <x:v>3</x:v>
      </x:c>
      <x:c r="S246" t="n">
        <x:v>7</x:v>
      </x:c>
      <x:c r="T246" s="50" t="n">
        <x:f>IF(D246=0,"",H246/D246)</x:f>
        <x:v>0.1316270566727605</x:v>
      </x:c>
      <x:c r="U246" t="n">
        <x:f>MAX(I246:S246)</x:f>
        <x:v>441</x:v>
      </x:c>
      <x:c r="V246" t="n">
        <x:f>H246-U246</x:f>
        <x:v>-369</x:v>
      </x:c>
      <x:c r="W246" s="52" t="n">
        <x:f>IF(D246=0,"",(V246)/D246)</x:f>
        <x:v>-0.6745886654478976</x:v>
      </x:c>
      <x:c r="X246" t="str">
        <x:v>DHIRENDRA SINGH</x:v>
      </x:c>
      <x:c r="Y246" t="n">
        <x:f>D246-E246-F246</x:f>
        <x:v>0</x:v>
      </x:c>
    </x:row>
    <x:row r="247">
      <x:c r="A247" t="n">
        <x:v>239</x:v>
      </x:c>
      <x:c r="B247" t="str">
        <x:v>PRIMARY SCHOOL TOWN AREA RABUPURA ROOM NO 2</x:v>
      </x:c>
      <x:c r="C247" t="n">
        <x:v>1015</x:v>
      </x:c>
      <x:c r="D247" t="n">
        <x:v>655</x:v>
      </x:c>
      <x:c r="E247" t="n">
        <x:f>SUM(H247:S247)</x:f>
        <x:v>650</x:v>
      </x:c>
      <x:c r="F247" t="n">
        <x:v>5</x:v>
      </x:c>
      <x:c r="G247" s="50" t="n">
        <x:f>IF(C247="","",IFERROR(D247/C247,0))</x:f>
        <x:v>0.645320197044335</x:v>
      </x:c>
      <x:c r="H247" s="36" t="n">
        <x:v>114</x:v>
      </x:c>
      <x:c r="I247" t="n">
        <x:v>506</x:v>
      </x:c>
      <x:c r="J247" t="n">
        <x:v>15</x:v>
      </x:c>
      <x:c r="K247" t="n">
        <x:v>6</x:v>
      </x:c>
      <x:c r="L247" t="n">
        <x:v>0</x:v>
      </x:c>
      <x:c r="M247" t="n">
        <x:v>1</x:v>
      </x:c>
      <x:c r="N247" t="n">
        <x:v>1</x:v>
      </x:c>
      <x:c r="O247" t="n">
        <x:v>1</x:v>
      </x:c>
      <x:c r="P247" t="n">
        <x:v>0</x:v>
      </x:c>
      <x:c r="Q247" t="n">
        <x:v>0</x:v>
      </x:c>
      <x:c r="R247" t="n">
        <x:v>1</x:v>
      </x:c>
      <x:c r="S247" t="n">
        <x:v>5</x:v>
      </x:c>
      <x:c r="T247" s="50" t="n">
        <x:f>IF(D247=0,"",H247/D247)</x:f>
        <x:v>0.17404580152671756</x:v>
      </x:c>
      <x:c r="U247" t="n">
        <x:f>MAX(I247:S247)</x:f>
        <x:v>506</x:v>
      </x:c>
      <x:c r="V247" t="n">
        <x:f>H247-U247</x:f>
        <x:v>-392</x:v>
      </x:c>
      <x:c r="W247" s="52" t="n">
        <x:f>IF(D247=0,"",(V247)/D247)</x:f>
        <x:v>-0.5984732824427481</x:v>
      </x:c>
      <x:c r="X247" t="str">
        <x:v>DHIRENDRA SINGH</x:v>
      </x:c>
      <x:c r="Y247" t="n">
        <x:f>D247-E247-F247</x:f>
        <x:v>0</x:v>
      </x:c>
    </x:row>
    <x:row r="248">
      <x:c r="A248" t="n">
        <x:v>240</x:v>
      </x:c>
      <x:c r="B248" t="str">
        <x:v>PRIMARY SCHOOL TOWN AREA RABUPURA ROOM NO 3</x:v>
      </x:c>
      <x:c r="C248" t="n">
        <x:v>1034</x:v>
      </x:c>
      <x:c r="D248" t="n">
        <x:v>660</x:v>
      </x:c>
      <x:c r="E248" t="n">
        <x:f>SUM(H248:S248)</x:f>
        <x:v>656</x:v>
      </x:c>
      <x:c r="F248" t="n">
        <x:v>4</x:v>
      </x:c>
      <x:c r="G248" s="50" t="n">
        <x:f>IF(C248="","",IFERROR(D248/C248,0))</x:f>
        <x:v>0.6382978723404256</x:v>
      </x:c>
      <x:c r="H248" s="36" t="n">
        <x:v>235</x:v>
      </x:c>
      <x:c r="I248" t="n">
        <x:v>375</x:v>
      </x:c>
      <x:c r="J248" t="n">
        <x:v>16</x:v>
      </x:c>
      <x:c r="K248" t="n">
        <x:v>17</x:v>
      </x:c>
      <x:c r="L248" t="n">
        <x:v>3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1</x:v>
      </x:c>
      <x:c r="R248" t="n">
        <x:v>2</x:v>
      </x:c>
      <x:c r="S248" t="n">
        <x:v>7</x:v>
      </x:c>
      <x:c r="T248" s="50" t="n">
        <x:f>IF(D248=0,"",H248/D248)</x:f>
        <x:v>0.3560606060606061</x:v>
      </x:c>
      <x:c r="U248" t="n">
        <x:f>MAX(I248:S248)</x:f>
        <x:v>375</x:v>
      </x:c>
      <x:c r="V248" t="n">
        <x:f>H248-U248</x:f>
        <x:v>-140</x:v>
      </x:c>
      <x:c r="W248" s="52" t="n">
        <x:f>IF(D248=0,"",(V248)/D248)</x:f>
        <x:v>-0.21212121212121213</x:v>
      </x:c>
      <x:c r="X248" t="str">
        <x:v>DHIRENDRA SINGH</x:v>
      </x:c>
      <x:c r="Y248" t="n">
        <x:f>D248-E248-F248</x:f>
        <x:v>0</x:v>
      </x:c>
    </x:row>
    <x:row r="249">
      <x:c r="A249" t="n">
        <x:v>241</x:v>
      </x:c>
      <x:c r="B249" t="str">
        <x:v>PRIMARY SCHOOL BHAIPUR BRAHMAMANAN ROOM NO 1</x:v>
      </x:c>
      <x:c r="C249" t="n">
        <x:v>1087</x:v>
      </x:c>
      <x:c r="D249" t="n">
        <x:v>731</x:v>
      </x:c>
      <x:c r="E249" t="n">
        <x:f>SUM(H249:S249)</x:f>
        <x:v>721</x:v>
      </x:c>
      <x:c r="F249" t="n">
        <x:v>10</x:v>
      </x:c>
      <x:c r="G249" s="50" t="n">
        <x:f>IF(C249="","",IFERROR(D249/C249,0))</x:f>
        <x:v>0.672493100275989</x:v>
      </x:c>
      <x:c r="H249" s="36" t="n">
        <x:v>79</x:v>
      </x:c>
      <x:c r="I249" t="n">
        <x:v>628</x:v>
      </x:c>
      <x:c r="J249" t="n">
        <x:v>8</x:v>
      </x:c>
      <x:c r="K249" t="n">
        <x:v>0</x:v>
      </x:c>
      <x:c r="L249" t="n">
        <x:v>0</x:v>
      </x:c>
      <x:c r="M249" t="n">
        <x:v>1</x:v>
      </x:c>
      <x:c r="N249" t="n">
        <x:v>1</x:v>
      </x:c>
      <x:c r="O249" t="n">
        <x:v>0</x:v>
      </x:c>
      <x:c r="P249" t="n">
        <x:v>0</x:v>
      </x:c>
      <x:c r="Q249" t="n">
        <x:v>1</x:v>
      </x:c>
      <x:c r="R249" t="n">
        <x:v>0</x:v>
      </x:c>
      <x:c r="S249" t="n">
        <x:v>3</x:v>
      </x:c>
      <x:c r="T249" s="50" t="n">
        <x:f>IF(D249=0,"",H249/D249)</x:f>
        <x:v>0.10807113543091655</x:v>
      </x:c>
      <x:c r="U249" t="n">
        <x:f>MAX(I249:S249)</x:f>
        <x:v>628</x:v>
      </x:c>
      <x:c r="V249" t="n">
        <x:f>H249-U249</x:f>
        <x:v>-549</x:v>
      </x:c>
      <x:c r="W249" s="52" t="n">
        <x:f>IF(D249=0,"",(V249)/D249)</x:f>
        <x:v>-0.7510259917920656</x:v>
      </x:c>
      <x:c r="X249" t="str">
        <x:v>DHIRENDRA SINGH</x:v>
      </x:c>
      <x:c r="Y249" t="n">
        <x:f>D249-E249-F249</x:f>
        <x:v>0</x:v>
      </x:c>
    </x:row>
    <x:row r="250">
      <x:c r="A250" t="n">
        <x:v>242</x:v>
      </x:c>
      <x:c r="B250" t="str">
        <x:v>JUNIOR HIGH SCHOOL BHAIPUR BRAHMANAN ROOM NO 1</x:v>
      </x:c>
      <x:c r="C250" t="n">
        <x:v>778</x:v>
      </x:c>
      <x:c r="D250" t="n">
        <x:v>521</x:v>
      </x:c>
      <x:c r="E250" t="n">
        <x:f>SUM(H250:S250)</x:f>
        <x:v>517</x:v>
      </x:c>
      <x:c r="F250" t="n">
        <x:v>4</x:v>
      </x:c>
      <x:c r="G250" s="50" t="n">
        <x:f>IF(C250="","",IFERROR(D250/C250,0))</x:f>
        <x:v>0.6696658097686375</x:v>
      </x:c>
      <x:c r="H250" s="36" t="n">
        <x:v>59</x:v>
      </x:c>
      <x:c r="I250" t="n">
        <x:v>327</x:v>
      </x:c>
      <x:c r="J250" t="n">
        <x:v>121</x:v>
      </x:c>
      <x:c r="K250" t="n">
        <x:v>5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5</x:v>
      </x:c>
      <x:c r="T250" s="50" t="n">
        <x:f>IF(D250=0,"",H250/D250)</x:f>
        <x:v>0.11324376199616124</x:v>
      </x:c>
      <x:c r="U250" t="n">
        <x:f>MAX(I250:S250)</x:f>
        <x:v>327</x:v>
      </x:c>
      <x:c r="V250" t="n">
        <x:f>H250-U250</x:f>
        <x:v>-268</x:v>
      </x:c>
      <x:c r="W250" s="52" t="n">
        <x:f>IF(D250=0,"",(V250)/D250)</x:f>
        <x:v>-0.5143953934740882</x:v>
      </x:c>
      <x:c r="X250" t="str">
        <x:v>DHIRENDRA SINGH</x:v>
      </x:c>
      <x:c r="Y250" t="n">
        <x:f>D250-E250-F250</x:f>
        <x:v>0</x:v>
      </x:c>
    </x:row>
    <x:row r="251">
      <x:c r="A251" t="n">
        <x:v>243</x:v>
      </x:c>
      <x:c r="B251" t="str">
        <x:v>JUNIOR HIGH SCHOOL BHAIPUR BRAHMANAN ROOM NO 2</x:v>
      </x:c>
      <x:c r="C251" t="n">
        <x:v>571</x:v>
      </x:c>
      <x:c r="D251" t="n">
        <x:v>418</x:v>
      </x:c>
      <x:c r="E251" t="n">
        <x:f>SUM(H251:S251)</x:f>
        <x:v>417</x:v>
      </x:c>
      <x:c r="F251" t="n">
        <x:v>1</x:v>
      </x:c>
      <x:c r="G251" s="50" t="n">
        <x:f>IF(C251="","",IFERROR(D251/C251,0))</x:f>
        <x:v>0.7320490367775832</x:v>
      </x:c>
      <x:c r="H251" s="36" t="n">
        <x:v>61</x:v>
      </x:c>
      <x:c r="I251" t="n">
        <x:v>350</x:v>
      </x:c>
      <x:c r="J251" t="n">
        <x:v>2</x:v>
      </x:c>
      <x:c r="K251" t="n">
        <x:v>3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1</x:v>
      </x:c>
      <x:c r="R251" t="n">
        <x:v>0</x:v>
      </x:c>
      <x:c r="S251" t="n">
        <x:v>0</x:v>
      </x:c>
      <x:c r="T251" s="50" t="n">
        <x:f>IF(D251=0,"",H251/D251)</x:f>
        <x:v>0.145933014354067</x:v>
      </x:c>
      <x:c r="U251" t="n">
        <x:f>MAX(I251:S251)</x:f>
        <x:v>350</x:v>
      </x:c>
      <x:c r="V251" t="n">
        <x:f>H251-U251</x:f>
        <x:v>-289</x:v>
      </x:c>
      <x:c r="W251" s="52" t="n">
        <x:f>IF(D251=0,"",(V251)/D251)</x:f>
        <x:v>-0.6913875598086124</x:v>
      </x:c>
      <x:c r="X251" t="str">
        <x:v>DHIRENDRA SINGH</x:v>
      </x:c>
      <x:c r="Y251" t="n">
        <x:f>D251-E251-F251</x:f>
        <x:v>0</x:v>
      </x:c>
    </x:row>
    <x:row r="252">
      <x:c r="A252" t="n">
        <x:v>244</x:v>
      </x:c>
      <x:c r="B252" t="str">
        <x:v>PRIMARY SCHOOL MEHDIPUR BANGAR ROOM NO 1</x:v>
      </x:c>
      <x:c r="C252" t="n">
        <x:v>1147</x:v>
      </x:c>
      <x:c r="D252" t="n">
        <x:v>830</x:v>
      </x:c>
      <x:c r="E252" t="n">
        <x:f>SUM(H252:S252)</x:f>
        <x:v>820</x:v>
      </x:c>
      <x:c r="F252" t="n">
        <x:v>10</x:v>
      </x:c>
      <x:c r="G252" s="50" t="n">
        <x:f>IF(C252="","",IFERROR(D252/C252,0))</x:f>
        <x:v>0.7236268526591108</x:v>
      </x:c>
      <x:c r="H252" s="36" t="n">
        <x:v>240</x:v>
      </x:c>
      <x:c r="I252" t="n">
        <x:v>536</x:v>
      </x:c>
      <x:c r="J252" t="n">
        <x:v>31</x:v>
      </x:c>
      <x:c r="K252" t="n">
        <x:v>4</x:v>
      </x:c>
      <x:c r="L252" t="n">
        <x:v>2</x:v>
      </x:c>
      <x:c r="M252" t="n">
        <x:v>0</x:v>
      </x:c>
      <x:c r="N252" t="n">
        <x:v>0</x:v>
      </x:c>
      <x:c r="O252" t="n">
        <x:v>0</x:v>
      </x:c>
      <x:c r="P252" t="n">
        <x:v>2</x:v>
      </x:c>
      <x:c r="Q252" t="n">
        <x:v>1</x:v>
      </x:c>
      <x:c r="R252" t="n">
        <x:v>1</x:v>
      </x:c>
      <x:c r="S252" t="n">
        <x:v>3</x:v>
      </x:c>
      <x:c r="T252" s="50" t="n">
        <x:f>IF(D252=0,"",H252/D252)</x:f>
        <x:v>0.2891566265060241</x:v>
      </x:c>
      <x:c r="U252" t="n">
        <x:f>MAX(I252:S252)</x:f>
        <x:v>536</x:v>
      </x:c>
      <x:c r="V252" t="n">
        <x:f>H252-U252</x:f>
        <x:v>-296</x:v>
      </x:c>
      <x:c r="W252" s="52" t="n">
        <x:f>IF(D252=0,"",(V252)/D252)</x:f>
        <x:v>-0.3566265060240964</x:v>
      </x:c>
      <x:c r="X252" t="str">
        <x:v>DHIRENDRA SINGH</x:v>
      </x:c>
      <x:c r="Y252" t="n">
        <x:f>D252-E252-F252</x:f>
        <x:v>0</x:v>
      </x:c>
    </x:row>
    <x:row r="253">
      <x:c r="A253" t="n">
        <x:v>245</x:v>
      </x:c>
      <x:c r="B253" t="str">
        <x:v>PRIMARY SCHOOL MEHDIPUR BANGAR ROOM NO 2</x:v>
      </x:c>
      <x:c r="C253" t="n">
        <x:v>988</x:v>
      </x:c>
      <x:c r="D253" t="n">
        <x:v>766</x:v>
      </x:c>
      <x:c r="E253" t="n">
        <x:f>SUM(H253:S253)</x:f>
        <x:v>766</x:v>
      </x:c>
      <x:c r="F253" t="n">
        <x:v>0</x:v>
      </x:c>
      <x:c r="G253" s="50" t="n">
        <x:f>IF(C253="","",IFERROR(D253/C253,0))</x:f>
        <x:v>0.7753036437246964</x:v>
      </x:c>
      <x:c r="H253" s="36" t="n">
        <x:v>290</x:v>
      </x:c>
      <x:c r="I253" t="n">
        <x:v>423</x:v>
      </x:c>
      <x:c r="J253" t="n">
        <x:v>37</x:v>
      </x:c>
      <x:c r="K253" t="n">
        <x:v>4</x:v>
      </x:c>
      <x:c r="L253" t="n">
        <x:v>0</x:v>
      </x:c>
      <x:c r="M253" t="n">
        <x:v>0</x:v>
      </x:c>
      <x:c r="N253" t="n">
        <x:v>3</x:v>
      </x:c>
      <x:c r="O253" t="n">
        <x:v>3</x:v>
      </x:c>
      <x:c r="P253" t="n">
        <x:v>0</x:v>
      </x:c>
      <x:c r="Q253" t="n">
        <x:v>1</x:v>
      </x:c>
      <x:c r="R253" t="n">
        <x:v>0</x:v>
      </x:c>
      <x:c r="S253" t="n">
        <x:v>5</x:v>
      </x:c>
      <x:c r="T253" s="50" t="n">
        <x:f>IF(D253=0,"",H253/D253)</x:f>
        <x:v>0.3785900783289817</x:v>
      </x:c>
      <x:c r="U253" t="n">
        <x:f>MAX(I253:S253)</x:f>
        <x:v>423</x:v>
      </x:c>
      <x:c r="V253" t="n">
        <x:f>H253-U253</x:f>
        <x:v>-133</x:v>
      </x:c>
      <x:c r="W253" s="52" t="n">
        <x:f>IF(D253=0,"",(V253)/D253)</x:f>
        <x:v>-0.17362924281984335</x:v>
      </x:c>
      <x:c r="X253" t="str">
        <x:v>DHIRENDRA SINGH</x:v>
      </x:c>
      <x:c r="Y253" t="n">
        <x:f>D253-E253-F253</x:f>
        <x:v>0</x:v>
      </x:c>
    </x:row>
    <x:row r="254">
      <x:c r="A254" t="n">
        <x:v>246</x:v>
      </x:c>
      <x:c r="B254" t="str">
        <x:v>PRIMARY SCHOOL MEHDIPUR BANGAR ROOM NO 3</x:v>
      </x:c>
      <x:c r="C254" t="n">
        <x:v>1097</x:v>
      </x:c>
      <x:c r="D254" t="n">
        <x:v>694</x:v>
      </x:c>
      <x:c r="E254" t="n">
        <x:f>SUM(H254:S254)</x:f>
        <x:v>688</x:v>
      </x:c>
      <x:c r="F254" t="n">
        <x:v>6</x:v>
      </x:c>
      <x:c r="G254" s="50" t="n">
        <x:f>IF(C254="","",IFERROR(D254/C254,0))</x:f>
        <x:v>0.6326344576116681</x:v>
      </x:c>
      <x:c r="H254" s="36" t="n">
        <x:v>239</x:v>
      </x:c>
      <x:c r="I254" t="n">
        <x:v>414</x:v>
      </x:c>
      <x:c r="J254" t="n">
        <x:v>16</x:v>
      </x:c>
      <x:c r="K254" t="n">
        <x:v>2</x:v>
      </x:c>
      <x:c r="L254" t="n">
        <x:v>3</x:v>
      </x:c>
      <x:c r="M254" t="n">
        <x:v>3</x:v>
      </x:c>
      <x:c r="N254" t="n">
        <x:v>4</x:v>
      </x:c>
      <x:c r="O254" t="n">
        <x:v>1</x:v>
      </x:c>
      <x:c r="P254" t="n">
        <x:v>2</x:v>
      </x:c>
      <x:c r="Q254" t="n">
        <x:v>0</x:v>
      </x:c>
      <x:c r="R254" t="n">
        <x:v>1</x:v>
      </x:c>
      <x:c r="S254" t="n">
        <x:v>3</x:v>
      </x:c>
      <x:c r="T254" s="50" t="n">
        <x:f>IF(D254=0,"",H254/D254)</x:f>
        <x:v>0.34438040345821325</x:v>
      </x:c>
      <x:c r="U254" t="n">
        <x:f>MAX(I254:S254)</x:f>
        <x:v>414</x:v>
      </x:c>
      <x:c r="V254" t="n">
        <x:f>H254-U254</x:f>
        <x:v>-175</x:v>
      </x:c>
      <x:c r="W254" s="52" t="n">
        <x:f>IF(D254=0,"",(V254)/D254)</x:f>
        <x:v>-0.2521613832853026</x:v>
      </x:c>
      <x:c r="X254" t="str">
        <x:v>DHIRENDRA SINGH</x:v>
      </x:c>
      <x:c r="Y254" t="n">
        <x:f>D254-E254-F254</x:f>
        <x:v>0</x:v>
      </x:c>
    </x:row>
    <x:row r="255">
      <x:c r="A255" t="n">
        <x:v>247</x:v>
      </x:c>
      <x:c r="B255" t="str">
        <x:v>PRIMARY SCHOOL SIRAULI BANGAR ROOM NO 1</x:v>
      </x:c>
      <x:c r="C255" t="n">
        <x:v>657</x:v>
      </x:c>
      <x:c r="D255" t="n">
        <x:v>508</x:v>
      </x:c>
      <x:c r="E255" t="n">
        <x:f>SUM(H255:S255)</x:f>
        <x:v>496</x:v>
      </x:c>
      <x:c r="F255" t="n">
        <x:v>12</x:v>
      </x:c>
      <x:c r="G255" s="50" t="n">
        <x:f>IF(C255="","",IFERROR(D255/C255,0))</x:f>
        <x:v>0.7732115677321156</x:v>
      </x:c>
      <x:c r="H255" s="36" t="n">
        <x:v>149</x:v>
      </x:c>
      <x:c r="I255" t="n">
        <x:v>307</x:v>
      </x:c>
      <x:c r="J255" t="n">
        <x:v>19</x:v>
      </x:c>
      <x:c r="K255" t="n">
        <x:v>1</x:v>
      </x:c>
      <x:c r="L255" t="n">
        <x:v>2</x:v>
      </x:c>
      <x:c r="M255" t="n">
        <x:v>0</x:v>
      </x:c>
      <x:c r="N255" t="n">
        <x:v>1</x:v>
      </x:c>
      <x:c r="O255" t="n">
        <x:v>4</x:v>
      </x:c>
      <x:c r="P255" t="n">
        <x:v>1</x:v>
      </x:c>
      <x:c r="Q255" t="n">
        <x:v>0</x:v>
      </x:c>
      <x:c r="R255" t="n">
        <x:v>3</x:v>
      </x:c>
      <x:c r="S255" t="n">
        <x:v>9</x:v>
      </x:c>
      <x:c r="T255" s="50" t="n">
        <x:f>IF(D255=0,"",H255/D255)</x:f>
        <x:v>0.2933070866141732</x:v>
      </x:c>
      <x:c r="U255" t="n">
        <x:f>MAX(I255:S255)</x:f>
        <x:v>307</x:v>
      </x:c>
      <x:c r="V255" t="n">
        <x:f>H255-U255</x:f>
        <x:v>-158</x:v>
      </x:c>
      <x:c r="W255" s="52" t="n">
        <x:f>IF(D255=0,"",(V255)/D255)</x:f>
        <x:v>-0.3110236220472441</x:v>
      </x:c>
      <x:c r="X255" t="str">
        <x:v>DHIRENDRA SINGH</x:v>
      </x:c>
      <x:c r="Y255" t="n">
        <x:f>D255-E255-F255</x:f>
        <x:v>0</x:v>
      </x:c>
    </x:row>
    <x:row r="256">
      <x:c r="A256" t="n">
        <x:v>248</x:v>
      </x:c>
      <x:c r="B256" t="str">
        <x:v>PRIMARY SCHOOL SIRAULI BANGAR ROOM NO 2</x:v>
      </x:c>
      <x:c r="C256" t="n">
        <x:v>604</x:v>
      </x:c>
      <x:c r="D256" t="n">
        <x:v>471</x:v>
      </x:c>
      <x:c r="E256" t="n">
        <x:f>SUM(H256:S256)</x:f>
        <x:v>468</x:v>
      </x:c>
      <x:c r="F256" t="n">
        <x:v>3</x:v>
      </x:c>
      <x:c r="G256" s="50" t="n">
        <x:f>IF(C256="","",IFERROR(D256/C256,0))</x:f>
        <x:v>0.7798013245033113</x:v>
      </x:c>
      <x:c r="H256" s="36" t="n">
        <x:v>109</x:v>
      </x:c>
      <x:c r="I256" t="n">
        <x:v>337</x:v>
      </x:c>
      <x:c r="J256" t="n">
        <x:v>13</x:v>
      </x:c>
      <x:c r="K256" t="n">
        <x:v>3</x:v>
      </x:c>
      <x:c r="L256" t="n">
        <x:v>2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1</x:v>
      </x:c>
      <x:c r="R256" t="n">
        <x:v>1</x:v>
      </x:c>
      <x:c r="S256" t="n">
        <x:v>2</x:v>
      </x:c>
      <x:c r="T256" s="50" t="n">
        <x:f>IF(D256=0,"",H256/D256)</x:f>
        <x:v>0.23142250530785563</x:v>
      </x:c>
      <x:c r="U256" t="n">
        <x:f>MAX(I256:S256)</x:f>
        <x:v>337</x:v>
      </x:c>
      <x:c r="V256" t="n">
        <x:f>H256-U256</x:f>
        <x:v>-228</x:v>
      </x:c>
      <x:c r="W256" s="52" t="n">
        <x:f>IF(D256=0,"",(V256)/D256)</x:f>
        <x:v>-0.4840764331210191</x:v>
      </x:c>
      <x:c r="X256" t="str">
        <x:v>DHIRENDRA SINGH</x:v>
      </x:c>
      <x:c r="Y256" t="n">
        <x:f>D256-E256-F256</x:f>
        <x:v>0</x:v>
      </x:c>
    </x:row>
    <x:row r="257">
      <x:c r="A257" t="n">
        <x:v>249</x:v>
      </x:c>
      <x:c r="B257" t="str">
        <x:v>PRIMARY SCHOOL DHANPURA ROOM NO 1</x:v>
      </x:c>
      <x:c r="C257" t="n">
        <x:v>376</x:v>
      </x:c>
      <x:c r="D257" t="n">
        <x:v>301</x:v>
      </x:c>
      <x:c r="E257" t="n">
        <x:f>SUM(H257:S257)</x:f>
        <x:v>292</x:v>
      </x:c>
      <x:c r="F257" t="n">
        <x:v>9</x:v>
      </x:c>
      <x:c r="G257" s="50" t="n">
        <x:f>IF(C257="","",IFERROR(D257/C257,0))</x:f>
        <x:v>0.800531914893617</x:v>
      </x:c>
      <x:c r="H257" s="36" t="n">
        <x:v>106</x:v>
      </x:c>
      <x:c r="I257" t="n">
        <x:v>163</x:v>
      </x:c>
      <x:c r="J257" t="n">
        <x:v>7</x:v>
      </x:c>
      <x:c r="K257" t="n">
        <x:v>2</x:v>
      </x:c>
      <x:c r="L257" t="n">
        <x:v>0</x:v>
      </x:c>
      <x:c r="M257" t="n">
        <x:v>2</x:v>
      </x:c>
      <x:c r="N257" t="n">
        <x:v>2</x:v>
      </x:c>
      <x:c r="O257" t="n">
        <x:v>0</x:v>
      </x:c>
      <x:c r="P257" t="n">
        <x:v>1</x:v>
      </x:c>
      <x:c r="Q257" t="n">
        <x:v>0</x:v>
      </x:c>
      <x:c r="R257" t="n">
        <x:v>2</x:v>
      </x:c>
      <x:c r="S257" t="n">
        <x:v>7</x:v>
      </x:c>
      <x:c r="T257" s="50" t="n">
        <x:f>IF(D257=0,"",H257/D257)</x:f>
        <x:v>0.3521594684385382</x:v>
      </x:c>
      <x:c r="U257" t="n">
        <x:f>MAX(I257:S257)</x:f>
        <x:v>163</x:v>
      </x:c>
      <x:c r="V257" t="n">
        <x:f>H257-U257</x:f>
        <x:v>-57</x:v>
      </x:c>
      <x:c r="W257" s="52" t="n">
        <x:f>IF(D257=0,"",(V257)/D257)</x:f>
        <x:v>-0.1893687707641196</x:v>
      </x:c>
      <x:c r="X257" t="str">
        <x:v>DHIRENDRA SINGH</x:v>
      </x:c>
      <x:c r="Y257" t="n">
        <x:f>D257-E257-F257</x:f>
        <x:v>0</x:v>
      </x:c>
    </x:row>
    <x:row r="258">
      <x:c r="A258" t="n">
        <x:v>250</x:v>
      </x:c>
      <x:c r="B258" t="str">
        <x:v>PRIMARY SCHOOL TIRTHALI ROOM NO 1</x:v>
      </x:c>
      <x:c r="C258" t="n">
        <x:v>690</x:v>
      </x:c>
      <x:c r="D258" t="n">
        <x:v>535</x:v>
      </x:c>
      <x:c r="E258" t="n">
        <x:f>SUM(H258:S258)</x:f>
        <x:v>529</x:v>
      </x:c>
      <x:c r="F258" t="n">
        <x:v>6</x:v>
      </x:c>
      <x:c r="G258" s="50" t="n">
        <x:f>IF(C258="","",IFERROR(D258/C258,0))</x:f>
        <x:v>0.7753623188405797</x:v>
      </x:c>
      <x:c r="H258" s="36" t="n">
        <x:v>232</x:v>
      </x:c>
      <x:c r="I258" t="n">
        <x:v>276</x:v>
      </x:c>
      <x:c r="J258" t="n">
        <x:v>9</x:v>
      </x:c>
      <x:c r="K258" t="n">
        <x:v>2</x:v>
      </x:c>
      <x:c r="L258" t="n">
        <x:v>0</x:v>
      </x:c>
      <x:c r="M258" t="n">
        <x:v>1</x:v>
      </x:c>
      <x:c r="N258" t="n">
        <x:v>0</x:v>
      </x:c>
      <x:c r="O258" t="n">
        <x:v>3</x:v>
      </x:c>
      <x:c r="P258" t="n">
        <x:v>0</x:v>
      </x:c>
      <x:c r="Q258" t="n">
        <x:v>0</x:v>
      </x:c>
      <x:c r="R258" t="n">
        <x:v>1</x:v>
      </x:c>
      <x:c r="S258" t="n">
        <x:v>5</x:v>
      </x:c>
      <x:c r="T258" s="50" t="n">
        <x:f>IF(D258=0,"",H258/D258)</x:f>
        <x:v>0.4336448598130841</x:v>
      </x:c>
      <x:c r="U258" t="n">
        <x:f>MAX(I258:S258)</x:f>
        <x:v>276</x:v>
      </x:c>
      <x:c r="V258" t="n">
        <x:f>H258-U258</x:f>
        <x:v>-44</x:v>
      </x:c>
      <x:c r="W258" s="52" t="n">
        <x:f>IF(D258=0,"",(V258)/D258)</x:f>
        <x:v>-0.08224299065420561</x:v>
      </x:c>
      <x:c r="X258" t="str">
        <x:v>DHIRENDRA SINGH</x:v>
      </x:c>
      <x:c r="Y258" t="n">
        <x:f>D258-E258-F258</x:f>
        <x:v>0</x:v>
      </x:c>
    </x:row>
    <x:row r="259">
      <x:c r="A259" t="n">
        <x:v>251</x:v>
      </x:c>
      <x:c r="B259" t="str">
        <x:v>PRIMARY SCHOOL TIRTHALI ROOM NO 2</x:v>
      </x:c>
      <x:c r="C259" t="n">
        <x:v>694</x:v>
      </x:c>
      <x:c r="D259" t="n">
        <x:v>556</x:v>
      </x:c>
      <x:c r="E259" t="n">
        <x:f>SUM(H259:S259)</x:f>
        <x:v>553</x:v>
      </x:c>
      <x:c r="F259" t="n">
        <x:v>3</x:v>
      </x:c>
      <x:c r="G259" s="50" t="n">
        <x:f>IF(C259="","",IFERROR(D259/C259,0))</x:f>
        <x:v>0.8011527377521613</x:v>
      </x:c>
      <x:c r="H259" s="36" t="n">
        <x:v>297</x:v>
      </x:c>
      <x:c r="I259" t="n">
        <x:v>208</x:v>
      </x:c>
      <x:c r="J259" t="n">
        <x:v>33</x:v>
      </x:c>
      <x:c r="K259" t="n">
        <x:v>4</x:v>
      </x:c>
      <x:c r="L259" t="n">
        <x:v>1</x:v>
      </x:c>
      <x:c r="M259" t="n">
        <x:v>4</x:v>
      </x:c>
      <x:c r="N259" t="n">
        <x:v>0</x:v>
      </x:c>
      <x:c r="O259" t="n">
        <x:v>2</x:v>
      </x:c>
      <x:c r="P259" t="n">
        <x:v>1</x:v>
      </x:c>
      <x:c r="Q259" t="n">
        <x:v>0</x:v>
      </x:c>
      <x:c r="R259" t="n">
        <x:v>0</x:v>
      </x:c>
      <x:c r="S259" t="n">
        <x:v>3</x:v>
      </x:c>
      <x:c r="T259" s="50" t="n">
        <x:f>IF(D259=0,"",H259/D259)</x:f>
        <x:v>0.5341726618705036</x:v>
      </x:c>
      <x:c r="U259" t="n">
        <x:f>MAX(I259:S259)</x:f>
        <x:v>208</x:v>
      </x:c>
      <x:c r="V259" t="n">
        <x:f>H259-U259</x:f>
        <x:v>89</x:v>
      </x:c>
      <x:c r="W259" s="52" t="n">
        <x:f>IF(D259=0,"",(V259)/D259)</x:f>
        <x:v>0.16007194244604317</x:v>
      </x:c>
      <x:c r="X259" t="str">
        <x:v>AVTAR SINGH BHADANA</x:v>
      </x:c>
      <x:c r="Y259" t="n">
        <x:f>D259-E259-F259</x:f>
        <x:v>0</x:v>
      </x:c>
    </x:row>
    <x:row r="260">
      <x:c r="A260" t="n">
        <x:v>252</x:v>
      </x:c>
      <x:c r="B260" t="str">
        <x:v>JUNIOR HIGH SCHOOL TIRTHALI ROOM NO 1</x:v>
      </x:c>
      <x:c r="C260" t="n">
        <x:v>754</x:v>
      </x:c>
      <x:c r="D260" t="n">
        <x:v>529</x:v>
      </x:c>
      <x:c r="E260" t="n">
        <x:f>SUM(H260:S260)</x:f>
        <x:v>522</x:v>
      </x:c>
      <x:c r="F260" t="n">
        <x:v>7</x:v>
      </x:c>
      <x:c r="G260" s="50" t="n">
        <x:f>IF(C260="","",IFERROR(D260/C260,0))</x:f>
        <x:v>0.7015915119363395</x:v>
      </x:c>
      <x:c r="H260" s="36" t="n">
        <x:v>201</x:v>
      </x:c>
      <x:c r="I260" t="n">
        <x:v>174</x:v>
      </x:c>
      <x:c r="J260" t="n">
        <x:v>119</x:v>
      </x:c>
      <x:c r="K260" t="n">
        <x:v>1</x:v>
      </x:c>
      <x:c r="L260" t="n">
        <x:v>0</x:v>
      </x:c>
      <x:c r="M260" t="n">
        <x:v>4</x:v>
      </x:c>
      <x:c r="N260" t="n">
        <x:v>0</x:v>
      </x:c>
      <x:c r="O260" t="n">
        <x:v>2</x:v>
      </x:c>
      <x:c r="P260" t="n">
        <x:v>2</x:v>
      </x:c>
      <x:c r="Q260" t="n">
        <x:v>0</x:v>
      </x:c>
      <x:c r="R260" t="n">
        <x:v>9</x:v>
      </x:c>
      <x:c r="S260" t="n">
        <x:v>10</x:v>
      </x:c>
      <x:c r="T260" s="50" t="n">
        <x:f>IF(D260=0,"",H260/D260)</x:f>
        <x:v>0.3799621928166352</x:v>
      </x:c>
      <x:c r="U260" t="n">
        <x:f>MAX(I260:S260)</x:f>
        <x:v>174</x:v>
      </x:c>
      <x:c r="V260" t="n">
        <x:f>H260-U260</x:f>
        <x:v>27</x:v>
      </x:c>
      <x:c r="W260" s="52" t="n">
        <x:f>IF(D260=0,"",(V260)/D260)</x:f>
        <x:v>0.05103969754253308</x:v>
      </x:c>
      <x:c r="X260" t="str">
        <x:v>AVTAR SINGH BHADANA</x:v>
      </x:c>
      <x:c r="Y260" t="n">
        <x:f>D260-E260-F260</x:f>
        <x:v>0</x:v>
      </x:c>
    </x:row>
    <x:row r="261">
      <x:c r="A261" t="n">
        <x:v>253</x:v>
      </x:c>
      <x:c r="B261" t="str">
        <x:v>JUNIOR HIGH SCHOOL TIRTHALI ROOM NO 2</x:v>
      </x:c>
      <x:c r="C261" t="n">
        <x:v>635</x:v>
      </x:c>
      <x:c r="D261" t="n">
        <x:v>495</x:v>
      </x:c>
      <x:c r="E261" t="n">
        <x:f>SUM(H261:S261)</x:f>
        <x:v>493</x:v>
      </x:c>
      <x:c r="F261" t="n">
        <x:v>2</x:v>
      </x:c>
      <x:c r="G261" s="50" t="n">
        <x:f>IF(C261="","",IFERROR(D261/C261,0))</x:f>
        <x:v>0.7795275590551181</x:v>
      </x:c>
      <x:c r="H261" s="36" t="n">
        <x:v>24</x:v>
      </x:c>
      <x:c r="I261" t="n">
        <x:v>129</x:v>
      </x:c>
      <x:c r="J261" t="n">
        <x:v>330</x:v>
      </x:c>
      <x:c r="K261" t="n">
        <x:v>3</x:v>
      </x:c>
      <x:c r="L261" t="n">
        <x:v>0</x:v>
      </x:c>
      <x:c r="M261" t="n">
        <x:v>0</x:v>
      </x:c>
      <x:c r="N261" t="n">
        <x:v>0</x:v>
      </x:c>
      <x:c r="O261" t="n">
        <x:v>1</x:v>
      </x:c>
      <x:c r="P261" t="n">
        <x:v>2</x:v>
      </x:c>
      <x:c r="Q261" t="n">
        <x:v>0</x:v>
      </x:c>
      <x:c r="R261" t="n">
        <x:v>3</x:v>
      </x:c>
      <x:c r="S261" t="n">
        <x:v>1</x:v>
      </x:c>
      <x:c r="T261" s="50" t="n">
        <x:f>IF(D261=0,"",H261/D261)</x:f>
        <x:v>0.048484848484848485</x:v>
      </x:c>
      <x:c r="U261" t="n">
        <x:f>MAX(I261:S261)</x:f>
        <x:v>330</x:v>
      </x:c>
      <x:c r="V261" t="n">
        <x:f>H261-U261</x:f>
        <x:v>-306</x:v>
      </x:c>
      <x:c r="W261" s="52" t="n">
        <x:f>IF(D261=0,"",(V261)/D261)</x:f>
        <x:v>-0.6181818181818182</x:v>
      </x:c>
      <x:c r="X261" t="str">
        <x:v>NARENDER KUMAR</x:v>
      </x:c>
      <x:c r="Y261" t="n">
        <x:f>D261-E261-F261</x:f>
        <x:v>0</x:v>
      </x:c>
    </x:row>
    <x:row r="262">
      <x:c r="A262" t="n">
        <x:v>254</x:v>
      </x:c>
      <x:c r="B262" t="str">
        <x:v>PRIMARY SCHOOL BHUNNATAGA ROOM NO 1</x:v>
      </x:c>
      <x:c r="C262" t="n">
        <x:v>744</x:v>
      </x:c>
      <x:c r="D262" t="n">
        <x:v>489</x:v>
      </x:c>
      <x:c r="E262" t="n">
        <x:f>SUM(H262:S262)</x:f>
        <x:v>488</x:v>
      </x:c>
      <x:c r="F262" t="n">
        <x:v>1</x:v>
      </x:c>
      <x:c r="G262" s="50" t="n">
        <x:f>IF(C262="","",IFERROR(D262/C262,0))</x:f>
        <x:v>0.657258064516129</x:v>
      </x:c>
      <x:c r="H262" s="36" t="n">
        <x:v>63</x:v>
      </x:c>
      <x:c r="I262" t="n">
        <x:v>413</x:v>
      </x:c>
      <x:c r="J262" t="n">
        <x:v>11</x:v>
      </x:c>
      <x:c r="K262" t="n">
        <x:v>1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s="50" t="n">
        <x:f>IF(D262=0,"",H262/D262)</x:f>
        <x:v>0.12883435582822086</x:v>
      </x:c>
      <x:c r="U262" t="n">
        <x:f>MAX(I262:S262)</x:f>
        <x:v>413</x:v>
      </x:c>
      <x:c r="V262" t="n">
        <x:f>H262-U262</x:f>
        <x:v>-350</x:v>
      </x:c>
      <x:c r="W262" s="52" t="n">
        <x:f>IF(D262=0,"",(V262)/D262)</x:f>
        <x:v>-0.7157464212678937</x:v>
      </x:c>
      <x:c r="X262" t="str">
        <x:v>DHIRENDRA SINGH</x:v>
      </x:c>
      <x:c r="Y262" t="n">
        <x:f>D262-E262-F262</x:f>
        <x:v>0</x:v>
      </x:c>
    </x:row>
    <x:row r="263">
      <x:c r="A263" t="n">
        <x:v>255</x:v>
      </x:c>
      <x:c r="B263" t="str">
        <x:v>PRIMARY SCHOOL BHUNNATAGA ROOM NO 2</x:v>
      </x:c>
      <x:c r="C263" t="n">
        <x:v>638</x:v>
      </x:c>
      <x:c r="D263" t="n">
        <x:v>409</x:v>
      </x:c>
      <x:c r="E263" t="n">
        <x:f>SUM(H263:S263)</x:f>
        <x:v>408</x:v>
      </x:c>
      <x:c r="F263" t="n">
        <x:v>1</x:v>
      </x:c>
      <x:c r="G263" s="50" t="n">
        <x:f>IF(C263="","",IFERROR(D263/C263,0))</x:f>
        <x:v>0.6410658307210031</x:v>
      </x:c>
      <x:c r="H263" s="36" t="n">
        <x:v>23</x:v>
      </x:c>
      <x:c r="I263" t="n">
        <x:v>119</x:v>
      </x:c>
      <x:c r="J263" t="n">
        <x:v>263</x:v>
      </x:c>
      <x:c r="K263" t="n">
        <x:v>1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1</x:v>
      </x:c>
      <x:c r="Q263" t="n">
        <x:v>0</x:v>
      </x:c>
      <x:c r="R263" t="n">
        <x:v>0</x:v>
      </x:c>
      <x:c r="S263" t="n">
        <x:v>1</x:v>
      </x:c>
      <x:c r="T263" s="50" t="n">
        <x:f>IF(D263=0,"",H263/D263)</x:f>
        <x:v>0.05623471882640587</x:v>
      </x:c>
      <x:c r="U263" t="n">
        <x:f>MAX(I263:S263)</x:f>
        <x:v>263</x:v>
      </x:c>
      <x:c r="V263" t="n">
        <x:f>H263-U263</x:f>
        <x:v>-240</x:v>
      </x:c>
      <x:c r="W263" s="52" t="n">
        <x:f>IF(D263=0,"",(V263)/D263)</x:f>
        <x:v>-0.58679706601467</x:v>
      </x:c>
      <x:c r="X263" t="str">
        <x:v>NARENDER KUMAR</x:v>
      </x:c>
      <x:c r="Y263" t="n">
        <x:f>D263-E263-F263</x:f>
        <x:v>0</x:v>
      </x:c>
    </x:row>
    <x:row r="264">
      <x:c r="A264" t="n">
        <x:v>256</x:v>
      </x:c>
      <x:c r="B264" t="str">
        <x:v>PRIMARY SCHOOL MAQSOODPUR ROOM NO 1</x:v>
      </x:c>
      <x:c r="C264" t="n">
        <x:v>563</x:v>
      </x:c>
      <x:c r="D264" t="n">
        <x:v>355</x:v>
      </x:c>
      <x:c r="E264" t="n">
        <x:f>SUM(H264:S264)</x:f>
        <x:v>354</x:v>
      </x:c>
      <x:c r="F264" t="n">
        <x:v>1</x:v>
      </x:c>
      <x:c r="G264" s="50" t="n">
        <x:f>IF(C264="","",IFERROR(D264/C264,0))</x:f>
        <x:v>0.6305506216696269</x:v>
      </x:c>
      <x:c r="H264" s="36" t="n">
        <x:v>53</x:v>
      </x:c>
      <x:c r="I264" t="n">
        <x:v>204</x:v>
      </x:c>
      <x:c r="J264" t="n">
        <x:v>83</x:v>
      </x:c>
      <x:c r="K264" t="n">
        <x:v>3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2</x:v>
      </x:c>
      <x:c r="R264" t="n">
        <x:v>6</x:v>
      </x:c>
      <x:c r="S264" t="n">
        <x:v>3</x:v>
      </x:c>
      <x:c r="T264" s="50" t="n">
        <x:f>IF(D264=0,"",H264/D264)</x:f>
        <x:v>0.14929577464788732</x:v>
      </x:c>
      <x:c r="U264" t="n">
        <x:f>MAX(I264:S264)</x:f>
        <x:v>204</x:v>
      </x:c>
      <x:c r="V264" t="n">
        <x:f>H264-U264</x:f>
        <x:v>-151</x:v>
      </x:c>
      <x:c r="W264" s="52" t="n">
        <x:f>IF(D264=0,"",(V264)/D264)</x:f>
        <x:v>-0.4253521126760563</x:v>
      </x:c>
      <x:c r="X264" t="str">
        <x:v>DHIRENDRA SINGH</x:v>
      </x:c>
      <x:c r="Y264" t="n">
        <x:f>D264-E264-F264</x:f>
        <x:v>0</x:v>
      </x:c>
    </x:row>
    <x:row r="265">
      <x:c r="A265" t="n">
        <x:v>257</x:v>
      </x:c>
      <x:c r="B265" t="str">
        <x:v>PRIMARY SCHOOL MAYANA ROOM NO 1</x:v>
      </x:c>
      <x:c r="C265" t="n">
        <x:v>610</x:v>
      </x:c>
      <x:c r="D265" t="n">
        <x:v>429</x:v>
      </x:c>
      <x:c r="E265" t="n">
        <x:f>SUM(H265:S265)</x:f>
        <x:v>425</x:v>
      </x:c>
      <x:c r="F265" t="n">
        <x:v>4</x:v>
      </x:c>
      <x:c r="G265" s="50" t="n">
        <x:f>IF(C265="","",IFERROR(D265/C265,0))</x:f>
        <x:v>0.7032786885245902</x:v>
      </x:c>
      <x:c r="H265" s="36" t="n">
        <x:v>100</x:v>
      </x:c>
      <x:c r="I265" t="n">
        <x:v>276</x:v>
      </x:c>
      <x:c r="J265" t="n">
        <x:v>36</x:v>
      </x:c>
      <x:c r="K265" t="n">
        <x:v>6</x:v>
      </x:c>
      <x:c r="L265" t="n">
        <x:v>1</x:v>
      </x:c>
      <x:c r="M265" t="n">
        <x:v>1</x:v>
      </x:c>
      <x:c r="N265" t="n">
        <x:v>3</x:v>
      </x:c>
      <x:c r="O265" t="n">
        <x:v>0</x:v>
      </x:c>
      <x:c r="P265" t="n">
        <x:v>0</x:v>
      </x:c>
      <x:c r="Q265" t="n">
        <x:v>0</x:v>
      </x:c>
      <x:c r="R265" t="n">
        <x:v>1</x:v>
      </x:c>
      <x:c r="S265" t="n">
        <x:v>1</x:v>
      </x:c>
      <x:c r="T265" s="50" t="n">
        <x:f>IF(D265=0,"",H265/D265)</x:f>
        <x:v>0.2331002331002331</x:v>
      </x:c>
      <x:c r="U265" t="n">
        <x:f>MAX(I265:S265)</x:f>
        <x:v>276</x:v>
      </x:c>
      <x:c r="V265" t="n">
        <x:f>H265-U265</x:f>
        <x:v>-176</x:v>
      </x:c>
      <x:c r="W265" s="52" t="n">
        <x:f>IF(D265=0,"",(V265)/D265)</x:f>
        <x:v>-0.41025641025641024</x:v>
      </x:c>
      <x:c r="X265" t="str">
        <x:v>DHIRENDRA SINGH</x:v>
      </x:c>
      <x:c r="Y265" t="n">
        <x:f>D265-E265-F265</x:f>
        <x:v>0</x:v>
      </x:c>
    </x:row>
    <x:row r="266">
      <x:c r="A266" t="n">
        <x:v>258</x:v>
      </x:c>
      <x:c r="B266" t="str">
        <x:v>PRIMARY SCHOOL MAYANA ROOM NO 2</x:v>
      </x:c>
      <x:c r="C266" t="n">
        <x:v>585</x:v>
      </x:c>
      <x:c r="D266" t="n">
        <x:v>362</x:v>
      </x:c>
      <x:c r="E266" t="n">
        <x:f>SUM(H266:S266)</x:f>
        <x:v>359</x:v>
      </x:c>
      <x:c r="F266" t="n">
        <x:v>3</x:v>
      </x:c>
      <x:c r="G266" s="50" t="n">
        <x:f>IF(C266="","",IFERROR(D266/C266,0))</x:f>
        <x:v>0.6188034188034188</x:v>
      </x:c>
      <x:c r="H266" s="36" t="n">
        <x:v>24</x:v>
      </x:c>
      <x:c r="I266" t="n">
        <x:v>209</x:v>
      </x:c>
      <x:c r="J266" t="n">
        <x:v>122</x:v>
      </x:c>
      <x:c r="K266" t="n">
        <x:v>2</x:v>
      </x:c>
      <x:c r="L266" t="n">
        <x:v>1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1</x:v>
      </x:c>
      <x:c r="T266" s="50" t="n">
        <x:f>IF(D266=0,"",H266/D266)</x:f>
        <x:v>0.06629834254143646</x:v>
      </x:c>
      <x:c r="U266" t="n">
        <x:f>MAX(I266:S266)</x:f>
        <x:v>209</x:v>
      </x:c>
      <x:c r="V266" t="n">
        <x:f>H266-U266</x:f>
        <x:v>-185</x:v>
      </x:c>
      <x:c r="W266" s="52" t="n">
        <x:f>IF(D266=0,"",(V266)/D266)</x:f>
        <x:v>-0.511049723756906</x:v>
      </x:c>
      <x:c r="X266" t="str">
        <x:v>DHIRENDRA SINGH</x:v>
      </x:c>
      <x:c r="Y266" t="n">
        <x:f>D266-E266-F266</x:f>
        <x:v>0</x:v>
      </x:c>
    </x:row>
    <x:row r="267">
      <x:c r="A267" t="n">
        <x:v>259</x:v>
      </x:c>
      <x:c r="B267" t="str">
        <x:v>PRIMARY SCHOOL KALUPURA ROOM NO 1</x:v>
      </x:c>
      <x:c r="C267" t="n">
        <x:v>1087</x:v>
      </x:c>
      <x:c r="D267" t="n">
        <x:v>770</x:v>
      </x:c>
      <x:c r="E267" t="n">
        <x:f>SUM(H267:S267)</x:f>
        <x:v>767</x:v>
      </x:c>
      <x:c r="F267" t="n">
        <x:v>3</x:v>
      </x:c>
      <x:c r="G267" s="50" t="n">
        <x:f>IF(C267="","",IFERROR(D267/C267,0))</x:f>
        <x:v>0.7083716651333947</x:v>
      </x:c>
      <x:c r="H267" s="36" t="n">
        <x:v>228</x:v>
      </x:c>
      <x:c r="I267" t="n">
        <x:v>525</x:v>
      </x:c>
      <x:c r="J267" t="n">
        <x:v>5</x:v>
      </x:c>
      <x:c r="K267" t="n">
        <x:v>4</x:v>
      </x:c>
      <x:c r="L267" t="n">
        <x:v>0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n">
        <x:v>2</x:v>
      </x:c>
      <x:c r="R267" t="n">
        <x:v>0</x:v>
      </x:c>
      <x:c r="S267" t="n">
        <x:v>2</x:v>
      </x:c>
      <x:c r="T267" s="50" t="n">
        <x:f>IF(D267=0,"",H267/D267)</x:f>
        <x:v>0.2961038961038961</x:v>
      </x:c>
      <x:c r="U267" t="n">
        <x:f>MAX(I267:S267)</x:f>
        <x:v>525</x:v>
      </x:c>
      <x:c r="V267" t="n">
        <x:f>H267-U267</x:f>
        <x:v>-297</x:v>
      </x:c>
      <x:c r="W267" s="52" t="n">
        <x:f>IF(D267=0,"",(V267)/D267)</x:f>
        <x:v>-0.38571428571428573</x:v>
      </x:c>
      <x:c r="X267" t="str">
        <x:v>DHIRENDRA SINGH</x:v>
      </x:c>
      <x:c r="Y267" t="n">
        <x:f>D267-E267-F267</x:f>
        <x:v>0</x:v>
      </x:c>
    </x:row>
    <x:row r="268">
      <x:c r="A268" t="n">
        <x:v>260</x:v>
      </x:c>
      <x:c r="B268" t="str">
        <x:v>PRIMARY SCHOOL KALUPURA ROOM NO 2</x:v>
      </x:c>
      <x:c r="C268" t="n">
        <x:v>1006</x:v>
      </x:c>
      <x:c r="D268" t="n">
        <x:v>723</x:v>
      </x:c>
      <x:c r="E268" t="n">
        <x:f>SUM(H268:S268)</x:f>
        <x:v>718</x:v>
      </x:c>
      <x:c r="F268" t="n">
        <x:v>5</x:v>
      </x:c>
      <x:c r="G268" s="50" t="n">
        <x:f>IF(C268="","",IFERROR(D268/C268,0))</x:f>
        <x:v>0.7186878727634195</x:v>
      </x:c>
      <x:c r="H268" s="36" t="n">
        <x:v>185</x:v>
      </x:c>
      <x:c r="I268" t="n">
        <x:v>348</x:v>
      </x:c>
      <x:c r="J268" t="n">
        <x:v>155</x:v>
      </x:c>
      <x:c r="K268" t="n">
        <x:v>13</x:v>
      </x:c>
      <x:c r="L268" t="n">
        <x:v>0</x:v>
      </x:c>
      <x:c r="M268" t="n">
        <x:v>2</x:v>
      </x:c>
      <x:c r="N268" t="n">
        <x:v>0</x:v>
      </x:c>
      <x:c r="O268" t="n">
        <x:v>7</x:v>
      </x:c>
      <x:c r="P268" t="n">
        <x:v>0</x:v>
      </x:c>
      <x:c r="Q268" t="n">
        <x:v>1</x:v>
      </x:c>
      <x:c r="R268" t="n">
        <x:v>4</x:v>
      </x:c>
      <x:c r="S268" t="n">
        <x:v>3</x:v>
      </x:c>
      <x:c r="T268" s="50" t="n">
        <x:f>IF(D268=0,"",H268/D268)</x:f>
        <x:v>0.25587828492392806</x:v>
      </x:c>
      <x:c r="U268" t="n">
        <x:f>MAX(I268:S268)</x:f>
        <x:v>348</x:v>
      </x:c>
      <x:c r="V268" t="n">
        <x:f>H268-U268</x:f>
        <x:v>-163</x:v>
      </x:c>
      <x:c r="W268" s="52" t="n">
        <x:f>IF(D268=0,"",(V268)/D268)</x:f>
        <x:v>-0.22544951590594745</x:v>
      </x:c>
      <x:c r="X268" t="str">
        <x:v>DHIRENDRA SINGH</x:v>
      </x:c>
      <x:c r="Y268" t="n">
        <x:f>D268-E268-F268</x:f>
        <x:v>0</x:v>
      </x:c>
    </x:row>
    <x:row r="269">
      <x:c r="A269" t="n">
        <x:v>261</x:v>
      </x:c>
      <x:c r="B269" t="str">
        <x:v>PRIMARY SCHOOL JAUNCHANA ROOM NO. 1</x:v>
      </x:c>
      <x:c r="C269" t="n">
        <x:v>1127</x:v>
      </x:c>
      <x:c r="D269" t="n">
        <x:v>661</x:v>
      </x:c>
      <x:c r="E269" t="n">
        <x:f>SUM(H269:S269)</x:f>
        <x:v>657</x:v>
      </x:c>
      <x:c r="F269" t="n">
        <x:v>4</x:v>
      </x:c>
      <x:c r="G269" s="50" t="n">
        <x:f>IF(C269="","",IFERROR(D269/C269,0))</x:f>
        <x:v>0.5865128660159716</x:v>
      </x:c>
      <x:c r="H269" s="36" t="n">
        <x:v>114</x:v>
      </x:c>
      <x:c r="I269" t="n">
        <x:v>359</x:v>
      </x:c>
      <x:c r="J269" t="n">
        <x:v>168</x:v>
      </x:c>
      <x:c r="K269" t="n">
        <x:v>11</x:v>
      </x:c>
      <x:c r="L269" t="n">
        <x:v>0</x:v>
      </x:c>
      <x:c r="M269" t="n">
        <x:v>2</x:v>
      </x:c>
      <x:c r="N269" t="n">
        <x:v>0</x:v>
      </x:c>
      <x:c r="O269" t="n">
        <x:v>1</x:v>
      </x:c>
      <x:c r="P269" t="n">
        <x:v>0</x:v>
      </x:c>
      <x:c r="Q269" t="n">
        <x:v>0</x:v>
      </x:c>
      <x:c r="R269" t="n">
        <x:v>1</x:v>
      </x:c>
      <x:c r="S269" t="n">
        <x:v>1</x:v>
      </x:c>
      <x:c r="T269" s="50" t="n">
        <x:f>IF(D269=0,"",H269/D269)</x:f>
        <x:v>0.17246596066565809</x:v>
      </x:c>
      <x:c r="U269" t="n">
        <x:f>MAX(I269:S269)</x:f>
        <x:v>359</x:v>
      </x:c>
      <x:c r="V269" t="n">
        <x:f>H269-U269</x:f>
        <x:v>-245</x:v>
      </x:c>
      <x:c r="W269" s="52" t="n">
        <x:f>IF(D269=0,"",(V269)/D269)</x:f>
        <x:v>-0.37065052950075644</x:v>
      </x:c>
      <x:c r="X269" t="str">
        <x:v>DHIRENDRA SINGH</x:v>
      </x:c>
      <x:c r="Y269" t="n">
        <x:f>D269-E269-F269</x:f>
        <x:v>0</x:v>
      </x:c>
    </x:row>
    <x:row r="270">
      <x:c r="A270" t="n">
        <x:v>262</x:v>
      </x:c>
      <x:c r="B270" t="str">
        <x:v>PRIMARY SCHOOL CHACHURA ROOM NO. 1</x:v>
      </x:c>
      <x:c r="C270" t="n">
        <x:v>963</x:v>
      </x:c>
      <x:c r="D270" t="n">
        <x:v>640</x:v>
      </x:c>
      <x:c r="E270" t="n">
        <x:f>SUM(H270:S270)</x:f>
        <x:v>640</x:v>
      </x:c>
      <x:c r="F270" t="n">
        <x:v>0</x:v>
      </x:c>
      <x:c r="G270" s="50" t="n">
        <x:f>IF(C270="","",IFERROR(D270/C270,0))</x:f>
        <x:v>0.6645898234683282</x:v>
      </x:c>
      <x:c r="H270" s="36" t="n">
        <x:v>35</x:v>
      </x:c>
      <x:c r="I270" t="n">
        <x:v>131</x:v>
      </x:c>
      <x:c r="J270" t="n">
        <x:v>454</x:v>
      </x:c>
      <x:c r="K270" t="n">
        <x:v>15</x:v>
      </x:c>
      <x:c r="L270" t="n">
        <x:v>0</x:v>
      </x:c>
      <x:c r="M270" t="n">
        <x:v>2</x:v>
      </x:c>
      <x:c r="N270" t="n">
        <x:v>0</x:v>
      </x:c>
      <x:c r="O270" t="n">
        <x:v>0</x:v>
      </x:c>
      <x:c r="P270" t="n">
        <x:v>1</x:v>
      </x:c>
      <x:c r="Q270" t="n">
        <x:v>1</x:v>
      </x:c>
      <x:c r="R270" t="n">
        <x:v>0</x:v>
      </x:c>
      <x:c r="S270" t="n">
        <x:v>1</x:v>
      </x:c>
      <x:c r="T270" s="50" t="n">
        <x:f>IF(D270=0,"",H270/D270)</x:f>
        <x:v>0.0546875</x:v>
      </x:c>
      <x:c r="U270" t="n">
        <x:f>MAX(I270:S270)</x:f>
        <x:v>454</x:v>
      </x:c>
      <x:c r="V270" t="n">
        <x:f>H270-U270</x:f>
        <x:v>-419</x:v>
      </x:c>
      <x:c r="W270" s="52" t="n">
        <x:f>IF(D270=0,"",(V270)/D270)</x:f>
        <x:v>-0.6546875</x:v>
      </x:c>
      <x:c r="X270" t="str">
        <x:v>NARENDER KUMAR</x:v>
      </x:c>
      <x:c r="Y270" t="n">
        <x:f>D270-E270-F270</x:f>
        <x:v>0</x:v>
      </x:c>
    </x:row>
    <x:row r="271">
      <x:c r="A271" t="n">
        <x:v>263</x:v>
      </x:c>
      <x:c r="B271" t="str">
        <x:v>PRIMARY SCHOOL AMANULLAPUR URF MARHARA ROOM NO 1</x:v>
      </x:c>
      <x:c r="C271" t="n">
        <x:v>839</x:v>
      </x:c>
      <x:c r="D271" t="n">
        <x:v>559</x:v>
      </x:c>
      <x:c r="E271" t="n">
        <x:f>SUM(H271:S271)</x:f>
        <x:v>556</x:v>
      </x:c>
      <x:c r="F271" t="n">
        <x:v>3</x:v>
      </x:c>
      <x:c r="G271" s="50" t="n">
        <x:f>IF(C271="","",IFERROR(D271/C271,0))</x:f>
        <x:v>0.66626936829559</x:v>
      </x:c>
      <x:c r="H271" s="36" t="n">
        <x:v>39</x:v>
      </x:c>
      <x:c r="I271" t="n">
        <x:v>299</x:v>
      </x:c>
      <x:c r="J271" t="n">
        <x:v>212</x:v>
      </x:c>
      <x:c r="K271" t="n">
        <x:v>4</x:v>
      </x:c>
      <x:c r="L271" t="n">
        <x:v>0</x:v>
      </x:c>
      <x:c r="M271" t="n">
        <x:v>2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s="50" t="n">
        <x:f>IF(D271=0,"",H271/D271)</x:f>
        <x:v>0.06976744186046512</x:v>
      </x:c>
      <x:c r="U271" t="n">
        <x:f>MAX(I271:S271)</x:f>
        <x:v>299</x:v>
      </x:c>
      <x:c r="V271" t="n">
        <x:f>H271-U271</x:f>
        <x:v>-260</x:v>
      </x:c>
      <x:c r="W271" s="52" t="n">
        <x:f>IF(D271=0,"",(V271)/D271)</x:f>
        <x:v>-0.46511627906976744</x:v>
      </x:c>
      <x:c r="X271" t="str">
        <x:v>DHIRENDRA SINGH</x:v>
      </x:c>
      <x:c r="Y271" t="n">
        <x:f>D271-E271-F271</x:f>
        <x:v>0</x:v>
      </x:c>
    </x:row>
    <x:row r="272">
      <x:c r="A272" t="n">
        <x:v>264</x:v>
      </x:c>
      <x:c r="B272" t="str">
        <x:v>PRIMARY SCHOOL AMANULLAPUR URF MARHARA ROOM NO 2</x:v>
      </x:c>
      <x:c r="C272" t="n">
        <x:v>690</x:v>
      </x:c>
      <x:c r="D272" t="n">
        <x:v>427</x:v>
      </x:c>
      <x:c r="E272" t="n">
        <x:f>SUM(H272:S272)</x:f>
        <x:v>427</x:v>
      </x:c>
      <x:c r="F272" t="n">
        <x:v>0</x:v>
      </x:c>
      <x:c r="G272" s="50" t="n">
        <x:f>IF(C272="","",IFERROR(D272/C272,0))</x:f>
        <x:v>0.618840579710145</x:v>
      </x:c>
      <x:c r="H272" s="36" t="n">
        <x:v>24</x:v>
      </x:c>
      <x:c r="I272" t="n">
        <x:v>390</x:v>
      </x:c>
      <x:c r="J272" t="n">
        <x:v>10</x:v>
      </x:c>
      <x:c r="K272" t="n">
        <x:v>3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s="50" t="n">
        <x:f>IF(D272=0,"",H272/D272)</x:f>
        <x:v>0.05620608899297424</x:v>
      </x:c>
      <x:c r="U272" t="n">
        <x:f>MAX(I272:S272)</x:f>
        <x:v>390</x:v>
      </x:c>
      <x:c r="V272" t="n">
        <x:f>H272-U272</x:f>
        <x:v>-366</x:v>
      </x:c>
      <x:c r="W272" s="52" t="n">
        <x:f>IF(D272=0,"",(V272)/D272)</x:f>
        <x:v>-0.8571428571428571</x:v>
      </x:c>
      <x:c r="X272" t="str">
        <x:v>DHIRENDRA SINGH</x:v>
      </x:c>
      <x:c r="Y272" t="n">
        <x:f>D272-E272-F272</x:f>
        <x:v>0</x:v>
      </x:c>
    </x:row>
    <x:row r="273">
      <x:c r="A273" t="n">
        <x:v>265</x:v>
      </x:c>
      <x:c r="B273" t="str">
        <x:v>PRIMARY SCHOOL BHIKANPUR ROOM NO 1</x:v>
      </x:c>
      <x:c r="C273" t="n">
        <x:v>918</x:v>
      </x:c>
      <x:c r="D273" t="n">
        <x:v>612</x:v>
      </x:c>
      <x:c r="E273" t="n">
        <x:f>SUM(H273:S273)</x:f>
        <x:v>606</x:v>
      </x:c>
      <x:c r="F273" t="n">
        <x:v>6</x:v>
      </x:c>
      <x:c r="G273" s="50" t="n">
        <x:f>IF(C273="","",IFERROR(D273/C273,0))</x:f>
        <x:v>0.6666666666666666</x:v>
      </x:c>
      <x:c r="H273" s="36" t="n">
        <x:v>8</x:v>
      </x:c>
      <x:c r="I273" t="n">
        <x:v>281</x:v>
      </x:c>
      <x:c r="J273" t="n">
        <x:v>297</x:v>
      </x:c>
      <x:c r="K273" t="n">
        <x:v>4</x:v>
      </x:c>
      <x:c r="L273" t="n">
        <x:v>4</x:v>
      </x:c>
      <x:c r="M273" t="n">
        <x:v>1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7</x:v>
      </x:c>
      <x:c r="S273" t="n">
        <x:v>4</x:v>
      </x:c>
      <x:c r="T273" s="50" t="n">
        <x:f>IF(D273=0,"",H273/D273)</x:f>
        <x:v>0.013071895424836602</x:v>
      </x:c>
      <x:c r="U273" t="n">
        <x:f>MAX(I273:S273)</x:f>
        <x:v>297</x:v>
      </x:c>
      <x:c r="V273" t="n">
        <x:f>H273-U273</x:f>
        <x:v>-289</x:v>
      </x:c>
      <x:c r="W273" s="52" t="n">
        <x:f>IF(D273=0,"",(V273)/D273)</x:f>
        <x:v>-0.4722222222222222</x:v>
      </x:c>
      <x:c r="X273" t="str">
        <x:v>NARENDER KUMAR</x:v>
      </x:c>
      <x:c r="Y273" t="n">
        <x:f>D273-E273-F273</x:f>
        <x:v>0</x:v>
      </x:c>
    </x:row>
    <x:row r="274">
      <x:c r="A274" t="n">
        <x:v>266</x:v>
      </x:c>
      <x:c r="B274" t="str">
        <x:v>PRIMARY SCHOOL AKALPUR ROOM NO 1</x:v>
      </x:c>
      <x:c r="C274" t="n">
        <x:v>731</x:v>
      </x:c>
      <x:c r="D274" t="n">
        <x:v>470</x:v>
      </x:c>
      <x:c r="E274" t="n">
        <x:f>SUM(H274:S274)</x:f>
        <x:v>465</x:v>
      </x:c>
      <x:c r="F274" t="n">
        <x:v>5</x:v>
      </x:c>
      <x:c r="G274" s="50" t="n">
        <x:f>IF(C274="","",IFERROR(D274/C274,0))</x:f>
        <x:v>0.6429548563611491</x:v>
      </x:c>
      <x:c r="H274" s="36" t="n">
        <x:v>31</x:v>
      </x:c>
      <x:c r="I274" t="n">
        <x:v>420</x:v>
      </x:c>
      <x:c r="J274" t="n">
        <x:v>9</x:v>
      </x:c>
      <x:c r="K274" t="n">
        <x:v>0</x:v>
      </x:c>
      <x:c r="L274" t="n">
        <x:v>0</x:v>
      </x:c>
      <x:c r="M274" t="n">
        <x:v>0</x:v>
      </x:c>
      <x:c r="N274" t="n">
        <x:v>1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4</x:v>
      </x:c>
      <x:c r="T274" s="50" t="n">
        <x:f>IF(D274=0,"",H274/D274)</x:f>
        <x:v>0.06595744680851064</x:v>
      </x:c>
      <x:c r="U274" t="n">
        <x:f>MAX(I274:S274)</x:f>
        <x:v>420</x:v>
      </x:c>
      <x:c r="V274" t="n">
        <x:f>H274-U274</x:f>
        <x:v>-389</x:v>
      </x:c>
      <x:c r="W274" s="52" t="n">
        <x:f>IF(D274=0,"",(V274)/D274)</x:f>
        <x:v>-0.8276595744680851</x:v>
      </x:c>
      <x:c r="X274" t="str">
        <x:v>DHIRENDRA SINGH</x:v>
      </x:c>
      <x:c r="Y274" t="n">
        <x:f>D274-E274-F274</x:f>
        <x:v>0</x:v>
      </x:c>
    </x:row>
    <x:row r="275">
      <x:c r="A275" t="n">
        <x:v>267</x:v>
      </x:c>
      <x:c r="B275" t="str">
        <x:v>PRIMARY SCHOOL AKALPUR ROOM NO 2</x:v>
      </x:c>
      <x:c r="C275" t="n">
        <x:v>667</x:v>
      </x:c>
      <x:c r="D275" t="n">
        <x:v>420</x:v>
      </x:c>
      <x:c r="E275" t="n">
        <x:f>SUM(H275:S275)</x:f>
        <x:v>418</x:v>
      </x:c>
      <x:c r="F275" t="n">
        <x:v>2</x:v>
      </x:c>
      <x:c r="G275" s="50" t="n">
        <x:f>IF(C275="","",IFERROR(D275/C275,0))</x:f>
        <x:v>0.6296851574212894</x:v>
      </x:c>
      <x:c r="H275" s="36" t="n">
        <x:v>29</x:v>
      </x:c>
      <x:c r="I275" t="n">
        <x:v>301</x:v>
      </x:c>
      <x:c r="J275" t="n">
        <x:v>78</x:v>
      </x:c>
      <x:c r="K275" t="n">
        <x:v>2</x:v>
      </x:c>
      <x:c r="L275" t="n">
        <x:v>1</x:v>
      </x:c>
      <x:c r="M275" t="n">
        <x:v>0</x:v>
      </x:c>
      <x:c r="N275" t="n">
        <x:v>0</x:v>
      </x:c>
      <x:c r="O275" t="n">
        <x:v>2</x:v>
      </x:c>
      <x:c r="P275" t="n">
        <x:v>1</x:v>
      </x:c>
      <x:c r="Q275" t="n">
        <x:v>0</x:v>
      </x:c>
      <x:c r="R275" t="n">
        <x:v>0</x:v>
      </x:c>
      <x:c r="S275" t="n">
        <x:v>4</x:v>
      </x:c>
      <x:c r="T275" s="50" t="n">
        <x:f>IF(D275=0,"",H275/D275)</x:f>
        <x:v>0.06904761904761905</x:v>
      </x:c>
      <x:c r="U275" t="n">
        <x:f>MAX(I275:S275)</x:f>
        <x:v>301</x:v>
      </x:c>
      <x:c r="V275" t="n">
        <x:f>H275-U275</x:f>
        <x:v>-272</x:v>
      </x:c>
      <x:c r="W275" s="52" t="n">
        <x:f>IF(D275=0,"",(V275)/D275)</x:f>
        <x:v>-0.6476190476190476</x:v>
      </x:c>
      <x:c r="X275" t="str">
        <x:v>DHIRENDRA SINGH</x:v>
      </x:c>
      <x:c r="Y275" t="n">
        <x:f>D275-E275-F275</x:f>
        <x:v>0</x:v>
      </x:c>
    </x:row>
    <x:row r="276">
      <x:c r="A276" t="n">
        <x:v>268</x:v>
      </x:c>
      <x:c r="B276" t="str">
        <x:v>PRIMARY SCHOOL MUDRAH ROOM NO 1</x:v>
      </x:c>
      <x:c r="C276" t="n">
        <x:v>692</x:v>
      </x:c>
      <x:c r="D276" t="n">
        <x:v>346</x:v>
      </x:c>
      <x:c r="E276" t="n">
        <x:f>SUM(H276:S276)</x:f>
        <x:v>340</x:v>
      </x:c>
      <x:c r="F276" t="n">
        <x:v>6</x:v>
      </x:c>
      <x:c r="G276" s="50" t="n">
        <x:f>IF(C276="","",IFERROR(D276/C276,0))</x:f>
        <x:v>0.5</x:v>
      </x:c>
      <x:c r="H276" s="36" t="n">
        <x:v>112</x:v>
      </x:c>
      <x:c r="I276" t="n">
        <x:v>126</x:v>
      </x:c>
      <x:c r="J276" t="n">
        <x:v>83</x:v>
      </x:c>
      <x:c r="K276" t="n">
        <x:v>5</x:v>
      </x:c>
      <x:c r="L276" t="n">
        <x:v>0</x:v>
      </x:c>
      <x:c r="M276" t="n">
        <x:v>7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2</x:v>
      </x:c>
      <x:c r="S276" t="n">
        <x:v>5</x:v>
      </x:c>
      <x:c r="T276" s="50" t="n">
        <x:f>IF(D276=0,"",H276/D276)</x:f>
        <x:v>0.3236994219653179</x:v>
      </x:c>
      <x:c r="U276" t="n">
        <x:f>MAX(I276:S276)</x:f>
        <x:v>126</x:v>
      </x:c>
      <x:c r="V276" t="n">
        <x:f>H276-U276</x:f>
        <x:v>-14</x:v>
      </x:c>
      <x:c r="W276" s="52" t="n">
        <x:f>IF(D276=0,"",(V276)/D276)</x:f>
        <x:v>-0.04046242774566474</x:v>
      </x:c>
      <x:c r="X276" t="str">
        <x:v>DHIRENDRA SINGH</x:v>
      </x:c>
      <x:c r="Y276" t="n">
        <x:f>D276-E276-F276</x:f>
        <x:v>0</x:v>
      </x:c>
    </x:row>
    <x:row r="277">
      <x:c r="A277" t="n">
        <x:v>269</x:v>
      </x:c>
      <x:c r="B277" t="str">
        <x:v>PRIMARY SCHOOL MUDRAH ROOM NO 2</x:v>
      </x:c>
      <x:c r="C277" t="n">
        <x:v>1021</x:v>
      </x:c>
      <x:c r="D277" t="n">
        <x:v>607</x:v>
      </x:c>
      <x:c r="E277" t="n">
        <x:f>SUM(H277:S277)</x:f>
        <x:v>605</x:v>
      </x:c>
      <x:c r="F277" t="n">
        <x:v>2</x:v>
      </x:c>
      <x:c r="G277" s="50" t="n">
        <x:f>IF(C277="","",IFERROR(D277/C277,0))</x:f>
        <x:v>0.594515181194907</x:v>
      </x:c>
      <x:c r="H277" s="36" t="n">
        <x:v>49</x:v>
      </x:c>
      <x:c r="I277" t="n">
        <x:v>439</x:v>
      </x:c>
      <x:c r="J277" t="n">
        <x:v>112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1</x:v>
      </x:c>
      <x:c r="S277" t="n">
        <x:v>4</x:v>
      </x:c>
      <x:c r="T277" s="50" t="n">
        <x:f>IF(D277=0,"",H277/D277)</x:f>
        <x:v>0.08072487644151564</x:v>
      </x:c>
      <x:c r="U277" t="n">
        <x:f>MAX(I277:S277)</x:f>
        <x:v>439</x:v>
      </x:c>
      <x:c r="V277" t="n">
        <x:f>H277-U277</x:f>
        <x:v>-390</x:v>
      </x:c>
      <x:c r="W277" s="52" t="n">
        <x:f>IF(D277=0,"",(V277)/D277)</x:f>
        <x:v>-0.642504118616145</x:v>
      </x:c>
      <x:c r="X277" t="str">
        <x:v>DHIRENDRA SINGH</x:v>
      </x:c>
      <x:c r="Y277" t="n">
        <x:f>D277-E277-F277</x:f>
        <x:v>0</x:v>
      </x:c>
    </x:row>
    <x:row r="278">
      <x:c r="A278" t="n">
        <x:v>270</x:v>
      </x:c>
      <x:c r="B278" t="str">
        <x:v>PRIMARY SCHOOL ISMAILNAGAR AKA BHOYRA ROOM NO 1</x:v>
      </x:c>
      <x:c r="C278" t="n">
        <x:v>436</x:v>
      </x:c>
      <x:c r="D278" t="n">
        <x:v>309</x:v>
      </x:c>
      <x:c r="E278" t="n">
        <x:f>SUM(H278:S278)</x:f>
        <x:v>308</x:v>
      </x:c>
      <x:c r="F278" t="n">
        <x:v>1</x:v>
      </x:c>
      <x:c r="G278" s="50" t="n">
        <x:f>IF(C278="","",IFERROR(D278/C278,0))</x:f>
        <x:v>0.7087155963302753</x:v>
      </x:c>
      <x:c r="H278" s="36" t="n">
        <x:v>7</x:v>
      </x:c>
      <x:c r="I278" t="n">
        <x:v>294</x:v>
      </x:c>
      <x:c r="J278" t="n">
        <x:v>3</x:v>
      </x:c>
      <x:c r="K278" t="n">
        <x:v>0</x:v>
      </x:c>
      <x:c r="L278" t="n">
        <x:v>0</x:v>
      </x:c>
      <x:c r="M278" t="n">
        <x:v>2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2</x:v>
      </x:c>
      <x:c r="T278" s="50" t="n">
        <x:f>IF(D278=0,"",H278/D278)</x:f>
        <x:v>0.022653721682847898</x:v>
      </x:c>
      <x:c r="U278" t="n">
        <x:f>MAX(I278:S278)</x:f>
        <x:v>294</x:v>
      </x:c>
      <x:c r="V278" t="n">
        <x:f>H278-U278</x:f>
        <x:v>-287</x:v>
      </x:c>
      <x:c r="W278" s="52" t="n">
        <x:f>IF(D278=0,"",(V278)/D278)</x:f>
        <x:v>-0.9288025889967637</x:v>
      </x:c>
      <x:c r="X278" t="str">
        <x:v>DHIRENDRA SINGH</x:v>
      </x:c>
      <x:c r="Y278" t="n">
        <x:f>D278-E278-F278</x:f>
        <x:v>0</x:v>
      </x:c>
    </x:row>
    <x:row r="279">
      <x:c r="A279" t="n">
        <x:v>271</x:v>
      </x:c>
      <x:c r="B279" t="str">
        <x:v>PRIMARY SCHOOL KANPUR ROOM NO 1</x:v>
      </x:c>
      <x:c r="C279" t="n">
        <x:v>732</x:v>
      </x:c>
      <x:c r="D279" t="n">
        <x:v>522</x:v>
      </x:c>
      <x:c r="E279" t="n">
        <x:f>SUM(H279:S279)</x:f>
        <x:v>520</x:v>
      </x:c>
      <x:c r="F279" t="n">
        <x:v>2</x:v>
      </x:c>
      <x:c r="G279" s="50" t="n">
        <x:f>IF(C279="","",IFERROR(D279/C279,0))</x:f>
        <x:v>0.7131147540983607</x:v>
      </x:c>
      <x:c r="H279" s="36" t="n">
        <x:v>17</x:v>
      </x:c>
      <x:c r="I279" t="n">
        <x:v>486</x:v>
      </x:c>
      <x:c r="J279" t="n">
        <x:v>15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2</x:v>
      </x:c>
      <x:c r="T279" s="50" t="n">
        <x:f>IF(D279=0,"",H279/D279)</x:f>
        <x:v>0.032567049808429116</x:v>
      </x:c>
      <x:c r="U279" t="n">
        <x:f>MAX(I279:S279)</x:f>
        <x:v>486</x:v>
      </x:c>
      <x:c r="V279" t="n">
        <x:f>H279-U279</x:f>
        <x:v>-469</x:v>
      </x:c>
      <x:c r="W279" s="52" t="n">
        <x:f>IF(D279=0,"",(V279)/D279)</x:f>
        <x:v>-0.8984674329501916</x:v>
      </x:c>
      <x:c r="X279" t="str">
        <x:v>DHIRENDRA SINGH</x:v>
      </x:c>
      <x:c r="Y279" t="n">
        <x:f>D279-E279-F279</x:f>
        <x:v>0</x:v>
      </x:c>
    </x:row>
    <x:row r="280">
      <x:c r="A280" t="n">
        <x:v>272</x:v>
      </x:c>
      <x:c r="B280" t="str">
        <x:v>PRIMARY SCHOOL KANPUR ROOM NO 2</x:v>
      </x:c>
      <x:c r="C280" t="n">
        <x:v>624</x:v>
      </x:c>
      <x:c r="D280" t="n">
        <x:v>465</x:v>
      </x:c>
      <x:c r="E280" t="n">
        <x:f>SUM(H280:S280)</x:f>
        <x:v>462</x:v>
      </x:c>
      <x:c r="F280" t="n">
        <x:v>3</x:v>
      </x:c>
      <x:c r="G280" s="50" t="n">
        <x:f>IF(C280="","",IFERROR(D280/C280,0))</x:f>
        <x:v>0.7451923076923077</x:v>
      </x:c>
      <x:c r="H280" s="36" t="n">
        <x:v>9</x:v>
      </x:c>
      <x:c r="I280" t="n">
        <x:v>160</x:v>
      </x:c>
      <x:c r="J280" t="n">
        <x:v>283</x:v>
      </x:c>
      <x:c r="K280" t="n">
        <x:v>3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1</x:v>
      </x:c>
      <x:c r="R280" t="n">
        <x:v>3</x:v>
      </x:c>
      <x:c r="S280" t="n">
        <x:v>3</x:v>
      </x:c>
      <x:c r="T280" s="50" t="n">
        <x:f>IF(D280=0,"",H280/D280)</x:f>
        <x:v>0.01935483870967742</x:v>
      </x:c>
      <x:c r="U280" t="n">
        <x:f>MAX(I280:S280)</x:f>
        <x:v>283</x:v>
      </x:c>
      <x:c r="V280" t="n">
        <x:f>H280-U280</x:f>
        <x:v>-274</x:v>
      </x:c>
      <x:c r="W280" s="52" t="n">
        <x:f>IF(D280=0,"",(V280)/D280)</x:f>
        <x:v>-0.589247311827957</x:v>
      </x:c>
      <x:c r="X280" t="str">
        <x:v>NARENDER KUMAR</x:v>
      </x:c>
      <x:c r="Y280" t="n">
        <x:f>D280-E280-F280</x:f>
        <x:v>0</x:v>
      </x:c>
    </x:row>
    <x:row r="281">
      <x:c r="A281" t="n">
        <x:v>273</x:v>
      </x:c>
      <x:c r="B281" t="str">
        <x:v>PRIMARY SCHOOL NAGLA SHAHPUR ROOM NO 1</x:v>
      </x:c>
      <x:c r="C281" t="n">
        <x:v>864</x:v>
      </x:c>
      <x:c r="D281" t="n">
        <x:v>578</x:v>
      </x:c>
      <x:c r="E281" t="n">
        <x:f>SUM(H281:S281)</x:f>
        <x:v>576</x:v>
      </x:c>
      <x:c r="F281" t="n">
        <x:v>2</x:v>
      </x:c>
      <x:c r="G281" s="50" t="n">
        <x:f>IF(C281="","",IFERROR(D281/C281,0))</x:f>
        <x:v>0.6689814814814815</x:v>
      </x:c>
      <x:c r="H281" s="36" t="n">
        <x:v>32</x:v>
      </x:c>
      <x:c r="I281" t="n">
        <x:v>368</x:v>
      </x:c>
      <x:c r="J281" t="n">
        <x:v>167</x:v>
      </x:c>
      <x:c r="K281" t="n">
        <x:v>2</x:v>
      </x:c>
      <x:c r="L281" t="n">
        <x:v>0</x:v>
      </x:c>
      <x:c r="M281" t="n">
        <x:v>1</x:v>
      </x:c>
      <x:c r="N281" t="n">
        <x:v>0</x:v>
      </x:c>
      <x:c r="O281" t="n">
        <x:v>0</x:v>
      </x:c>
      <x:c r="P281" t="n">
        <x:v>1</x:v>
      </x:c>
      <x:c r="Q281" t="n">
        <x:v>0</x:v>
      </x:c>
      <x:c r="R281" t="n">
        <x:v>3</x:v>
      </x:c>
      <x:c r="S281" t="n">
        <x:v>2</x:v>
      </x:c>
      <x:c r="T281" s="50" t="n">
        <x:f>IF(D281=0,"",H281/D281)</x:f>
        <x:v>0.05536332179930796</x:v>
      </x:c>
      <x:c r="U281" t="n">
        <x:f>MAX(I281:S281)</x:f>
        <x:v>368</x:v>
      </x:c>
      <x:c r="V281" t="n">
        <x:f>H281-U281</x:f>
        <x:v>-336</x:v>
      </x:c>
      <x:c r="W281" s="52" t="n">
        <x:f>IF(D281=0,"",(V281)/D281)</x:f>
        <x:v>-0.5813148788927336</x:v>
      </x:c>
      <x:c r="X281" t="str">
        <x:v>DHIRENDRA SINGH</x:v>
      </x:c>
      <x:c r="Y281" t="n">
        <x:f>D281-E281-F281</x:f>
        <x:v>0</x:v>
      </x:c>
    </x:row>
    <x:row r="282">
      <x:c r="A282" t="n">
        <x:v>274</x:v>
      </x:c>
      <x:c r="B282" t="str">
        <x:v>PRIMARY SCHOOL BIRAMPUR ROOM NO 1</x:v>
      </x:c>
      <x:c r="C282" t="n">
        <x:v>925</x:v>
      </x:c>
      <x:c r="D282" t="n">
        <x:v>632</x:v>
      </x:c>
      <x:c r="E282" t="n">
        <x:f>SUM(H282:S282)</x:f>
        <x:v>627</x:v>
      </x:c>
      <x:c r="F282" t="n">
        <x:v>5</x:v>
      </x:c>
      <x:c r="G282" s="50" t="n">
        <x:f>IF(C282="","",IFERROR(D282/C282,0))</x:f>
        <x:v>0.6832432432432433</x:v>
      </x:c>
      <x:c r="H282" s="36" t="n">
        <x:v>86</x:v>
      </x:c>
      <x:c r="I282" t="n">
        <x:v>317</x:v>
      </x:c>
      <x:c r="J282" t="n">
        <x:v>212</x:v>
      </x:c>
      <x:c r="K282" t="n">
        <x:v>1</x:v>
      </x:c>
      <x:c r="L282" t="n">
        <x:v>4</x:v>
      </x:c>
      <x:c r="M282" t="n">
        <x:v>0</x:v>
      </x:c>
      <x:c r="N282" t="n">
        <x:v>0</x:v>
      </x:c>
      <x:c r="O282" t="n">
        <x:v>0</x:v>
      </x:c>
      <x:c r="P282" t="n">
        <x:v>1</x:v>
      </x:c>
      <x:c r="Q282" t="n">
        <x:v>1</x:v>
      </x:c>
      <x:c r="R282" t="n">
        <x:v>3</x:v>
      </x:c>
      <x:c r="S282" t="n">
        <x:v>2</x:v>
      </x:c>
      <x:c r="T282" s="50" t="n">
        <x:f>IF(D282=0,"",H282/D282)</x:f>
        <x:v>0.1360759493670886</x:v>
      </x:c>
      <x:c r="U282" t="n">
        <x:f>MAX(I282:S282)</x:f>
        <x:v>317</x:v>
      </x:c>
      <x:c r="V282" t="n">
        <x:f>H282-U282</x:f>
        <x:v>-231</x:v>
      </x:c>
      <x:c r="W282" s="52" t="n">
        <x:f>IF(D282=0,"",(V282)/D282)</x:f>
        <x:v>-0.36550632911392406</x:v>
      </x:c>
      <x:c r="X282" t="str">
        <x:v>DHIRENDRA SINGH</x:v>
      </x:c>
      <x:c r="Y282" t="n">
        <x:f>D282-E282-F282</x:f>
        <x:v>0</x:v>
      </x:c>
    </x:row>
    <x:row r="283">
      <x:c r="A283" t="n">
        <x:v>275</x:v>
      </x:c>
      <x:c r="B283" t="str">
        <x:v>PRIMARY SCHOOL BIRAMPUR ROOM NO 2</x:v>
      </x:c>
      <x:c r="C283" t="n">
        <x:v>756</x:v>
      </x:c>
      <x:c r="D283" t="n">
        <x:v>594</x:v>
      </x:c>
      <x:c r="E283" t="n">
        <x:f>SUM(H283:S283)</x:f>
        <x:v>590</x:v>
      </x:c>
      <x:c r="F283" t="n">
        <x:v>4</x:v>
      </x:c>
      <x:c r="G283" s="50" t="n">
        <x:f>IF(C283="","",IFERROR(D283/C283,0))</x:f>
        <x:v>0.7857142857142857</x:v>
      </x:c>
      <x:c r="H283" s="36" t="n">
        <x:v>32</x:v>
      </x:c>
      <x:c r="I283" t="n">
        <x:v>415</x:v>
      </x:c>
      <x:c r="J283" t="n">
        <x:v>136</x:v>
      </x:c>
      <x:c r="K283" t="n">
        <x:v>3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1</x:v>
      </x:c>
      <x:c r="Q283" t="n">
        <x:v>0</x:v>
      </x:c>
      <x:c r="R283" t="n">
        <x:v>2</x:v>
      </x:c>
      <x:c r="S283" t="n">
        <x:v>1</x:v>
      </x:c>
      <x:c r="T283" s="50" t="n">
        <x:f>IF(D283=0,"",H283/D283)</x:f>
        <x:v>0.05387205387205387</x:v>
      </x:c>
      <x:c r="U283" t="n">
        <x:f>MAX(I283:S283)</x:f>
        <x:v>415</x:v>
      </x:c>
      <x:c r="V283" t="n">
        <x:f>H283-U283</x:f>
        <x:v>-383</x:v>
      </x:c>
      <x:c r="W283" s="52" t="n">
        <x:f>IF(D283=0,"",(V283)/D283)</x:f>
        <x:v>-0.6447811447811448</x:v>
      </x:c>
      <x:c r="X283" t="str">
        <x:v>DHIRENDRA SINGH</x:v>
      </x:c>
      <x:c r="Y283" t="n">
        <x:f>D283-E283-F283</x:f>
        <x:v>0</x:v>
      </x:c>
    </x:row>
    <x:row r="284">
      <x:c r="A284" t="n">
        <x:v>276</x:v>
      </x:c>
      <x:c r="B284" t="str">
        <x:v>PRIMARY SCHOOL CHAKBIRAMPUR ROOM NO 1</x:v>
      </x:c>
      <x:c r="C284" t="n">
        <x:v>1092</x:v>
      </x:c>
      <x:c r="D284" t="n">
        <x:v>793</x:v>
      </x:c>
      <x:c r="E284" t="n">
        <x:f>SUM(H284:S284)</x:f>
        <x:v>790</x:v>
      </x:c>
      <x:c r="F284" t="n">
        <x:v>3</x:v>
      </x:c>
      <x:c r="G284" s="50" t="n">
        <x:f>IF(C284="","",IFERROR(D284/C284,0))</x:f>
        <x:v>0.7261904761904762</x:v>
      </x:c>
      <x:c r="H284" s="36" t="n">
        <x:v>162</x:v>
      </x:c>
      <x:c r="I284" t="n">
        <x:v>389</x:v>
      </x:c>
      <x:c r="J284" t="n">
        <x:v>225</x:v>
      </x:c>
      <x:c r="K284" t="n">
        <x:v>4</x:v>
      </x:c>
      <x:c r="L284" t="n">
        <x:v>0</x:v>
      </x:c>
      <x:c r="M284" t="n">
        <x:v>2</x:v>
      </x:c>
      <x:c r="N284" t="n">
        <x:v>0</x:v>
      </x:c>
      <x:c r="O284" t="n">
        <x:v>1</x:v>
      </x:c>
      <x:c r="P284" t="n">
        <x:v>0</x:v>
      </x:c>
      <x:c r="Q284" t="n">
        <x:v>0</x:v>
      </x:c>
      <x:c r="R284" t="n">
        <x:v>4</x:v>
      </x:c>
      <x:c r="S284" t="n">
        <x:v>3</x:v>
      </x:c>
      <x:c r="T284" s="50" t="n">
        <x:f>IF(D284=0,"",H284/D284)</x:f>
        <x:v>0.2042875157629256</x:v>
      </x:c>
      <x:c r="U284" t="n">
        <x:f>MAX(I284:S284)</x:f>
        <x:v>389</x:v>
      </x:c>
      <x:c r="V284" t="n">
        <x:f>H284-U284</x:f>
        <x:v>-227</x:v>
      </x:c>
      <x:c r="W284" s="52" t="n">
        <x:f>IF(D284=0,"",(V284)/D284)</x:f>
        <x:v>-0.2862547288776797</x:v>
      </x:c>
      <x:c r="X284" t="str">
        <x:v>DHIRENDRA SINGH</x:v>
      </x:c>
      <x:c r="Y284" t="n">
        <x:f>D284-E284-F284</x:f>
        <x:v>0</x:v>
      </x:c>
    </x:row>
    <x:row r="285">
      <x:c r="A285" t="n">
        <x:v>277</x:v>
      </x:c>
      <x:c r="B285" t="str">
        <x:v>PRIMARY SCHOOL MURADGARHI ROOM NO 1</x:v>
      </x:c>
      <x:c r="C285" t="n">
        <x:v>635</x:v>
      </x:c>
      <x:c r="D285" t="n">
        <x:v>464</x:v>
      </x:c>
      <x:c r="E285" t="n">
        <x:f>SUM(H285:S285)</x:f>
        <x:v>455</x:v>
      </x:c>
      <x:c r="F285" t="n">
        <x:v>9</x:v>
      </x:c>
      <x:c r="G285" s="50" t="n">
        <x:f>IF(C285="","",IFERROR(D285/C285,0))</x:f>
        <x:v>0.7307086614173228</x:v>
      </x:c>
      <x:c r="H285" s="36" t="n">
        <x:v>141</x:v>
      </x:c>
      <x:c r="I285" t="n">
        <x:v>305</x:v>
      </x:c>
      <x:c r="J285" t="n">
        <x:v>3</x:v>
      </x:c>
      <x:c r="K285" t="n">
        <x:v>0</x:v>
      </x:c>
      <x:c r="L285" t="n">
        <x:v>1</x:v>
      </x:c>
      <x:c r="M285" t="n">
        <x:v>0</x:v>
      </x:c>
      <x:c r="N285" t="n">
        <x:v>0</x:v>
      </x:c>
      <x:c r="O285" t="n">
        <x:v>0</x:v>
      </x:c>
      <x:c r="P285" t="n">
        <x:v>1</x:v>
      </x:c>
      <x:c r="Q285" t="n">
        <x:v>0</x:v>
      </x:c>
      <x:c r="R285" t="n">
        <x:v>0</x:v>
      </x:c>
      <x:c r="S285" t="n">
        <x:v>4</x:v>
      </x:c>
      <x:c r="T285" s="50" t="n">
        <x:f>IF(D285=0,"",H285/D285)</x:f>
        <x:v>0.30387931034482757</x:v>
      </x:c>
      <x:c r="U285" t="n">
        <x:f>MAX(I285:S285)</x:f>
        <x:v>305</x:v>
      </x:c>
      <x:c r="V285" t="n">
        <x:f>H285-U285</x:f>
        <x:v>-164</x:v>
      </x:c>
      <x:c r="W285" s="52" t="n">
        <x:f>IF(D285=0,"",(V285)/D285)</x:f>
        <x:v>-0.35344827586206895</x:v>
      </x:c>
      <x:c r="X285" t="str">
        <x:v>DHIRENDRA SINGH</x:v>
      </x:c>
      <x:c r="Y285" t="n">
        <x:f>D285-E285-F285</x:f>
        <x:v>0</x:v>
      </x:c>
    </x:row>
    <x:row r="286">
      <x:c r="A286" t="n">
        <x:v>278</x:v>
      </x:c>
      <x:c r="B286" t="str">
        <x:v>PRIMARY SCHOOL MURADGARHI ROOM NO 2</x:v>
      </x:c>
      <x:c r="C286" t="n">
        <x:v>612</x:v>
      </x:c>
      <x:c r="D286" t="n">
        <x:v>413</x:v>
      </x:c>
      <x:c r="E286" t="n">
        <x:f>SUM(H286:S286)</x:f>
        <x:v>409</x:v>
      </x:c>
      <x:c r="F286" t="n">
        <x:v>4</x:v>
      </x:c>
      <x:c r="G286" s="50" t="n">
        <x:f>IF(C286="","",IFERROR(D286/C286,0))</x:f>
        <x:v>0.6748366013071896</x:v>
      </x:c>
      <x:c r="H286" s="36" t="n">
        <x:v>40</x:v>
      </x:c>
      <x:c r="I286" t="n">
        <x:v>361</x:v>
      </x:c>
      <x:c r="J286" t="n">
        <x:v>2</x:v>
      </x:c>
      <x:c r="K286" t="n">
        <x:v>2</x:v>
      </x:c>
      <x:c r="L286" t="n">
        <x:v>0</x:v>
      </x:c>
      <x:c r="M286" t="n">
        <x:v>1</x:v>
      </x:c>
      <x:c r="N286" t="n">
        <x:v>0</x:v>
      </x:c>
      <x:c r="O286" t="n">
        <x:v>0</x:v>
      </x:c>
      <x:c r="P286" t="n">
        <x:v>0</x:v>
      </x:c>
      <x:c r="Q286" t="n">
        <x:v>1</x:v>
      </x:c>
      <x:c r="R286" t="n">
        <x:v>1</x:v>
      </x:c>
      <x:c r="S286" t="n">
        <x:v>1</x:v>
      </x:c>
      <x:c r="T286" s="50" t="n">
        <x:f>IF(D286=0,"",H286/D286)</x:f>
        <x:v>0.09685230024213075</x:v>
      </x:c>
      <x:c r="U286" t="n">
        <x:f>MAX(I286:S286)</x:f>
        <x:v>361</x:v>
      </x:c>
      <x:c r="V286" t="n">
        <x:f>H286-U286</x:f>
        <x:v>-321</x:v>
      </x:c>
      <x:c r="W286" s="52" t="n">
        <x:f>IF(D286=0,"",(V286)/D286)</x:f>
        <x:v>-0.7772397094430993</x:v>
      </x:c>
      <x:c r="X286" t="str">
        <x:v>DHIRENDRA SINGH</x:v>
      </x:c>
      <x:c r="Y286" t="n">
        <x:f>D286-E286-F286</x:f>
        <x:v>0</x:v>
      </x:c>
    </x:row>
    <x:row r="287">
      <x:c r="A287" t="n">
        <x:v>279</x:v>
      </x:c>
      <x:c r="B287" t="str">
        <x:v>PRIMARY SCHOOL NAGLA BHATOUNA MAJRA KARAULI BANGAR ROOM NO 1</x:v>
      </x:c>
      <x:c r="C287" t="n">
        <x:v>731</x:v>
      </x:c>
      <x:c r="D287" t="n">
        <x:v>575</x:v>
      </x:c>
      <x:c r="E287" t="n">
        <x:f>SUM(H287:S287)</x:f>
        <x:v>571</x:v>
      </x:c>
      <x:c r="F287" t="n">
        <x:v>4</x:v>
      </x:c>
      <x:c r="G287" s="50" t="n">
        <x:f>IF(C287="","",IFERROR(D287/C287,0))</x:f>
        <x:v>0.786593707250342</x:v>
      </x:c>
      <x:c r="H287" s="36" t="n">
        <x:v>69</x:v>
      </x:c>
      <x:c r="I287" t="n">
        <x:v>411</x:v>
      </x:c>
      <x:c r="J287" t="n">
        <x:v>20</x:v>
      </x:c>
      <x:c r="K287" t="n">
        <x:v>3</x:v>
      </x:c>
      <x:c r="L287" t="n">
        <x:v>1</x:v>
      </x:c>
      <x:c r="M287" t="n">
        <x:v>60</x:v>
      </x:c>
      <x:c r="N287" t="n">
        <x:v>0</x:v>
      </x:c>
      <x:c r="O287" t="n">
        <x:v>1</x:v>
      </x:c>
      <x:c r="P287" t="n">
        <x:v>0</x:v>
      </x:c>
      <x:c r="Q287" t="n">
        <x:v>1</x:v>
      </x:c>
      <x:c r="R287" t="n">
        <x:v>2</x:v>
      </x:c>
      <x:c r="S287" t="n">
        <x:v>3</x:v>
      </x:c>
      <x:c r="T287" s="50" t="n">
        <x:f>IF(D287=0,"",H287/D287)</x:f>
        <x:v>0.12</x:v>
      </x:c>
      <x:c r="U287" t="n">
        <x:f>MAX(I287:S287)</x:f>
        <x:v>411</x:v>
      </x:c>
      <x:c r="V287" t="n">
        <x:f>H287-U287</x:f>
        <x:v>-342</x:v>
      </x:c>
      <x:c r="W287" s="52" t="n">
        <x:f>IF(D287=0,"",(V287)/D287)</x:f>
        <x:v>-0.5947826086956521</x:v>
      </x:c>
      <x:c r="X287" t="str">
        <x:v>DHIRENDRA SINGH</x:v>
      </x:c>
      <x:c r="Y287" t="n">
        <x:f>D287-E287-F287</x:f>
        <x:v>0</x:v>
      </x:c>
    </x:row>
    <x:row r="288">
      <x:c r="A288" t="n">
        <x:v>280</x:v>
      </x:c>
      <x:c r="B288" t="str">
        <x:v>PRIMARY SCHOOL NAGLA HUKAM SINGH MAJRA KARAULI ROOM NO 1</x:v>
      </x:c>
      <x:c r="C288" t="n">
        <x:v>1146</x:v>
      </x:c>
      <x:c r="D288" t="n">
        <x:v>664</x:v>
      </x:c>
      <x:c r="E288" t="n">
        <x:f>SUM(H288:S288)</x:f>
        <x:v>662</x:v>
      </x:c>
      <x:c r="F288" t="n">
        <x:v>2</x:v>
      </x:c>
      <x:c r="G288" s="50" t="n">
        <x:f>IF(C288="","",IFERROR(D288/C288,0))</x:f>
        <x:v>0.5794066317626527</x:v>
      </x:c>
      <x:c r="H288" s="36" t="n">
        <x:v>148</x:v>
      </x:c>
      <x:c r="I288" t="n">
        <x:v>435</x:v>
      </x:c>
      <x:c r="J288" t="n">
        <x:v>69</x:v>
      </x:c>
      <x:c r="K288" t="n">
        <x:v>5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3</x:v>
      </x:c>
      <x:c r="S288" t="n">
        <x:v>2</x:v>
      </x:c>
      <x:c r="T288" s="50" t="n">
        <x:f>IF(D288=0,"",H288/D288)</x:f>
        <x:v>0.22289156626506024</x:v>
      </x:c>
      <x:c r="U288" t="n">
        <x:f>MAX(I288:S288)</x:f>
        <x:v>435</x:v>
      </x:c>
      <x:c r="V288" t="n">
        <x:f>H288-U288</x:f>
        <x:v>-287</x:v>
      </x:c>
      <x:c r="W288" s="52" t="n">
        <x:f>IF(D288=0,"",(V288)/D288)</x:f>
        <x:v>-0.4322289156626506</x:v>
      </x:c>
      <x:c r="X288" t="str">
        <x:v>DHIRENDRA SINGH</x:v>
      </x:c>
      <x:c r="Y288" t="n">
        <x:f>D288-E288-F288</x:f>
        <x:v>0</x:v>
      </x:c>
    </x:row>
    <x:row r="289">
      <x:c r="A289" t="n">
        <x:v>281</x:v>
      </x:c>
      <x:c r="B289" t="str">
        <x:v>PRIMARY SCHOOL NAGLA HUKAM SINGH MAJRA KARAULI ROOM NO 2</x:v>
      </x:c>
      <x:c r="C289" t="n">
        <x:v>711</x:v>
      </x:c>
      <x:c r="D289" t="n">
        <x:v>525</x:v>
      </x:c>
      <x:c r="E289" t="n">
        <x:f>SUM(H289:S289)</x:f>
        <x:v>521</x:v>
      </x:c>
      <x:c r="F289" t="n">
        <x:v>4</x:v>
      </x:c>
      <x:c r="G289" s="50" t="n">
        <x:f>IF(C289="","",IFERROR(D289/C289,0))</x:f>
        <x:v>0.7383966244725738</x:v>
      </x:c>
      <x:c r="H289" s="36" t="n">
        <x:v>23</x:v>
      </x:c>
      <x:c r="I289" t="n">
        <x:v>115</x:v>
      </x:c>
      <x:c r="J289" t="n">
        <x:v>358</x:v>
      </x:c>
      <x:c r="K289" t="n">
        <x:v>9</x:v>
      </x:c>
      <x:c r="L289" t="n">
        <x:v>0</x:v>
      </x:c>
      <x:c r="M289" t="n">
        <x:v>1</x:v>
      </x:c>
      <x:c r="N289" t="n">
        <x:v>0</x:v>
      </x:c>
      <x:c r="O289" t="n">
        <x:v>1</x:v>
      </x:c>
      <x:c r="P289" t="n">
        <x:v>1</x:v>
      </x:c>
      <x:c r="Q289" t="n">
        <x:v>0</x:v>
      </x:c>
      <x:c r="R289" t="n">
        <x:v>8</x:v>
      </x:c>
      <x:c r="S289" t="n">
        <x:v>5</x:v>
      </x:c>
      <x:c r="T289" s="50" t="n">
        <x:f>IF(D289=0,"",H289/D289)</x:f>
        <x:v>0.04380952380952381</x:v>
      </x:c>
      <x:c r="U289" t="n">
        <x:f>MAX(I289:S289)</x:f>
        <x:v>358</x:v>
      </x:c>
      <x:c r="V289" t="n">
        <x:f>H289-U289</x:f>
        <x:v>-335</x:v>
      </x:c>
      <x:c r="W289" s="52" t="n">
        <x:f>IF(D289=0,"",(V289)/D289)</x:f>
        <x:v>-0.638095238095238</x:v>
      </x:c>
      <x:c r="X289" t="str">
        <x:v>NARENDER KUMAR</x:v>
      </x:c>
      <x:c r="Y289" t="n">
        <x:f>D289-E289-F289</x:f>
        <x:v>0</x:v>
      </x:c>
    </x:row>
    <x:row r="290">
      <x:c r="A290" t="n">
        <x:v>282</x:v>
      </x:c>
      <x:c r="B290" t="str">
        <x:v>PRIMARY SCHOOL NAGLA KANCHAN MAJRA KARAULI BANGAR ROOM NO 1</x:v>
      </x:c>
      <x:c r="C290" t="n">
        <x:v>924</x:v>
      </x:c>
      <x:c r="D290" t="n">
        <x:v>702</x:v>
      </x:c>
      <x:c r="E290" t="n">
        <x:f>SUM(H290:S290)</x:f>
        <x:v>698</x:v>
      </x:c>
      <x:c r="F290" t="n">
        <x:v>4</x:v>
      </x:c>
      <x:c r="G290" s="50" t="n">
        <x:f>IF(C290="","",IFERROR(D290/C290,0))</x:f>
        <x:v>0.7597402597402597</x:v>
      </x:c>
      <x:c r="H290" s="36" t="n">
        <x:v>49</x:v>
      </x:c>
      <x:c r="I290" t="n">
        <x:v>542</x:v>
      </x:c>
      <x:c r="J290" t="n">
        <x:v>95</x:v>
      </x:c>
      <x:c r="K290" t="n">
        <x:v>5</x:v>
      </x:c>
      <x:c r="L290" t="n">
        <x:v>2</x:v>
      </x:c>
      <x:c r="M290" t="n">
        <x:v>2</x:v>
      </x:c>
      <x:c r="N290" t="n">
        <x:v>0</x:v>
      </x:c>
      <x:c r="O290" t="n">
        <x:v>1</x:v>
      </x:c>
      <x:c r="P290" t="n">
        <x:v>0</x:v>
      </x:c>
      <x:c r="Q290" t="n">
        <x:v>0</x:v>
      </x:c>
      <x:c r="R290" t="n">
        <x:v>0</x:v>
      </x:c>
      <x:c r="S290" t="n">
        <x:v>2</x:v>
      </x:c>
      <x:c r="T290" s="50" t="n">
        <x:f>IF(D290=0,"",H290/D290)</x:f>
        <x:v>0.0698005698005698</x:v>
      </x:c>
      <x:c r="U290" t="n">
        <x:f>MAX(I290:S290)</x:f>
        <x:v>542</x:v>
      </x:c>
      <x:c r="V290" t="n">
        <x:f>H290-U290</x:f>
        <x:v>-493</x:v>
      </x:c>
      <x:c r="W290" s="52" t="n">
        <x:f>IF(D290=0,"",(V290)/D290)</x:f>
        <x:v>-0.7022792022792023</x:v>
      </x:c>
      <x:c r="X290" t="str">
        <x:v>DHIRENDRA SINGH</x:v>
      </x:c>
      <x:c r="Y290" t="n">
        <x:f>D290-E290-F290</x:f>
        <x:v>0</x:v>
      </x:c>
    </x:row>
    <x:row r="291">
      <x:c r="A291" t="n">
        <x:v>283</x:v>
      </x:c>
      <x:c r="B291" t="str">
        <x:v>PRIMARY SCHOOL NAGLA CHANDAN MAJRA KARAULI ROOM NO 1</x:v>
      </x:c>
      <x:c r="C291" t="n">
        <x:v>639</x:v>
      </x:c>
      <x:c r="D291" t="n">
        <x:v>508</x:v>
      </x:c>
      <x:c r="E291" t="n">
        <x:f>SUM(H291:S291)</x:f>
        <x:v>505</x:v>
      </x:c>
      <x:c r="F291" t="n">
        <x:v>3</x:v>
      </x:c>
      <x:c r="G291" s="50" t="n">
        <x:f>IF(C291="","",IFERROR(D291/C291,0))</x:f>
        <x:v>0.7949921752738655</x:v>
      </x:c>
      <x:c r="H291" s="36" t="n">
        <x:v>21</x:v>
      </x:c>
      <x:c r="I291" t="n">
        <x:v>413</x:v>
      </x:c>
      <x:c r="J291" t="n">
        <x:v>57</x:v>
      </x:c>
      <x:c r="K291" t="n">
        <x:v>2</x:v>
      </x:c>
      <x:c r="L291" t="n">
        <x:v>2</x:v>
      </x:c>
      <x:c r="M291" t="n">
        <x:v>2</x:v>
      </x:c>
      <x:c r="N291" t="n">
        <x:v>0</x:v>
      </x:c>
      <x:c r="O291" t="n">
        <x:v>1</x:v>
      </x:c>
      <x:c r="P291" t="n">
        <x:v>0</x:v>
      </x:c>
      <x:c r="Q291" t="n">
        <x:v>1</x:v>
      </x:c>
      <x:c r="R291" t="n">
        <x:v>3</x:v>
      </x:c>
      <x:c r="S291" t="n">
        <x:v>3</x:v>
      </x:c>
      <x:c r="T291" s="50" t="n">
        <x:f>IF(D291=0,"",H291/D291)</x:f>
        <x:v>0.04133858267716536</x:v>
      </x:c>
      <x:c r="U291" t="n">
        <x:f>MAX(I291:S291)</x:f>
        <x:v>413</x:v>
      </x:c>
      <x:c r="V291" t="n">
        <x:f>H291-U291</x:f>
        <x:v>-392</x:v>
      </x:c>
      <x:c r="W291" s="52" t="n">
        <x:f>IF(D291=0,"",(V291)/D291)</x:f>
        <x:v>-0.7716535433070866</x:v>
      </x:c>
      <x:c r="X291" t="str">
        <x:v>DHIRENDRA SINGH</x:v>
      </x:c>
      <x:c r="Y291" t="n">
        <x:f>D291-E291-F291</x:f>
        <x:v>0</x:v>
      </x:c>
    </x:row>
    <x:row r="292">
      <x:c r="A292" t="n">
        <x:v>284</x:v>
      </x:c>
      <x:c r="B292" t="str">
        <x:v>JUNIOR HIGH SCHOOL FALAIDA BANGAR ROOM NO 1</x:v>
      </x:c>
      <x:c r="C292" t="n">
        <x:v>1030</x:v>
      </x:c>
      <x:c r="D292" t="n">
        <x:v>796</x:v>
      </x:c>
      <x:c r="E292" t="n">
        <x:f>SUM(H292:S292)</x:f>
        <x:v>790</x:v>
      </x:c>
      <x:c r="F292" t="n">
        <x:v>6</x:v>
      </x:c>
      <x:c r="G292" s="50" t="n">
        <x:f>IF(C292="","",IFERROR(D292/C292,0))</x:f>
        <x:v>0.7728155339805826</x:v>
      </x:c>
      <x:c r="H292" s="36" t="n">
        <x:v>17</x:v>
      </x:c>
      <x:c r="I292" t="n">
        <x:v>321</x:v>
      </x:c>
      <x:c r="J292" t="n">
        <x:v>440</x:v>
      </x:c>
      <x:c r="K292" t="n">
        <x:v>1</x:v>
      </x:c>
      <x:c r="L292" t="n">
        <x:v>3</x:v>
      </x:c>
      <x:c r="M292" t="n">
        <x:v>3</x:v>
      </x:c>
      <x:c r="N292" t="n">
        <x:v>0</x:v>
      </x:c>
      <x:c r="O292" t="n">
        <x:v>0</x:v>
      </x:c>
      <x:c r="P292" t="n">
        <x:v>0</x:v>
      </x:c>
      <x:c r="Q292" t="n">
        <x:v>1</x:v>
      </x:c>
      <x:c r="R292" t="n">
        <x:v>0</x:v>
      </x:c>
      <x:c r="S292" t="n">
        <x:v>4</x:v>
      </x:c>
      <x:c r="T292" s="50" t="n">
        <x:f>IF(D292=0,"",H292/D292)</x:f>
        <x:v>0.02135678391959799</x:v>
      </x:c>
      <x:c r="U292" t="n">
        <x:f>MAX(I292:S292)</x:f>
        <x:v>440</x:v>
      </x:c>
      <x:c r="V292" t="n">
        <x:f>H292-U292</x:f>
        <x:v>-423</x:v>
      </x:c>
      <x:c r="W292" s="52" t="n">
        <x:f>IF(D292=0,"",(V292)/D292)</x:f>
        <x:v>-0.5314070351758794</x:v>
      </x:c>
      <x:c r="X292" t="str">
        <x:v>NARENDER KUMAR</x:v>
      </x:c>
      <x:c r="Y292" t="n">
        <x:f>D292-E292-F292</x:f>
        <x:v>0</x:v>
      </x:c>
    </x:row>
    <x:row r="293">
      <x:c r="A293" t="n">
        <x:v>285</x:v>
      </x:c>
      <x:c r="B293" t="str">
        <x:v>JUNIOR HIGH SCHOOL FALAIDA BANGAR ROOM NO 2</x:v>
      </x:c>
      <x:c r="C293" t="n">
        <x:v>820</x:v>
      </x:c>
      <x:c r="D293" t="n">
        <x:v>671</x:v>
      </x:c>
      <x:c r="E293" t="n">
        <x:f>SUM(H293:S293)</x:f>
        <x:v>667</x:v>
      </x:c>
      <x:c r="F293" t="n">
        <x:v>4</x:v>
      </x:c>
      <x:c r="G293" s="50" t="n">
        <x:f>IF(C293="","",IFERROR(D293/C293,0))</x:f>
        <x:v>0.8182926829268292</x:v>
      </x:c>
      <x:c r="H293" s="36" t="n">
        <x:v>14</x:v>
      </x:c>
      <x:c r="I293" t="n">
        <x:v>630</x:v>
      </x:c>
      <x:c r="J293" t="n">
        <x:v>22</x:v>
      </x:c>
      <x:c r="K293" t="n">
        <x:v>1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s="50" t="n">
        <x:f>IF(D293=0,"",H293/D293)</x:f>
        <x:v>0.020864381520119227</x:v>
      </x:c>
      <x:c r="U293" t="n">
        <x:f>MAX(I293:S293)</x:f>
        <x:v>630</x:v>
      </x:c>
      <x:c r="V293" t="n">
        <x:f>H293-U293</x:f>
        <x:v>-616</x:v>
      </x:c>
      <x:c r="W293" s="52" t="n">
        <x:f>IF(D293=0,"",(V293)/D293)</x:f>
        <x:v>-0.9180327868852459</x:v>
      </x:c>
      <x:c r="X293" t="str">
        <x:v>DHIRENDRA SINGH</x:v>
      </x:c>
      <x:c r="Y293" t="n">
        <x:f>D293-E293-F293</x:f>
        <x:v>0</x:v>
      </x:c>
    </x:row>
    <x:row r="294">
      <x:c r="A294" t="n">
        <x:v>286</x:v>
      </x:c>
      <x:c r="B294" t="str">
        <x:v>JUNIOR HIGH SCHOOL FALAIDA BANGAR ROOM NO 3</x:v>
      </x:c>
      <x:c r="C294" t="n">
        <x:v>1136</x:v>
      </x:c>
      <x:c r="D294" t="n">
        <x:v>790</x:v>
      </x:c>
      <x:c r="E294" t="n">
        <x:f>SUM(H294:S294)</x:f>
        <x:v>786</x:v>
      </x:c>
      <x:c r="F294" t="n">
        <x:v>4</x:v>
      </x:c>
      <x:c r="G294" s="50" t="n">
        <x:f>IF(C294="","",IFERROR(D294/C294,0))</x:f>
        <x:v>0.6954225352112676</x:v>
      </x:c>
      <x:c r="H294" s="36" t="n">
        <x:v>54</x:v>
      </x:c>
      <x:c r="I294" t="n">
        <x:v>536</x:v>
      </x:c>
      <x:c r="J294" t="n">
        <x:v>186</x:v>
      </x:c>
      <x:c r="K294" t="n">
        <x:v>2</x:v>
      </x:c>
      <x:c r="L294" t="n">
        <x:v>0</x:v>
      </x:c>
      <x:c r="M294" t="n">
        <x:v>3</x:v>
      </x:c>
      <x:c r="N294" t="n">
        <x:v>0</x:v>
      </x:c>
      <x:c r="O294" t="n">
        <x:v>0</x:v>
      </x:c>
      <x:c r="P294" t="n">
        <x:v>1</x:v>
      </x:c>
      <x:c r="Q294" t="n">
        <x:v>1</x:v>
      </x:c>
      <x:c r="R294" t="n">
        <x:v>2</x:v>
      </x:c>
      <x:c r="S294" t="n">
        <x:v>1</x:v>
      </x:c>
      <x:c r="T294" s="50" t="n">
        <x:f>IF(D294=0,"",H294/D294)</x:f>
        <x:v>0.06835443037974684</x:v>
      </x:c>
      <x:c r="U294" t="n">
        <x:f>MAX(I294:S294)</x:f>
        <x:v>536</x:v>
      </x:c>
      <x:c r="V294" t="n">
        <x:f>H294-U294</x:f>
        <x:v>-482</x:v>
      </x:c>
      <x:c r="W294" s="52" t="n">
        <x:f>IF(D294=0,"",(V294)/D294)</x:f>
        <x:v>-0.610126582278481</x:v>
      </x:c>
      <x:c r="X294" t="str">
        <x:v>DHIRENDRA SINGH</x:v>
      </x:c>
      <x:c r="Y294" t="n">
        <x:f>D294-E294-F294</x:f>
        <x:v>0</x:v>
      </x:c>
    </x:row>
    <x:row r="295">
      <x:c r="A295" t="n">
        <x:v>287</x:v>
      </x:c>
      <x:c r="B295" t="str">
        <x:v>JUNIOR HIGH SCHOOL FALAIDA BANGAR ROOM NO 4</x:v>
      </x:c>
      <x:c r="C295" t="n">
        <x:v>831</x:v>
      </x:c>
      <x:c r="D295" t="n">
        <x:v>644</x:v>
      </x:c>
      <x:c r="E295" t="n">
        <x:f>SUM(H295:S295)</x:f>
        <x:v>641</x:v>
      </x:c>
      <x:c r="F295" t="n">
        <x:v>3</x:v>
      </x:c>
      <x:c r="G295" s="50" t="n">
        <x:f>IF(C295="","",IFERROR(D295/C295,0))</x:f>
        <x:v>0.7749699157641395</x:v>
      </x:c>
      <x:c r="H295" s="36" t="n">
        <x:v>23</x:v>
      </x:c>
      <x:c r="I295" t="n">
        <x:v>605</x:v>
      </x:c>
      <x:c r="J295" t="n">
        <x:v>4</x:v>
      </x:c>
      <x:c r="K295" t="n">
        <x:v>1</x:v>
      </x:c>
      <x:c r="L295" t="n">
        <x:v>0</x:v>
      </x:c>
      <x:c r="M295" t="n">
        <x:v>1</x:v>
      </x:c>
      <x:c r="N295" t="n">
        <x:v>1</x:v>
      </x:c>
      <x:c r="O295" t="n">
        <x:v>1</x:v>
      </x:c>
      <x:c r="P295" t="n">
        <x:v>0</x:v>
      </x:c>
      <x:c r="Q295" t="n">
        <x:v>0</x:v>
      </x:c>
      <x:c r="R295" t="n">
        <x:v>1</x:v>
      </x:c>
      <x:c r="S295" t="n">
        <x:v>4</x:v>
      </x:c>
      <x:c r="T295" s="50" t="n">
        <x:f>IF(D295=0,"",H295/D295)</x:f>
        <x:v>0.03571428571428571</x:v>
      </x:c>
      <x:c r="U295" t="n">
        <x:f>MAX(I295:S295)</x:f>
        <x:v>605</x:v>
      </x:c>
      <x:c r="V295" t="n">
        <x:f>H295-U295</x:f>
        <x:v>-582</x:v>
      </x:c>
      <x:c r="W295" s="52" t="n">
        <x:f>IF(D295=0,"",(V295)/D295)</x:f>
        <x:v>-0.9037267080745341</x:v>
      </x:c>
      <x:c r="X295" t="str">
        <x:v>DHIRENDRA SINGH</x:v>
      </x:c>
      <x:c r="Y295" t="n">
        <x:f>D295-E295-F295</x:f>
        <x:v>0</x:v>
      </x:c>
    </x:row>
    <x:row r="296">
      <x:c r="A296" t="n">
        <x:v>288</x:v>
      </x:c>
      <x:c r="B296" t="str">
        <x:v>JUNIOR HIGH SCHOOL FALAIDA BANGAR ROOM NO 5</x:v>
      </x:c>
      <x:c r="C296" t="n">
        <x:v>1114</x:v>
      </x:c>
      <x:c r="D296" t="n">
        <x:v>792</x:v>
      </x:c>
      <x:c r="E296" t="n">
        <x:f>SUM(H296:S296)</x:f>
        <x:v>788</x:v>
      </x:c>
      <x:c r="F296" t="n">
        <x:v>4</x:v>
      </x:c>
      <x:c r="G296" s="50" t="n">
        <x:f>IF(C296="","",IFERROR(D296/C296,0))</x:f>
        <x:v>0.7109515260323159</x:v>
      </x:c>
      <x:c r="H296" s="36" t="n">
        <x:v>45</x:v>
      </x:c>
      <x:c r="I296" t="n">
        <x:v>713</x:v>
      </x:c>
      <x:c r="J296" t="n">
        <x:v>24</x:v>
      </x:c>
      <x:c r="K296" t="n">
        <x:v>0</x:v>
      </x:c>
      <x:c r="L296" t="n">
        <x:v>2</x:v>
      </x:c>
      <x:c r="M296" t="n">
        <x:v>1</x:v>
      </x:c>
      <x:c r="N296" t="n">
        <x:v>1</x:v>
      </x:c>
      <x:c r="O296" t="n">
        <x:v>0</x:v>
      </x:c>
      <x:c r="P296" t="n">
        <x:v>0</x:v>
      </x:c>
      <x:c r="Q296" t="n">
        <x:v>1</x:v>
      </x:c>
      <x:c r="R296" t="n">
        <x:v>0</x:v>
      </x:c>
      <x:c r="S296" t="n">
        <x:v>1</x:v>
      </x:c>
      <x:c r="T296" s="50" t="n">
        <x:f>IF(D296=0,"",H296/D296)</x:f>
        <x:v>0.056818181818181816</x:v>
      </x:c>
      <x:c r="U296" t="n">
        <x:f>MAX(I296:S296)</x:f>
        <x:v>713</x:v>
      </x:c>
      <x:c r="V296" t="n">
        <x:f>H296-U296</x:f>
        <x:v>-668</x:v>
      </x:c>
      <x:c r="W296" s="52" t="n">
        <x:f>IF(D296=0,"",(V296)/D296)</x:f>
        <x:v>-0.8434343434343434</x:v>
      </x:c>
      <x:c r="X296" t="str">
        <x:v>DHIRENDRA SINGH</x:v>
      </x:c>
      <x:c r="Y296" t="n">
        <x:f>D296-E296-F296</x:f>
        <x:v>0</x:v>
      </x:c>
    </x:row>
    <x:row r="297">
      <x:c r="A297" t="n">
        <x:v>289</x:v>
      </x:c>
      <x:c r="B297" t="str">
        <x:v>PRIMARY SCHOOL NAGLA HANDA MAJRA KURAIB ROOM NO 1</x:v>
      </x:c>
      <x:c r="C297" t="n">
        <x:v>720</x:v>
      </x:c>
      <x:c r="D297" t="n">
        <x:v>518</x:v>
      </x:c>
      <x:c r="E297" t="n">
        <x:f>SUM(H297:S297)</x:f>
        <x:v>511</x:v>
      </x:c>
      <x:c r="F297" t="n">
        <x:v>7</x:v>
      </x:c>
      <x:c r="G297" s="50" t="n">
        <x:f>IF(C297="","",IFERROR(D297/C297,0))</x:f>
        <x:v>0.7194444444444444</x:v>
      </x:c>
      <x:c r="H297" s="36" t="n">
        <x:v>195</x:v>
      </x:c>
      <x:c r="I297" t="n">
        <x:v>259</x:v>
      </x:c>
      <x:c r="J297" t="n">
        <x:v>35</x:v>
      </x:c>
      <x:c r="K297" t="n">
        <x:v>5</x:v>
      </x:c>
      <x:c r="L297" t="n">
        <x:v>1</x:v>
      </x:c>
      <x:c r="M297" t="n">
        <x:v>1</x:v>
      </x:c>
      <x:c r="N297" t="n">
        <x:v>0</x:v>
      </x:c>
      <x:c r="O297" t="n">
        <x:v>3</x:v>
      </x:c>
      <x:c r="P297" t="n">
        <x:v>3</x:v>
      </x:c>
      <x:c r="Q297" t="n">
        <x:v>2</x:v>
      </x:c>
      <x:c r="R297" t="n">
        <x:v>2</x:v>
      </x:c>
      <x:c r="S297" t="n">
        <x:v>5</x:v>
      </x:c>
      <x:c r="T297" s="50" t="n">
        <x:f>IF(D297=0,"",H297/D297)</x:f>
        <x:v>0.3764478764478765</x:v>
      </x:c>
      <x:c r="U297" t="n">
        <x:f>MAX(I297:S297)</x:f>
        <x:v>259</x:v>
      </x:c>
      <x:c r="V297" t="n">
        <x:f>H297-U297</x:f>
        <x:v>-64</x:v>
      </x:c>
      <x:c r="W297" s="52" t="n">
        <x:f>IF(D297=0,"",(V297)/D297)</x:f>
        <x:v>-0.12355212355212356</x:v>
      </x:c>
      <x:c r="X297" t="str">
        <x:v>DHIRENDRA SINGH</x:v>
      </x:c>
      <x:c r="Y297" t="n">
        <x:f>D297-E297-F297</x:f>
        <x:v>0</x:v>
      </x:c>
    </x:row>
    <x:row r="298">
      <x:c r="A298" t="n">
        <x:v>290</x:v>
      </x:c>
      <x:c r="B298" t="str">
        <x:v>PRIMARY SCHOOL KUREB ROOM NO 1</x:v>
      </x:c>
      <x:c r="C298" t="n">
        <x:v>1120</x:v>
      </x:c>
      <x:c r="D298" t="n">
        <x:v>833</x:v>
      </x:c>
      <x:c r="E298" t="n">
        <x:f>SUM(H298:S298)</x:f>
        <x:v>820</x:v>
      </x:c>
      <x:c r="F298" t="n">
        <x:v>13</x:v>
      </x:c>
      <x:c r="G298" s="50" t="n">
        <x:f>IF(C298="","",IFERROR(D298/C298,0))</x:f>
        <x:v>0.74375</x:v>
      </x:c>
      <x:c r="H298" s="36" t="n">
        <x:v>623</x:v>
      </x:c>
      <x:c r="I298" t="n">
        <x:v>121</x:v>
      </x:c>
      <x:c r="J298" t="n">
        <x:v>58</x:v>
      </x:c>
      <x:c r="K298" t="n">
        <x:v>4</x:v>
      </x:c>
      <x:c r="L298" t="n">
        <x:v>1</x:v>
      </x:c>
      <x:c r="M298" t="n">
        <x:v>0</x:v>
      </x:c>
      <x:c r="N298" t="n">
        <x:v>1</x:v>
      </x:c>
      <x:c r="O298" t="n">
        <x:v>4</x:v>
      </x:c>
      <x:c r="P298" t="n">
        <x:v>2</x:v>
      </x:c>
      <x:c r="Q298" t="n">
        <x:v>0</x:v>
      </x:c>
      <x:c r="R298" t="n">
        <x:v>3</x:v>
      </x:c>
      <x:c r="S298" t="n">
        <x:v>3</x:v>
      </x:c>
      <x:c r="T298" s="50" t="n">
        <x:f>IF(D298=0,"",H298/D298)</x:f>
        <x:v>0.7478991596638656</x:v>
      </x:c>
      <x:c r="U298" t="n">
        <x:f>MAX(I298:S298)</x:f>
        <x:v>121</x:v>
      </x:c>
      <x:c r="V298" t="n">
        <x:f>H298-U298</x:f>
        <x:v>502</x:v>
      </x:c>
      <x:c r="W298" s="52" t="n">
        <x:f>IF(D298=0,"",(V298)/D298)</x:f>
        <x:v>0.602641056422569</x:v>
      </x:c>
      <x:c r="X298" t="str">
        <x:v>AVTAR SINGH BHADANA</x:v>
      </x:c>
      <x:c r="Y298" t="n">
        <x:f>D298-E298-F298</x:f>
        <x:v>0</x:v>
      </x:c>
    </x:row>
    <x:row r="299">
      <x:c r="A299" t="n">
        <x:v>291</x:v>
      </x:c>
      <x:c r="B299" t="str">
        <x:v>JUNIOR HIGH SCHOOL KUREB ROOM NO 1</x:v>
      </x:c>
      <x:c r="C299" t="n">
        <x:v>857</x:v>
      </x:c>
      <x:c r="D299" t="n">
        <x:v>623</x:v>
      </x:c>
      <x:c r="E299" t="n">
        <x:f>SUM(H299:S299)</x:f>
        <x:v>608</x:v>
      </x:c>
      <x:c r="F299" t="n">
        <x:v>15</x:v>
      </x:c>
      <x:c r="G299" s="50" t="n">
        <x:f>IF(C299="","",IFERROR(D299/C299,0))</x:f>
        <x:v>0.7269544924154026</x:v>
      </x:c>
      <x:c r="H299" s="36" t="n">
        <x:v>485</x:v>
      </x:c>
      <x:c r="I299" t="n">
        <x:v>108</x:v>
      </x:c>
      <x:c r="J299" t="n">
        <x:v>3</x:v>
      </x:c>
      <x:c r="K299" t="n">
        <x:v>1</x:v>
      </x:c>
      <x:c r="L299" t="n">
        <x:v>0</x:v>
      </x:c>
      <x:c r="M299" t="n">
        <x:v>3</x:v>
      </x:c>
      <x:c r="N299" t="n">
        <x:v>0</x:v>
      </x:c>
      <x:c r="O299" t="n">
        <x:v>1</x:v>
      </x:c>
      <x:c r="P299" t="n">
        <x:v>0</x:v>
      </x:c>
      <x:c r="Q299" t="n">
        <x:v>1</x:v>
      </x:c>
      <x:c r="R299" t="n">
        <x:v>1</x:v>
      </x:c>
      <x:c r="S299" t="n">
        <x:v>5</x:v>
      </x:c>
      <x:c r="T299" s="50" t="n">
        <x:f>IF(D299=0,"",H299/D299)</x:f>
        <x:v>0.7784911717495987</x:v>
      </x:c>
      <x:c r="U299" t="n">
        <x:f>MAX(I299:S299)</x:f>
        <x:v>108</x:v>
      </x:c>
      <x:c r="V299" t="n">
        <x:f>H299-U299</x:f>
        <x:v>377</x:v>
      </x:c>
      <x:c r="W299" s="52" t="n">
        <x:f>IF(D299=0,"",(V299)/D299)</x:f>
        <x:v>0.6051364365971108</x:v>
      </x:c>
      <x:c r="X299" t="str">
        <x:v>AVTAR SINGH BHADANA</x:v>
      </x:c>
      <x:c r="Y299" t="n">
        <x:f>D299-E299-F299</x:f>
        <x:v>0</x:v>
      </x:c>
    </x:row>
    <x:row r="300">
      <x:c r="A300" t="n">
        <x:v>292</x:v>
      </x:c>
      <x:c r="B300" t="str">
        <x:v>JUNIOR HIGH SCHOOL KUREB ROOM NO 2</x:v>
      </x:c>
      <x:c r="C300" t="n">
        <x:v>800</x:v>
      </x:c>
      <x:c r="D300" t="n">
        <x:v>553</x:v>
      </x:c>
      <x:c r="E300" t="n">
        <x:f>SUM(H300:S300)</x:f>
        <x:v>537</x:v>
      </x:c>
      <x:c r="F300" t="n">
        <x:v>16</x:v>
      </x:c>
      <x:c r="G300" s="50" t="n">
        <x:f>IF(C300="","",IFERROR(D300/C300,0))</x:f>
        <x:v>0.69125</x:v>
      </x:c>
      <x:c r="H300" s="36" t="n">
        <x:v>24</x:v>
      </x:c>
      <x:c r="I300" t="n">
        <x:v>284</x:v>
      </x:c>
      <x:c r="J300" t="n">
        <x:v>220</x:v>
      </x:c>
      <x:c r="K300" t="n">
        <x:v>2</x:v>
      </x:c>
      <x:c r="L300" t="n">
        <x:v>0</x:v>
      </x:c>
      <x:c r="M300" t="n">
        <x:v>2</x:v>
      </x:c>
      <x:c r="N300" t="n">
        <x:v>0</x:v>
      </x:c>
      <x:c r="O300" t="n">
        <x:v>0</x:v>
      </x:c>
      <x:c r="P300" t="n">
        <x:v>1</x:v>
      </x:c>
      <x:c r="Q300" t="n">
        <x:v>0</x:v>
      </x:c>
      <x:c r="R300" t="n">
        <x:v>2</x:v>
      </x:c>
      <x:c r="S300" t="n">
        <x:v>2</x:v>
      </x:c>
      <x:c r="T300" s="50" t="n">
        <x:f>IF(D300=0,"",H300/D300)</x:f>
        <x:v>0.0433996383363472</x:v>
      </x:c>
      <x:c r="U300" t="n">
        <x:f>MAX(I300:S300)</x:f>
        <x:v>284</x:v>
      </x:c>
      <x:c r="V300" t="n">
        <x:f>H300-U300</x:f>
        <x:v>-260</x:v>
      </x:c>
      <x:c r="W300" s="52" t="n">
        <x:f>IF(D300=0,"",(V300)/D300)</x:f>
        <x:v>-0.4701627486437613</x:v>
      </x:c>
      <x:c r="X300" t="str">
        <x:v>DHIRENDRA SINGH</x:v>
      </x:c>
      <x:c r="Y300" t="n">
        <x:f>D300-E300-F300</x:f>
        <x:v>0</x:v>
      </x:c>
    </x:row>
    <x:row r="301">
      <x:c r="A301" t="n">
        <x:v>293</x:v>
      </x:c>
      <x:c r="B301" t="str">
        <x:v>JUNIOR HIGH SCHOOL KUREB ROOM NO 3</x:v>
      </x:c>
      <x:c r="C301" t="n">
        <x:v>655</x:v>
      </x:c>
      <x:c r="D301" t="n">
        <x:v>462</x:v>
      </x:c>
      <x:c r="E301" t="n">
        <x:f>SUM(H301:S301)</x:f>
        <x:v>459</x:v>
      </x:c>
      <x:c r="F301" t="n">
        <x:v>3</x:v>
      </x:c>
      <x:c r="G301" s="50" t="n">
        <x:f>IF(C301="","",IFERROR(D301/C301,0))</x:f>
        <x:v>0.7053435114503817</x:v>
      </x:c>
      <x:c r="H301" s="36" t="n">
        <x:v>38</x:v>
      </x:c>
      <x:c r="I301" t="n">
        <x:v>397</x:v>
      </x:c>
      <x:c r="J301" t="n">
        <x:v>19</x:v>
      </x:c>
      <x:c r="K301" t="n">
        <x:v>1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1</x:v>
      </x:c>
      <x:c r="R301" t="n">
        <x:v>0</x:v>
      </x:c>
      <x:c r="S301" t="n">
        <x:v>3</x:v>
      </x:c>
      <x:c r="T301" s="50" t="n">
        <x:f>IF(D301=0,"",H301/D301)</x:f>
        <x:v>0.08225108225108226</x:v>
      </x:c>
      <x:c r="U301" t="n">
        <x:f>MAX(I301:S301)</x:f>
        <x:v>397</x:v>
      </x:c>
      <x:c r="V301" t="n">
        <x:f>H301-U301</x:f>
        <x:v>-359</x:v>
      </x:c>
      <x:c r="W301" s="52" t="n">
        <x:f>IF(D301=0,"",(V301)/D301)</x:f>
        <x:v>-0.7770562770562771</x:v>
      </x:c>
      <x:c r="X301" t="str">
        <x:v>DHIRENDRA SINGH</x:v>
      </x:c>
      <x:c r="Y301" t="n">
        <x:f>D301-E301-F301</x:f>
        <x:v>0</x:v>
      </x:c>
    </x:row>
    <x:row r="302">
      <x:c r="A302" t="n">
        <x:v>294</x:v>
      </x:c>
      <x:c r="B302" t="str">
        <x:v>PRIMARY SCHOOL RANHERA ROOM NO 1</x:v>
      </x:c>
      <x:c r="C302" t="n">
        <x:v>807</x:v>
      </x:c>
      <x:c r="D302" t="n">
        <x:v>496</x:v>
      </x:c>
      <x:c r="E302" t="n">
        <x:f>SUM(H302:S302)</x:f>
        <x:v>494</x:v>
      </x:c>
      <x:c r="F302" t="n">
        <x:v>2</x:v>
      </x:c>
      <x:c r="G302" s="50" t="n">
        <x:f>IF(C302="","",IFERROR(D302/C302,0))</x:f>
        <x:v>0.6146220570012392</x:v>
      </x:c>
      <x:c r="H302" s="36" t="n">
        <x:v>79</x:v>
      </x:c>
      <x:c r="I302" t="n">
        <x:v>207</x:v>
      </x:c>
      <x:c r="J302" t="n">
        <x:v>196</x:v>
      </x:c>
      <x:c r="K302" t="n">
        <x:v>1</x:v>
      </x:c>
      <x:c r="L302" t="n">
        <x:v>2</x:v>
      </x:c>
      <x:c r="M302" t="n">
        <x:v>4</x:v>
      </x:c>
      <x:c r="N302" t="n">
        <x:v>0</x:v>
      </x:c>
      <x:c r="O302" t="n">
        <x:v>0</x:v>
      </x:c>
      <x:c r="P302" t="n">
        <x:v>0</x:v>
      </x:c>
      <x:c r="Q302" t="n">
        <x:v>1</x:v>
      </x:c>
      <x:c r="R302" t="n">
        <x:v>1</x:v>
      </x:c>
      <x:c r="S302" t="n">
        <x:v>3</x:v>
      </x:c>
      <x:c r="T302" s="50" t="n">
        <x:f>IF(D302=0,"",H302/D302)</x:f>
        <x:v>0.1592741935483871</x:v>
      </x:c>
      <x:c r="U302" t="n">
        <x:f>MAX(I302:S302)</x:f>
        <x:v>207</x:v>
      </x:c>
      <x:c r="V302" t="n">
        <x:f>H302-U302</x:f>
        <x:v>-128</x:v>
      </x:c>
      <x:c r="W302" s="52" t="n">
        <x:f>IF(D302=0,"",(V302)/D302)</x:f>
        <x:v>-0.25806451612903225</x:v>
      </x:c>
      <x:c r="X302" t="str">
        <x:v>DHIRENDRA SINGH</x:v>
      </x:c>
      <x:c r="Y302" t="n">
        <x:f>D302-E302-F302</x:f>
        <x:v>0</x:v>
      </x:c>
    </x:row>
    <x:row r="303">
      <x:c r="A303" t="n">
        <x:v>295</x:v>
      </x:c>
      <x:c r="B303" t="str">
        <x:v>PRIMARY SCHOOL RANHERA ROOM NO 2</x:v>
      </x:c>
      <x:c r="C303" t="n">
        <x:v>838</x:v>
      </x:c>
      <x:c r="D303" t="n">
        <x:v>490</x:v>
      </x:c>
      <x:c r="E303" t="n">
        <x:f>SUM(H303:S303)</x:f>
        <x:v>487</x:v>
      </x:c>
      <x:c r="F303" t="n">
        <x:v>3</x:v>
      </x:c>
      <x:c r="G303" s="50" t="n">
        <x:f>IF(C303="","",IFERROR(D303/C303,0))</x:f>
        <x:v>0.5847255369928401</x:v>
      </x:c>
      <x:c r="H303" s="36" t="n">
        <x:v>144</x:v>
      </x:c>
      <x:c r="I303" t="n">
        <x:v>225</x:v>
      </x:c>
      <x:c r="J303" t="n">
        <x:v>110</x:v>
      </x:c>
      <x:c r="K303" t="n">
        <x:v>6</x:v>
      </x:c>
      <x:c r="L303" t="n">
        <x:v>1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1</x:v>
      </x:c>
      <x:c r="S303" t="n">
        <x:v>0</x:v>
      </x:c>
      <x:c r="T303" s="50" t="n">
        <x:f>IF(D303=0,"",H303/D303)</x:f>
        <x:v>0.2938775510204082</x:v>
      </x:c>
      <x:c r="U303" t="n">
        <x:f>MAX(I303:S303)</x:f>
        <x:v>225</x:v>
      </x:c>
      <x:c r="V303" t="n">
        <x:f>H303-U303</x:f>
        <x:v>-81</x:v>
      </x:c>
      <x:c r="W303" s="52" t="n">
        <x:f>IF(D303=0,"",(V303)/D303)</x:f>
        <x:v>-0.1653061224489796</x:v>
      </x:c>
      <x:c r="X303" t="str">
        <x:v>DHIRENDRA SINGH</x:v>
      </x:c>
      <x:c r="Y303" t="n">
        <x:f>D303-E303-F303</x:f>
        <x:v>0</x:v>
      </x:c>
    </x:row>
    <x:row r="304">
      <x:c r="A304" t="n">
        <x:v>296</x:v>
      </x:c>
      <x:c r="B304" t="str">
        <x:v>PRIMARY SCHOOL RANHERA ROOM NO 3</x:v>
      </x:c>
      <x:c r="C304" t="n">
        <x:v>966</x:v>
      </x:c>
      <x:c r="D304" t="n">
        <x:v>593</x:v>
      </x:c>
      <x:c r="E304" t="n">
        <x:f>SUM(H304:S304)</x:f>
        <x:v>584</x:v>
      </x:c>
      <x:c r="F304" t="n">
        <x:v>9</x:v>
      </x:c>
      <x:c r="G304" s="50" t="n">
        <x:f>IF(C304="","",IFERROR(D304/C304,0))</x:f>
        <x:v>0.6138716356107661</x:v>
      </x:c>
      <x:c r="H304" s="36" t="n">
        <x:v>122</x:v>
      </x:c>
      <x:c r="I304" t="n">
        <x:v>396</x:v>
      </x:c>
      <x:c r="J304" t="n">
        <x:v>50</x:v>
      </x:c>
      <x:c r="K304" t="n">
        <x:v>2</x:v>
      </x:c>
      <x:c r="L304" t="n">
        <x:v>2</x:v>
      </x:c>
      <x:c r="M304" t="n">
        <x:v>1</x:v>
      </x:c>
      <x:c r="N304" t="n">
        <x:v>0</x:v>
      </x:c>
      <x:c r="O304" t="n">
        <x:v>0</x:v>
      </x:c>
      <x:c r="P304" t="n">
        <x:v>1</x:v>
      </x:c>
      <x:c r="Q304" t="n">
        <x:v>1</x:v>
      </x:c>
      <x:c r="R304" t="n">
        <x:v>2</x:v>
      </x:c>
      <x:c r="S304" t="n">
        <x:v>7</x:v>
      </x:c>
      <x:c r="T304" s="50" t="n">
        <x:f>IF(D304=0,"",H304/D304)</x:f>
        <x:v>0.2057335581787521</x:v>
      </x:c>
      <x:c r="U304" t="n">
        <x:f>MAX(I304:S304)</x:f>
        <x:v>396</x:v>
      </x:c>
      <x:c r="V304" t="n">
        <x:f>H304-U304</x:f>
        <x:v>-274</x:v>
      </x:c>
      <x:c r="W304" s="52" t="n">
        <x:f>IF(D304=0,"",(V304)/D304)</x:f>
        <x:v>-0.4620573355817875</x:v>
      </x:c>
      <x:c r="X304" t="str">
        <x:v>DHIRENDRA SINGH</x:v>
      </x:c>
      <x:c r="Y304" t="n">
        <x:f>D304-E304-F304</x:f>
        <x:v>0</x:v>
      </x:c>
    </x:row>
    <x:row r="305">
      <x:c r="A305" t="n">
        <x:v>297</x:v>
      </x:c>
      <x:c r="B305" t="str">
        <x:v>PRIMARY SCHOOL RANHERA ROOM NO 4</x:v>
      </x:c>
      <x:c r="C305" t="n">
        <x:v>904</x:v>
      </x:c>
      <x:c r="D305" t="n">
        <x:v>523</x:v>
      </x:c>
      <x:c r="E305" t="n">
        <x:f>SUM(H305:S305)</x:f>
        <x:v>522</x:v>
      </x:c>
      <x:c r="F305" t="n">
        <x:v>1</x:v>
      </x:c>
      <x:c r="G305" s="50" t="n">
        <x:f>IF(C305="","",IFERROR(D305/C305,0))</x:f>
        <x:v>0.5785398230088495</x:v>
      </x:c>
      <x:c r="H305" s="36" t="n">
        <x:v>62</x:v>
      </x:c>
      <x:c r="I305" t="n">
        <x:v>393</x:v>
      </x:c>
      <x:c r="J305" t="n">
        <x:v>62</x:v>
      </x:c>
      <x:c r="K305" t="n">
        <x:v>3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2</x:v>
      </x:c>
      <x:c r="T305" s="50" t="n">
        <x:f>IF(D305=0,"",H305/D305)</x:f>
        <x:v>0.11854684512428298</x:v>
      </x:c>
      <x:c r="U305" t="n">
        <x:f>MAX(I305:S305)</x:f>
        <x:v>393</x:v>
      </x:c>
      <x:c r="V305" t="n">
        <x:f>H305-U305</x:f>
        <x:v>-331</x:v>
      </x:c>
      <x:c r="W305" s="52" t="n">
        <x:f>IF(D305=0,"",(V305)/D305)</x:f>
        <x:v>-0.6328871892925431</x:v>
      </x:c>
      <x:c r="X305" t="str">
        <x:v>DHIRENDRA SINGH</x:v>
      </x:c>
      <x:c r="Y305" t="n">
        <x:f>D305-E305-F305</x:f>
        <x:v>0</x:v>
      </x:c>
    </x:row>
    <x:row r="306">
      <x:c r="A306" t="n">
        <x:v>298</x:v>
      </x:c>
      <x:c r="B306" t="str">
        <x:v>PRIMARY SCHOOL DAYANATPUR ROOM NO 1</x:v>
      </x:c>
      <x:c r="C306" t="n">
        <x:v>917</x:v>
      </x:c>
      <x:c r="D306" t="n">
        <x:v>588</x:v>
      </x:c>
      <x:c r="E306" t="n">
        <x:f>SUM(H306:S306)</x:f>
        <x:v>584</x:v>
      </x:c>
      <x:c r="F306" t="n">
        <x:v>4</x:v>
      </x:c>
      <x:c r="G306" s="50" t="n">
        <x:f>IF(C306="","",IFERROR(D306/C306,0))</x:f>
        <x:v>0.6412213740458015</x:v>
      </x:c>
      <x:c r="H306" s="36" t="n">
        <x:v>78</x:v>
      </x:c>
      <x:c r="I306" t="n">
        <x:v>461</x:v>
      </x:c>
      <x:c r="J306" t="n">
        <x:v>25</x:v>
      </x:c>
      <x:c r="K306" t="n">
        <x:v>9</x:v>
      </x:c>
      <x:c r="L306" t="n">
        <x:v>0</x:v>
      </x:c>
      <x:c r="M306" t="n">
        <x:v>5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3</x:v>
      </x:c>
      <x:c r="S306" t="n">
        <x:v>3</x:v>
      </x:c>
      <x:c r="T306" s="50" t="n">
        <x:f>IF(D306=0,"",H306/D306)</x:f>
        <x:v>0.1326530612244898</x:v>
      </x:c>
      <x:c r="U306" t="n">
        <x:f>MAX(I306:S306)</x:f>
        <x:v>461</x:v>
      </x:c>
      <x:c r="V306" t="n">
        <x:f>H306-U306</x:f>
        <x:v>-383</x:v>
      </x:c>
      <x:c r="W306" s="52" t="n">
        <x:f>IF(D306=0,"",(V306)/D306)</x:f>
        <x:v>-0.6513605442176871</x:v>
      </x:c>
      <x:c r="X306" t="str">
        <x:v>DHIRENDRA SINGH</x:v>
      </x:c>
      <x:c r="Y306" t="n">
        <x:f>D306-E306-F306</x:f>
        <x:v>0</x:v>
      </x:c>
    </x:row>
    <x:row r="307">
      <x:c r="A307" t="n">
        <x:v>299</x:v>
      </x:c>
      <x:c r="B307" t="str">
        <x:v>PRIMARY SCHOOL DAYANATPUR ROOM NO 2</x:v>
      </x:c>
      <x:c r="C307" t="n">
        <x:v>923</x:v>
      </x:c>
      <x:c r="D307" t="n">
        <x:v>642</x:v>
      </x:c>
      <x:c r="E307" t="n">
        <x:f>SUM(H307:S307)</x:f>
        <x:v>638</x:v>
      </x:c>
      <x:c r="F307" t="n">
        <x:v>4</x:v>
      </x:c>
      <x:c r="G307" s="50" t="n">
        <x:f>IF(C307="","",IFERROR(D307/C307,0))</x:f>
        <x:v>0.695557963163597</x:v>
      </x:c>
      <x:c r="H307" s="36" t="n">
        <x:v>106</x:v>
      </x:c>
      <x:c r="I307" t="n">
        <x:v>509</x:v>
      </x:c>
      <x:c r="J307" t="n">
        <x:v>15</x:v>
      </x:c>
      <x:c r="K307" t="n">
        <x:v>2</x:v>
      </x:c>
      <x:c r="L307" t="n">
        <x:v>0</x:v>
      </x:c>
      <x:c r="M307" t="n">
        <x:v>2</x:v>
      </x:c>
      <x:c r="N307" t="n">
        <x:v>0</x:v>
      </x:c>
      <x:c r="O307" t="n">
        <x:v>0</x:v>
      </x:c>
      <x:c r="P307" t="n">
        <x:v>0</x:v>
      </x:c>
      <x:c r="Q307" t="n">
        <x:v>1</x:v>
      </x:c>
      <x:c r="R307" t="n">
        <x:v>0</x:v>
      </x:c>
      <x:c r="S307" t="n">
        <x:v>3</x:v>
      </x:c>
      <x:c r="T307" s="50" t="n">
        <x:f>IF(D307=0,"",H307/D307)</x:f>
        <x:v>0.16510903426791276</x:v>
      </x:c>
      <x:c r="U307" t="n">
        <x:f>MAX(I307:S307)</x:f>
        <x:v>509</x:v>
      </x:c>
      <x:c r="V307" t="n">
        <x:f>H307-U307</x:f>
        <x:v>-403</x:v>
      </x:c>
      <x:c r="W307" s="52" t="n">
        <x:f>IF(D307=0,"",(V307)/D307)</x:f>
        <x:v>-0.6277258566978193</x:v>
      </x:c>
      <x:c r="X307" t="str">
        <x:v>DHIRENDRA SINGH</x:v>
      </x:c>
      <x:c r="Y307" t="n">
        <x:f>D307-E307-F307</x:f>
        <x:v>0</x:v>
      </x:c>
    </x:row>
    <x:row r="308">
      <x:c r="A308" t="n">
        <x:v>300</x:v>
      </x:c>
      <x:c r="B308" t="str">
        <x:v>INTER COLLEGE DAYANATPUR ROOM NO. 1</x:v>
      </x:c>
      <x:c r="C308" t="n">
        <x:v>1114</x:v>
      </x:c>
      <x:c r="D308" t="n">
        <x:v>860</x:v>
      </x:c>
      <x:c r="E308" t="n">
        <x:f>SUM(H308:S308)</x:f>
        <x:v>859</x:v>
      </x:c>
      <x:c r="F308" t="n">
        <x:v>1</x:v>
      </x:c>
      <x:c r="G308" s="50" t="n">
        <x:f>IF(C308="","",IFERROR(D308/C308,0))</x:f>
        <x:v>0.7719928186714542</x:v>
      </x:c>
      <x:c r="H308" s="36" t="n">
        <x:v>18</x:v>
      </x:c>
      <x:c r="I308" t="n">
        <x:v>11</x:v>
      </x:c>
      <x:c r="J308" t="n">
        <x:v>821</x:v>
      </x:c>
      <x:c r="K308" t="n">
        <x:v>3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1</x:v>
      </x:c>
      <x:c r="Q308" t="n">
        <x:v>1</x:v>
      </x:c>
      <x:c r="R308" t="n">
        <x:v>2</x:v>
      </x:c>
      <x:c r="S308" t="n">
        <x:v>2</x:v>
      </x:c>
      <x:c r="T308" s="50" t="n">
        <x:f>IF(D308=0,"",H308/D308)</x:f>
        <x:v>0.020930232558139535</x:v>
      </x:c>
      <x:c r="U308" t="n">
        <x:f>MAX(I308:S308)</x:f>
        <x:v>821</x:v>
      </x:c>
      <x:c r="V308" t="n">
        <x:f>H308-U308</x:f>
        <x:v>-803</x:v>
      </x:c>
      <x:c r="W308" s="52" t="n">
        <x:f>IF(D308=0,"",(V308)/D308)</x:f>
        <x:v>-0.9337209302325581</x:v>
      </x:c>
      <x:c r="X308" t="str">
        <x:v>NARENDER KUMAR</x:v>
      </x:c>
      <x:c r="Y308" t="n">
        <x:f>D308-E308-F308</x:f>
        <x:v>0</x:v>
      </x:c>
    </x:row>
    <x:row r="309">
      <x:c r="A309" t="n">
        <x:v>301</x:v>
      </x:c>
      <x:c r="B309" t="str">
        <x:v>INTER COLLEGE DAYANATPUR ROOM NO. 2</x:v>
      </x:c>
      <x:c r="C309" t="n">
        <x:v>745</x:v>
      </x:c>
      <x:c r="D309" t="n">
        <x:v>525</x:v>
      </x:c>
      <x:c r="E309" t="n">
        <x:f>SUM(H309:S309)</x:f>
        <x:v>518</x:v>
      </x:c>
      <x:c r="F309" t="n">
        <x:v>7</x:v>
      </x:c>
      <x:c r="G309" s="50" t="n">
        <x:f>IF(C309="","",IFERROR(D309/C309,0))</x:f>
        <x:v>0.7046979865771812</x:v>
      </x:c>
      <x:c r="H309" s="36" t="n">
        <x:v>77</x:v>
      </x:c>
      <x:c r="I309" t="n">
        <x:v>414</x:v>
      </x:c>
      <x:c r="J309" t="n">
        <x:v>21</x:v>
      </x:c>
      <x:c r="K309" t="n">
        <x:v>2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1</x:v>
      </x:c>
      <x:c r="R309" t="n">
        <x:v>2</x:v>
      </x:c>
      <x:c r="S309" t="n">
        <x:v>1</x:v>
      </x:c>
      <x:c r="T309" s="50" t="n">
        <x:f>IF(D309=0,"",H309/D309)</x:f>
        <x:v>0.14666666666666667</x:v>
      </x:c>
      <x:c r="U309" t="n">
        <x:f>MAX(I309:S309)</x:f>
        <x:v>414</x:v>
      </x:c>
      <x:c r="V309" t="n">
        <x:f>H309-U309</x:f>
        <x:v>-337</x:v>
      </x:c>
      <x:c r="W309" s="52" t="n">
        <x:f>IF(D309=0,"",(V309)/D309)</x:f>
        <x:v>-0.6419047619047619</x:v>
      </x:c>
      <x:c r="X309" t="str">
        <x:v>DHIRENDRA SINGH</x:v>
      </x:c>
      <x:c r="Y309" t="n">
        <x:f>D309-E309-F309</x:f>
        <x:v>0</x:v>
      </x:c>
    </x:row>
    <x:row r="310">
      <x:c r="A310" t="n">
        <x:v>302</x:v>
      </x:c>
      <x:c r="B310" t="str">
        <x:v>INTER COLLEGE DAYANATPUR ROOM NO. 3</x:v>
      </x:c>
      <x:c r="C310" t="n">
        <x:v>694</x:v>
      </x:c>
      <x:c r="D310" t="n">
        <x:v>511</x:v>
      </x:c>
      <x:c r="E310" t="n">
        <x:f>SUM(H310:S310)</x:f>
        <x:v>509</x:v>
      </x:c>
      <x:c r="F310" t="n">
        <x:v>2</x:v>
      </x:c>
      <x:c r="G310" s="50" t="n">
        <x:f>IF(C310="","",IFERROR(D310/C310,0))</x:f>
        <x:v>0.7363112391930836</x:v>
      </x:c>
      <x:c r="H310" s="36" t="n">
        <x:v>13</x:v>
      </x:c>
      <x:c r="I310" t="n">
        <x:v>65</x:v>
      </x:c>
      <x:c r="J310" t="n">
        <x:v>414</x:v>
      </x:c>
      <x:c r="K310" t="n">
        <x:v>2</x:v>
      </x:c>
      <x:c r="L310" t="n">
        <x:v>2</x:v>
      </x:c>
      <x:c r="M310" t="n">
        <x:v>1</x:v>
      </x:c>
      <x:c r="N310" t="n">
        <x:v>0</x:v>
      </x:c>
      <x:c r="O310" t="n">
        <x:v>1</x:v>
      </x:c>
      <x:c r="P310" t="n">
        <x:v>1</x:v>
      </x:c>
      <x:c r="Q310" t="n">
        <x:v>0</x:v>
      </x:c>
      <x:c r="R310" t="n">
        <x:v>8</x:v>
      </x:c>
      <x:c r="S310" t="n">
        <x:v>2</x:v>
      </x:c>
      <x:c r="T310" s="50" t="n">
        <x:f>IF(D310=0,"",H310/D310)</x:f>
        <x:v>0.025440313111545987</x:v>
      </x:c>
      <x:c r="U310" t="n">
        <x:f>MAX(I310:S310)</x:f>
        <x:v>414</x:v>
      </x:c>
      <x:c r="V310" t="n">
        <x:f>H310-U310</x:f>
        <x:v>-401</x:v>
      </x:c>
      <x:c r="W310" s="52" t="n">
        <x:f>IF(D310=0,"",(V310)/D310)</x:f>
        <x:v>-0.7847358121330724</x:v>
      </x:c>
      <x:c r="X310" t="str">
        <x:v>NARENDER KUMAR</x:v>
      </x:c>
      <x:c r="Y310" t="n">
        <x:f>D310-E310-F310</x:f>
        <x:v>0</x:v>
      </x:c>
    </x:row>
    <x:row r="311">
      <x:c r="A311" t="n">
        <x:v>303</x:v>
      </x:c>
      <x:c r="B311" t="str">
        <x:v>PRIMARY SCHOOL BEGUMABAD MAJRA DAYANATPUR ROOM NO 1</x:v>
      </x:c>
      <x:c r="C311" t="n">
        <x:v>559</x:v>
      </x:c>
      <x:c r="D311" t="n">
        <x:v>406</x:v>
      </x:c>
      <x:c r="E311" t="n">
        <x:f>SUM(H311:S311)</x:f>
        <x:v>403</x:v>
      </x:c>
      <x:c r="F311" t="n">
        <x:v>3</x:v>
      </x:c>
      <x:c r="G311" s="50" t="n">
        <x:f>IF(C311="","",IFERROR(D311/C311,0))</x:f>
        <x:v>0.7262969588550984</x:v>
      </x:c>
      <x:c r="H311" s="36" t="n">
        <x:v>11</x:v>
      </x:c>
      <x:c r="I311" t="n">
        <x:v>348</x:v>
      </x:c>
      <x:c r="J311" t="n">
        <x:v>31</x:v>
      </x:c>
      <x:c r="K311" t="n">
        <x:v>7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1</x:v>
      </x:c>
      <x:c r="R311" t="n">
        <x:v>0</x:v>
      </x:c>
      <x:c r="S311" t="n">
        <x:v>5</x:v>
      </x:c>
      <x:c r="T311" s="50" t="n">
        <x:f>IF(D311=0,"",H311/D311)</x:f>
        <x:v>0.027093596059113302</x:v>
      </x:c>
      <x:c r="U311" t="n">
        <x:f>MAX(I311:S311)</x:f>
        <x:v>348</x:v>
      </x:c>
      <x:c r="V311" t="n">
        <x:f>H311-U311</x:f>
        <x:v>-337</x:v>
      </x:c>
      <x:c r="W311" s="52" t="n">
        <x:f>IF(D311=0,"",(V311)/D311)</x:f>
        <x:v>-0.8300492610837439</x:v>
      </x:c>
      <x:c r="X311" t="str">
        <x:v>DHIRENDRA SINGH</x:v>
      </x:c>
      <x:c r="Y311" t="n">
        <x:f>D311-E311-F311</x:f>
        <x:v>0</x:v>
      </x:c>
    </x:row>
    <x:row r="312">
      <x:c r="A312" t="n">
        <x:v>304</x:v>
      </x:c>
      <x:c r="B312" t="str">
        <x:v>PRIMARY SCHOOL RAMPUR BANGAR ROOM NO 1</x:v>
      </x:c>
      <x:c r="C312" t="n">
        <x:v>1048</x:v>
      </x:c>
      <x:c r="D312" t="n">
        <x:v>729</x:v>
      </x:c>
      <x:c r="E312" t="n">
        <x:f>SUM(H312:S312)</x:f>
        <x:v>729</x:v>
      </x:c>
      <x:c r="F312" t="n">
        <x:v>0</x:v>
      </x:c>
      <x:c r="G312" s="50" t="n">
        <x:f>IF(C312="","",IFERROR(D312/C312,0))</x:f>
        <x:v>0.6956106870229007</x:v>
      </x:c>
      <x:c r="H312" s="36" t="n">
        <x:v>165</x:v>
      </x:c>
      <x:c r="I312" t="n">
        <x:v>537</x:v>
      </x:c>
      <x:c r="J312" t="n">
        <x:v>22</x:v>
      </x:c>
      <x:c r="K312" t="n">
        <x:v>2</x:v>
      </x:c>
      <x:c r="L312" t="n">
        <x:v>0</x:v>
      </x:c>
      <x:c r="M312" t="n">
        <x:v>1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2</x:v>
      </x:c>
      <x:c r="T312" s="50" t="n">
        <x:f>IF(D312=0,"",H312/D312)</x:f>
        <x:v>0.22633744855967078</x:v>
      </x:c>
      <x:c r="U312" t="n">
        <x:f>MAX(I312:S312)</x:f>
        <x:v>537</x:v>
      </x:c>
      <x:c r="V312" t="n">
        <x:f>H312-U312</x:f>
        <x:v>-372</x:v>
      </x:c>
      <x:c r="W312" s="52" t="n">
        <x:f>IF(D312=0,"",(V312)/D312)</x:f>
        <x:v>-0.5102880658436214</x:v>
      </x:c>
      <x:c r="X312" t="str">
        <x:v>DHIRENDRA SINGH</x:v>
      </x:c>
      <x:c r="Y312" t="n">
        <x:f>D312-E312-F312</x:f>
        <x:v>0</x:v>
      </x:c>
    </x:row>
    <x:row r="313">
      <x:c r="A313" t="n">
        <x:v>305</x:v>
      </x:c>
      <x:c r="B313" t="str">
        <x:v>PRIMARY SCHOOL RAMPUR BANGAR ROOM NO 2</x:v>
      </x:c>
      <x:c r="C313" t="n">
        <x:v>851</x:v>
      </x:c>
      <x:c r="D313" t="n">
        <x:v>634</x:v>
      </x:c>
      <x:c r="E313" t="n">
        <x:f>SUM(H313:S313)</x:f>
        <x:v>632</x:v>
      </x:c>
      <x:c r="F313" t="n">
        <x:v>2</x:v>
      </x:c>
      <x:c r="G313" s="50" t="n">
        <x:f>IF(C313="","",IFERROR(D313/C313,0))</x:f>
        <x:v>0.745005875440658</x:v>
      </x:c>
      <x:c r="H313" s="36" t="n">
        <x:v>39</x:v>
      </x:c>
      <x:c r="I313" t="n">
        <x:v>242</x:v>
      </x:c>
      <x:c r="J313" t="n">
        <x:v>346</x:v>
      </x:c>
      <x:c r="K313" t="n">
        <x:v>1</x:v>
      </x:c>
      <x:c r="L313" t="n">
        <x:v>1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1</x:v>
      </x:c>
      <x:c r="S313" t="n">
        <x:v>2</x:v>
      </x:c>
      <x:c r="T313" s="50" t="n">
        <x:f>IF(D313=0,"",H313/D313)</x:f>
        <x:v>0.061514195583596214</x:v>
      </x:c>
      <x:c r="U313" t="n">
        <x:f>MAX(I313:S313)</x:f>
        <x:v>346</x:v>
      </x:c>
      <x:c r="V313" t="n">
        <x:f>H313-U313</x:f>
        <x:v>-307</x:v>
      </x:c>
      <x:c r="W313" s="52" t="n">
        <x:f>IF(D313=0,"",(V313)/D313)</x:f>
        <x:v>-0.4842271293375394</x:v>
      </x:c>
      <x:c r="X313" t="str">
        <x:v>NARENDER KUMAR</x:v>
      </x:c>
      <x:c r="Y313" t="n">
        <x:f>D313-E313-F313</x:f>
        <x:v>0</x:v>
      </x:c>
    </x:row>
    <x:row r="314">
      <x:c r="A314" t="n">
        <x:v>306</x:v>
      </x:c>
      <x:c r="B314" t="str">
        <x:v>PRIMARY SCHOOL BALLABHNAGAR URF KARROL BANGAR ROOM NO 1</x:v>
      </x:c>
      <x:c r="C314" t="n">
        <x:v>1081</x:v>
      </x:c>
      <x:c r="D314" t="n">
        <x:v>839</x:v>
      </x:c>
      <x:c r="E314" t="n">
        <x:f>SUM(H314:S314)</x:f>
        <x:v>828</x:v>
      </x:c>
      <x:c r="F314" t="n">
        <x:v>11</x:v>
      </x:c>
      <x:c r="G314" s="50" t="n">
        <x:f>IF(C314="","",IFERROR(D314/C314,0))</x:f>
        <x:v>0.7761332099907493</x:v>
      </x:c>
      <x:c r="H314" s="36" t="n">
        <x:v>28</x:v>
      </x:c>
      <x:c r="I314" t="n">
        <x:v>594</x:v>
      </x:c>
      <x:c r="J314" t="n">
        <x:v>178</x:v>
      </x:c>
      <x:c r="K314" t="n">
        <x:v>5</x:v>
      </x:c>
      <x:c r="L314" t="n">
        <x:v>2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1</x:v>
      </x:c>
      <x:c r="R314" t="n">
        <x:v>10</x:v>
      </x:c>
      <x:c r="S314" t="n">
        <x:v>10</x:v>
      </x:c>
      <x:c r="T314" s="50" t="n">
        <x:f>IF(D314=0,"",H314/D314)</x:f>
        <x:v>0.033373063170441</x:v>
      </x:c>
      <x:c r="U314" t="n">
        <x:f>MAX(I314:S314)</x:f>
        <x:v>594</x:v>
      </x:c>
      <x:c r="V314" t="n">
        <x:f>H314-U314</x:f>
        <x:v>-566</x:v>
      </x:c>
      <x:c r="W314" s="52" t="n">
        <x:f>IF(D314=0,"",(V314)/D314)</x:f>
        <x:v>-0.6746126340882003</x:v>
      </x:c>
      <x:c r="X314" t="str">
        <x:v>DHIRENDRA SINGH</x:v>
      </x:c>
      <x:c r="Y314" t="n">
        <x:f>D314-E314-F314</x:f>
        <x:v>0</x:v>
      </x:c>
    </x:row>
    <x:row r="315">
      <x:c r="A315" t="n">
        <x:v>307</x:v>
      </x:c>
      <x:c r="B315" t="str">
        <x:v>PRIMARY SCHOOL SIRSA MACHIPUR ROOM NO 1</x:v>
      </x:c>
      <x:c r="C315" t="n">
        <x:v>1032</x:v>
      </x:c>
      <x:c r="D315" t="n">
        <x:v>654</x:v>
      </x:c>
      <x:c r="E315" t="n">
        <x:f>SUM(H315:S315)</x:f>
        <x:v>647</x:v>
      </x:c>
      <x:c r="F315" t="n">
        <x:v>7</x:v>
      </x:c>
      <x:c r="G315" s="50" t="n">
        <x:f>IF(C315="","",IFERROR(D315/C315,0))</x:f>
        <x:v>0.6337209302325582</x:v>
      </x:c>
      <x:c r="H315" s="36" t="n">
        <x:v>24</x:v>
      </x:c>
      <x:c r="I315" t="n">
        <x:v>569</x:v>
      </x:c>
      <x:c r="J315" t="n">
        <x:v>29</x:v>
      </x:c>
      <x:c r="K315" t="n">
        <x:v>8</x:v>
      </x:c>
      <x:c r="L315" t="n">
        <x:v>0</x:v>
      </x:c>
      <x:c r="M315" t="n">
        <x:v>1</x:v>
      </x:c>
      <x:c r="N315" t="n">
        <x:v>1</x:v>
      </x:c>
      <x:c r="O315" t="n">
        <x:v>1</x:v>
      </x:c>
      <x:c r="P315" t="n">
        <x:v>0</x:v>
      </x:c>
      <x:c r="Q315" t="n">
        <x:v>3</x:v>
      </x:c>
      <x:c r="R315" t="n">
        <x:v>9</x:v>
      </x:c>
      <x:c r="S315" t="n">
        <x:v>2</x:v>
      </x:c>
      <x:c r="T315" s="50" t="n">
        <x:f>IF(D315=0,"",H315/D315)</x:f>
        <x:v>0.03669724770642202</x:v>
      </x:c>
      <x:c r="U315" t="n">
        <x:f>MAX(I315:S315)</x:f>
        <x:v>569</x:v>
      </x:c>
      <x:c r="V315" t="n">
        <x:f>H315-U315</x:f>
        <x:v>-545</x:v>
      </x:c>
      <x:c r="W315" s="52" t="n">
        <x:f>IF(D315=0,"",(V315)/D315)</x:f>
        <x:v>-0.8333333333333334</x:v>
      </x:c>
      <x:c r="X315" t="str">
        <x:v>DHIRENDRA SINGH</x:v>
      </x:c>
      <x:c r="Y315" t="n">
        <x:f>D315-E315-F315</x:f>
        <x:v>0</x:v>
      </x:c>
    </x:row>
    <x:row r="316">
      <x:c r="A316" t="n">
        <x:v>308</x:v>
      </x:c>
      <x:c r="B316" t="str">
        <x:v>PRIMARY SCHOOL SIRSA MACHIPUR ROOM NO 2</x:v>
      </x:c>
      <x:c r="C316" t="n">
        <x:v>418</x:v>
      </x:c>
      <x:c r="D316" t="n">
        <x:v>351</x:v>
      </x:c>
      <x:c r="E316" t="n">
        <x:f>SUM(H316:S316)</x:f>
        <x:v>351</x:v>
      </x:c>
      <x:c r="F316" t="n">
        <x:v>0</x:v>
      </x:c>
      <x:c r="G316" s="50" t="n">
        <x:f>IF(C316="","",IFERROR(D316/C316,0))</x:f>
        <x:v>0.8397129186602871</x:v>
      </x:c>
      <x:c r="H316" s="36" t="n">
        <x:v>6</x:v>
      </x:c>
      <x:c r="I316" t="n">
        <x:v>311</x:v>
      </x:c>
      <x:c r="J316" t="n">
        <x:v>28</x:v>
      </x:c>
      <x:c r="K316" t="n">
        <x:v>3</x:v>
      </x:c>
      <x:c r="L316" t="n">
        <x:v>0</x:v>
      </x:c>
      <x:c r="M316" t="n">
        <x:v>0</x:v>
      </x:c>
      <x:c r="N316" t="n">
        <x:v>0</x:v>
      </x:c>
      <x:c r="O316" t="n">
        <x:v>1</x:v>
      </x:c>
      <x:c r="P316" t="n">
        <x:v>1</x:v>
      </x:c>
      <x:c r="Q316" t="n">
        <x:v>0</x:v>
      </x:c>
      <x:c r="R316" t="n">
        <x:v>1</x:v>
      </x:c>
      <x:c r="S316" t="n">
        <x:v>0</x:v>
      </x:c>
      <x:c r="T316" s="50" t="n">
        <x:f>IF(D316=0,"",H316/D316)</x:f>
        <x:v>0.017094017094017096</x:v>
      </x:c>
      <x:c r="U316" t="n">
        <x:f>MAX(I316:S316)</x:f>
        <x:v>311</x:v>
      </x:c>
      <x:c r="V316" t="n">
        <x:f>H316-U316</x:f>
        <x:v>-305</x:v>
      </x:c>
      <x:c r="W316" s="52" t="n">
        <x:f>IF(D316=0,"",(V316)/D316)</x:f>
        <x:v>-0.8689458689458689</x:v>
      </x:c>
      <x:c r="X316" t="str">
        <x:v>DHIRENDRA SINGH</x:v>
      </x:c>
      <x:c r="Y316" t="n">
        <x:f>D316-E316-F316</x:f>
        <x:v>0</x:v>
      </x:c>
    </x:row>
    <x:row r="317">
      <x:c r="A317" t="n">
        <x:v>309</x:v>
      </x:c>
      <x:c r="B317" t="str">
        <x:v>PRIMARY SCHOOL KISHOREPUR ROOM NO 1</x:v>
      </x:c>
      <x:c r="C317" t="n">
        <x:v>826</x:v>
      </x:c>
      <x:c r="D317" t="n">
        <x:v>643</x:v>
      </x:c>
      <x:c r="E317" t="n">
        <x:f>SUM(H317:S317)</x:f>
        <x:v>634</x:v>
      </x:c>
      <x:c r="F317" t="n">
        <x:v>9</x:v>
      </x:c>
      <x:c r="G317" s="50" t="n">
        <x:f>IF(C317="","",IFERROR(D317/C317,0))</x:f>
        <x:v>0.7784503631961259</x:v>
      </x:c>
      <x:c r="H317" s="36" t="n">
        <x:v>199</x:v>
      </x:c>
      <x:c r="I317" t="n">
        <x:v>130</x:v>
      </x:c>
      <x:c r="J317" t="n">
        <x:v>283</x:v>
      </x:c>
      <x:c r="K317" t="n">
        <x:v>12</x:v>
      </x:c>
      <x:c r="L317" t="n">
        <x:v>0</x:v>
      </x:c>
      <x:c r="M317" t="n">
        <x:v>3</x:v>
      </x:c>
      <x:c r="N317" t="n">
        <x:v>0</x:v>
      </x:c>
      <x:c r="O317" t="n">
        <x:v>0</x:v>
      </x:c>
      <x:c r="P317" t="n">
        <x:v>0</x:v>
      </x:c>
      <x:c r="Q317" t="n">
        <x:v>1</x:v>
      </x:c>
      <x:c r="R317" t="n">
        <x:v>5</x:v>
      </x:c>
      <x:c r="S317" t="n">
        <x:v>1</x:v>
      </x:c>
      <x:c r="T317" s="50" t="n">
        <x:f>IF(D317=0,"",H317/D317)</x:f>
        <x:v>0.3094867807153966</x:v>
      </x:c>
      <x:c r="U317" t="n">
        <x:f>MAX(I317:S317)</x:f>
        <x:v>283</x:v>
      </x:c>
      <x:c r="V317" t="n">
        <x:f>H317-U317</x:f>
        <x:v>-84</x:v>
      </x:c>
      <x:c r="W317" s="52" t="n">
        <x:f>IF(D317=0,"",(V317)/D317)</x:f>
        <x:v>-0.13063763608087092</x:v>
      </x:c>
      <x:c r="X317" t="str">
        <x:v>NARENDER KUMAR</x:v>
      </x:c>
      <x:c r="Y317" t="n">
        <x:f>D317-E317-F317</x:f>
        <x:v>0</x:v>
      </x:c>
    </x:row>
    <x:row r="318">
      <x:c r="A318" t="n">
        <x:v>310</x:v>
      </x:c>
      <x:c r="B318" t="str">
        <x:v>PRIMARY SCHOOL KISHOREPUR ROOM NO 2</x:v>
      </x:c>
      <x:c r="C318" t="n">
        <x:v>664</x:v>
      </x:c>
      <x:c r="D318" t="n">
        <x:v>455</x:v>
      </x:c>
      <x:c r="E318" t="n">
        <x:f>SUM(H318:S318)</x:f>
        <x:v>449</x:v>
      </x:c>
      <x:c r="F318" t="n">
        <x:v>6</x:v>
      </x:c>
      <x:c r="G318" s="50" t="n">
        <x:f>IF(C318="","",IFERROR(D318/C318,0))</x:f>
        <x:v>0.6852409638554217</x:v>
      </x:c>
      <x:c r="H318" s="36" t="n">
        <x:v>182</x:v>
      </x:c>
      <x:c r="I318" t="n">
        <x:v>209</x:v>
      </x:c>
      <x:c r="J318" t="n">
        <x:v>18</x:v>
      </x:c>
      <x:c r="K318" t="n">
        <x:v>29</x:v>
      </x:c>
      <x:c r="L318" t="n">
        <x:v>2</x:v>
      </x:c>
      <x:c r="M318" t="n">
        <x:v>1</x:v>
      </x:c>
      <x:c r="N318" t="n">
        <x:v>0</x:v>
      </x:c>
      <x:c r="O318" t="n">
        <x:v>0</x:v>
      </x:c>
      <x:c r="P318" t="n">
        <x:v>1</x:v>
      </x:c>
      <x:c r="Q318" t="n">
        <x:v>2</x:v>
      </x:c>
      <x:c r="R318" t="n">
        <x:v>1</x:v>
      </x:c>
      <x:c r="S318" t="n">
        <x:v>4</x:v>
      </x:c>
      <x:c r="T318" s="50" t="n">
        <x:f>IF(D318=0,"",H318/D318)</x:f>
        <x:v>0.4</x:v>
      </x:c>
      <x:c r="U318" t="n">
        <x:f>MAX(I318:S318)</x:f>
        <x:v>209</x:v>
      </x:c>
      <x:c r="V318" t="n">
        <x:f>H318-U318</x:f>
        <x:v>-27</x:v>
      </x:c>
      <x:c r="W318" s="52" t="n">
        <x:f>IF(D318=0,"",(V318)/D318)</x:f>
        <x:v>-0.05934065934065934</x:v>
      </x:c>
      <x:c r="X318" t="str">
        <x:v>DHIRENDRA SINGH</x:v>
      </x:c>
      <x:c r="Y318" t="n">
        <x:f>D318-E318-F318</x:f>
        <x:v>0</x:v>
      </x:c>
    </x:row>
    <x:row r="319">
      <x:c r="A319" t="n">
        <x:v>311</x:v>
      </x:c>
      <x:c r="B319" t="str">
        <x:v>PRIMARY SCHOOL SABOTA MUSTAFABAD ROOM NO 1</x:v>
      </x:c>
      <x:c r="C319" t="n">
        <x:v>909</x:v>
      </x:c>
      <x:c r="D319" t="n">
        <x:v>604</x:v>
      </x:c>
      <x:c r="E319" t="n">
        <x:f>SUM(H319:S319)</x:f>
        <x:v>597</x:v>
      </x:c>
      <x:c r="F319" t="n">
        <x:v>7</x:v>
      </x:c>
      <x:c r="G319" s="50" t="n">
        <x:f>IF(C319="","",IFERROR(D319/C319,0))</x:f>
        <x:v>0.6644664466446645</x:v>
      </x:c>
      <x:c r="H319" s="36" t="n">
        <x:v>58</x:v>
      </x:c>
      <x:c r="I319" t="n">
        <x:v>399</x:v>
      </x:c>
      <x:c r="J319" t="n">
        <x:v>103</x:v>
      </x:c>
      <x:c r="K319" t="n">
        <x:v>17</x:v>
      </x:c>
      <x:c r="L319" t="n">
        <x:v>2</x:v>
      </x:c>
      <x:c r="M319" t="n">
        <x:v>1</x:v>
      </x:c>
      <x:c r="N319" t="n">
        <x:v>0</x:v>
      </x:c>
      <x:c r="O319" t="n">
        <x:v>1</x:v>
      </x:c>
      <x:c r="P319" t="n">
        <x:v>0</x:v>
      </x:c>
      <x:c r="Q319" t="n">
        <x:v>1</x:v>
      </x:c>
      <x:c r="R319" t="n">
        <x:v>8</x:v>
      </x:c>
      <x:c r="S319" t="n">
        <x:v>7</x:v>
      </x:c>
      <x:c r="T319" s="50" t="n">
        <x:f>IF(D319=0,"",H319/D319)</x:f>
        <x:v>0.09602649006622517</x:v>
      </x:c>
      <x:c r="U319" t="n">
        <x:f>MAX(I319:S319)</x:f>
        <x:v>399</x:v>
      </x:c>
      <x:c r="V319" t="n">
        <x:f>H319-U319</x:f>
        <x:v>-341</x:v>
      </x:c>
      <x:c r="W319" s="52" t="n">
        <x:f>IF(D319=0,"",(V319)/D319)</x:f>
        <x:v>-0.5645695364238411</x:v>
      </x:c>
      <x:c r="X319" t="str">
        <x:v>DHIRENDRA SINGH</x:v>
      </x:c>
      <x:c r="Y319" t="n">
        <x:f>D319-E319-F319</x:f>
        <x:v>0</x:v>
      </x:c>
    </x:row>
    <x:row r="320">
      <x:c r="A320" t="n">
        <x:v>312</x:v>
      </x:c>
      <x:c r="B320" t="str">
        <x:v>PRIMARY SCHOOL SABOTA MUSTAFABAD ROOM NO 2</x:v>
      </x:c>
      <x:c r="C320" t="n">
        <x:v>839</x:v>
      </x:c>
      <x:c r="D320" t="n">
        <x:v>520</x:v>
      </x:c>
      <x:c r="E320" t="n">
        <x:f>SUM(H320:S320)</x:f>
        <x:v>517</x:v>
      </x:c>
      <x:c r="F320" t="n">
        <x:v>3</x:v>
      </x:c>
      <x:c r="G320" s="50" t="n">
        <x:f>IF(C320="","",IFERROR(D320/C320,0))</x:f>
        <x:v>0.6197854588796186</x:v>
      </x:c>
      <x:c r="H320" s="36" t="n">
        <x:v>75</x:v>
      </x:c>
      <x:c r="I320" t="n">
        <x:v>283</x:v>
      </x:c>
      <x:c r="J320" t="n">
        <x:v>143</x:v>
      </x:c>
      <x:c r="K320" t="n">
        <x:v>13</x:v>
      </x:c>
      <x:c r="L320" t="n">
        <x:v>0</x:v>
      </x:c>
      <x:c r="M320" t="n">
        <x:v>0</x:v>
      </x:c>
      <x:c r="N320" t="n">
        <x:v>1</x:v>
      </x:c>
      <x:c r="O320" t="n">
        <x:v>1</x:v>
      </x:c>
      <x:c r="P320" t="n">
        <x:v>0</x:v>
      </x:c>
      <x:c r="Q320" t="n">
        <x:v>0</x:v>
      </x:c>
      <x:c r="R320" t="n">
        <x:v>1</x:v>
      </x:c>
      <x:c r="S320" t="n">
        <x:v>0</x:v>
      </x:c>
      <x:c r="T320" s="50" t="n">
        <x:f>IF(D320=0,"",H320/D320)</x:f>
        <x:v>0.14423076923076922</x:v>
      </x:c>
      <x:c r="U320" t="n">
        <x:f>MAX(I320:S320)</x:f>
        <x:v>283</x:v>
      </x:c>
      <x:c r="V320" t="n">
        <x:f>H320-U320</x:f>
        <x:v>-208</x:v>
      </x:c>
      <x:c r="W320" s="52" t="n">
        <x:f>IF(D320=0,"",(V320)/D320)</x:f>
        <x:v>-0.4</x:v>
      </x:c>
      <x:c r="X320" t="str">
        <x:v>DHIRENDRA SINGH</x:v>
      </x:c>
      <x:c r="Y320" t="n">
        <x:f>D320-E320-F320</x:f>
        <x:v>0</x:v>
      </x:c>
    </x:row>
    <x:row r="321">
      <x:c r="A321" t="n">
        <x:v>313</x:v>
      </x:c>
      <x:c r="B321" t="str">
        <x:v>PRIMARY SCHOOL SABOTA MUSTAFABAD ROOM NO 3</x:v>
      </x:c>
      <x:c r="C321" t="n">
        <x:v>937</x:v>
      </x:c>
      <x:c r="D321" t="n">
        <x:v>617</x:v>
      </x:c>
      <x:c r="E321" t="n">
        <x:f>SUM(H321:S321)</x:f>
        <x:v>610</x:v>
      </x:c>
      <x:c r="F321" t="n">
        <x:v>7</x:v>
      </x:c>
      <x:c r="G321" s="50" t="n">
        <x:f>IF(C321="","",IFERROR(D321/C321,0))</x:f>
        <x:v>0.6584845250800427</x:v>
      </x:c>
      <x:c r="H321" s="36" t="n">
        <x:v>18</x:v>
      </x:c>
      <x:c r="I321" t="n">
        <x:v>136</x:v>
      </x:c>
      <x:c r="J321" t="n">
        <x:v>434</x:v>
      </x:c>
      <x:c r="K321" t="n">
        <x:v>8</x:v>
      </x:c>
      <x:c r="L321" t="n">
        <x:v>1</x:v>
      </x:c>
      <x:c r="M321" t="n">
        <x:v>2</x:v>
      </x:c>
      <x:c r="N321" t="n">
        <x:v>1</x:v>
      </x:c>
      <x:c r="O321" t="n">
        <x:v>1</x:v>
      </x:c>
      <x:c r="P321" t="n">
        <x:v>0</x:v>
      </x:c>
      <x:c r="Q321" t="n">
        <x:v>3</x:v>
      </x:c>
      <x:c r="R321" t="n">
        <x:v>3</x:v>
      </x:c>
      <x:c r="S321" t="n">
        <x:v>3</x:v>
      </x:c>
      <x:c r="T321" s="50" t="n">
        <x:f>IF(D321=0,"",H321/D321)</x:f>
        <x:v>0.029173419773095625</x:v>
      </x:c>
      <x:c r="U321" t="n">
        <x:f>MAX(I321:S321)</x:f>
        <x:v>434</x:v>
      </x:c>
      <x:c r="V321" t="n">
        <x:f>H321-U321</x:f>
        <x:v>-416</x:v>
      </x:c>
      <x:c r="W321" s="52" t="n">
        <x:f>IF(D321=0,"",(V321)/D321)</x:f>
        <x:v>-0.6742301458670988</x:v>
      </x:c>
      <x:c r="X321" t="str">
        <x:v>NARENDER KUMAR</x:v>
      </x:c>
      <x:c r="Y321" t="n">
        <x:f>D321-E321-F321</x:f>
        <x:v>0</x:v>
      </x:c>
    </x:row>
    <x:row r="322">
      <x:c r="A322" t="n">
        <x:v>314</x:v>
      </x:c>
      <x:c r="B322" t="str">
        <x:v>PRIMARY SCHOOL MUKIMPUR SHIVARA ROOM NO 1</x:v>
      </x:c>
      <x:c r="C322" t="n">
        <x:v>882</x:v>
      </x:c>
      <x:c r="D322" t="n">
        <x:v>534</x:v>
      </x:c>
      <x:c r="E322" t="n">
        <x:f>SUM(H322:S322)</x:f>
        <x:v>530</x:v>
      </x:c>
      <x:c r="F322" t="n">
        <x:v>4</x:v>
      </x:c>
      <x:c r="G322" s="50" t="n">
        <x:f>IF(C322="","",IFERROR(D322/C322,0))</x:f>
        <x:v>0.6054421768707483</x:v>
      </x:c>
      <x:c r="H322" s="36" t="n">
        <x:v>5</x:v>
      </x:c>
      <x:c r="I322" t="n">
        <x:v>507</x:v>
      </x:c>
      <x:c r="J322" t="n">
        <x:v>11</x:v>
      </x:c>
      <x:c r="K322" t="n">
        <x:v>2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1</x:v>
      </x:c>
      <x:c r="S322" t="n">
        <x:v>4</x:v>
      </x:c>
      <x:c r="T322" s="50" t="n">
        <x:f>IF(D322=0,"",H322/D322)</x:f>
        <x:v>0.009363295880149813</x:v>
      </x:c>
      <x:c r="U322" t="n">
        <x:f>MAX(I322:S322)</x:f>
        <x:v>507</x:v>
      </x:c>
      <x:c r="V322" t="n">
        <x:f>H322-U322</x:f>
        <x:v>-502</x:v>
      </x:c>
      <x:c r="W322" s="52" t="n">
        <x:f>IF(D322=0,"",(V322)/D322)</x:f>
        <x:v>-0.9400749063670412</x:v>
      </x:c>
      <x:c r="X322" t="str">
        <x:v>DHIRENDRA SINGH</x:v>
      </x:c>
      <x:c r="Y322" t="n">
        <x:f>D322-E322-F322</x:f>
        <x:v>0</x:v>
      </x:c>
    </x:row>
    <x:row r="323">
      <x:c r="A323" t="n">
        <x:v>315</x:v>
      </x:c>
      <x:c r="B323" t="str">
        <x:v>PRIMARY SCHOOL ALAUDDIN NAGAR AKA DUDHERA ROOM NO 1</x:v>
      </x:c>
      <x:c r="C323" t="n">
        <x:v>686</x:v>
      </x:c>
      <x:c r="D323" t="n">
        <x:v>491</x:v>
      </x:c>
      <x:c r="E323" t="n">
        <x:f>SUM(H323:S323)</x:f>
        <x:v>488</x:v>
      </x:c>
      <x:c r="F323" t="n">
        <x:v>3</x:v>
      </x:c>
      <x:c r="G323" s="50" t="n">
        <x:f>IF(C323="","",IFERROR(D323/C323,0))</x:f>
        <x:v>0.7157434402332361</x:v>
      </x:c>
      <x:c r="H323" s="36" t="n">
        <x:v>117</x:v>
      </x:c>
      <x:c r="I323" t="n">
        <x:v>308</x:v>
      </x:c>
      <x:c r="J323" t="n">
        <x:v>48</x:v>
      </x:c>
      <x:c r="K323" t="n">
        <x:v>6</x:v>
      </x:c>
      <x:c r="L323" t="n">
        <x:v>0</x:v>
      </x:c>
      <x:c r="M323" t="n">
        <x:v>0</x:v>
      </x:c>
      <x:c r="N323" t="n">
        <x:v>0</x:v>
      </x:c>
      <x:c r="O323" t="n">
        <x:v>2</x:v>
      </x:c>
      <x:c r="P323" t="n">
        <x:v>1</x:v>
      </x:c>
      <x:c r="Q323" t="n">
        <x:v>2</x:v>
      </x:c>
      <x:c r="R323" t="n">
        <x:v>2</x:v>
      </x:c>
      <x:c r="S323" t="n">
        <x:v>2</x:v>
      </x:c>
      <x:c r="T323" s="50" t="n">
        <x:f>IF(D323=0,"",H323/D323)</x:f>
        <x:v>0.23828920570264767</x:v>
      </x:c>
      <x:c r="U323" t="n">
        <x:f>MAX(I323:S323)</x:f>
        <x:v>308</x:v>
      </x:c>
      <x:c r="V323" t="n">
        <x:f>H323-U323</x:f>
        <x:v>-191</x:v>
      </x:c>
      <x:c r="W323" s="52" t="n">
        <x:f>IF(D323=0,"",(V323)/D323)</x:f>
        <x:v>-0.3890020366598778</x:v>
      </x:c>
      <x:c r="X323" t="str">
        <x:v>DHIRENDRA SINGH</x:v>
      </x:c>
      <x:c r="Y323" t="n">
        <x:f>D323-E323-F323</x:f>
        <x:v>0</x:v>
      </x:c>
    </x:row>
    <x:row r="324">
      <x:c r="A324" t="n">
        <x:v>316</x:v>
      </x:c>
      <x:c r="B324" t="str">
        <x:v>PRIMARY SCHOOL ALAUDDIN NAGAR AKA DUDHERA ROOM NO 2</x:v>
      </x:c>
      <x:c r="C324" t="n">
        <x:v>716</x:v>
      </x:c>
      <x:c r="D324" t="n">
        <x:v>536</x:v>
      </x:c>
      <x:c r="E324" t="n">
        <x:f>SUM(H324:S324)</x:f>
        <x:v>533</x:v>
      </x:c>
      <x:c r="F324" t="n">
        <x:v>3</x:v>
      </x:c>
      <x:c r="G324" s="50" t="n">
        <x:f>IF(C324="","",IFERROR(D324/C324,0))</x:f>
        <x:v>0.7486033519553073</x:v>
      </x:c>
      <x:c r="H324" s="36" t="n">
        <x:v>60</x:v>
      </x:c>
      <x:c r="I324" t="n">
        <x:v>84</x:v>
      </x:c>
      <x:c r="J324" t="n">
        <x:v>379</x:v>
      </x:c>
      <x:c r="K324" t="n">
        <x:v>6</x:v>
      </x:c>
      <x:c r="L324" t="n">
        <x:v>0</x:v>
      </x:c>
      <x:c r="M324" t="n">
        <x:v>1</x:v>
      </x:c>
      <x:c r="N324" t="n">
        <x:v>0</x:v>
      </x:c>
      <x:c r="O324" t="n">
        <x:v>0</x:v>
      </x:c>
      <x:c r="P324" t="n">
        <x:v>0</x:v>
      </x:c>
      <x:c r="Q324" t="n">
        <x:v>1</x:v>
      </x:c>
      <x:c r="R324" t="n">
        <x:v>1</x:v>
      </x:c>
      <x:c r="S324" t="n">
        <x:v>1</x:v>
      </x:c>
      <x:c r="T324" s="50" t="n">
        <x:f>IF(D324=0,"",H324/D324)</x:f>
        <x:v>0.11194029850746269</x:v>
      </x:c>
      <x:c r="U324" t="n">
        <x:f>MAX(I324:S324)</x:f>
        <x:v>379</x:v>
      </x:c>
      <x:c r="V324" t="n">
        <x:f>H324-U324</x:f>
        <x:v>-319</x:v>
      </x:c>
      <x:c r="W324" s="52" t="n">
        <x:f>IF(D324=0,"",(V324)/D324)</x:f>
        <x:v>-0.5951492537313433</x:v>
      </x:c>
      <x:c r="X324" t="str">
        <x:v>NARENDER KUMAR</x:v>
      </x:c>
      <x:c r="Y324" t="n">
        <x:f>D324-E324-F324</x:f>
        <x:v>0</x:v>
      </x:c>
    </x:row>
    <x:row r="325">
      <x:c r="A325" t="n">
        <x:v>317</x:v>
      </x:c>
      <x:c r="B325" t="str">
        <x:v>PRIMARY SCHOOL PAROHI ROOM NO 1</x:v>
      </x:c>
      <x:c r="C325" t="n">
        <x:v>342</x:v>
      </x:c>
      <x:c r="D325" t="n">
        <x:v>228</x:v>
      </x:c>
      <x:c r="E325" t="n">
        <x:f>SUM(H325:S325)</x:f>
        <x:v>228</x:v>
      </x:c>
      <x:c r="F325" t="n">
        <x:v>0</x:v>
      </x:c>
      <x:c r="G325" s="50" t="n">
        <x:f>IF(C325="","",IFERROR(D325/C325,0))</x:f>
        <x:v>0.6666666666666666</x:v>
      </x:c>
      <x:c r="H325" s="36" t="n">
        <x:v>11</x:v>
      </x:c>
      <x:c r="I325" t="n">
        <x:v>77</x:v>
      </x:c>
      <x:c r="J325" t="n">
        <x:v>139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1</x:v>
      </x:c>
      <x:c r="R325" t="n">
        <x:v>0</x:v>
      </x:c>
      <x:c r="S325" t="n">
        <x:v>0</x:v>
      </x:c>
      <x:c r="T325" s="50" t="n">
        <x:f>IF(D325=0,"",H325/D325)</x:f>
        <x:v>0.04824561403508772</x:v>
      </x:c>
      <x:c r="U325" t="n">
        <x:f>MAX(I325:S325)</x:f>
        <x:v>139</x:v>
      </x:c>
      <x:c r="V325" t="n">
        <x:f>H325-U325</x:f>
        <x:v>-128</x:v>
      </x:c>
      <x:c r="W325" s="52" t="n">
        <x:f>IF(D325=0,"",(V325)/D325)</x:f>
        <x:v>-0.5614035087719298</x:v>
      </x:c>
      <x:c r="X325" t="str">
        <x:v>NARENDER KUMAR</x:v>
      </x:c>
      <x:c r="Y325" t="n">
        <x:f>D325-E325-F325</x:f>
        <x:v>0</x:v>
      </x:c>
    </x:row>
    <x:row r="326">
      <x:c r="A326" t="n">
        <x:v>318</x:v>
      </x:c>
      <x:c r="B326" t="str">
        <x:v>PRIMARY SCHOOL BANWARIWAS NO. NO. 1</x:v>
      </x:c>
      <x:c r="C326" t="n">
        <x:v>769</x:v>
      </x:c>
      <x:c r="D326" t="n">
        <x:v>442</x:v>
      </x:c>
      <x:c r="E326" t="n">
        <x:f>SUM(H326:S326)</x:f>
        <x:v>442</x:v>
      </x:c>
      <x:c r="F326" t="n">
        <x:v>0</x:v>
      </x:c>
      <x:c r="G326" s="50" t="n">
        <x:f>IF(C326="","",IFERROR(D326/C326,0))</x:f>
        <x:v>0.5747724317295189</x:v>
      </x:c>
      <x:c r="H326" s="36" t="n">
        <x:v>140</x:v>
      </x:c>
      <x:c r="I326" t="n">
        <x:v>287</x:v>
      </x:c>
      <x:c r="J326" t="n">
        <x:v>6</x:v>
      </x:c>
      <x:c r="K326" t="n">
        <x:v>8</x:v>
      </x:c>
      <x:c r="L326" t="n">
        <x:v>0</x:v>
      </x:c>
      <x:c r="M326" t="n">
        <x:v>0</x:v>
      </x:c>
      <x:c r="N326" t="n">
        <x:v>0</x:v>
      </x:c>
      <x:c r="O326" t="n">
        <x:v>1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s="50" t="n">
        <x:f>IF(D326=0,"",H326/D326)</x:f>
        <x:v>0.3167420814479638</x:v>
      </x:c>
      <x:c r="U326" t="n">
        <x:f>MAX(I326:S326)</x:f>
        <x:v>287</x:v>
      </x:c>
      <x:c r="V326" t="n">
        <x:f>H326-U326</x:f>
        <x:v>-147</x:v>
      </x:c>
      <x:c r="W326" s="52" t="n">
        <x:f>IF(D326=0,"",(V326)/D326)</x:f>
        <x:v>-0.332579185520362</x:v>
      </x:c>
      <x:c r="X326" t="str">
        <x:v>DHIRENDRA SINGH</x:v>
      </x:c>
      <x:c r="Y326" t="n">
        <x:f>D326-E326-F326</x:f>
        <x:v>0</x:v>
      </x:c>
    </x:row>
    <x:row r="327">
      <x:c r="A327" t="n">
        <x:v>319</x:v>
      </x:c>
      <x:c r="B327" t="str">
        <x:v>PRIMARY SCHOOL BANWARIWAS NO. NO. 2</x:v>
      </x:c>
      <x:c r="C327" t="n">
        <x:v>608</x:v>
      </x:c>
      <x:c r="D327" t="n">
        <x:v>379</x:v>
      </x:c>
      <x:c r="E327" t="n">
        <x:f>SUM(H327:S327)</x:f>
        <x:v>377</x:v>
      </x:c>
      <x:c r="F327" t="n">
        <x:v>2</x:v>
      </x:c>
      <x:c r="G327" s="50" t="n">
        <x:f>IF(C327="","",IFERROR(D327/C327,0))</x:f>
        <x:v>0.6233552631578947</x:v>
      </x:c>
      <x:c r="H327" s="36" t="n">
        <x:v>107</x:v>
      </x:c>
      <x:c r="I327" t="n">
        <x:v>159</x:v>
      </x:c>
      <x:c r="J327" t="n">
        <x:v>105</x:v>
      </x:c>
      <x:c r="K327" t="n">
        <x:v>1</x:v>
      </x:c>
      <x:c r="L327" t="n">
        <x:v>1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2</x:v>
      </x:c>
      <x:c r="S327" t="n">
        <x:v>2</x:v>
      </x:c>
      <x:c r="T327" s="50" t="n">
        <x:f>IF(D327=0,"",H327/D327)</x:f>
        <x:v>0.28232189973614774</x:v>
      </x:c>
      <x:c r="U327" t="n">
        <x:f>MAX(I327:S327)</x:f>
        <x:v>159</x:v>
      </x:c>
      <x:c r="V327" t="n">
        <x:f>H327-U327</x:f>
        <x:v>-52</x:v>
      </x:c>
      <x:c r="W327" s="52" t="n">
        <x:f>IF(D327=0,"",(V327)/D327)</x:f>
        <x:v>-0.13720316622691292</x:v>
      </x:c>
      <x:c r="X327" t="str">
        <x:v>DHIRENDRA SINGH</x:v>
      </x:c>
      <x:c r="Y327" t="n">
        <x:f>D327-E327-F327</x:f>
        <x:v>0</x:v>
      </x:c>
    </x:row>
    <x:row r="328">
      <x:c r="A328" t="n">
        <x:v>320</x:v>
      </x:c>
      <x:c r="B328" t="str">
        <x:v>PRIMARY SCHOOL RAMNER ROOM NO 1</x:v>
      </x:c>
      <x:c r="C328" t="n">
        <x:v>667</x:v>
      </x:c>
      <x:c r="D328" t="n">
        <x:v>490</x:v>
      </x:c>
      <x:c r="E328" t="n">
        <x:f>SUM(H328:S328)</x:f>
        <x:v>488</x:v>
      </x:c>
      <x:c r="F328" t="n">
        <x:v>2</x:v>
      </x:c>
      <x:c r="G328" s="50" t="n">
        <x:f>IF(C328="","",IFERROR(D328/C328,0))</x:f>
        <x:v>0.7346326836581709</x:v>
      </x:c>
      <x:c r="H328" s="36" t="n">
        <x:v>5</x:v>
      </x:c>
      <x:c r="I328" t="n">
        <x:v>13</x:v>
      </x:c>
      <x:c r="J328" t="n">
        <x:v>462</x:v>
      </x:c>
      <x:c r="K328" t="n">
        <x:v>3</x:v>
      </x:c>
      <x:c r="L328" t="n">
        <x:v>2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n">
        <x:v>0</x:v>
      </x:c>
      <x:c r="R328" t="n">
        <x:v>1</x:v>
      </x:c>
      <x:c r="S328" t="n">
        <x:v>1</x:v>
      </x:c>
      <x:c r="T328" s="50" t="n">
        <x:f>IF(D328=0,"",H328/D328)</x:f>
        <x:v>0.01020408163265306</x:v>
      </x:c>
      <x:c r="U328" t="n">
        <x:f>MAX(I328:S328)</x:f>
        <x:v>462</x:v>
      </x:c>
      <x:c r="V328" t="n">
        <x:f>H328-U328</x:f>
        <x:v>-457</x:v>
      </x:c>
      <x:c r="W328" s="52" t="n">
        <x:f>IF(D328=0,"",(V328)/D328)</x:f>
        <x:v>-0.9326530612244898</x:v>
      </x:c>
      <x:c r="X328" t="str">
        <x:v>NARENDER KUMAR</x:v>
      </x:c>
      <x:c r="Y328" t="n">
        <x:f>D328-E328-F328</x:f>
        <x:v>0</x:v>
      </x:c>
    </x:row>
    <x:row r="329">
      <x:c r="A329" t="n">
        <x:v>321</x:v>
      </x:c>
      <x:c r="B329" t="str">
        <x:v>PRIMARY SCHOOL RAMNER ROOM NO 2</x:v>
      </x:c>
      <x:c r="C329" t="n">
        <x:v>621</x:v>
      </x:c>
      <x:c r="D329" t="n">
        <x:v>381</x:v>
      </x:c>
      <x:c r="E329" t="n">
        <x:f>SUM(H329:S329)</x:f>
        <x:v>377</x:v>
      </x:c>
      <x:c r="F329" t="n">
        <x:v>4</x:v>
      </x:c>
      <x:c r="G329" s="50" t="n">
        <x:f>IF(C329="","",IFERROR(D329/C329,0))</x:f>
        <x:v>0.6135265700483091</x:v>
      </x:c>
      <x:c r="H329" s="36" t="n">
        <x:v>24</x:v>
      </x:c>
      <x:c r="I329" t="n">
        <x:v>284</x:v>
      </x:c>
      <x:c r="J329" t="n">
        <x:v>63</x:v>
      </x:c>
      <x:c r="K329" t="n">
        <x:v>2</x:v>
      </x:c>
      <x:c r="L329" t="n">
        <x:v>1</x:v>
      </x:c>
      <x:c r="M329" t="n">
        <x:v>1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2</x:v>
      </x:c>
      <x:c r="T329" s="50" t="n">
        <x:f>IF(D329=0,"",H329/D329)</x:f>
        <x:v>0.06299212598425197</x:v>
      </x:c>
      <x:c r="U329" t="n">
        <x:f>MAX(I329:S329)</x:f>
        <x:v>284</x:v>
      </x:c>
      <x:c r="V329" t="n">
        <x:f>H329-U329</x:f>
        <x:v>-260</x:v>
      </x:c>
      <x:c r="W329" s="52" t="n">
        <x:f>IF(D329=0,"",(V329)/D329)</x:f>
        <x:v>-0.6824146981627297</x:v>
      </x:c>
      <x:c r="X329" t="str">
        <x:v>DHIRENDRA SINGH</x:v>
      </x:c>
      <x:c r="Y329" t="n">
        <x:f>D329-E329-F329</x:f>
        <x:v>0</x:v>
      </x:c>
    </x:row>
    <x:row r="330">
      <x:c r="A330" t="n">
        <x:v>322</x:v>
      </x:c>
      <x:c r="B330" t="str">
        <x:v>PRIMARY SCHOOL DHANASIYA ROOM NO 1</x:v>
      </x:c>
      <x:c r="C330" t="n">
        <x:v>840</x:v>
      </x:c>
      <x:c r="D330" t="n">
        <x:v>626</x:v>
      </x:c>
      <x:c r="E330" t="n">
        <x:f>SUM(H330:S330)</x:f>
        <x:v>624</x:v>
      </x:c>
      <x:c r="F330" t="n">
        <x:v>2</x:v>
      </x:c>
      <x:c r="G330" s="50" t="n">
        <x:f>IF(C330="","",IFERROR(D330/C330,0))</x:f>
        <x:v>0.7452380952380953</x:v>
      </x:c>
      <x:c r="H330" s="36" t="n">
        <x:v>8</x:v>
      </x:c>
      <x:c r="I330" t="n">
        <x:v>312</x:v>
      </x:c>
      <x:c r="J330" t="n">
        <x:v>298</x:v>
      </x:c>
      <x:c r="K330" t="n">
        <x:v>1</x:v>
      </x:c>
      <x:c r="L330" t="n">
        <x:v>0</x:v>
      </x:c>
      <x:c r="M330" t="n">
        <x:v>1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1</x:v>
      </x:c>
      <x:c r="S330" t="n">
        <x:v>3</x:v>
      </x:c>
      <x:c r="T330" s="50" t="n">
        <x:f>IF(D330=0,"",H330/D330)</x:f>
        <x:v>0.012779552715654952</x:v>
      </x:c>
      <x:c r="U330" t="n">
        <x:f>MAX(I330:S330)</x:f>
        <x:v>312</x:v>
      </x:c>
      <x:c r="V330" t="n">
        <x:f>H330-U330</x:f>
        <x:v>-304</x:v>
      </x:c>
      <x:c r="W330" s="52" t="n">
        <x:f>IF(D330=0,"",(V330)/D330)</x:f>
        <x:v>-0.48562300319488816</x:v>
      </x:c>
      <x:c r="X330" t="str">
        <x:v>DHIRENDRA SINGH</x:v>
      </x:c>
      <x:c r="Y330" t="n">
        <x:f>D330-E330-F330</x:f>
        <x:v>0</x:v>
      </x:c>
    </x:row>
    <x:row r="331">
      <x:c r="A331" t="n">
        <x:v>323</x:v>
      </x:c>
      <x:c r="B331" t="str">
        <x:v>PRIMARY SCHOOL DASTAMPUR ROOM NO 1</x:v>
      </x:c>
      <x:c r="C331" t="n">
        <x:v>713</x:v>
      </x:c>
      <x:c r="D331" t="n">
        <x:v>544</x:v>
      </x:c>
      <x:c r="E331" t="n">
        <x:f>SUM(H331:S331)</x:f>
        <x:v>541</x:v>
      </x:c>
      <x:c r="F331" t="n">
        <x:v>3</x:v>
      </x:c>
      <x:c r="G331" s="50" t="n">
        <x:f>IF(C331="","",IFERROR(D331/C331,0))</x:f>
        <x:v>0.7629733520336606</x:v>
      </x:c>
      <x:c r="H331" s="36" t="n">
        <x:v>30</x:v>
      </x:c>
      <x:c r="I331" t="n">
        <x:v>197</x:v>
      </x:c>
      <x:c r="J331" t="n">
        <x:v>304</x:v>
      </x:c>
      <x:c r="K331" t="n">
        <x:v>2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1</x:v>
      </x:c>
      <x:c r="R331" t="n">
        <x:v>2</x:v>
      </x:c>
      <x:c r="S331" t="n">
        <x:v>5</x:v>
      </x:c>
      <x:c r="T331" s="50" t="n">
        <x:f>IF(D331=0,"",H331/D331)</x:f>
        <x:v>0.05514705882352941</x:v>
      </x:c>
      <x:c r="U331" t="n">
        <x:f>MAX(I331:S331)</x:f>
        <x:v>304</x:v>
      </x:c>
      <x:c r="V331" t="n">
        <x:f>H331-U331</x:f>
        <x:v>-274</x:v>
      </x:c>
      <x:c r="W331" s="52" t="n">
        <x:f>IF(D331=0,"",(V331)/D331)</x:f>
        <x:v>-0.5036764705882353</x:v>
      </x:c>
      <x:c r="X331" t="str">
        <x:v>NARENDER KUMAR</x:v>
      </x:c>
      <x:c r="Y331" t="n">
        <x:f>D331-E331-F331</x:f>
        <x:v>0</x:v>
      </x:c>
    </x:row>
    <x:row r="332">
      <x:c r="A332" t="n">
        <x:v>324</x:v>
      </x:c>
      <x:c r="B332" t="str">
        <x:v>PRIMARY SCHOOL DASTAMPUR ROOM NO 2</x:v>
      </x:c>
      <x:c r="C332" t="n">
        <x:v>714</x:v>
      </x:c>
      <x:c r="D332" t="n">
        <x:v>545</x:v>
      </x:c>
      <x:c r="E332" t="n">
        <x:f>SUM(H332:S332)</x:f>
        <x:v>540</x:v>
      </x:c>
      <x:c r="F332" t="n">
        <x:v>5</x:v>
      </x:c>
      <x:c r="G332" s="50" t="n">
        <x:f>IF(C332="","",IFERROR(D332/C332,0))</x:f>
        <x:v>0.7633053221288515</x:v>
      </x:c>
      <x:c r="H332" s="36" t="n">
        <x:v>65</x:v>
      </x:c>
      <x:c r="I332" t="n">
        <x:v>289</x:v>
      </x:c>
      <x:c r="J332" t="n">
        <x:v>179</x:v>
      </x:c>
      <x:c r="K332" t="n">
        <x:v>2</x:v>
      </x:c>
      <x:c r="L332" t="n">
        <x:v>0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n">
        <x:v>0</x:v>
      </x:c>
      <x:c r="R332" t="n">
        <x:v>3</x:v>
      </x:c>
      <x:c r="S332" t="n">
        <x:v>1</x:v>
      </x:c>
      <x:c r="T332" s="50" t="n">
        <x:f>IF(D332=0,"",H332/D332)</x:f>
        <x:v>0.11926605504587157</x:v>
      </x:c>
      <x:c r="U332" t="n">
        <x:f>MAX(I332:S332)</x:f>
        <x:v>289</x:v>
      </x:c>
      <x:c r="V332" t="n">
        <x:f>H332-U332</x:f>
        <x:v>-224</x:v>
      </x:c>
      <x:c r="W332" s="52" t="n">
        <x:f>IF(D332=0,"",(V332)/D332)</x:f>
        <x:v>-0.41100917431192663</x:v>
      </x:c>
      <x:c r="X332" t="str">
        <x:v>DHIRENDRA SINGH</x:v>
      </x:c>
      <x:c r="Y332" t="n">
        <x:f>D332-E332-F332</x:f>
        <x:v>0</x:v>
      </x:c>
    </x:row>
    <x:row r="333">
      <x:c r="A333" t="n">
        <x:v>325</x:v>
      </x:c>
      <x:c r="B333" t="str">
        <x:v>PRIMARY SCHOOL MOHAWLIPUR ROOM NO 1</x:v>
      </x:c>
      <x:c r="C333" t="n">
        <x:v>589</x:v>
      </x:c>
      <x:c r="D333" t="n">
        <x:v>471</x:v>
      </x:c>
      <x:c r="E333" t="n">
        <x:f>SUM(H333:S333)</x:f>
        <x:v>471</x:v>
      </x:c>
      <x:c r="F333" t="n">
        <x:v>0</x:v>
      </x:c>
      <x:c r="G333" s="50" t="n">
        <x:f>IF(C333="","",IFERROR(D333/C333,0))</x:f>
        <x:v>0.799660441426146</x:v>
      </x:c>
      <x:c r="H333" s="36" t="n">
        <x:v>18</x:v>
      </x:c>
      <x:c r="I333" t="n">
        <x:v>399</x:v>
      </x:c>
      <x:c r="J333" t="n">
        <x:v>52</x:v>
      </x:c>
      <x:c r="K333" t="n">
        <x:v>1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1</x:v>
      </x:c>
      <x:c r="R333" t="n">
        <x:v>0</x:v>
      </x:c>
      <x:c r="S333" t="n">
        <x:v>0</x:v>
      </x:c>
      <x:c r="T333" s="50" t="n">
        <x:f>IF(D333=0,"",H333/D333)</x:f>
        <x:v>0.03821656050955414</x:v>
      </x:c>
      <x:c r="U333" t="n">
        <x:f>MAX(I333:S333)</x:f>
        <x:v>399</x:v>
      </x:c>
      <x:c r="V333" t="n">
        <x:f>H333-U333</x:f>
        <x:v>-381</x:v>
      </x:c>
      <x:c r="W333" s="52" t="n">
        <x:f>IF(D333=0,"",(V333)/D333)</x:f>
        <x:v>-0.8089171974522293</x:v>
      </x:c>
      <x:c r="X333" t="str">
        <x:v>DHIRENDRA SINGH</x:v>
      </x:c>
      <x:c r="Y333" t="n">
        <x:f>D333-E333-F333</x:f>
        <x:v>0</x:v>
      </x:c>
    </x:row>
    <x:row r="334">
      <x:c r="A334" t="n">
        <x:v>326</x:v>
      </x:c>
      <x:c r="B334" t="str">
        <x:v>PRIMARY SCHOOL MOHAWLIPUR ROOM NO 2</x:v>
      </x:c>
      <x:c r="C334" t="n">
        <x:v>606</x:v>
      </x:c>
      <x:c r="D334" t="n">
        <x:v>531</x:v>
      </x:c>
      <x:c r="E334" t="n">
        <x:f>SUM(H334:S334)</x:f>
        <x:v>531</x:v>
      </x:c>
      <x:c r="F334" t="n">
        <x:v>0</x:v>
      </x:c>
      <x:c r="G334" s="50" t="n">
        <x:f>IF(C334="","",IFERROR(D334/C334,0))</x:f>
        <x:v>0.8762376237623762</x:v>
      </x:c>
      <x:c r="H334" s="36" t="n">
        <x:v>49</x:v>
      </x:c>
      <x:c r="I334" t="n">
        <x:v>475</x:v>
      </x:c>
      <x:c r="J334" t="n">
        <x:v>3</x:v>
      </x:c>
      <x:c r="K334" t="n">
        <x:v>1</x:v>
      </x:c>
      <x:c r="L334" t="n">
        <x:v>0</x:v>
      </x:c>
      <x:c r="M334" t="n">
        <x:v>2</x:v>
      </x:c>
      <x:c r="N334" t="n">
        <x:v>1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s="50" t="n">
        <x:f>IF(D334=0,"",H334/D334)</x:f>
        <x:v>0.09227871939736347</x:v>
      </x:c>
      <x:c r="U334" t="n">
        <x:f>MAX(I334:S334)</x:f>
        <x:v>475</x:v>
      </x:c>
      <x:c r="V334" t="n">
        <x:f>H334-U334</x:f>
        <x:v>-426</x:v>
      </x:c>
      <x:c r="W334" s="52" t="n">
        <x:f>IF(D334=0,"",(V334)/D334)</x:f>
        <x:v>-0.8022598870056498</x:v>
      </x:c>
      <x:c r="X334" t="str">
        <x:v>DHIRENDRA SINGH</x:v>
      </x:c>
      <x:c r="Y334" t="n">
        <x:f>D334-E334-F334</x:f>
        <x:v>0</x:v>
      </x:c>
    </x:row>
    <x:row r="335">
      <x:c r="A335" t="n">
        <x:v>327</x:v>
      </x:c>
      <x:c r="B335" t="str">
        <x:v>PRIMARY SCHOOL MILK KARIMABAD ROOM NO 1</x:v>
      </x:c>
      <x:c r="C335" t="n">
        <x:v>276</x:v>
      </x:c>
      <x:c r="D335" t="n">
        <x:v>198</x:v>
      </x:c>
      <x:c r="E335" t="n">
        <x:f>SUM(H335:S335)</x:f>
        <x:v>197</x:v>
      </x:c>
      <x:c r="F335" t="n">
        <x:v>1</x:v>
      </x:c>
      <x:c r="G335" s="50" t="n">
        <x:f>IF(C335="","",IFERROR(D335/C335,0))</x:f>
        <x:v>0.717391304347826</x:v>
      </x:c>
      <x:c r="H335" s="36" t="n">
        <x:v>81</x:v>
      </x:c>
      <x:c r="I335" t="n">
        <x:v>106</x:v>
      </x:c>
      <x:c r="J335" t="n">
        <x:v>6</x:v>
      </x:c>
      <x:c r="K335" t="n">
        <x:v>1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1</x:v>
      </x:c>
      <x:c r="S335" t="n">
        <x:v>2</x:v>
      </x:c>
      <x:c r="T335" s="50" t="n">
        <x:f>IF(D335=0,"",H335/D335)</x:f>
        <x:v>0.4090909090909091</x:v>
      </x:c>
      <x:c r="U335" t="n">
        <x:f>MAX(I335:S335)</x:f>
        <x:v>106</x:v>
      </x:c>
      <x:c r="V335" t="n">
        <x:f>H335-U335</x:f>
        <x:v>-25</x:v>
      </x:c>
      <x:c r="W335" s="52" t="n">
        <x:f>IF(D335=0,"",(V335)/D335)</x:f>
        <x:v>-0.12626262626262627</x:v>
      </x:c>
      <x:c r="X335" t="str">
        <x:v>DHIRENDRA SINGH</x:v>
      </x:c>
      <x:c r="Y335" t="n">
        <x:f>D335-E335-F335</x:f>
        <x:v>0</x:v>
      </x:c>
    </x:row>
    <x:row r="336">
      <x:c r="A336" t="n">
        <x:v>328</x:v>
      </x:c>
      <x:c r="B336" t="str">
        <x:v>PRIMARY SCHOOL ALIAHMADPUR URF GARHI ROOM NO 1</x:v>
      </x:c>
      <x:c r="C336" t="n">
        <x:v>1053</x:v>
      </x:c>
      <x:c r="D336" t="n">
        <x:v>755</x:v>
      </x:c>
      <x:c r="E336" t="n">
        <x:f>SUM(H336:S336)</x:f>
        <x:v>750</x:v>
      </x:c>
      <x:c r="F336" t="n">
        <x:v>5</x:v>
      </x:c>
      <x:c r="G336" s="50" t="n">
        <x:f>IF(C336="","",IFERROR(D336/C336,0))</x:f>
        <x:v>0.7169990503323836</x:v>
      </x:c>
      <x:c r="H336" s="36" t="n">
        <x:v>67</x:v>
      </x:c>
      <x:c r="I336" t="n">
        <x:v>456</x:v>
      </x:c>
      <x:c r="J336" t="n">
        <x:v>212</x:v>
      </x:c>
      <x:c r="K336" t="n">
        <x:v>4</x:v>
      </x:c>
      <x:c r="L336" t="n">
        <x:v>1</x:v>
      </x:c>
      <x:c r="M336" t="n">
        <x:v>0</x:v>
      </x:c>
      <x:c r="N336" t="n">
        <x:v>2</x:v>
      </x:c>
      <x:c r="O336" t="n">
        <x:v>0</x:v>
      </x:c>
      <x:c r="P336" t="n">
        <x:v>1</x:v>
      </x:c>
      <x:c r="Q336" t="n">
        <x:v>1</x:v>
      </x:c>
      <x:c r="R336" t="n">
        <x:v>4</x:v>
      </x:c>
      <x:c r="S336" t="n">
        <x:v>2</x:v>
      </x:c>
      <x:c r="T336" s="50" t="n">
        <x:f>IF(D336=0,"",H336/D336)</x:f>
        <x:v>0.08874172185430464</x:v>
      </x:c>
      <x:c r="U336" t="n">
        <x:f>MAX(I336:S336)</x:f>
        <x:v>456</x:v>
      </x:c>
      <x:c r="V336" t="n">
        <x:f>H336-U336</x:f>
        <x:v>-389</x:v>
      </x:c>
      <x:c r="W336" s="52" t="n">
        <x:f>IF(D336=0,"",(V336)/D336)</x:f>
        <x:v>-0.5152317880794702</x:v>
      </x:c>
      <x:c r="X336" t="str">
        <x:v>DHIRENDRA SINGH</x:v>
      </x:c>
      <x:c r="Y336" t="n">
        <x:f>D336-E336-F336</x:f>
        <x:v>0</x:v>
      </x:c>
    </x:row>
    <x:row r="337">
      <x:c r="A337" t="n">
        <x:v>329</x:v>
      </x:c>
      <x:c r="B337" t="str">
        <x:v>PRIMARY SCHOOL NO 01 THORA ROOM NO 1</x:v>
      </x:c>
      <x:c r="C337" t="n">
        <x:v>1119</x:v>
      </x:c>
      <x:c r="D337" t="n">
        <x:v>886</x:v>
      </x:c>
      <x:c r="E337" t="n">
        <x:f>SUM(H337:S337)</x:f>
        <x:v>882</x:v>
      </x:c>
      <x:c r="F337" t="n">
        <x:v>4</x:v>
      </x:c>
      <x:c r="G337" s="50" t="n">
        <x:f>IF(C337="","",IFERROR(D337/C337,0))</x:f>
        <x:v>0.7917783735478106</x:v>
      </x:c>
      <x:c r="H337" s="36" t="n">
        <x:v>53</x:v>
      </x:c>
      <x:c r="I337" t="n">
        <x:v>777</x:v>
      </x:c>
      <x:c r="J337" t="n">
        <x:v>41</x:v>
      </x:c>
      <x:c r="K337" t="n">
        <x:v>3</x:v>
      </x:c>
      <x:c r="L337" t="n">
        <x:v>0</x:v>
      </x:c>
      <x:c r="M337" t="n">
        <x:v>4</x:v>
      </x:c>
      <x:c r="N337" t="n">
        <x:v>0</x:v>
      </x:c>
      <x:c r="O337" t="n">
        <x:v>0</x:v>
      </x:c>
      <x:c r="P337" t="n">
        <x:v>0</x:v>
      </x:c>
      <x:c r="Q337" t="n">
        <x:v>1</x:v>
      </x:c>
      <x:c r="R337" t="n">
        <x:v>3</x:v>
      </x:c>
      <x:c r="S337" t="n">
        <x:v>0</x:v>
      </x:c>
      <x:c r="T337" s="50" t="n">
        <x:f>IF(D337=0,"",H337/D337)</x:f>
        <x:v>0.05981941309255079</x:v>
      </x:c>
      <x:c r="U337" t="n">
        <x:f>MAX(I337:S337)</x:f>
        <x:v>777</x:v>
      </x:c>
      <x:c r="V337" t="n">
        <x:f>H337-U337</x:f>
        <x:v>-724</x:v>
      </x:c>
      <x:c r="W337" s="52" t="n">
        <x:f>IF(D337=0,"",(V337)/D337)</x:f>
        <x:v>-0.8171557562076749</x:v>
      </x:c>
      <x:c r="X337" t="str">
        <x:v>DHIRENDRA SINGH</x:v>
      </x:c>
      <x:c r="Y337" t="n">
        <x:f>D337-E337-F337</x:f>
        <x:v>0</x:v>
      </x:c>
    </x:row>
    <x:row r="338">
      <x:c r="A338" t="n">
        <x:v>330</x:v>
      </x:c>
      <x:c r="B338" t="str">
        <x:v>PRIMARY SCHOOL NO 01 THORA ROOM NO 2</x:v>
      </x:c>
      <x:c r="C338" t="n">
        <x:v>928</x:v>
      </x:c>
      <x:c r="D338" t="n">
        <x:v>661</x:v>
      </x:c>
      <x:c r="E338" t="n">
        <x:f>SUM(H338:S338)</x:f>
        <x:v>660</x:v>
      </x:c>
      <x:c r="F338" t="n">
        <x:v>1</x:v>
      </x:c>
      <x:c r="G338" s="50" t="n">
        <x:f>IF(C338="","",IFERROR(D338/C338,0))</x:f>
        <x:v>0.7122844827586207</x:v>
      </x:c>
      <x:c r="H338" s="36" t="n">
        <x:v>56</x:v>
      </x:c>
      <x:c r="I338" t="n">
        <x:v>593</x:v>
      </x:c>
      <x:c r="J338" t="n">
        <x:v>6</x:v>
      </x:c>
      <x:c r="K338" t="n">
        <x:v>3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2</x:v>
      </x:c>
      <x:c r="T338" s="50" t="n">
        <x:f>IF(D338=0,"",H338/D338)</x:f>
        <x:v>0.08472012102874432</x:v>
      </x:c>
      <x:c r="U338" t="n">
        <x:f>MAX(I338:S338)</x:f>
        <x:v>593</x:v>
      </x:c>
      <x:c r="V338" t="n">
        <x:f>H338-U338</x:f>
        <x:v>-537</x:v>
      </x:c>
      <x:c r="W338" s="52" t="n">
        <x:f>IF(D338=0,"",(V338)/D338)</x:f>
        <x:v>-0.8124054462934948</x:v>
      </x:c>
      <x:c r="X338" t="str">
        <x:v>DHIRENDRA SINGH</x:v>
      </x:c>
      <x:c r="Y338" t="n">
        <x:f>D338-E338-F338</x:f>
        <x:v>0</x:v>
      </x:c>
    </x:row>
    <x:row r="339">
      <x:c r="A339" t="n">
        <x:v>331</x:v>
      </x:c>
      <x:c r="B339" t="str">
        <x:v>PRIMARY SCHOOL NO 01 THORA ROOM NO 3</x:v>
      </x:c>
      <x:c r="C339" t="n">
        <x:v>913</x:v>
      </x:c>
      <x:c r="D339" t="n">
        <x:v>695</x:v>
      </x:c>
      <x:c r="E339" t="n">
        <x:f>SUM(H339:S339)</x:f>
        <x:v>693</x:v>
      </x:c>
      <x:c r="F339" t="n">
        <x:v>2</x:v>
      </x:c>
      <x:c r="G339" s="50" t="n">
        <x:f>IF(C339="","",IFERROR(D339/C339,0))</x:f>
        <x:v>0.7612267250821467</x:v>
      </x:c>
      <x:c r="H339" s="36" t="n">
        <x:v>71</x:v>
      </x:c>
      <x:c r="I339" t="n">
        <x:v>595</x:v>
      </x:c>
      <x:c r="J339" t="n">
        <x:v>21</x:v>
      </x:c>
      <x:c r="K339" t="n">
        <x:v>2</x:v>
      </x:c>
      <x:c r="L339" t="n">
        <x:v>0</x:v>
      </x:c>
      <x:c r="M339" t="n">
        <x:v>0</x:v>
      </x:c>
      <x:c r="N339" t="n">
        <x:v>1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3</x:v>
      </x:c>
      <x:c r="T339" s="50" t="n">
        <x:f>IF(D339=0,"",H339/D339)</x:f>
        <x:v>0.10215827338129496</x:v>
      </x:c>
      <x:c r="U339" t="n">
        <x:f>MAX(I339:S339)</x:f>
        <x:v>595</x:v>
      </x:c>
      <x:c r="V339" t="n">
        <x:f>H339-U339</x:f>
        <x:v>-524</x:v>
      </x:c>
      <x:c r="W339" s="52" t="n">
        <x:f>IF(D339=0,"",(V339)/D339)</x:f>
        <x:v>-0.753956834532374</x:v>
      </x:c>
      <x:c r="X339" t="str">
        <x:v>DHIRENDRA SINGH</x:v>
      </x:c>
      <x:c r="Y339" t="n">
        <x:f>D339-E339-F339</x:f>
        <x:v>0</x:v>
      </x:c>
    </x:row>
    <x:row r="340">
      <x:c r="A340" t="n">
        <x:v>332</x:v>
      </x:c>
      <x:c r="B340" t="str">
        <x:v>PRIMARY SCHOOL NO 02 THORA ROOM NO 1</x:v>
      </x:c>
      <x:c r="C340" t="n">
        <x:v>752</x:v>
      </x:c>
      <x:c r="D340" t="n">
        <x:v>515</x:v>
      </x:c>
      <x:c r="E340" t="n">
        <x:f>SUM(H340:S340)</x:f>
        <x:v>507</x:v>
      </x:c>
      <x:c r="F340" t="n">
        <x:v>8</x:v>
      </x:c>
      <x:c r="G340" s="50" t="n">
        <x:f>IF(C340="","",IFERROR(D340/C340,0))</x:f>
        <x:v>0.6848404255319149</x:v>
      </x:c>
      <x:c r="H340" s="36" t="n">
        <x:v>37</x:v>
      </x:c>
      <x:c r="I340" t="n">
        <x:v>257</x:v>
      </x:c>
      <x:c r="J340" t="n">
        <x:v>199</x:v>
      </x:c>
      <x:c r="K340" t="n">
        <x:v>2</x:v>
      </x:c>
      <x:c r="L340" t="n">
        <x:v>1</x:v>
      </x:c>
      <x:c r="M340" t="n">
        <x:v>0</x:v>
      </x:c>
      <x:c r="N340" t="n">
        <x:v>0</x:v>
      </x:c>
      <x:c r="O340" t="n">
        <x:v>2</x:v>
      </x:c>
      <x:c r="P340" t="n">
        <x:v>0</x:v>
      </x:c>
      <x:c r="Q340" t="n">
        <x:v>1</x:v>
      </x:c>
      <x:c r="R340" t="n">
        <x:v>6</x:v>
      </x:c>
      <x:c r="S340" t="n">
        <x:v>2</x:v>
      </x:c>
      <x:c r="T340" s="50" t="n">
        <x:f>IF(D340=0,"",H340/D340)</x:f>
        <x:v>0.07184466019417475</x:v>
      </x:c>
      <x:c r="U340" t="n">
        <x:f>MAX(I340:S340)</x:f>
        <x:v>257</x:v>
      </x:c>
      <x:c r="V340" t="n">
        <x:f>H340-U340</x:f>
        <x:v>-220</x:v>
      </x:c>
      <x:c r="W340" s="52" t="n">
        <x:f>IF(D340=0,"",(V340)/D340)</x:f>
        <x:v>-0.42718446601941745</x:v>
      </x:c>
      <x:c r="X340" t="str">
        <x:v>DHIRENDRA SINGH</x:v>
      </x:c>
      <x:c r="Y340" t="n">
        <x:f>D340-E340-F340</x:f>
        <x:v>0</x:v>
      </x:c>
    </x:row>
    <x:row r="341">
      <x:c r="A341" t="n">
        <x:v>333</x:v>
      </x:c>
      <x:c r="B341" t="str">
        <x:v>PRIMARY SCHOOL NO 02 THORA ROOM NO 2</x:v>
      </x:c>
      <x:c r="C341" t="n">
        <x:v>870</x:v>
      </x:c>
      <x:c r="D341" t="n">
        <x:v>633</x:v>
      </x:c>
      <x:c r="E341" t="n">
        <x:f>SUM(H341:S341)</x:f>
        <x:v>628</x:v>
      </x:c>
      <x:c r="F341" t="n">
        <x:v>5</x:v>
      </x:c>
      <x:c r="G341" s="50" t="n">
        <x:f>IF(C341="","",IFERROR(D341/C341,0))</x:f>
        <x:v>0.7275862068965517</x:v>
      </x:c>
      <x:c r="H341" s="36" t="n">
        <x:v>106</x:v>
      </x:c>
      <x:c r="I341" t="n">
        <x:v>289</x:v>
      </x:c>
      <x:c r="J341" t="n">
        <x:v>219</x:v>
      </x:c>
      <x:c r="K341" t="n">
        <x:v>3</x:v>
      </x:c>
      <x:c r="L341" t="n">
        <x:v>0</x:v>
      </x:c>
      <x:c r="M341" t="n">
        <x:v>2</x:v>
      </x:c>
      <x:c r="N341" t="n">
        <x:v>0</x:v>
      </x:c>
      <x:c r="O341" t="n">
        <x:v>0</x:v>
      </x:c>
      <x:c r="P341" t="n">
        <x:v>0</x:v>
      </x:c>
      <x:c r="Q341" t="n">
        <x:v>2</x:v>
      </x:c>
      <x:c r="R341" t="n">
        <x:v>5</x:v>
      </x:c>
      <x:c r="S341" t="n">
        <x:v>2</x:v>
      </x:c>
      <x:c r="T341" s="50" t="n">
        <x:f>IF(D341=0,"",H341/D341)</x:f>
        <x:v>0.1674565560821485</x:v>
      </x:c>
      <x:c r="U341" t="n">
        <x:f>MAX(I341:S341)</x:f>
        <x:v>289</x:v>
      </x:c>
      <x:c r="V341" t="n">
        <x:f>H341-U341</x:f>
        <x:v>-183</x:v>
      </x:c>
      <x:c r="W341" s="52" t="n">
        <x:f>IF(D341=0,"",(V341)/D341)</x:f>
        <x:v>-0.2890995260663507</x:v>
      </x:c>
      <x:c r="X341" t="str">
        <x:v>DHIRENDRA SINGH</x:v>
      </x:c>
      <x:c r="Y341" t="n">
        <x:f>D341-E341-F341</x:f>
        <x:v>0</x:v>
      </x:c>
    </x:row>
    <x:row r="342">
      <x:c r="A342" t="n">
        <x:v>334</x:v>
      </x:c>
      <x:c r="B342" t="str">
        <x:v>PRIMARY SCHOOL BANKAPUR ROOM NO 1</x:v>
      </x:c>
      <x:c r="C342" t="n">
        <x:v>774</x:v>
      </x:c>
      <x:c r="D342" t="n">
        <x:v>547</x:v>
      </x:c>
      <x:c r="E342" t="n">
        <x:f>SUM(H342:S342)</x:f>
        <x:v>547</x:v>
      </x:c>
      <x:c r="F342" t="n">
        <x:v>0</x:v>
      </x:c>
      <x:c r="G342" s="50" t="n">
        <x:f>IF(C342="","",IFERROR(D342/C342,0))</x:f>
        <x:v>0.7067183462532299</x:v>
      </x:c>
      <x:c r="H342" s="36" t="n">
        <x:v>41</x:v>
      </x:c>
      <x:c r="I342" t="n">
        <x:v>468</x:v>
      </x:c>
      <x:c r="J342" t="n">
        <x:v>32</x:v>
      </x:c>
      <x:c r="K342" t="n">
        <x:v>1</x:v>
      </x:c>
      <x:c r="L342" t="n">
        <x:v>2</x:v>
      </x:c>
      <x:c r="M342" t="n">
        <x:v>0</x:v>
      </x:c>
      <x:c r="N342" t="n">
        <x:v>1</x:v>
      </x:c>
      <x:c r="O342" t="n">
        <x:v>1</x:v>
      </x:c>
      <x:c r="P342" t="n">
        <x:v>0</x:v>
      </x:c>
      <x:c r="Q342" t="n">
        <x:v>0</x:v>
      </x:c>
      <x:c r="R342" t="n">
        <x:v>1</x:v>
      </x:c>
      <x:c r="S342" t="n">
        <x:v>0</x:v>
      </x:c>
      <x:c r="T342" s="50" t="n">
        <x:f>IF(D342=0,"",H342/D342)</x:f>
        <x:v>0.07495429616087751</x:v>
      </x:c>
      <x:c r="U342" t="n">
        <x:f>MAX(I342:S342)</x:f>
        <x:v>468</x:v>
      </x:c>
      <x:c r="V342" t="n">
        <x:f>H342-U342</x:f>
        <x:v>-427</x:v>
      </x:c>
      <x:c r="W342" s="52" t="n">
        <x:f>IF(D342=0,"",(V342)/D342)</x:f>
        <x:v>-0.7806215722120659</x:v>
      </x:c>
      <x:c r="X342" t="str">
        <x:v>DHIRENDRA SINGH</x:v>
      </x:c>
      <x:c r="Y342" t="n">
        <x:f>D342-E342-F342</x:f>
        <x:v>0</x:v>
      </x:c>
    </x:row>
    <x:row r="343">
      <x:c r="A343" t="n">
        <x:v>335</x:v>
      </x:c>
      <x:c r="B343" t="str">
        <x:v>PRIMARY SCHOOL BANKAPUR ROOM NO 2</x:v>
      </x:c>
      <x:c r="C343" t="n">
        <x:v>655</x:v>
      </x:c>
      <x:c r="D343" t="n">
        <x:v>470</x:v>
      </x:c>
      <x:c r="E343" t="n">
        <x:f>SUM(H343:S343)</x:f>
        <x:v>467</x:v>
      </x:c>
      <x:c r="F343" t="n">
        <x:v>3</x:v>
      </x:c>
      <x:c r="G343" s="50" t="n">
        <x:f>IF(C343="","",IFERROR(D343/C343,0))</x:f>
        <x:v>0.7175572519083969</x:v>
      </x:c>
      <x:c r="H343" s="36" t="n">
        <x:v>49</x:v>
      </x:c>
      <x:c r="I343" t="n">
        <x:v>266</x:v>
      </x:c>
      <x:c r="J343" t="n">
        <x:v>138</x:v>
      </x:c>
      <x:c r="K343" t="n">
        <x:v>3</x:v>
      </x:c>
      <x:c r="L343" t="n">
        <x:v>0</x:v>
      </x:c>
      <x:c r="M343" t="n">
        <x:v>2</x:v>
      </x:c>
      <x:c r="N343" t="n">
        <x:v>0</x:v>
      </x:c>
      <x:c r="O343" t="n">
        <x:v>1</x:v>
      </x:c>
      <x:c r="P343" t="n">
        <x:v>0</x:v>
      </x:c>
      <x:c r="Q343" t="n">
        <x:v>1</x:v>
      </x:c>
      <x:c r="R343" t="n">
        <x:v>1</x:v>
      </x:c>
      <x:c r="S343" t="n">
        <x:v>6</x:v>
      </x:c>
      <x:c r="T343" s="50" t="n">
        <x:f>IF(D343=0,"",H343/D343)</x:f>
        <x:v>0.10425531914893617</x:v>
      </x:c>
      <x:c r="U343" t="n">
        <x:f>MAX(I343:S343)</x:f>
        <x:v>266</x:v>
      </x:c>
      <x:c r="V343" t="n">
        <x:f>H343-U343</x:f>
        <x:v>-217</x:v>
      </x:c>
      <x:c r="W343" s="52" t="n">
        <x:f>IF(D343=0,"",(V343)/D343)</x:f>
        <x:v>-0.46170212765957447</x:v>
      </x:c>
      <x:c r="X343" t="str">
        <x:v>DHIRENDRA SINGH</x:v>
      </x:c>
      <x:c r="Y343" t="n">
        <x:f>D343-E343-F343</x:f>
        <x:v>0</x:v>
      </x:c>
    </x:row>
    <x:row r="344">
      <x:c r="A344" t="n">
        <x:v>336</x:v>
      </x:c>
      <x:c r="B344" t="str">
        <x:v>PRIMARY SCHOOL NEEMKA SHAHJAHANPUR ROOM NO 1</x:v>
      </x:c>
      <x:c r="C344" t="n">
        <x:v>1061</x:v>
      </x:c>
      <x:c r="D344" t="n">
        <x:v>776</x:v>
      </x:c>
      <x:c r="E344" t="n">
        <x:f>SUM(H344:S344)</x:f>
        <x:v>773</x:v>
      </x:c>
      <x:c r="F344" t="n">
        <x:v>3</x:v>
      </x:c>
      <x:c r="G344" s="50" t="n">
        <x:f>IF(C344="","",IFERROR(D344/C344,0))</x:f>
        <x:v>0.7313854853911405</x:v>
      </x:c>
      <x:c r="H344" s="36" t="n">
        <x:v>100</x:v>
      </x:c>
      <x:c r="I344" t="n">
        <x:v>239</x:v>
      </x:c>
      <x:c r="J344" t="n">
        <x:v>414</x:v>
      </x:c>
      <x:c r="K344" t="n">
        <x:v>7</x:v>
      </x:c>
      <x:c r="L344" t="n">
        <x:v>1</x:v>
      </x:c>
      <x:c r="M344" t="n">
        <x:v>2</x:v>
      </x:c>
      <x:c r="N344" t="n">
        <x:v>0</x:v>
      </x:c>
      <x:c r="O344" t="n">
        <x:v>2</x:v>
      </x:c>
      <x:c r="P344" t="n">
        <x:v>0</x:v>
      </x:c>
      <x:c r="Q344" t="n">
        <x:v>0</x:v>
      </x:c>
      <x:c r="R344" t="n">
        <x:v>5</x:v>
      </x:c>
      <x:c r="S344" t="n">
        <x:v>3</x:v>
      </x:c>
      <x:c r="T344" s="50" t="n">
        <x:f>IF(D344=0,"",H344/D344)</x:f>
        <x:v>0.12886597938144329</x:v>
      </x:c>
      <x:c r="U344" t="n">
        <x:f>MAX(I344:S344)</x:f>
        <x:v>414</x:v>
      </x:c>
      <x:c r="V344" t="n">
        <x:f>H344-U344</x:f>
        <x:v>-314</x:v>
      </x:c>
      <x:c r="W344" s="52" t="n">
        <x:f>IF(D344=0,"",(V344)/D344)</x:f>
        <x:v>-0.40463917525773196</x:v>
      </x:c>
      <x:c r="X344" t="str">
        <x:v>NARENDER KUMAR</x:v>
      </x:c>
      <x:c r="Y344" t="n">
        <x:f>D344-E344-F344</x:f>
        <x:v>0</x:v>
      </x:c>
    </x:row>
    <x:row r="345">
      <x:c r="A345" t="n">
        <x:v>337</x:v>
      </x:c>
      <x:c r="B345" t="str">
        <x:v>PRIMARY SCHOOL NEEMKA SHAHJAHANPUR ROOM NO 2</x:v>
      </x:c>
      <x:c r="C345" t="n">
        <x:v>984</x:v>
      </x:c>
      <x:c r="D345" t="n">
        <x:v>701</x:v>
      </x:c>
      <x:c r="E345" t="n">
        <x:f>SUM(H345:S345)</x:f>
        <x:v>696</x:v>
      </x:c>
      <x:c r="F345" t="n">
        <x:v>5</x:v>
      </x:c>
      <x:c r="G345" s="50" t="n">
        <x:f>IF(C345="","",IFERROR(D345/C345,0))</x:f>
        <x:v>0.7123983739837398</x:v>
      </x:c>
      <x:c r="H345" s="36" t="n">
        <x:v>217</x:v>
      </x:c>
      <x:c r="I345" t="n">
        <x:v>463</x:v>
      </x:c>
      <x:c r="J345" t="n">
        <x:v>10</x:v>
      </x:c>
      <x:c r="K345" t="n">
        <x:v>3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1</x:v>
      </x:c>
      <x:c r="S345" t="n">
        <x:v>2</x:v>
      </x:c>
      <x:c r="T345" s="50" t="n">
        <x:f>IF(D345=0,"",H345/D345)</x:f>
        <x:v>0.3095577746077033</x:v>
      </x:c>
      <x:c r="U345" t="n">
        <x:f>MAX(I345:S345)</x:f>
        <x:v>463</x:v>
      </x:c>
      <x:c r="V345" t="n">
        <x:f>H345-U345</x:f>
        <x:v>-246</x:v>
      </x:c>
      <x:c r="W345" s="52" t="n">
        <x:f>IF(D345=0,"",(V345)/D345)</x:f>
        <x:v>-0.3509272467902996</x:v>
      </x:c>
      <x:c r="X345" t="str">
        <x:v>DHIRENDRA SINGH</x:v>
      </x:c>
      <x:c r="Y345" t="n">
        <x:f>D345-E345-F345</x:f>
        <x:v>0</x:v>
      </x:c>
    </x:row>
    <x:row r="346">
      <x:c r="A346" t="n">
        <x:v>338</x:v>
      </x:c>
      <x:c r="B346" t="str">
        <x:v>JUNIOR HIGH SCHOOL NEEMKA SHAHJAHANPUR ROOM NO 1</x:v>
      </x:c>
      <x:c r="C346" t="n">
        <x:v>667</x:v>
      </x:c>
      <x:c r="D346" t="n">
        <x:v>466</x:v>
      </x:c>
      <x:c r="E346" t="n">
        <x:f>SUM(H346:S346)</x:f>
        <x:v>466</x:v>
      </x:c>
      <x:c r="F346" t="n">
        <x:v>0</x:v>
      </x:c>
      <x:c r="G346" s="50" t="n">
        <x:f>IF(C346="","",IFERROR(D346/C346,0))</x:f>
        <x:v>0.6986506746626686</x:v>
      </x:c>
      <x:c r="H346" s="36" t="n">
        <x:v>112</x:v>
      </x:c>
      <x:c r="I346" t="n">
        <x:v>266</x:v>
      </x:c>
      <x:c r="J346" t="n">
        <x:v>79</x:v>
      </x:c>
      <x:c r="K346" t="n">
        <x:v>5</x:v>
      </x:c>
      <x:c r="L346" t="n">
        <x:v>1</x:v>
      </x:c>
      <x:c r="M346" t="n">
        <x:v>3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s="50" t="n">
        <x:f>IF(D346=0,"",H346/D346)</x:f>
        <x:v>0.24034334763948498</x:v>
      </x:c>
      <x:c r="U346" t="n">
        <x:f>MAX(I346:S346)</x:f>
        <x:v>266</x:v>
      </x:c>
      <x:c r="V346" t="n">
        <x:f>H346-U346</x:f>
        <x:v>-154</x:v>
      </x:c>
      <x:c r="W346" s="52" t="n">
        <x:f>IF(D346=0,"",(V346)/D346)</x:f>
        <x:v>-0.33047210300429186</x:v>
      </x:c>
      <x:c r="X346" t="str">
        <x:v>DHIRENDRA SINGH</x:v>
      </x:c>
      <x:c r="Y346" t="n">
        <x:f>D346-E346-F346</x:f>
        <x:v>0</x:v>
      </x:c>
    </x:row>
    <x:row r="347">
      <x:c r="A347" t="n">
        <x:v>339</x:v>
      </x:c>
      <x:c r="B347" t="str">
        <x:v>PRIMARY SCHOOL SADULLAPUR ALIAS MADALPUR ROOM NO. 1</x:v>
      </x:c>
      <x:c r="C347" t="n">
        <x:v>843</x:v>
      </x:c>
      <x:c r="D347" t="n">
        <x:v>565</x:v>
      </x:c>
      <x:c r="E347" t="n">
        <x:f>SUM(H347:S347)</x:f>
        <x:v>561</x:v>
      </x:c>
      <x:c r="F347" t="n">
        <x:v>4</x:v>
      </x:c>
      <x:c r="G347" s="50" t="n">
        <x:f>IF(C347="","",IFERROR(D347/C347,0))</x:f>
        <x:v>0.6702253855278766</x:v>
      </x:c>
      <x:c r="H347" s="36" t="n">
        <x:v>109</x:v>
      </x:c>
      <x:c r="I347" t="n">
        <x:v>431</x:v>
      </x:c>
      <x:c r="J347" t="n">
        <x:v>6</x:v>
      </x:c>
      <x:c r="K347" t="n">
        <x:v>3</x:v>
      </x:c>
      <x:c r="L347" t="n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n">
        <x:v>0</x:v>
      </x:c>
      <x:c r="R347" t="n">
        <x:v>1</x:v>
      </x:c>
      <x:c r="S347" t="n">
        <x:v>9</x:v>
      </x:c>
      <x:c r="T347" s="50" t="n">
        <x:f>IF(D347=0,"",H347/D347)</x:f>
        <x:v>0.1929203539823009</x:v>
      </x:c>
      <x:c r="U347" t="n">
        <x:f>MAX(I347:S347)</x:f>
        <x:v>431</x:v>
      </x:c>
      <x:c r="V347" t="n">
        <x:f>H347-U347</x:f>
        <x:v>-322</x:v>
      </x:c>
      <x:c r="W347" s="52" t="n">
        <x:f>IF(D347=0,"",(V347)/D347)</x:f>
        <x:v>-0.5699115044247788</x:v>
      </x:c>
      <x:c r="X347" t="str">
        <x:v>DHIRENDRA SINGH</x:v>
      </x:c>
      <x:c r="Y347" t="n">
        <x:f>D347-E347-F347</x:f>
        <x:v>0</x:v>
      </x:c>
    </x:row>
    <x:row r="348">
      <x:c r="A348" t="n">
        <x:v>340</x:v>
      </x:c>
      <x:c r="B348" t="str">
        <x:v>PRIMARY SCHOOL KHWAJPUR ROOM NO 1</x:v>
      </x:c>
      <x:c r="C348" t="n">
        <x:v>911</x:v>
      </x:c>
      <x:c r="D348" t="n">
        <x:v>641</x:v>
      </x:c>
      <x:c r="E348" t="n">
        <x:f>SUM(H348:S348)</x:f>
        <x:v>641</x:v>
      </x:c>
      <x:c r="F348" t="n">
        <x:v>0</x:v>
      </x:c>
      <x:c r="G348" s="50" t="n">
        <x:f>IF(C348="","",IFERROR(D348/C348,0))</x:f>
        <x:v>0.703622392974753</x:v>
      </x:c>
      <x:c r="H348" s="36" t="n">
        <x:v>180</x:v>
      </x:c>
      <x:c r="I348" t="n">
        <x:v>444</x:v>
      </x:c>
      <x:c r="J348" t="n">
        <x:v>13</x:v>
      </x:c>
      <x:c r="K348" t="n">
        <x:v>2</x:v>
      </x:c>
      <x:c r="L348" t="n">
        <x:v>0</x:v>
      </x:c>
      <x:c r="M348" t="n">
        <x:v>1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1</x:v>
      </x:c>
      <x:c r="S348" t="n">
        <x:v>0</x:v>
      </x:c>
      <x:c r="T348" s="50" t="n">
        <x:f>IF(D348=0,"",H348/D348)</x:f>
        <x:v>0.28081123244929795</x:v>
      </x:c>
      <x:c r="U348" t="n">
        <x:f>MAX(I348:S348)</x:f>
        <x:v>444</x:v>
      </x:c>
      <x:c r="V348" t="n">
        <x:f>H348-U348</x:f>
        <x:v>-264</x:v>
      </x:c>
      <x:c r="W348" s="52" t="n">
        <x:f>IF(D348=0,"",(V348)/D348)</x:f>
        <x:v>-0.4118564742589704</x:v>
      </x:c>
      <x:c r="X348" t="str">
        <x:v>DHIRENDRA SINGH</x:v>
      </x:c>
      <x:c r="Y348" t="n">
        <x:f>D348-E348-F348</x:f>
        <x:v>0</x:v>
      </x:c>
    </x:row>
    <x:row r="349">
      <x:c r="A349" t="n">
        <x:v>341</x:v>
      </x:c>
      <x:c r="B349" t="str">
        <x:v>PRIMARY SCHOOL KHWAJPUR ROOM NO 2</x:v>
      </x:c>
      <x:c r="C349" t="n">
        <x:v>799</x:v>
      </x:c>
      <x:c r="D349" t="n">
        <x:v>553</x:v>
      </x:c>
      <x:c r="E349" t="n">
        <x:f>SUM(H349:S349)</x:f>
        <x:v>551</x:v>
      </x:c>
      <x:c r="F349" t="n">
        <x:v>2</x:v>
      </x:c>
      <x:c r="G349" s="50" t="n">
        <x:f>IF(C349="","",IFERROR(D349/C349,0))</x:f>
        <x:v>0.6921151439299124</x:v>
      </x:c>
      <x:c r="H349" s="36" t="n">
        <x:v>91</x:v>
      </x:c>
      <x:c r="I349" t="n">
        <x:v>159</x:v>
      </x:c>
      <x:c r="J349" t="n">
        <x:v>286</x:v>
      </x:c>
      <x:c r="K349" t="n">
        <x:v>6</x:v>
      </x:c>
      <x:c r="L349" t="n">
        <x:v>2</x:v>
      </x:c>
      <x:c r="M349" t="n">
        <x:v>2</x:v>
      </x:c>
      <x:c r="N349" t="n">
        <x:v>0</x:v>
      </x:c>
      <x:c r="O349" t="n">
        <x:v>1</x:v>
      </x:c>
      <x:c r="P349" t="n">
        <x:v>0</x:v>
      </x:c>
      <x:c r="Q349" t="n">
        <x:v>0</x:v>
      </x:c>
      <x:c r="R349" t="n">
        <x:v>1</x:v>
      </x:c>
      <x:c r="S349" t="n">
        <x:v>3</x:v>
      </x:c>
      <x:c r="T349" s="50" t="n">
        <x:f>IF(D349=0,"",H349/D349)</x:f>
        <x:v>0.16455696202531644</x:v>
      </x:c>
      <x:c r="U349" t="n">
        <x:f>MAX(I349:S349)</x:f>
        <x:v>286</x:v>
      </x:c>
      <x:c r="V349" t="n">
        <x:f>H349-U349</x:f>
        <x:v>-195</x:v>
      </x:c>
      <x:c r="W349" s="52" t="n">
        <x:f>IF(D349=0,"",(V349)/D349)</x:f>
        <x:v>-0.352622061482821</x:v>
      </x:c>
      <x:c r="X349" t="str">
        <x:v>NARENDER KUMAR</x:v>
      </x:c>
      <x:c r="Y349" t="n">
        <x:f>D349-E349-F349</x:f>
        <x:v>0</x:v>
      </x:c>
    </x:row>
    <x:row r="350">
      <x:c r="A350" t="n">
        <x:v>342</x:v>
      </x:c>
      <x:c r="B350" t="str">
        <x:v>PRIMARY SCHOOL JEWAR KHADAR ROOM NO. 1</x:v>
      </x:c>
      <x:c r="C350" t="n">
        <x:v>685</x:v>
      </x:c>
      <x:c r="D350" t="n">
        <x:v>529</x:v>
      </x:c>
      <x:c r="E350" t="n">
        <x:f>SUM(H350:S350)</x:f>
        <x:v>528</x:v>
      </x:c>
      <x:c r="F350" t="n">
        <x:v>1</x:v>
      </x:c>
      <x:c r="G350" s="50" t="n">
        <x:f>IF(C350="","",IFERROR(D350/C350,0))</x:f>
        <x:v>0.7722627737226277</x:v>
      </x:c>
      <x:c r="H350" s="36" t="n">
        <x:v>9</x:v>
      </x:c>
      <x:c r="I350" t="n">
        <x:v>495</x:v>
      </x:c>
      <x:c r="J350" t="n">
        <x:v>10</x:v>
      </x:c>
      <x:c r="K350" t="n">
        <x:v>1</x:v>
      </x:c>
      <x:c r="L350" t="n">
        <x:v>0</x:v>
      </x:c>
      <x:c r="M350" t="n">
        <x:v>1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11</x:v>
      </x:c>
      <x:c r="S350" t="n">
        <x:v>1</x:v>
      </x:c>
      <x:c r="T350" s="50" t="n">
        <x:f>IF(D350=0,"",H350/D350)</x:f>
        <x:v>0.017013232514177693</x:v>
      </x:c>
      <x:c r="U350" t="n">
        <x:f>MAX(I350:S350)</x:f>
        <x:v>495</x:v>
      </x:c>
      <x:c r="V350" t="n">
        <x:f>H350-U350</x:f>
        <x:v>-486</x:v>
      </x:c>
      <x:c r="W350" s="52" t="n">
        <x:f>IF(D350=0,"",(V350)/D350)</x:f>
        <x:v>-0.9187145557655955</x:v>
      </x:c>
      <x:c r="X350" t="str">
        <x:v>DHIRENDRA SINGH</x:v>
      </x:c>
      <x:c r="Y350" t="n">
        <x:f>D350-E350-F350</x:f>
        <x:v>0</x:v>
      </x:c>
    </x:row>
    <x:row r="351">
      <x:c r="A351" t="n">
        <x:v>343</x:v>
      </x:c>
      <x:c r="B351" t="str">
        <x:v>PRIMARY SCHOOL JEWAR KHADAR ROOM NO. 2</x:v>
      </x:c>
      <x:c r="C351" t="n">
        <x:v>598</x:v>
      </x:c>
      <x:c r="D351" t="n">
        <x:v>456</x:v>
      </x:c>
      <x:c r="E351" t="n">
        <x:f>SUM(H351:S351)</x:f>
        <x:v>454</x:v>
      </x:c>
      <x:c r="F351" t="n">
        <x:v>2</x:v>
      </x:c>
      <x:c r="G351" s="50" t="n">
        <x:f>IF(C351="","",IFERROR(D351/C351,0))</x:f>
        <x:v>0.7625418060200669</x:v>
      </x:c>
      <x:c r="H351" s="36" t="n">
        <x:v>6</x:v>
      </x:c>
      <x:c r="I351" t="n">
        <x:v>385</x:v>
      </x:c>
      <x:c r="J351" t="n">
        <x:v>14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1</x:v>
      </x:c>
      <x:c r="R351" t="n">
        <x:v>47</x:v>
      </x:c>
      <x:c r="S351" t="n">
        <x:v>1</x:v>
      </x:c>
      <x:c r="T351" s="50" t="n">
        <x:f>IF(D351=0,"",H351/D351)</x:f>
        <x:v>0.013157894736842105</x:v>
      </x:c>
      <x:c r="U351" t="n">
        <x:f>MAX(I351:S351)</x:f>
        <x:v>385</x:v>
      </x:c>
      <x:c r="V351" t="n">
        <x:f>H351-U351</x:f>
        <x:v>-379</x:v>
      </x:c>
      <x:c r="W351" s="52" t="n">
        <x:f>IF(D351=0,"",(V351)/D351)</x:f>
        <x:v>-0.831140350877193</x:v>
      </x:c>
      <x:c r="X351" t="str">
        <x:v>DHIRENDRA SINGH</x:v>
      </x:c>
      <x:c r="Y351" t="n">
        <x:f>D351-E351-F351</x:f>
        <x:v>0</x:v>
      </x:c>
    </x:row>
    <x:row r="352">
      <x:c r="A352" t="n">
        <x:v>344</x:v>
      </x:c>
      <x:c r="B352" t="str">
        <x:v>SARASWATI SHISHU MANDIR TOWN AREA JEWAR ROOM NO 1</x:v>
      </x:c>
      <x:c r="C352" t="n">
        <x:v>1050</x:v>
      </x:c>
      <x:c r="D352" t="n">
        <x:v>725</x:v>
      </x:c>
      <x:c r="E352" t="n">
        <x:f>SUM(H352:S352)</x:f>
        <x:v>722</x:v>
      </x:c>
      <x:c r="F352" t="n">
        <x:v>3</x:v>
      </x:c>
      <x:c r="G352" s="50" t="n">
        <x:f>IF(C352="","",IFERROR(D352/C352,0))</x:f>
        <x:v>0.6904761904761905</x:v>
      </x:c>
      <x:c r="H352" s="36" t="n">
        <x:v>58</x:v>
      </x:c>
      <x:c r="I352" t="n">
        <x:v>204</x:v>
      </x:c>
      <x:c r="J352" t="n">
        <x:v>433</x:v>
      </x:c>
      <x:c r="K352" t="n">
        <x:v>4</x:v>
      </x:c>
      <x:c r="L352" t="n">
        <x:v>1</x:v>
      </x:c>
      <x:c r="M352" t="n">
        <x:v>0</x:v>
      </x:c>
      <x:c r="N352" t="n">
        <x:v>2</x:v>
      </x:c>
      <x:c r="O352" t="n">
        <x:v>0</x:v>
      </x:c>
      <x:c r="P352" t="n">
        <x:v>2</x:v>
      </x:c>
      <x:c r="Q352" t="n">
        <x:v>3</x:v>
      </x:c>
      <x:c r="R352" t="n">
        <x:v>11</x:v>
      </x:c>
      <x:c r="S352" t="n">
        <x:v>4</x:v>
      </x:c>
      <x:c r="T352" s="50" t="n">
        <x:f>IF(D352=0,"",H352/D352)</x:f>
        <x:v>0.08</x:v>
      </x:c>
      <x:c r="U352" t="n">
        <x:f>MAX(I352:S352)</x:f>
        <x:v>433</x:v>
      </x:c>
      <x:c r="V352" t="n">
        <x:f>H352-U352</x:f>
        <x:v>-375</x:v>
      </x:c>
      <x:c r="W352" s="52" t="n">
        <x:f>IF(D352=0,"",(V352)/D352)</x:f>
        <x:v>-0.5172413793103449</x:v>
      </x:c>
      <x:c r="X352" t="str">
        <x:v>NARENDER KUMAR</x:v>
      </x:c>
      <x:c r="Y352" t="n">
        <x:f>D352-E352-F352</x:f>
        <x:v>0</x:v>
      </x:c>
    </x:row>
    <x:row r="353">
      <x:c r="A353" t="n">
        <x:v>345</x:v>
      </x:c>
      <x:c r="B353" t="str">
        <x:v>SARASWATI SHISHU MANDIR TOWN AREA JEWAR ROOM NO 2</x:v>
      </x:c>
      <x:c r="C353" t="n">
        <x:v>1056</x:v>
      </x:c>
      <x:c r="D353" t="n">
        <x:v>688</x:v>
      </x:c>
      <x:c r="E353" t="n">
        <x:f>SUM(H353:S353)</x:f>
        <x:v>674</x:v>
      </x:c>
      <x:c r="F353" t="n">
        <x:v>14</x:v>
      </x:c>
      <x:c r="G353" s="50" t="n">
        <x:f>IF(C353="","",IFERROR(D353/C353,0))</x:f>
        <x:v>0.6515151515151515</x:v>
      </x:c>
      <x:c r="H353" s="36" t="n">
        <x:v>110</x:v>
      </x:c>
      <x:c r="I353" t="n">
        <x:v>419</x:v>
      </x:c>
      <x:c r="J353" t="n">
        <x:v>120</x:v>
      </x:c>
      <x:c r="K353" t="n">
        <x:v>6</x:v>
      </x:c>
      <x:c r="L353" t="n">
        <x:v>1</x:v>
      </x:c>
      <x:c r="M353" t="n">
        <x:v>0</x:v>
      </x:c>
      <x:c r="N353" t="n">
        <x:v>3</x:v>
      </x:c>
      <x:c r="O353" t="n">
        <x:v>1</x:v>
      </x:c>
      <x:c r="P353" t="n">
        <x:v>1</x:v>
      </x:c>
      <x:c r="Q353" t="n">
        <x:v>3</x:v>
      </x:c>
      <x:c r="R353" t="n">
        <x:v>4</x:v>
      </x:c>
      <x:c r="S353" t="n">
        <x:v>6</x:v>
      </x:c>
      <x:c r="T353" s="50" t="n">
        <x:f>IF(D353=0,"",H353/D353)</x:f>
        <x:v>0.15988372093023256</x:v>
      </x:c>
      <x:c r="U353" t="n">
        <x:f>MAX(I353:S353)</x:f>
        <x:v>419</x:v>
      </x:c>
      <x:c r="V353" t="n">
        <x:f>H353-U353</x:f>
        <x:v>-309</x:v>
      </x:c>
      <x:c r="W353" s="52" t="n">
        <x:f>IF(D353=0,"",(V353)/D353)</x:f>
        <x:v>-0.4491279069767442</x:v>
      </x:c>
      <x:c r="X353" t="str">
        <x:v>DHIRENDRA SINGH</x:v>
      </x:c>
      <x:c r="Y353" t="n">
        <x:f>D353-E353-F353</x:f>
        <x:v>0</x:v>
      </x:c>
    </x:row>
    <x:row r="354">
      <x:c r="A354" t="n">
        <x:v>346</x:v>
      </x:c>
      <x:c r="B354" t="str">
        <x:v>SARASWATI SHISHU MANDIR TOWN AREA JEWAR ROOM NO 3</x:v>
      </x:c>
      <x:c r="C354" t="n">
        <x:v>888</x:v>
      </x:c>
      <x:c r="D354" t="n">
        <x:v>599</x:v>
      </x:c>
      <x:c r="E354" t="n">
        <x:f>SUM(H354:S354)</x:f>
        <x:v>593</x:v>
      </x:c>
      <x:c r="F354" t="n">
        <x:v>6</x:v>
      </x:c>
      <x:c r="G354" s="50" t="n">
        <x:f>IF(C354="","",IFERROR(D354/C354,0))</x:f>
        <x:v>0.6745495495495496</x:v>
      </x:c>
      <x:c r="H354" s="36" t="n">
        <x:v>298</x:v>
      </x:c>
      <x:c r="I354" t="n">
        <x:v>232</x:v>
      </x:c>
      <x:c r="J354" t="n">
        <x:v>52</x:v>
      </x:c>
      <x:c r="K354" t="n">
        <x:v>4</x:v>
      </x:c>
      <x:c r="L354" t="n">
        <x:v>1</x:v>
      </x:c>
      <x:c r="M354" t="n">
        <x:v>1</x:v>
      </x:c>
      <x:c r="N354" t="n">
        <x:v>1</x:v>
      </x:c>
      <x:c r="O354" t="n">
        <x:v>0</x:v>
      </x:c>
      <x:c r="P354" t="n">
        <x:v>1</x:v>
      </x:c>
      <x:c r="Q354" t="n">
        <x:v>0</x:v>
      </x:c>
      <x:c r="R354" t="n">
        <x:v>0</x:v>
      </x:c>
      <x:c r="S354" t="n">
        <x:v>3</x:v>
      </x:c>
      <x:c r="T354" s="50" t="n">
        <x:f>IF(D354=0,"",H354/D354)</x:f>
        <x:v>0.4974958263772955</x:v>
      </x:c>
      <x:c r="U354" t="n">
        <x:f>MAX(I354:S354)</x:f>
        <x:v>232</x:v>
      </x:c>
      <x:c r="V354" t="n">
        <x:f>H354-U354</x:f>
        <x:v>66</x:v>
      </x:c>
      <x:c r="W354" s="52" t="n">
        <x:f>IF(D354=0,"",(V354)/D354)</x:f>
        <x:v>0.11018363939899833</x:v>
      </x:c>
      <x:c r="X354" t="str">
        <x:v>AVTAR SINGH BHADANA</x:v>
      </x:c>
      <x:c r="Y354" t="n">
        <x:f>D354-E354-F354</x:f>
        <x:v>0</x:v>
      </x:c>
    </x:row>
    <x:row r="355">
      <x:c r="A355" t="n">
        <x:v>347</x:v>
      </x:c>
      <x:c r="B355" t="str">
        <x:v>SARASWATI SHISHU MANDIR TOWN AREA JEWAR ROOM NO 4</x:v>
      </x:c>
      <x:c r="C355" t="n">
        <x:v>883</x:v>
      </x:c>
      <x:c r="D355" t="n">
        <x:v>617</x:v>
      </x:c>
      <x:c r="E355" t="n">
        <x:f>SUM(H355:S355)</x:f>
        <x:v>606</x:v>
      </x:c>
      <x:c r="F355" t="n">
        <x:v>11</x:v>
      </x:c>
      <x:c r="G355" s="50" t="n">
        <x:f>IF(C355="","",IFERROR(D355/C355,0))</x:f>
        <x:v>0.6987542468856173</x:v>
      </x:c>
      <x:c r="H355" s="36" t="n">
        <x:v>466</x:v>
      </x:c>
      <x:c r="I355" t="n">
        <x:v>120</x:v>
      </x:c>
      <x:c r="J355" t="n">
        <x:v>7</x:v>
      </x:c>
      <x:c r="K355" t="n">
        <x:v>3</x:v>
      </x:c>
      <x:c r="L355" t="n">
        <x:v>0</x:v>
      </x:c>
      <x:c r="M355" t="n">
        <x:v>0</x:v>
      </x:c>
      <x:c r="N355" t="n">
        <x:v>0</x:v>
      </x:c>
      <x:c r="O355" t="n">
        <x:v>1</x:v>
      </x:c>
      <x:c r="P355" t="n">
        <x:v>0</x:v>
      </x:c>
      <x:c r="Q355" t="n">
        <x:v>0</x:v>
      </x:c>
      <x:c r="R355" t="n">
        <x:v>3</x:v>
      </x:c>
      <x:c r="S355" t="n">
        <x:v>6</x:v>
      </x:c>
      <x:c r="T355" s="50" t="n">
        <x:f>IF(D355=0,"",H355/D355)</x:f>
        <x:v>0.7552674230145867</x:v>
      </x:c>
      <x:c r="U355" t="n">
        <x:f>MAX(I355:S355)</x:f>
        <x:v>120</x:v>
      </x:c>
      <x:c r="V355" t="n">
        <x:f>H355-U355</x:f>
        <x:v>346</x:v>
      </x:c>
      <x:c r="W355" s="52" t="n">
        <x:f>IF(D355=0,"",(V355)/D355)</x:f>
        <x:v>0.5607779578606159</x:v>
      </x:c>
      <x:c r="X355" t="str">
        <x:v>AVTAR SINGH BHADANA</x:v>
      </x:c>
      <x:c r="Y355" t="n">
        <x:f>D355-E355-F355</x:f>
        <x:v>0</x:v>
      </x:c>
    </x:row>
    <x:row r="356">
      <x:c r="A356" t="n">
        <x:v>348</x:v>
      </x:c>
      <x:c r="B356" t="str">
        <x:v>SARASWATI SHISHU MANDIR TOWN AREA JEWAR ROOM NO 5</x:v>
      </x:c>
      <x:c r="C356" t="n">
        <x:v>584</x:v>
      </x:c>
      <x:c r="D356" t="n">
        <x:v>373</x:v>
      </x:c>
      <x:c r="E356" t="n">
        <x:f>SUM(H356:S356)</x:f>
        <x:v>372</x:v>
      </x:c>
      <x:c r="F356" t="n">
        <x:v>1</x:v>
      </x:c>
      <x:c r="G356" s="50" t="n">
        <x:f>IF(C356="","",IFERROR(D356/C356,0))</x:f>
        <x:v>0.6386986301369864</x:v>
      </x:c>
      <x:c r="H356" s="36" t="n">
        <x:v>148</x:v>
      </x:c>
      <x:c r="I356" t="n">
        <x:v>212</x:v>
      </x:c>
      <x:c r="J356" t="n">
        <x:v>0</x:v>
      </x:c>
      <x:c r="K356" t="n">
        <x:v>7</x:v>
      </x:c>
      <x:c r="L356" t="n">
        <x:v>0</x:v>
      </x:c>
      <x:c r="M356" t="n">
        <x:v>1</x:v>
      </x:c>
      <x:c r="N356" t="n">
        <x:v>1</x:v>
      </x:c>
      <x:c r="O356" t="n">
        <x:v>0</x:v>
      </x:c>
      <x:c r="P356" t="n">
        <x:v>0</x:v>
      </x:c>
      <x:c r="Q356" t="n">
        <x:v>0</x:v>
      </x:c>
      <x:c r="R356" t="n">
        <x:v>1</x:v>
      </x:c>
      <x:c r="S356" t="n">
        <x:v>2</x:v>
      </x:c>
      <x:c r="T356" s="50" t="n">
        <x:f>IF(D356=0,"",H356/D356)</x:f>
        <x:v>0.3967828418230563</x:v>
      </x:c>
      <x:c r="U356" t="n">
        <x:f>MAX(I356:S356)</x:f>
        <x:v>212</x:v>
      </x:c>
      <x:c r="V356" t="n">
        <x:f>H356-U356</x:f>
        <x:v>-64</x:v>
      </x:c>
      <x:c r="W356" s="52" t="n">
        <x:f>IF(D356=0,"",(V356)/D356)</x:f>
        <x:v>-0.17158176943699732</x:v>
      </x:c>
      <x:c r="X356" t="str">
        <x:v>DHIRENDRA SINGH</x:v>
      </x:c>
      <x:c r="Y356" t="n">
        <x:f>D356-E356-F356</x:f>
        <x:v>0</x:v>
      </x:c>
    </x:row>
    <x:row r="357">
      <x:c r="A357" t="n">
        <x:v>349</x:v>
      </x:c>
      <x:c r="B357" t="str">
        <x:v>SARASWATI SHISHU MANDIR TOWN AREA JEWAR ROOM NO 6</x:v>
      </x:c>
      <x:c r="C357" t="n">
        <x:v>706</x:v>
      </x:c>
      <x:c r="D357" t="n">
        <x:v>475</x:v>
      </x:c>
      <x:c r="E357" t="n">
        <x:f>SUM(H357:S357)</x:f>
        <x:v>474</x:v>
      </x:c>
      <x:c r="F357" t="n">
        <x:v>1</x:v>
      </x:c>
      <x:c r="G357" s="50" t="n">
        <x:f>IF(C357="","",IFERROR(D357/C357,0))</x:f>
        <x:v>0.6728045325779037</x:v>
      </x:c>
      <x:c r="H357" s="36" t="n">
        <x:v>110</x:v>
      </x:c>
      <x:c r="I357" t="n">
        <x:v>358</x:v>
      </x:c>
      <x:c r="J357" t="n">
        <x:v>0</x:v>
      </x:c>
      <x:c r="K357" t="n">
        <x:v>2</x:v>
      </x:c>
      <x:c r="L357" t="n">
        <x:v>0</x:v>
      </x:c>
      <x:c r="M357" t="n">
        <x:v>2</x:v>
      </x:c>
      <x:c r="N357" t="n">
        <x:v>0</x:v>
      </x:c>
      <x:c r="O357" t="n">
        <x:v>1</x:v>
      </x:c>
      <x:c r="P357" t="n">
        <x:v>0</x:v>
      </x:c>
      <x:c r="Q357" t="n">
        <x:v>0</x:v>
      </x:c>
      <x:c r="R357" t="n">
        <x:v>1</x:v>
      </x:c>
      <x:c r="S357" t="n">
        <x:v>0</x:v>
      </x:c>
      <x:c r="T357" s="50" t="n">
        <x:f>IF(D357=0,"",H357/D357)</x:f>
        <x:v>0.23157894736842105</x:v>
      </x:c>
      <x:c r="U357" t="n">
        <x:f>MAX(I357:S357)</x:f>
        <x:v>358</x:v>
      </x:c>
      <x:c r="V357" t="n">
        <x:f>H357-U357</x:f>
        <x:v>-248</x:v>
      </x:c>
      <x:c r="W357" s="52" t="n">
        <x:f>IF(D357=0,"",(V357)/D357)</x:f>
        <x:v>-0.5221052631578947</x:v>
      </x:c>
      <x:c r="X357" t="str">
        <x:v>DHIRENDRA SINGH</x:v>
      </x:c>
      <x:c r="Y357" t="n">
        <x:f>D357-E357-F357</x:f>
        <x:v>0</x:v>
      </x:c>
    </x:row>
    <x:row r="358">
      <x:c r="A358" t="n">
        <x:v>350</x:v>
      </x:c>
      <x:c r="B358" t="str">
        <x:v>SARASWATI SHISHU MANDIR TOWN AREA JEWAR ROOM NO 7</x:v>
      </x:c>
      <x:c r="C358" t="n">
        <x:v>646</x:v>
      </x:c>
      <x:c r="D358" t="n">
        <x:v>411</x:v>
      </x:c>
      <x:c r="E358" t="n">
        <x:f>SUM(H358:S358)</x:f>
        <x:v>409</x:v>
      </x:c>
      <x:c r="F358" t="n">
        <x:v>2</x:v>
      </x:c>
      <x:c r="G358" s="50" t="n">
        <x:f>IF(C358="","",IFERROR(D358/C358,0))</x:f>
        <x:v>0.6362229102167183</x:v>
      </x:c>
      <x:c r="H358" s="36" t="n">
        <x:v>88</x:v>
      </x:c>
      <x:c r="I358" t="n">
        <x:v>315</x:v>
      </x:c>
      <x:c r="J358" t="n">
        <x:v>2</x:v>
      </x:c>
      <x:c r="K358" t="n">
        <x:v>2</x:v>
      </x:c>
      <x:c r="L358" t="n">
        <x:v>0</x:v>
      </x:c>
      <x:c r="M358" t="n">
        <x:v>1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1</x:v>
      </x:c>
      <x:c r="S358" t="n">
        <x:v>0</x:v>
      </x:c>
      <x:c r="T358" s="50" t="n">
        <x:f>IF(D358=0,"",H358/D358)</x:f>
        <x:v>0.2141119221411192</x:v>
      </x:c>
      <x:c r="U358" t="n">
        <x:f>MAX(I358:S358)</x:f>
        <x:v>315</x:v>
      </x:c>
      <x:c r="V358" t="n">
        <x:f>H358-U358</x:f>
        <x:v>-227</x:v>
      </x:c>
      <x:c r="W358" s="52" t="n">
        <x:f>IF(D358=0,"",(V358)/D358)</x:f>
        <x:v>-0.5523114355231143</x:v>
      </x:c>
      <x:c r="X358" t="str">
        <x:v>DHIRENDRA SINGH</x:v>
      </x:c>
      <x:c r="Y358" t="n">
        <x:f>D358-E358-F358</x:f>
        <x:v>0</x:v>
      </x:c>
    </x:row>
    <x:row r="359">
      <x:c r="A359" t="n">
        <x:v>351</x:v>
      </x:c>
      <x:c r="B359" t="str">
        <x:v>PRIMARY SCHOOL JAFRABAD ROOM NO 1</x:v>
      </x:c>
      <x:c r="C359" t="n">
        <x:v>598</x:v>
      </x:c>
      <x:c r="D359" t="n">
        <x:v>315</x:v>
      </x:c>
      <x:c r="E359" t="n">
        <x:f>SUM(H359:S359)</x:f>
        <x:v>315</x:v>
      </x:c>
      <x:c r="F359" t="n">
        <x:v>0</x:v>
      </x:c>
      <x:c r="G359" s="50" t="n">
        <x:f>IF(C359="","",IFERROR(D359/C359,0))</x:f>
        <x:v>0.5267558528428093</x:v>
      </x:c>
      <x:c r="H359" s="36" t="n">
        <x:v>16</x:v>
      </x:c>
      <x:c r="I359" t="n">
        <x:v>203</x:v>
      </x:c>
      <x:c r="J359" t="n">
        <x:v>88</x:v>
      </x:c>
      <x:c r="K359" t="n">
        <x:v>4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3</x:v>
      </x:c>
      <x:c r="S359" t="n">
        <x:v>1</x:v>
      </x:c>
      <x:c r="T359" s="50" t="n">
        <x:f>IF(D359=0,"",H359/D359)</x:f>
        <x:v>0.050793650793650794</x:v>
      </x:c>
      <x:c r="U359" t="n">
        <x:f>MAX(I359:S359)</x:f>
        <x:v>203</x:v>
      </x:c>
      <x:c r="V359" t="n">
        <x:f>H359-U359</x:f>
        <x:v>-187</x:v>
      </x:c>
      <x:c r="W359" s="52" t="n">
        <x:f>IF(D359=0,"",(V359)/D359)</x:f>
        <x:v>-0.5936507936507937</x:v>
      </x:c>
      <x:c r="X359" t="str">
        <x:v>DHIRENDRA SINGH</x:v>
      </x:c>
      <x:c r="Y359" t="n">
        <x:f>D359-E359-F359</x:f>
        <x:v>0</x:v>
      </x:c>
    </x:row>
    <x:row r="360">
      <x:c r="A360" t="n">
        <x:v>352</x:v>
      </x:c>
      <x:c r="B360" t="str">
        <x:v>PRIMARY SCHOOL SAHABNAGAR ROOM NO 1</x:v>
      </x:c>
      <x:c r="C360" t="n">
        <x:v>698</x:v>
      </x:c>
      <x:c r="D360" t="n">
        <x:v>548</x:v>
      </x:c>
      <x:c r="E360" t="n">
        <x:f>SUM(H360:S360)</x:f>
        <x:v>544</x:v>
      </x:c>
      <x:c r="F360" t="n">
        <x:v>4</x:v>
      </x:c>
      <x:c r="G360" s="50" t="n">
        <x:f>IF(C360="","",IFERROR(D360/C360,0))</x:f>
        <x:v>0.7851002865329513</x:v>
      </x:c>
      <x:c r="H360" s="36" t="n">
        <x:v>55</x:v>
      </x:c>
      <x:c r="I360" t="n">
        <x:v>464</x:v>
      </x:c>
      <x:c r="J360" t="n">
        <x:v>13</x:v>
      </x:c>
      <x:c r="K360" t="n">
        <x:v>2</x:v>
      </x:c>
      <x:c r="L360" t="n">
        <x:v>0</x:v>
      </x:c>
      <x:c r="M360" t="n">
        <x:v>1</x:v>
      </x:c>
      <x:c r="N360" t="n">
        <x:v>1</x:v>
      </x:c>
      <x:c r="O360" t="n">
        <x:v>1</x:v>
      </x:c>
      <x:c r="P360" t="n">
        <x:v>2</x:v>
      </x:c>
      <x:c r="Q360" t="n">
        <x:v>0</x:v>
      </x:c>
      <x:c r="R360" t="n">
        <x:v>1</x:v>
      </x:c>
      <x:c r="S360" t="n">
        <x:v>4</x:v>
      </x:c>
      <x:c r="T360" s="50" t="n">
        <x:f>IF(D360=0,"",H360/D360)</x:f>
        <x:v>0.10036496350364964</x:v>
      </x:c>
      <x:c r="U360" t="n">
        <x:f>MAX(I360:S360)</x:f>
        <x:v>464</x:v>
      </x:c>
      <x:c r="V360" t="n">
        <x:f>H360-U360</x:f>
        <x:v>-409</x:v>
      </x:c>
      <x:c r="W360" s="52" t="n">
        <x:f>IF(D360=0,"",(V360)/D360)</x:f>
        <x:v>-0.7463503649635036</x:v>
      </x:c>
      <x:c r="X360" t="str">
        <x:v>DHIRENDRA SINGH</x:v>
      </x:c>
      <x:c r="Y360" t="n">
        <x:f>D360-E360-F360</x:f>
        <x:v>0</x:v>
      </x:c>
    </x:row>
    <x:row r="361">
      <x:c r="A361" t="n">
        <x:v>353</x:v>
      </x:c>
      <x:c r="B361" t="str">
        <x:v>ADARSH KANYA INTER COLLEGE TOWN AREA JEWAR ROOM NO 1</x:v>
      </x:c>
      <x:c r="C361" t="n">
        <x:v>664</x:v>
      </x:c>
      <x:c r="D361" t="n">
        <x:v>376</x:v>
      </x:c>
      <x:c r="E361" t="n">
        <x:f>SUM(H361:S361)</x:f>
        <x:v>371</x:v>
      </x:c>
      <x:c r="F361" t="n">
        <x:v>5</x:v>
      </x:c>
      <x:c r="G361" s="50" t="n">
        <x:f>IF(C361="","",IFERROR(D361/C361,0))</x:f>
        <x:v>0.5662650602409639</x:v>
      </x:c>
      <x:c r="H361" s="36" t="n">
        <x:v>340</x:v>
      </x:c>
      <x:c r="I361" t="n">
        <x:v>23</x:v>
      </x:c>
      <x:c r="J361" t="n">
        <x:v>4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1</x:v>
      </x:c>
      <x:c r="R361" t="n">
        <x:v>1</x:v>
      </x:c>
      <x:c r="S361" t="n">
        <x:v>2</x:v>
      </x:c>
      <x:c r="T361" s="50" t="n">
        <x:f>IF(D361=0,"",H361/D361)</x:f>
        <x:v>0.9042553191489362</x:v>
      </x:c>
      <x:c r="U361" t="n">
        <x:f>MAX(I361:S361)</x:f>
        <x:v>23</x:v>
      </x:c>
      <x:c r="V361" t="n">
        <x:f>H361-U361</x:f>
        <x:v>317</x:v>
      </x:c>
      <x:c r="W361" s="52" t="n">
        <x:f>IF(D361=0,"",(V361)/D361)</x:f>
        <x:v>0.8430851063829787</x:v>
      </x:c>
      <x:c r="X361" t="str">
        <x:v>AVTAR SINGH BHADANA</x:v>
      </x:c>
      <x:c r="Y361" t="n">
        <x:f>D361-E361-F361</x:f>
        <x:v>0</x:v>
      </x:c>
    </x:row>
    <x:row r="362">
      <x:c r="A362" t="n">
        <x:v>354</x:v>
      </x:c>
      <x:c r="B362" t="str">
        <x:v>ADARSH KANYA INTER COLLEGE TOWN AREA JEWAR ROOM NO 2</x:v>
      </x:c>
      <x:c r="C362" t="n">
        <x:v>650</x:v>
      </x:c>
      <x:c r="D362" t="n">
        <x:v>362</x:v>
      </x:c>
      <x:c r="E362" t="n">
        <x:f>SUM(H362:S362)</x:f>
        <x:v>359</x:v>
      </x:c>
      <x:c r="F362" t="n">
        <x:v>3</x:v>
      </x:c>
      <x:c r="G362" s="50" t="n">
        <x:f>IF(C362="","",IFERROR(D362/C362,0))</x:f>
        <x:v>0.556923076923077</x:v>
      </x:c>
      <x:c r="H362" s="36" t="n">
        <x:v>313</x:v>
      </x:c>
      <x:c r="I362" t="n">
        <x:v>41</x:v>
      </x:c>
      <x:c r="J362" t="n">
        <x:v>1</x:v>
      </x:c>
      <x:c r="K362" t="n">
        <x:v>1</x:v>
      </x:c>
      <x:c r="L362" t="n">
        <x:v>0</x:v>
      </x:c>
      <x:c r="M362" t="n">
        <x:v>0</x:v>
      </x:c>
      <x:c r="N362" t="n">
        <x:v>0</x:v>
      </x:c>
      <x:c r="O362" t="n">
        <x:v>1</x:v>
      </x:c>
      <x:c r="P362" t="n">
        <x:v>0</x:v>
      </x:c>
      <x:c r="Q362" t="n">
        <x:v>1</x:v>
      </x:c>
      <x:c r="R362" t="n">
        <x:v>1</x:v>
      </x:c>
      <x:c r="S362" t="n">
        <x:v>0</x:v>
      </x:c>
      <x:c r="T362" s="50" t="n">
        <x:f>IF(D362=0,"",H362/D362)</x:f>
        <x:v>0.8646408839779005</x:v>
      </x:c>
      <x:c r="U362" t="n">
        <x:f>MAX(I362:S362)</x:f>
        <x:v>41</x:v>
      </x:c>
      <x:c r="V362" t="n">
        <x:f>H362-U362</x:f>
        <x:v>272</x:v>
      </x:c>
      <x:c r="W362" s="52" t="n">
        <x:f>IF(D362=0,"",(V362)/D362)</x:f>
        <x:v>0.7513812154696132</x:v>
      </x:c>
      <x:c r="X362" t="str">
        <x:v>AVTAR SINGH BHADANA</x:v>
      </x:c>
      <x:c r="Y362" t="n">
        <x:f>D362-E362-F362</x:f>
        <x:v>0</x:v>
      </x:c>
    </x:row>
    <x:row r="363">
      <x:c r="A363" t="n">
        <x:v>355</x:v>
      </x:c>
      <x:c r="B363" t="str">
        <x:v>ADARSH KANYA INTER COLLEGE TOWN AREA JEWAR ROOM NO 3</x:v>
      </x:c>
      <x:c r="C363" t="n">
        <x:v>1095</x:v>
      </x:c>
      <x:c r="D363" t="n">
        <x:v>684</x:v>
      </x:c>
      <x:c r="E363" t="n">
        <x:f>SUM(H363:S363)</x:f>
        <x:v>684</x:v>
      </x:c>
      <x:c r="F363" t="n">
        <x:v>0</x:v>
      </x:c>
      <x:c r="G363" s="50" t="n">
        <x:f>IF(C363="","",IFERROR(D363/C363,0))</x:f>
        <x:v>0.6246575342465753</x:v>
      </x:c>
      <x:c r="H363" s="36" t="n">
        <x:v>107</x:v>
      </x:c>
      <x:c r="I363" t="n">
        <x:v>570</x:v>
      </x:c>
      <x:c r="J363" t="n">
        <x:v>2</x:v>
      </x:c>
      <x:c r="K363" t="n">
        <x:v>0</x:v>
      </x:c>
      <x:c r="L363" t="n">
        <x:v>1</x:v>
      </x:c>
      <x:c r="M363" t="n">
        <x:v>1</x:v>
      </x:c>
      <x:c r="N363" t="n">
        <x:v>0</x:v>
      </x:c>
      <x:c r="O363" t="n">
        <x:v>1</x:v>
      </x:c>
      <x:c r="P363" t="n">
        <x:v>0</x:v>
      </x:c>
      <x:c r="Q363" t="n">
        <x:v>0</x:v>
      </x:c>
      <x:c r="R363" t="n">
        <x:v>0</x:v>
      </x:c>
      <x:c r="S363" t="n">
        <x:v>2</x:v>
      </x:c>
      <x:c r="T363" s="50" t="n">
        <x:f>IF(D363=0,"",H363/D363)</x:f>
        <x:v>0.1564327485380117</x:v>
      </x:c>
      <x:c r="U363" t="n">
        <x:f>MAX(I363:S363)</x:f>
        <x:v>570</x:v>
      </x:c>
      <x:c r="V363" t="n">
        <x:f>H363-U363</x:f>
        <x:v>-463</x:v>
      </x:c>
      <x:c r="W363" s="52" t="n">
        <x:f>IF(D363=0,"",(V363)/D363)</x:f>
        <x:v>-0.6769005847953217</x:v>
      </x:c>
      <x:c r="X363" t="str">
        <x:v>DHIRENDRA SINGH</x:v>
      </x:c>
      <x:c r="Y363" t="n">
        <x:f>D363-E363-F363</x:f>
        <x:v>0</x:v>
      </x:c>
    </x:row>
    <x:row r="364">
      <x:c r="A364" t="n">
        <x:v>356</x:v>
      </x:c>
      <x:c r="B364" t="str">
        <x:v>ADARSH KANYA INTER COLLEGE TOWN AREA JEWAR ROOM NO 4</x:v>
      </x:c>
      <x:c r="C364" t="n">
        <x:v>1103</x:v>
      </x:c>
      <x:c r="D364" t="n">
        <x:v>713</x:v>
      </x:c>
      <x:c r="E364" t="n">
        <x:f>SUM(H364:S364)</x:f>
        <x:v>708</x:v>
      </x:c>
      <x:c r="F364" t="n">
        <x:v>5</x:v>
      </x:c>
      <x:c r="G364" s="50" t="n">
        <x:f>IF(C364="","",IFERROR(D364/C364,0))</x:f>
        <x:v>0.6464188576609248</x:v>
      </x:c>
      <x:c r="H364" s="36" t="n">
        <x:v>245</x:v>
      </x:c>
      <x:c r="I364" t="n">
        <x:v>448</x:v>
      </x:c>
      <x:c r="J364" t="n">
        <x:v>4</x:v>
      </x:c>
      <x:c r="K364" t="n">
        <x:v>9</x:v>
      </x:c>
      <x:c r="L364" t="n">
        <x:v>0</x:v>
      </x:c>
      <x:c r="M364" t="n">
        <x:v>1</x:v>
      </x:c>
      <x:c r="N364" t="n">
        <x:v>0</x:v>
      </x:c>
      <x:c r="O364" t="n">
        <x:v>0</x:v>
      </x:c>
      <x:c r="P364" t="n">
        <x:v>1</x:v>
      </x:c>
      <x:c r="Q364" t="n">
        <x:v>0</x:v>
      </x:c>
      <x:c r="R364" t="n">
        <x:v>0</x:v>
      </x:c>
      <x:c r="S364" t="n">
        <x:v>0</x:v>
      </x:c>
      <x:c r="T364" s="50" t="n">
        <x:f>IF(D364=0,"",H364/D364)</x:f>
        <x:v>0.3436185133239832</x:v>
      </x:c>
      <x:c r="U364" t="n">
        <x:f>MAX(I364:S364)</x:f>
        <x:v>448</x:v>
      </x:c>
      <x:c r="V364" t="n">
        <x:f>H364-U364</x:f>
        <x:v>-203</x:v>
      </x:c>
      <x:c r="W364" s="52" t="n">
        <x:f>IF(D364=0,"",(V364)/D364)</x:f>
        <x:v>-0.2847124824684432</x:v>
      </x:c>
      <x:c r="X364" t="str">
        <x:v>DHIRENDRA SINGH</x:v>
      </x:c>
      <x:c r="Y364" t="n">
        <x:f>D364-E364-F364</x:f>
        <x:v>0</x:v>
      </x:c>
    </x:row>
    <x:row r="365">
      <x:c r="A365" t="n">
        <x:v>357</x:v>
      </x:c>
      <x:c r="B365" t="str">
        <x:v>ADARSH KANYA INTER COLLEGE TOWN AREA JEWAR ROOM NO 5</x:v>
      </x:c>
      <x:c r="C365" t="n">
        <x:v>1022</x:v>
      </x:c>
      <x:c r="D365" t="n">
        <x:v>540</x:v>
      </x:c>
      <x:c r="E365" t="n">
        <x:f>SUM(H365:S365)</x:f>
        <x:v>536</x:v>
      </x:c>
      <x:c r="F365" t="n">
        <x:v>4</x:v>
      </x:c>
      <x:c r="G365" s="50" t="n">
        <x:f>IF(C365="","",IFERROR(D365/C365,0))</x:f>
        <x:v>0.5283757338551859</x:v>
      </x:c>
      <x:c r="H365" s="36" t="n">
        <x:v>261</x:v>
      </x:c>
      <x:c r="I365" t="n">
        <x:v>247</x:v>
      </x:c>
      <x:c r="J365" t="n">
        <x:v>15</x:v>
      </x:c>
      <x:c r="K365" t="n">
        <x:v>5</x:v>
      </x:c>
      <x:c r="L365" t="n">
        <x:v>0</x:v>
      </x:c>
      <x:c r="M365" t="n">
        <x:v>0</x:v>
      </x:c>
      <x:c r="N365" t="n">
        <x:v>0</x:v>
      </x:c>
      <x:c r="O365" t="n">
        <x:v>2</x:v>
      </x:c>
      <x:c r="P365" t="n">
        <x:v>2</x:v>
      </x:c>
      <x:c r="Q365" t="n">
        <x:v>1</x:v>
      </x:c>
      <x:c r="R365" t="n">
        <x:v>0</x:v>
      </x:c>
      <x:c r="S365" t="n">
        <x:v>3</x:v>
      </x:c>
      <x:c r="T365" s="50" t="n">
        <x:f>IF(D365=0,"",H365/D365)</x:f>
        <x:v>0.48333333333333334</x:v>
      </x:c>
      <x:c r="U365" t="n">
        <x:f>MAX(I365:S365)</x:f>
        <x:v>247</x:v>
      </x:c>
      <x:c r="V365" t="n">
        <x:f>H365-U365</x:f>
        <x:v>14</x:v>
      </x:c>
      <x:c r="W365" s="52" t="n">
        <x:f>IF(D365=0,"",(V365)/D365)</x:f>
        <x:v>0.025925925925925925</x:v>
      </x:c>
      <x:c r="X365" t="str">
        <x:v>AVTAR SINGH BHADANA</x:v>
      </x:c>
      <x:c r="Y365" t="n">
        <x:f>D365-E365-F365</x:f>
        <x:v>0</x:v>
      </x:c>
    </x:row>
    <x:row r="366">
      <x:c r="A366" t="n">
        <x:v>358</x:v>
      </x:c>
      <x:c r="B366" t="str">
        <x:v>ADARSH KANYA INTER COLLEGE TOWN AREA JEWAR ROOM NO 6</x:v>
      </x:c>
      <x:c r="C366" t="n">
        <x:v>736</x:v>
      </x:c>
      <x:c r="D366" t="n">
        <x:v>449</x:v>
      </x:c>
      <x:c r="E366" t="n">
        <x:f>SUM(H366:S366)</x:f>
        <x:v>447</x:v>
      </x:c>
      <x:c r="F366" t="n">
        <x:v>2</x:v>
      </x:c>
      <x:c r="G366" s="50" t="n">
        <x:f>IF(C366="","",IFERROR(D366/C366,0))</x:f>
        <x:v>0.6100543478260869</x:v>
      </x:c>
      <x:c r="H366" s="36" t="n">
        <x:v>73</x:v>
      </x:c>
      <x:c r="I366" t="n">
        <x:v>104</x:v>
      </x:c>
      <x:c r="J366" t="n">
        <x:v>266</x:v>
      </x:c>
      <x:c r="K366" t="n">
        <x:v>0</x:v>
      </x:c>
      <x:c r="L366" t="n">
        <x:v>0</x:v>
      </x:c>
      <x:c r="M366" t="n">
        <x:v>1</x:v>
      </x:c>
      <x:c r="N366" t="n">
        <x:v>0</x:v>
      </x:c>
      <x:c r="O366" t="n">
        <x:v>1</x:v>
      </x:c>
      <x:c r="P366" t="n">
        <x:v>0</x:v>
      </x:c>
      <x:c r="Q366" t="n">
        <x:v>0</x:v>
      </x:c>
      <x:c r="R366" t="n">
        <x:v>2</x:v>
      </x:c>
      <x:c r="S366" t="n">
        <x:v>0</x:v>
      </x:c>
      <x:c r="T366" s="50" t="n">
        <x:f>IF(D366=0,"",H366/D366)</x:f>
        <x:v>0.16258351893095768</x:v>
      </x:c>
      <x:c r="U366" t="n">
        <x:f>MAX(I366:S366)</x:f>
        <x:v>266</x:v>
      </x:c>
      <x:c r="V366" t="n">
        <x:f>H366-U366</x:f>
        <x:v>-193</x:v>
      </x:c>
      <x:c r="W366" s="52" t="n">
        <x:f>IF(D366=0,"",(V366)/D366)</x:f>
        <x:v>-0.4298440979955457</x:v>
      </x:c>
      <x:c r="X366" t="str">
        <x:v>NARENDER KUMAR</x:v>
      </x:c>
      <x:c r="Y366" t="n">
        <x:f>D366-E366-F366</x:f>
        <x:v>0</x:v>
      </x:c>
    </x:row>
    <x:row r="367">
      <x:c r="A367" t="n">
        <x:v>359</x:v>
      </x:c>
      <x:c r="B367" t="str">
        <x:v>ADARSH KANYA INTER COLLEGE TOWN AREA JEWAR ROOM NO 7</x:v>
      </x:c>
      <x:c r="C367" t="n">
        <x:v>775</x:v>
      </x:c>
      <x:c r="D367" t="n">
        <x:v>454</x:v>
      </x:c>
      <x:c r="E367" t="n">
        <x:f>SUM(H367:S367)</x:f>
        <x:v>452</x:v>
      </x:c>
      <x:c r="F367" t="n">
        <x:v>2</x:v>
      </x:c>
      <x:c r="G367" s="50" t="n">
        <x:f>IF(C367="","",IFERROR(D367/C367,0))</x:f>
        <x:v>0.5858064516129032</x:v>
      </x:c>
      <x:c r="H367" s="36" t="n">
        <x:v>84</x:v>
      </x:c>
      <x:c r="I367" t="n">
        <x:v>40</x:v>
      </x:c>
      <x:c r="J367" t="n">
        <x:v>320</x:v>
      </x:c>
      <x:c r="K367" t="n">
        <x:v>1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1</x:v>
      </x:c>
      <x:c r="R367" t="n">
        <x:v>5</x:v>
      </x:c>
      <x:c r="S367" t="n">
        <x:v>1</x:v>
      </x:c>
      <x:c r="T367" s="50" t="n">
        <x:f>IF(D367=0,"",H367/D367)</x:f>
        <x:v>0.18502202643171806</x:v>
      </x:c>
      <x:c r="U367" t="n">
        <x:f>MAX(I367:S367)</x:f>
        <x:v>320</x:v>
      </x:c>
      <x:c r="V367" t="n">
        <x:f>H367-U367</x:f>
        <x:v>-236</x:v>
      </x:c>
      <x:c r="W367" s="52" t="n">
        <x:f>IF(D367=0,"",(V367)/D367)</x:f>
        <x:v>-0.5198237885462555</x:v>
      </x:c>
      <x:c r="X367" t="str">
        <x:v>NARENDER KUMAR</x:v>
      </x:c>
      <x:c r="Y367" t="n">
        <x:f>D367-E367-F367</x:f>
        <x:v>0</x:v>
      </x:c>
    </x:row>
    <x:row r="368">
      <x:c r="A368" t="n">
        <x:v>360</x:v>
      </x:c>
      <x:c r="B368" t="str">
        <x:v>PRIMARY SCHOOL TOWN AREA JEWAR ROOM NO 1</x:v>
      </x:c>
      <x:c r="C368" t="n">
        <x:v>849</x:v>
      </x:c>
      <x:c r="D368" t="n">
        <x:v>572</x:v>
      </x:c>
      <x:c r="E368" t="n">
        <x:f>SUM(H368:S368)</x:f>
        <x:v>561</x:v>
      </x:c>
      <x:c r="F368" t="n">
        <x:v>11</x:v>
      </x:c>
      <x:c r="G368" s="50" t="n">
        <x:f>IF(C368="","",IFERROR(D368/C368,0))</x:f>
        <x:v>0.673733804475854</x:v>
      </x:c>
      <x:c r="H368" s="36" t="n">
        <x:v>68</x:v>
      </x:c>
      <x:c r="I368" t="n">
        <x:v>427</x:v>
      </x:c>
      <x:c r="J368" t="n">
        <x:v>41</x:v>
      </x:c>
      <x:c r="K368" t="n">
        <x:v>5</x:v>
      </x:c>
      <x:c r="L368" t="n">
        <x:v>1</x:v>
      </x:c>
      <x:c r="M368" t="n">
        <x:v>2</x:v>
      </x:c>
      <x:c r="N368" t="n">
        <x:v>3</x:v>
      </x:c>
      <x:c r="O368" t="n">
        <x:v>1</x:v>
      </x:c>
      <x:c r="P368" t="n">
        <x:v>0</x:v>
      </x:c>
      <x:c r="Q368" t="n">
        <x:v>0</x:v>
      </x:c>
      <x:c r="R368" t="n">
        <x:v>4</x:v>
      </x:c>
      <x:c r="S368" t="n">
        <x:v>9</x:v>
      </x:c>
      <x:c r="T368" s="50" t="n">
        <x:f>IF(D368=0,"",H368/D368)</x:f>
        <x:v>0.11888111888111888</x:v>
      </x:c>
      <x:c r="U368" t="n">
        <x:f>MAX(I368:S368)</x:f>
        <x:v>427</x:v>
      </x:c>
      <x:c r="V368" t="n">
        <x:f>H368-U368</x:f>
        <x:v>-359</x:v>
      </x:c>
      <x:c r="W368" s="52" t="n">
        <x:f>IF(D368=0,"",(V368)/D368)</x:f>
        <x:v>-0.6276223776223776</x:v>
      </x:c>
      <x:c r="X368" t="str">
        <x:v>DHIRENDRA SINGH</x:v>
      </x:c>
      <x:c r="Y368" t="n">
        <x:f>D368-E368-F368</x:f>
        <x:v>0</x:v>
      </x:c>
    </x:row>
    <x:row r="369">
      <x:c r="A369" t="n">
        <x:v>361</x:v>
      </x:c>
      <x:c r="B369" t="str">
        <x:v>PRIMARY SCHOOL TOWN AREA JEWAR ROOM NO 2</x:v>
      </x:c>
      <x:c r="C369" t="n">
        <x:v>644</x:v>
      </x:c>
      <x:c r="D369" t="n">
        <x:v>496</x:v>
      </x:c>
      <x:c r="E369" t="n">
        <x:f>SUM(H369:S369)</x:f>
        <x:v>495</x:v>
      </x:c>
      <x:c r="F369" t="n">
        <x:v>1</x:v>
      </x:c>
      <x:c r="G369" s="50" t="n">
        <x:f>IF(C369="","",IFERROR(D369/C369,0))</x:f>
        <x:v>0.7701863354037267</x:v>
      </x:c>
      <x:c r="H369" s="36" t="n">
        <x:v>26</x:v>
      </x:c>
      <x:c r="I369" t="n">
        <x:v>24</x:v>
      </x:c>
      <x:c r="J369" t="n">
        <x:v>432</x:v>
      </x:c>
      <x:c r="K369" t="n">
        <x:v>2</x:v>
      </x:c>
      <x:c r="L369" t="n">
        <x:v>1</x:v>
      </x:c>
      <x:c r="M369" t="n">
        <x:v>0</x:v>
      </x:c>
      <x:c r="N369" t="n">
        <x:v>0</x:v>
      </x:c>
      <x:c r="O369" t="n">
        <x:v>1</x:v>
      </x:c>
      <x:c r="P369" t="n">
        <x:v>0</x:v>
      </x:c>
      <x:c r="Q369" t="n">
        <x:v>0</x:v>
      </x:c>
      <x:c r="R369" t="n">
        <x:v>8</x:v>
      </x:c>
      <x:c r="S369" t="n">
        <x:v>1</x:v>
      </x:c>
      <x:c r="T369" s="50" t="n">
        <x:f>IF(D369=0,"",H369/D369)</x:f>
        <x:v>0.05241935483870968</x:v>
      </x:c>
      <x:c r="U369" t="n">
        <x:f>MAX(I369:S369)</x:f>
        <x:v>432</x:v>
      </x:c>
      <x:c r="V369" t="n">
        <x:f>H369-U369</x:f>
        <x:v>-406</x:v>
      </x:c>
      <x:c r="W369" s="52" t="n">
        <x:f>IF(D369=0,"",(V369)/D369)</x:f>
        <x:v>-0.8185483870967742</x:v>
      </x:c>
      <x:c r="X369" t="str">
        <x:v>NARENDER KUMAR</x:v>
      </x:c>
      <x:c r="Y369" t="n">
        <x:f>D369-E369-F369</x:f>
        <x:v>0</x:v>
      </x:c>
    </x:row>
    <x:row r="370">
      <x:c r="A370" t="n">
        <x:v>362</x:v>
      </x:c>
      <x:c r="B370" t="str">
        <x:v>PRIMARY SCHOOL TOWN AREA JEWAR ROOM NO 3</x:v>
      </x:c>
      <x:c r="C370" t="n">
        <x:v>608</x:v>
      </x:c>
      <x:c r="D370" t="n">
        <x:v>391</x:v>
      </x:c>
      <x:c r="E370" t="n">
        <x:f>SUM(H370:S370)</x:f>
        <x:v>389</x:v>
      </x:c>
      <x:c r="F370" t="n">
        <x:v>2</x:v>
      </x:c>
      <x:c r="G370" s="50" t="n">
        <x:f>IF(C370="","",IFERROR(D370/C370,0))</x:f>
        <x:v>0.6430921052631579</x:v>
      </x:c>
      <x:c r="H370" s="36" t="n">
        <x:v>98</x:v>
      </x:c>
      <x:c r="I370" t="n">
        <x:v>162</x:v>
      </x:c>
      <x:c r="J370" t="n">
        <x:v>122</x:v>
      </x:c>
      <x:c r="K370" t="n">
        <x:v>1</x:v>
      </x:c>
      <x:c r="L370" t="n">
        <x:v>0</x:v>
      </x:c>
      <x:c r="M370" t="n">
        <x:v>0</x:v>
      </x:c>
      <x:c r="N370" t="n">
        <x:v>1</x:v>
      </x:c>
      <x:c r="O370" t="n">
        <x:v>2</x:v>
      </x:c>
      <x:c r="P370" t="n">
        <x:v>0</x:v>
      </x:c>
      <x:c r="Q370" t="n">
        <x:v>0</x:v>
      </x:c>
      <x:c r="R370" t="n">
        <x:v>1</x:v>
      </x:c>
      <x:c r="S370" t="n">
        <x:v>2</x:v>
      </x:c>
      <x:c r="T370" s="50" t="n">
        <x:f>IF(D370=0,"",H370/D370)</x:f>
        <x:v>0.2506393861892583</x:v>
      </x:c>
      <x:c r="U370" t="n">
        <x:f>MAX(I370:S370)</x:f>
        <x:v>162</x:v>
      </x:c>
      <x:c r="V370" t="n">
        <x:f>H370-U370</x:f>
        <x:v>-64</x:v>
      </x:c>
      <x:c r="W370" s="52" t="n">
        <x:f>IF(D370=0,"",(V370)/D370)</x:f>
        <x:v>-0.1636828644501279</x:v>
      </x:c>
      <x:c r="X370" t="str">
        <x:v>DHIRENDRA SINGH</x:v>
      </x:c>
      <x:c r="Y370" t="n">
        <x:f>D370-E370-F370</x:f>
        <x:v>0</x:v>
      </x:c>
    </x:row>
    <x:row r="371">
      <x:c r="A371" t="n">
        <x:v>363</x:v>
      </x:c>
      <x:c r="B371" t="str">
        <x:v>JANTA INTER COLLEGE JEWAR TOWN AREA ROOM NO 1</x:v>
      </x:c>
      <x:c r="C371" t="n">
        <x:v>987</x:v>
      </x:c>
      <x:c r="D371" t="n">
        <x:v>676</x:v>
      </x:c>
      <x:c r="E371" t="n">
        <x:f>SUM(H371:S371)</x:f>
        <x:v>664</x:v>
      </x:c>
      <x:c r="F371" t="n">
        <x:v>12</x:v>
      </x:c>
      <x:c r="G371" s="50" t="n">
        <x:f>IF(C371="","",IFERROR(D371/C371,0))</x:f>
        <x:v>0.684903748733536</x:v>
      </x:c>
      <x:c r="H371" s="36" t="n">
        <x:v>321</x:v>
      </x:c>
      <x:c r="I371" t="n">
        <x:v>329</x:v>
      </x:c>
      <x:c r="J371" t="n">
        <x:v>4</x:v>
      </x:c>
      <x:c r="K371" t="n">
        <x:v>0</x:v>
      </x:c>
      <x:c r="L371" t="n">
        <x:v>1</x:v>
      </x:c>
      <x:c r="M371" t="n">
        <x:v>1</x:v>
      </x:c>
      <x:c r="N371" t="n">
        <x:v>0</x:v>
      </x:c>
      <x:c r="O371" t="n">
        <x:v>3</x:v>
      </x:c>
      <x:c r="P371" t="n">
        <x:v>1</x:v>
      </x:c>
      <x:c r="Q371" t="n">
        <x:v>1</x:v>
      </x:c>
      <x:c r="R371" t="n">
        <x:v>1</x:v>
      </x:c>
      <x:c r="S371" t="n">
        <x:v>2</x:v>
      </x:c>
      <x:c r="T371" s="50" t="n">
        <x:f>IF(D371=0,"",H371/D371)</x:f>
        <x:v>0.47485207100591714</x:v>
      </x:c>
      <x:c r="U371" t="n">
        <x:f>MAX(I371:S371)</x:f>
        <x:v>329</x:v>
      </x:c>
      <x:c r="V371" t="n">
        <x:f>H371-U371</x:f>
        <x:v>-8</x:v>
      </x:c>
      <x:c r="W371" s="52" t="n">
        <x:f>IF(D371=0,"",(V371)/D371)</x:f>
        <x:v>-0.011834319526627219</x:v>
      </x:c>
      <x:c r="X371" t="str">
        <x:v>DHIRENDRA SINGH</x:v>
      </x:c>
      <x:c r="Y371" t="n">
        <x:f>D371-E371-F371</x:f>
        <x:v>0</x:v>
      </x:c>
    </x:row>
    <x:row r="372">
      <x:c r="A372" t="n">
        <x:v>364</x:v>
      </x:c>
      <x:c r="B372" t="str">
        <x:v>JANTA INTER COLLEGE JEWAR TOWN AREA ROOM NO 2</x:v>
      </x:c>
      <x:c r="C372" t="n">
        <x:v>938</x:v>
      </x:c>
      <x:c r="D372" t="n">
        <x:v>464</x:v>
      </x:c>
      <x:c r="E372" t="n">
        <x:f>SUM(H372:S372)</x:f>
        <x:v>464</x:v>
      </x:c>
      <x:c r="F372" t="n">
        <x:v>0</x:v>
      </x:c>
      <x:c r="G372" s="50" t="n">
        <x:f>IF(C372="","",IFERROR(D372/C372,0))</x:f>
        <x:v>0.4946695095948827</x:v>
      </x:c>
      <x:c r="H372" s="36" t="n">
        <x:v>301</x:v>
      </x:c>
      <x:c r="I372" t="n">
        <x:v>144</x:v>
      </x:c>
      <x:c r="J372" t="n">
        <x:v>15</x:v>
      </x:c>
      <x:c r="K372" t="n">
        <x:v>1</x:v>
      </x:c>
      <x:c r="L372" t="n">
        <x:v>0</x:v>
      </x:c>
      <x:c r="M372" t="n">
        <x:v>1</x:v>
      </x:c>
      <x:c r="N372" t="n">
        <x:v>1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1</x:v>
      </x:c>
      <x:c r="T372" s="50" t="n">
        <x:f>IF(D372=0,"",H372/D372)</x:f>
        <x:v>0.6487068965517241</x:v>
      </x:c>
      <x:c r="U372" t="n">
        <x:f>MAX(I372:S372)</x:f>
        <x:v>144</x:v>
      </x:c>
      <x:c r="V372" t="n">
        <x:f>H372-U372</x:f>
        <x:v>157</x:v>
      </x:c>
      <x:c r="W372" s="52" t="n">
        <x:f>IF(D372=0,"",(V372)/D372)</x:f>
        <x:v>0.33836206896551724</x:v>
      </x:c>
      <x:c r="X372" t="str">
        <x:v>AVTAR SINGH BHADANA</x:v>
      </x:c>
      <x:c r="Y372" t="n">
        <x:f>D372-E372-F372</x:f>
        <x:v>0</x:v>
      </x:c>
    </x:row>
    <x:row r="373">
      <x:c r="A373" t="n">
        <x:v>365</x:v>
      </x:c>
      <x:c r="B373" t="str">
        <x:v>JANTA INTER COLLEGE JEWAR TOWN AREA ROOM NO 3</x:v>
      </x:c>
      <x:c r="C373" t="n">
        <x:v>936</x:v>
      </x:c>
      <x:c r="D373" t="n">
        <x:v>572</x:v>
      </x:c>
      <x:c r="E373" t="n">
        <x:f>SUM(H373:S373)</x:f>
        <x:v>572</x:v>
      </x:c>
      <x:c r="F373" t="n">
        <x:v>0</x:v>
      </x:c>
      <x:c r="G373" s="50" t="n">
        <x:f>IF(C373="","",IFERROR(D373/C373,0))</x:f>
        <x:v>0.6111111111111112</x:v>
      </x:c>
      <x:c r="H373" s="36" t="n">
        <x:v>228</x:v>
      </x:c>
      <x:c r="I373" t="n">
        <x:v>298</x:v>
      </x:c>
      <x:c r="J373" t="n">
        <x:v>39</x:v>
      </x:c>
      <x:c r="K373" t="n">
        <x:v>0</x:v>
      </x:c>
      <x:c r="L373" t="n">
        <x:v>0</x:v>
      </x:c>
      <x:c r="M373" t="n">
        <x:v>0</x:v>
      </x:c>
      <x:c r="N373" t="n">
        <x:v>5</x:v>
      </x:c>
      <x:c r="O373" t="n">
        <x:v>1</x:v>
      </x:c>
      <x:c r="P373" t="n">
        <x:v>0</x:v>
      </x:c>
      <x:c r="Q373" t="n">
        <x:v>0</x:v>
      </x:c>
      <x:c r="R373" t="n">
        <x:v>0</x:v>
      </x:c>
      <x:c r="S373" t="n">
        <x:v>1</x:v>
      </x:c>
      <x:c r="T373" s="50" t="n">
        <x:f>IF(D373=0,"",H373/D373)</x:f>
        <x:v>0.3986013986013986</x:v>
      </x:c>
      <x:c r="U373" t="n">
        <x:f>MAX(I373:S373)</x:f>
        <x:v>298</x:v>
      </x:c>
      <x:c r="V373" t="n">
        <x:f>H373-U373</x:f>
        <x:v>-70</x:v>
      </x:c>
      <x:c r="W373" s="52" t="n">
        <x:f>IF(D373=0,"",(V373)/D373)</x:f>
        <x:v>-0.12237762237762238</x:v>
      </x:c>
      <x:c r="X373" t="str">
        <x:v>DHIRENDRA SINGH</x:v>
      </x:c>
      <x:c r="Y373" t="n">
        <x:f>D373-E373-F373</x:f>
        <x:v>0</x:v>
      </x:c>
    </x:row>
    <x:row r="374">
      <x:c r="A374" t="n">
        <x:v>366</x:v>
      </x:c>
      <x:c r="B374" t="str">
        <x:v>JANTA INTER COLLEGE JEWAR TOWN AREA ROOM NO 4</x:v>
      </x:c>
      <x:c r="C374" t="n">
        <x:v>809</x:v>
      </x:c>
      <x:c r="D374" t="n">
        <x:v>429</x:v>
      </x:c>
      <x:c r="E374" t="n">
        <x:f>SUM(H374:S374)</x:f>
        <x:v>427</x:v>
      </x:c>
      <x:c r="F374" t="n">
        <x:v>2</x:v>
      </x:c>
      <x:c r="G374" s="50" t="n">
        <x:f>IF(C374="","",IFERROR(D374/C374,0))</x:f>
        <x:v>0.5302843016069221</x:v>
      </x:c>
      <x:c r="H374" s="36" t="n">
        <x:v>74</x:v>
      </x:c>
      <x:c r="I374" t="n">
        <x:v>324</x:v>
      </x:c>
      <x:c r="J374" t="n">
        <x:v>26</x:v>
      </x:c>
      <x:c r="K374" t="n">
        <x:v>1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1</x:v>
      </x:c>
      <x:c r="Q374" t="n">
        <x:v>0</x:v>
      </x:c>
      <x:c r="R374" t="n">
        <x:v>1</x:v>
      </x:c>
      <x:c r="S374" t="n">
        <x:v>0</x:v>
      </x:c>
      <x:c r="T374" s="50" t="n">
        <x:f>IF(D374=0,"",H374/D374)</x:f>
        <x:v>0.17249417249417248</x:v>
      </x:c>
      <x:c r="U374" t="n">
        <x:f>MAX(I374:S374)</x:f>
        <x:v>324</x:v>
      </x:c>
      <x:c r="V374" t="n">
        <x:f>H374-U374</x:f>
        <x:v>-250</x:v>
      </x:c>
      <x:c r="W374" s="52" t="n">
        <x:f>IF(D374=0,"",(V374)/D374)</x:f>
        <x:v>-0.5827505827505828</x:v>
      </x:c>
      <x:c r="X374" t="str">
        <x:v>DHIRENDRA SINGH</x:v>
      </x:c>
      <x:c r="Y374" t="n">
        <x:f>D374-E374-F374</x:f>
        <x:v>0</x:v>
      </x:c>
    </x:row>
    <x:row r="375">
      <x:c r="A375" t="n">
        <x:v>367</x:v>
      </x:c>
      <x:c r="B375" t="str">
        <x:v>JANTA INTER COLLEGE JEWAR TOWN AREA ROOM NO 5</x:v>
      </x:c>
      <x:c r="C375" t="n">
        <x:v>1036</x:v>
      </x:c>
      <x:c r="D375" t="n">
        <x:v>696</x:v>
      </x:c>
      <x:c r="E375" t="n">
        <x:f>SUM(H375:S375)</x:f>
        <x:v>689</x:v>
      </x:c>
      <x:c r="F375" t="n">
        <x:v>7</x:v>
      </x:c>
      <x:c r="G375" s="50" t="n">
        <x:f>IF(C375="","",IFERROR(D375/C375,0))</x:f>
        <x:v>0.6718146718146718</x:v>
      </x:c>
      <x:c r="H375" s="36" t="n">
        <x:v>575</x:v>
      </x:c>
      <x:c r="I375" t="n">
        <x:v>56</x:v>
      </x:c>
      <x:c r="J375" t="n">
        <x:v>44</x:v>
      </x:c>
      <x:c r="K375" t="n">
        <x:v>4</x:v>
      </x:c>
      <x:c r="L375" t="n">
        <x:v>4</x:v>
      </x:c>
      <x:c r="M375" t="n">
        <x:v>1</x:v>
      </x:c>
      <x:c r="N375" t="n">
        <x:v>1</x:v>
      </x:c>
      <x:c r="O375" t="n">
        <x:v>0</x:v>
      </x:c>
      <x:c r="P375" t="n">
        <x:v>0</x:v>
      </x:c>
      <x:c r="Q375" t="n">
        <x:v>2</x:v>
      </x:c>
      <x:c r="R375" t="n">
        <x:v>1</x:v>
      </x:c>
      <x:c r="S375" t="n">
        <x:v>1</x:v>
      </x:c>
      <x:c r="T375" s="50" t="n">
        <x:f>IF(D375=0,"",H375/D375)</x:f>
        <x:v>0.8261494252873564</x:v>
      </x:c>
      <x:c r="U375" t="n">
        <x:f>MAX(I375:S375)</x:f>
        <x:v>56</x:v>
      </x:c>
      <x:c r="V375" t="n">
        <x:f>H375-U375</x:f>
        <x:v>519</x:v>
      </x:c>
      <x:c r="W375" s="52" t="n">
        <x:f>IF(D375=0,"",(V375)/D375)</x:f>
        <x:v>0.7456896551724138</x:v>
      </x:c>
      <x:c r="X375" t="str">
        <x:v>AVTAR SINGH BHADANA</x:v>
      </x:c>
      <x:c r="Y375" t="n">
        <x:f>D375-E375-F375</x:f>
        <x:v>0</x:v>
      </x:c>
    </x:row>
    <x:row r="376">
      <x:c r="A376" t="n">
        <x:v>368</x:v>
      </x:c>
      <x:c r="B376" t="str">
        <x:v>JANTA INTER COLLEGE JEWAR TOWN AREA ROOM NO 6</x:v>
      </x:c>
      <x:c r="C376" t="n">
        <x:v>978</x:v>
      </x:c>
      <x:c r="D376" t="n">
        <x:v>514</x:v>
      </x:c>
      <x:c r="E376" t="n">
        <x:f>SUM(H376:S376)</x:f>
        <x:v>512</x:v>
      </x:c>
      <x:c r="F376" t="n">
        <x:v>2</x:v>
      </x:c>
      <x:c r="G376" s="50" t="n">
        <x:f>IF(C376="","",IFERROR(D376/C376,0))</x:f>
        <x:v>0.5255623721881391</x:v>
      </x:c>
      <x:c r="H376" s="36" t="n">
        <x:v>328</x:v>
      </x:c>
      <x:c r="I376" t="n">
        <x:v>138</x:v>
      </x:c>
      <x:c r="J376" t="n">
        <x:v>35</x:v>
      </x:c>
      <x:c r="K376" t="n">
        <x:v>2</x:v>
      </x:c>
      <x:c r="L376" t="n">
        <x:v>2</x:v>
      </x:c>
      <x:c r="M376" t="n">
        <x:v>1</x:v>
      </x:c>
      <x:c r="N376" t="n">
        <x:v>3</x:v>
      </x:c>
      <x:c r="O376" t="n">
        <x:v>1</x:v>
      </x:c>
      <x:c r="P376" t="n">
        <x:v>1</x:v>
      </x:c>
      <x:c r="Q376" t="n">
        <x:v>0</x:v>
      </x:c>
      <x:c r="R376" t="n">
        <x:v>0</x:v>
      </x:c>
      <x:c r="S376" t="n">
        <x:v>1</x:v>
      </x:c>
      <x:c r="T376" s="50" t="n">
        <x:f>IF(D376=0,"",H376/D376)</x:f>
        <x:v>0.6381322957198443</x:v>
      </x:c>
      <x:c r="U376" t="n">
        <x:f>MAX(I376:S376)</x:f>
        <x:v>138</x:v>
      </x:c>
      <x:c r="V376" t="n">
        <x:f>H376-U376</x:f>
        <x:v>190</x:v>
      </x:c>
      <x:c r="W376" s="52" t="n">
        <x:f>IF(D376=0,"",(V376)/D376)</x:f>
        <x:v>0.36964980544747084</x:v>
      </x:c>
      <x:c r="X376" t="str">
        <x:v>AVTAR SINGH BHADANA</x:v>
      </x:c>
      <x:c r="Y376" t="n">
        <x:f>D376-E376-F376</x:f>
        <x:v>0</x:v>
      </x:c>
    </x:row>
    <x:row r="377">
      <x:c r="A377" t="n">
        <x:v>369</x:v>
      </x:c>
      <x:c r="B377" t="str">
        <x:v>PRIMARY SCHOOL VAINA ROAD JEWAR ROOM NO 1</x:v>
      </x:c>
      <x:c r="C377" t="n">
        <x:v>495</x:v>
      </x:c>
      <x:c r="D377" t="n">
        <x:v>386</x:v>
      </x:c>
      <x:c r="E377" t="n">
        <x:f>SUM(H377:S377)</x:f>
        <x:v>383</x:v>
      </x:c>
      <x:c r="F377" t="n">
        <x:v>3</x:v>
      </x:c>
      <x:c r="G377" s="50" t="n">
        <x:f>IF(C377="","",IFERROR(D377/C377,0))</x:f>
        <x:v>0.7797979797979798</x:v>
      </x:c>
      <x:c r="H377" s="36" t="n">
        <x:v>9</x:v>
      </x:c>
      <x:c r="I377" t="n">
        <x:v>6</x:v>
      </x:c>
      <x:c r="J377" t="n">
        <x:v>359</x:v>
      </x:c>
      <x:c r="K377" t="n">
        <x:v>2</x:v>
      </x:c>
      <x:c r="L377" t="n">
        <x:v>0</x:v>
      </x:c>
      <x:c r="M377" t="n">
        <x:v>1</x:v>
      </x:c>
      <x:c r="N377" t="n">
        <x:v>0</x:v>
      </x:c>
      <x:c r="O377" t="n">
        <x:v>0</x:v>
      </x:c>
      <x:c r="P377" t="n">
        <x:v>1</x:v>
      </x:c>
      <x:c r="Q377" t="n">
        <x:v>0</x:v>
      </x:c>
      <x:c r="R377" t="n">
        <x:v>4</x:v>
      </x:c>
      <x:c r="S377" t="n">
        <x:v>1</x:v>
      </x:c>
      <x:c r="T377" s="50" t="n">
        <x:f>IF(D377=0,"",H377/D377)</x:f>
        <x:v>0.023316062176165803</x:v>
      </x:c>
      <x:c r="U377" t="n">
        <x:f>MAX(I377:S377)</x:f>
        <x:v>359</x:v>
      </x:c>
      <x:c r="V377" t="n">
        <x:f>H377-U377</x:f>
        <x:v>-350</x:v>
      </x:c>
      <x:c r="W377" s="52" t="n">
        <x:f>IF(D377=0,"",(V377)/D377)</x:f>
        <x:v>-0.9067357512953368</x:v>
      </x:c>
      <x:c r="X377" t="str">
        <x:v>NARENDER KUMAR</x:v>
      </x:c>
      <x:c r="Y377" t="n">
        <x:f>D377-E377-F377</x:f>
        <x:v>0</x:v>
      </x:c>
    </x:row>
    <x:row r="378">
      <x:c r="A378" t="n">
        <x:v>370</x:v>
      </x:c>
      <x:c r="B378" t="str">
        <x:v>PRIMARY SCHOOL VAINA ROAD JEWAR ROOM NO 2</x:v>
      </x:c>
      <x:c r="C378" t="n">
        <x:v>915</x:v>
      </x:c>
      <x:c r="D378" t="n">
        <x:v>542</x:v>
      </x:c>
      <x:c r="E378" t="n">
        <x:f>SUM(H378:S378)</x:f>
        <x:v>540</x:v>
      </x:c>
      <x:c r="F378" t="n">
        <x:v>2</x:v>
      </x:c>
      <x:c r="G378" s="50" t="n">
        <x:f>IF(C378="","",IFERROR(D378/C378,0))</x:f>
        <x:v>0.5923497267759563</x:v>
      </x:c>
      <x:c r="H378" s="36" t="n">
        <x:v>194</x:v>
      </x:c>
      <x:c r="I378" t="n">
        <x:v>293</x:v>
      </x:c>
      <x:c r="J378" t="n">
        <x:v>37</x:v>
      </x:c>
      <x:c r="K378" t="n">
        <x:v>6</x:v>
      </x:c>
      <x:c r="L378" t="n">
        <x:v>1</x:v>
      </x:c>
      <x:c r="M378" t="n">
        <x:v>2</x:v>
      </x:c>
      <x:c r="N378" t="n">
        <x:v>0</x:v>
      </x:c>
      <x:c r="O378" t="n">
        <x:v>1</x:v>
      </x:c>
      <x:c r="P378" t="n">
        <x:v>1</x:v>
      </x:c>
      <x:c r="Q378" t="n">
        <x:v>0</x:v>
      </x:c>
      <x:c r="R378" t="n">
        <x:v>1</x:v>
      </x:c>
      <x:c r="S378" t="n">
        <x:v>4</x:v>
      </x:c>
      <x:c r="T378" s="50" t="n">
        <x:f>IF(D378=0,"",H378/D378)</x:f>
        <x:v>0.35793357933579334</x:v>
      </x:c>
      <x:c r="U378" t="n">
        <x:f>MAX(I378:S378)</x:f>
        <x:v>293</x:v>
      </x:c>
      <x:c r="V378" t="n">
        <x:f>H378-U378</x:f>
        <x:v>-99</x:v>
      </x:c>
      <x:c r="W378" s="52" t="n">
        <x:f>IF(D378=0,"",(V378)/D378)</x:f>
        <x:v>-0.18265682656826568</x:v>
      </x:c>
      <x:c r="X378" t="str">
        <x:v>DHIRENDRA SINGH</x:v>
      </x:c>
      <x:c r="Y378" t="n">
        <x:f>D378-E378-F378</x:f>
        <x:v>0</x:v>
      </x:c>
    </x:row>
    <x:row r="379">
      <x:c r="A379" t="n">
        <x:v>371</x:v>
      </x:c>
      <x:c r="B379" t="str">
        <x:v>PRIMARY SCHOOL VAINA ROAD JEWAR ROOM NO 3</x:v>
      </x:c>
      <x:c r="C379" t="n">
        <x:v>1104</x:v>
      </x:c>
      <x:c r="D379" t="n">
        <x:v>689</x:v>
      </x:c>
      <x:c r="E379" t="n">
        <x:f>SUM(H379:S379)</x:f>
        <x:v>685</x:v>
      </x:c>
      <x:c r="F379" t="n">
        <x:v>4</x:v>
      </x:c>
      <x:c r="G379" s="50" t="n">
        <x:f>IF(C379="","",IFERROR(D379/C379,0))</x:f>
        <x:v>0.6240942028985508</x:v>
      </x:c>
      <x:c r="H379" s="36" t="n">
        <x:v>457</x:v>
      </x:c>
      <x:c r="I379" t="n">
        <x:v>188</x:v>
      </x:c>
      <x:c r="J379" t="n">
        <x:v>19</x:v>
      </x:c>
      <x:c r="K379" t="n">
        <x:v>7</x:v>
      </x:c>
      <x:c r="L379" t="n">
        <x:v>2</x:v>
      </x:c>
      <x:c r="M379" t="n">
        <x:v>1</x:v>
      </x:c>
      <x:c r="N379" t="n">
        <x:v>3</x:v>
      </x:c>
      <x:c r="O379" t="n">
        <x:v>2</x:v>
      </x:c>
      <x:c r="P379" t="n">
        <x:v>2</x:v>
      </x:c>
      <x:c r="Q379" t="n">
        <x:v>1</x:v>
      </x:c>
      <x:c r="R379" t="n">
        <x:v>1</x:v>
      </x:c>
      <x:c r="S379" t="n">
        <x:v>2</x:v>
      </x:c>
      <x:c r="T379" s="50" t="n">
        <x:f>IF(D379=0,"",H379/D379)</x:f>
        <x:v>0.6632801161103048</x:v>
      </x:c>
      <x:c r="U379" t="n">
        <x:f>MAX(I379:S379)</x:f>
        <x:v>188</x:v>
      </x:c>
      <x:c r="V379" t="n">
        <x:f>H379-U379</x:f>
        <x:v>269</x:v>
      </x:c>
      <x:c r="W379" s="52" t="n">
        <x:f>IF(D379=0,"",(V379)/D379)</x:f>
        <x:v>0.3904208998548621</x:v>
      </x:c>
      <x:c r="X379" t="str">
        <x:v>AVTAR SINGH BHADANA</x:v>
      </x:c>
      <x:c r="Y379" t="n">
        <x:f>D379-E379-F379</x:f>
        <x:v>0</x:v>
      </x:c>
    </x:row>
    <x:row r="380">
      <x:c r="A380" t="n">
        <x:v>372</x:v>
      </x:c>
      <x:c r="B380" t="str">
        <x:v>KANWAR TECHNICAL INTER COLLEGE JEWAR TOWN AREA ROOM NO 1</x:v>
      </x:c>
      <x:c r="C380" t="n">
        <x:v>953</x:v>
      </x:c>
      <x:c r="D380" t="n">
        <x:v>657</x:v>
      </x:c>
      <x:c r="E380" t="n">
        <x:f>SUM(H380:S380)</x:f>
        <x:v>655</x:v>
      </x:c>
      <x:c r="F380" t="n">
        <x:v>2</x:v>
      </x:c>
      <x:c r="G380" s="50" t="n">
        <x:f>IF(C380="","",IFERROR(D380/C380,0))</x:f>
        <x:v>0.689401888772298</x:v>
      </x:c>
      <x:c r="H380" s="36" t="n">
        <x:v>108</x:v>
      </x:c>
      <x:c r="I380" t="n">
        <x:v>528</x:v>
      </x:c>
      <x:c r="J380" t="n">
        <x:v>5</x:v>
      </x:c>
      <x:c r="K380" t="n">
        <x:v>11</x:v>
      </x:c>
      <x:c r="L380" t="n">
        <x:v>1</x:v>
      </x:c>
      <x:c r="M380" t="n">
        <x:v>1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1</x:v>
      </x:c>
      <x:c r="S380" t="n">
        <x:v>0</x:v>
      </x:c>
      <x:c r="T380" s="50" t="n">
        <x:f>IF(D380=0,"",H380/D380)</x:f>
        <x:v>0.1643835616438356</x:v>
      </x:c>
      <x:c r="U380" t="n">
        <x:f>MAX(I380:S380)</x:f>
        <x:v>528</x:v>
      </x:c>
      <x:c r="V380" t="n">
        <x:f>H380-U380</x:f>
        <x:v>-420</x:v>
      </x:c>
      <x:c r="W380" s="52" t="n">
        <x:f>IF(D380=0,"",(V380)/D380)</x:f>
        <x:v>-0.639269406392694</x:v>
      </x:c>
      <x:c r="X380" t="str">
        <x:v>DHIRENDRA SINGH</x:v>
      </x:c>
      <x:c r="Y380" t="n">
        <x:f>D380-E380-F380</x:f>
        <x:v>0</x:v>
      </x:c>
    </x:row>
    <x:row r="381">
      <x:c r="A381" t="n">
        <x:v>373</x:v>
      </x:c>
      <x:c r="B381" t="str">
        <x:v>KANWAR TECHNICAL INTER COLLEGE JEWAR TOWN AREA ROOM NO 2</x:v>
      </x:c>
      <x:c r="C381" t="n">
        <x:v>774</x:v>
      </x:c>
      <x:c r="D381" t="n">
        <x:v>518</x:v>
      </x:c>
      <x:c r="E381" t="n">
        <x:f>SUM(H381:S381)</x:f>
        <x:v>518</x:v>
      </x:c>
      <x:c r="F381" t="n">
        <x:v>0</x:v>
      </x:c>
      <x:c r="G381" s="50" t="n">
        <x:f>IF(C381="","",IFERROR(D381/C381,0))</x:f>
        <x:v>0.6692506459948321</x:v>
      </x:c>
      <x:c r="H381" s="36" t="n">
        <x:v>306</x:v>
      </x:c>
      <x:c r="I381" t="n">
        <x:v>193</x:v>
      </x:c>
      <x:c r="J381" t="n">
        <x:v>10</x:v>
      </x:c>
      <x:c r="K381" t="n">
        <x:v>3</x:v>
      </x:c>
      <x:c r="L381" t="n">
        <x:v>1</x:v>
      </x:c>
      <x:c r="M381" t="n">
        <x:v>0</x:v>
      </x:c>
      <x:c r="N381" t="n">
        <x:v>0</x:v>
      </x:c>
      <x:c r="O381" t="n">
        <x:v>2</x:v>
      </x:c>
      <x:c r="P381" t="n">
        <x:v>0</x:v>
      </x:c>
      <x:c r="Q381" t="n">
        <x:v>2</x:v>
      </x:c>
      <x:c r="R381" t="n">
        <x:v>1</x:v>
      </x:c>
      <x:c r="S381" t="n">
        <x:v>0</x:v>
      </x:c>
      <x:c r="T381" s="50" t="n">
        <x:f>IF(D381=0,"",H381/D381)</x:f>
        <x:v>0.5907335907335908</x:v>
      </x:c>
      <x:c r="U381" t="n">
        <x:f>MAX(I381:S381)</x:f>
        <x:v>193</x:v>
      </x:c>
      <x:c r="V381" t="n">
        <x:f>H381-U381</x:f>
        <x:v>113</x:v>
      </x:c>
      <x:c r="W381" s="52" t="n">
        <x:f>IF(D381=0,"",(V381)/D381)</x:f>
        <x:v>0.21814671814671815</x:v>
      </x:c>
      <x:c r="X381" t="str">
        <x:v>AVTAR SINGH BHADANA</x:v>
      </x:c>
      <x:c r="Y381" t="n">
        <x:f>D381-E381-F381</x:f>
        <x:v>0</x:v>
      </x:c>
    </x:row>
    <x:row r="382">
      <x:c r="A382" t="n">
        <x:v>374</x:v>
      </x:c>
      <x:c r="B382" t="str">
        <x:v>KANWAR TECHNICAL INTER COLLEGE JEWAR TOWN AREA ROOM NO 3</x:v>
      </x:c>
      <x:c r="C382" t="n">
        <x:v>1032</x:v>
      </x:c>
      <x:c r="D382" t="n">
        <x:v>717</x:v>
      </x:c>
      <x:c r="E382" t="n">
        <x:f>SUM(H382:S382)</x:f>
        <x:v>709</x:v>
      </x:c>
      <x:c r="F382" t="n">
        <x:v>8</x:v>
      </x:c>
      <x:c r="G382" s="50" t="n">
        <x:f>IF(C382="","",IFERROR(D382/C382,0))</x:f>
        <x:v>0.6947674418604651</x:v>
      </x:c>
      <x:c r="H382" s="36" t="n">
        <x:v>475</x:v>
      </x:c>
      <x:c r="I382" t="n">
        <x:v>206</x:v>
      </x:c>
      <x:c r="J382" t="n">
        <x:v>19</x:v>
      </x:c>
      <x:c r="K382" t="n">
        <x:v>2</x:v>
      </x:c>
      <x:c r="L382" t="n">
        <x:v>0</x:v>
      </x:c>
      <x:c r="M382" t="n">
        <x:v>2</x:v>
      </x:c>
      <x:c r="N382" t="n">
        <x:v>1</x:v>
      </x:c>
      <x:c r="O382" t="n">
        <x:v>1</x:v>
      </x:c>
      <x:c r="P382" t="n">
        <x:v>1</x:v>
      </x:c>
      <x:c r="Q382" t="n">
        <x:v>0</x:v>
      </x:c>
      <x:c r="R382" t="n">
        <x:v>1</x:v>
      </x:c>
      <x:c r="S382" t="n">
        <x:v>1</x:v>
      </x:c>
      <x:c r="T382" s="50" t="n">
        <x:f>IF(D382=0,"",H382/D382)</x:f>
        <x:v>0.6624825662482566</x:v>
      </x:c>
      <x:c r="U382" t="n">
        <x:f>MAX(I382:S382)</x:f>
        <x:v>206</x:v>
      </x:c>
      <x:c r="V382" t="n">
        <x:f>H382-U382</x:f>
        <x:v>269</x:v>
      </x:c>
      <x:c r="W382" s="52" t="n">
        <x:f>IF(D382=0,"",(V382)/D382)</x:f>
        <x:v>0.37517433751743373</x:v>
      </x:c>
      <x:c r="X382" t="str">
        <x:v>AVTAR SINGH BHADANA</x:v>
      </x:c>
      <x:c r="Y382" t="n">
        <x:f>D382-E382-F382</x:f>
        <x:v>0</x:v>
      </x:c>
    </x:row>
    <x:row r="383">
      <x:c r="A383" t="n">
        <x:v>375</x:v>
      </x:c>
      <x:c r="B383" t="str">
        <x:v>ANGANWADI CENTER ESTABLISHMENT AREA JEWAR BANGAR ROOM NO. 1</x:v>
      </x:c>
      <x:c r="C383" t="n">
        <x:v>644</x:v>
      </x:c>
      <x:c r="D383" t="n">
        <x:v>271</x:v>
      </x:c>
      <x:c r="E383" t="n">
        <x:f>SUM(H383:S383)</x:f>
        <x:v>266</x:v>
      </x:c>
      <x:c r="F383" t="n">
        <x:v>5</x:v>
      </x:c>
      <x:c r="G383" s="50" t="n">
        <x:f>IF(C383="","",IFERROR(D383/C383,0))</x:f>
        <x:v>0.42080745341614906</x:v>
      </x:c>
      <x:c r="H383" s="36" t="n">
        <x:v>32</x:v>
      </x:c>
      <x:c r="I383" t="n">
        <x:v>230</x:v>
      </x:c>
      <x:c r="J383" t="n">
        <x:v>3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1</x:v>
      </x:c>
      <x:c r="S383" t="n">
        <x:v>0</x:v>
      </x:c>
      <x:c r="T383" s="50" t="n">
        <x:f>IF(D383=0,"",H383/D383)</x:f>
        <x:v>0.11808118081180811</x:v>
      </x:c>
      <x:c r="U383" t="n">
        <x:f>MAX(I383:S383)</x:f>
        <x:v>230</x:v>
      </x:c>
      <x:c r="V383" t="n">
        <x:f>H383-U383</x:f>
        <x:v>-198</x:v>
      </x:c>
      <x:c r="W383" s="52" t="n">
        <x:f>IF(D383=0,"",(V383)/D383)</x:f>
        <x:v>-0.7306273062730627</x:v>
      </x:c>
      <x:c r="X383" t="str">
        <x:v>DHIRENDRA SINGH</x:v>
      </x:c>
      <x:c r="Y383" t="n">
        <x:f>D383-E383-F383</x:f>
        <x:v>0</x:v>
      </x:c>
    </x:row>
    <x:row r="384">
      <x:c r="A384" t="n">
        <x:v>376</x:v>
      </x:c>
      <x:c r="B384" t="str">
        <x:v>ANGANWADI CENTER ESTABLISHMENT AREA JEWAR BANGAR ROOM NO. 2</x:v>
      </x:c>
      <x:c r="C384" t="n">
        <x:v>978</x:v>
      </x:c>
      <x:c r="D384" t="n">
        <x:v>591</x:v>
      </x:c>
      <x:c r="E384" t="n">
        <x:f>SUM(H384:S384)</x:f>
        <x:v>590</x:v>
      </x:c>
      <x:c r="F384" t="n">
        <x:v>1</x:v>
      </x:c>
      <x:c r="G384" s="50" t="n">
        <x:f>IF(C384="","",IFERROR(D384/C384,0))</x:f>
        <x:v>0.6042944785276073</x:v>
      </x:c>
      <x:c r="H384" s="36" t="n">
        <x:v>51</x:v>
      </x:c>
      <x:c r="I384" t="n">
        <x:v>389</x:v>
      </x:c>
      <x:c r="J384" t="n">
        <x:v>135</x:v>
      </x:c>
      <x:c r="K384" t="n">
        <x:v>7</x:v>
      </x:c>
      <x:c r="L384" t="n">
        <x:v>1</x:v>
      </x:c>
      <x:c r="M384" t="n">
        <x:v>1</x:v>
      </x:c>
      <x:c r="N384" t="n">
        <x:v>0</x:v>
      </x:c>
      <x:c r="O384" t="n">
        <x:v>1</x:v>
      </x:c>
      <x:c r="P384" t="n">
        <x:v>0</x:v>
      </x:c>
      <x:c r="Q384" t="n">
        <x:v>1</x:v>
      </x:c>
      <x:c r="R384" t="n">
        <x:v>1</x:v>
      </x:c>
      <x:c r="S384" t="n">
        <x:v>3</x:v>
      </x:c>
      <x:c r="T384" s="50" t="n">
        <x:f>IF(D384=0,"",H384/D384)</x:f>
        <x:v>0.08629441624365482</x:v>
      </x:c>
      <x:c r="U384" t="n">
        <x:f>MAX(I384:S384)</x:f>
        <x:v>389</x:v>
      </x:c>
      <x:c r="V384" t="n">
        <x:f>H384-U384</x:f>
        <x:v>-338</x:v>
      </x:c>
      <x:c r="W384" s="52" t="n">
        <x:f>IF(D384=0,"",(V384)/D384)</x:f>
        <x:v>-0.571912013536379</x:v>
      </x:c>
      <x:c r="X384" t="str">
        <x:v>DHIRENDRA SINGH</x:v>
      </x:c>
      <x:c r="Y384" t="n">
        <x:f>D384-E384-F384</x:f>
        <x:v>0</x:v>
      </x:c>
    </x:row>
    <x:row r="385">
      <x:c r="A385" t="n">
        <x:v>377</x:v>
      </x:c>
      <x:c r="B385" t="str">
        <x:v>ANGANWADI CENTER ESTABLISHMENT AREA JEWAR BANGAR ROOM NO. 3</x:v>
      </x:c>
      <x:c r="C385" t="n">
        <x:v>1026</x:v>
      </x:c>
      <x:c r="D385" t="n">
        <x:v>721</x:v>
      </x:c>
      <x:c r="E385" t="n">
        <x:f>SUM(H385:S385)</x:f>
        <x:v>717</x:v>
      </x:c>
      <x:c r="F385" t="n">
        <x:v>4</x:v>
      </x:c>
      <x:c r="G385" s="50" t="n">
        <x:f>IF(C385="","",IFERROR(D385/C385,0))</x:f>
        <x:v>0.702729044834308</x:v>
      </x:c>
      <x:c r="H385" s="36" t="n">
        <x:v>234</x:v>
      </x:c>
      <x:c r="I385" t="n">
        <x:v>471</x:v>
      </x:c>
      <x:c r="J385" t="n">
        <x:v>5</x:v>
      </x:c>
      <x:c r="K385" t="n">
        <x:v>4</x:v>
      </x:c>
      <x:c r="L385" t="n">
        <x:v>1</x:v>
      </x:c>
      <x:c r="M385" t="n">
        <x:v>0</x:v>
      </x:c>
      <x:c r="N385" t="n">
        <x:v>0</x:v>
      </x:c>
      <x:c r="O385" t="n">
        <x:v>0</x:v>
      </x:c>
      <x:c r="P385" t="n">
        <x:v>1</x:v>
      </x:c>
      <x:c r="Q385" t="n">
        <x:v>0</x:v>
      </x:c>
      <x:c r="R385" t="n">
        <x:v>1</x:v>
      </x:c>
      <x:c r="S385" t="n">
        <x:v>0</x:v>
      </x:c>
      <x:c r="T385" s="50" t="n">
        <x:f>IF(D385=0,"",H385/D385)</x:f>
        <x:v>0.3245492371705964</x:v>
      </x:c>
      <x:c r="U385" t="n">
        <x:f>MAX(I385:S385)</x:f>
        <x:v>471</x:v>
      </x:c>
      <x:c r="V385" t="n">
        <x:f>H385-U385</x:f>
        <x:v>-237</x:v>
      </x:c>
      <x:c r="W385" s="52" t="n">
        <x:f>IF(D385=0,"",(V385)/D385)</x:f>
        <x:v>-0.3287101248266297</x:v>
      </x:c>
      <x:c r="X385" t="str">
        <x:v>DHIRENDRA SINGH</x:v>
      </x:c>
      <x:c r="Y385" t="n">
        <x:f>D385-E385-F385</x:f>
        <x:v>0</x:v>
      </x:c>
    </x:row>
    <x:row r="386">
      <x:c r="A386" t="n">
        <x:v>378</x:v>
      </x:c>
      <x:c r="B386" t="str">
        <x:v>ANGANWADI CENTER ESTABLISHMENT AREA JEWAR BANGAR ROOM NO. 4</x:v>
      </x:c>
      <x:c r="C386" t="n">
        <x:v>1054</x:v>
      </x:c>
      <x:c r="D386" t="n">
        <x:v>838</x:v>
      </x:c>
      <x:c r="E386" t="n">
        <x:f>SUM(H386:S386)</x:f>
        <x:v>834</x:v>
      </x:c>
      <x:c r="F386" t="n">
        <x:v>4</x:v>
      </x:c>
      <x:c r="G386" s="50" t="n">
        <x:f>IF(C386="","",IFERROR(D386/C386,0))</x:f>
        <x:v>0.7950664136622391</x:v>
      </x:c>
      <x:c r="H386" s="36" t="n">
        <x:v>497</x:v>
      </x:c>
      <x:c r="I386" t="n">
        <x:v>320</x:v>
      </x:c>
      <x:c r="J386" t="n">
        <x:v>3</x:v>
      </x:c>
      <x:c r="K386" t="n">
        <x:v>10</x:v>
      </x:c>
      <x:c r="L386" t="n">
        <x:v>1</x:v>
      </x:c>
      <x:c r="M386" t="n">
        <x:v>1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2</x:v>
      </x:c>
      <x:c r="T386" s="50" t="n">
        <x:f>IF(D386=0,"",H386/D386)</x:f>
        <x:v>0.5930787589498807</x:v>
      </x:c>
      <x:c r="U386" t="n">
        <x:f>MAX(I386:S386)</x:f>
        <x:v>320</x:v>
      </x:c>
      <x:c r="V386" t="n">
        <x:f>H386-U386</x:f>
        <x:v>177</x:v>
      </x:c>
      <x:c r="W386" s="52" t="n">
        <x:f>IF(D386=0,"",(V386)/D386)</x:f>
        <x:v>0.21121718377088305</x:v>
      </x:c>
      <x:c r="X386" t="str">
        <x:v>AVTAR SINGH BHADANA</x:v>
      </x:c>
      <x:c r="Y386" t="n">
        <x:f>D386-E386-F386</x:f>
        <x:v>0</x:v>
      </x:c>
    </x:row>
    <x:row r="387">
      <x:c r="A387" t="n">
        <x:v>379</x:v>
      </x:c>
      <x:c r="B387" t="str">
        <x:v>ANGANWADI CENTER ESTABLISHMENT AREA JEWAR BANGAR ROOM NO. 5</x:v>
      </x:c>
      <x:c r="C387" t="n">
        <x:v>1219</x:v>
      </x:c>
      <x:c r="D387" t="n">
        <x:v>910</x:v>
      </x:c>
      <x:c r="E387" t="n">
        <x:f>SUM(H387:S387)</x:f>
        <x:v>876</x:v>
      </x:c>
      <x:c r="F387" t="n">
        <x:v>34</x:v>
      </x:c>
      <x:c r="G387" s="50" t="n">
        <x:f>IF(C387="","",IFERROR(D387/C387,0))</x:f>
        <x:v>0.7465135356849877</x:v>
      </x:c>
      <x:c r="H387" s="36" t="n">
        <x:v>634</x:v>
      </x:c>
      <x:c r="I387" t="n">
        <x:v>155</x:v>
      </x:c>
      <x:c r="J387" t="n">
        <x:v>63</x:v>
      </x:c>
      <x:c r="K387" t="n">
        <x:v>6</x:v>
      </x:c>
      <x:c r="L387" t="n">
        <x:v>0</x:v>
      </x:c>
      <x:c r="M387" t="n">
        <x:v>1</x:v>
      </x:c>
      <x:c r="N387" t="n">
        <x:v>3</x:v>
      </x:c>
      <x:c r="O387" t="n">
        <x:v>3</x:v>
      </x:c>
      <x:c r="P387" t="n">
        <x:v>1</x:v>
      </x:c>
      <x:c r="Q387" t="n">
        <x:v>2</x:v>
      </x:c>
      <x:c r="R387" t="n">
        <x:v>0</x:v>
      </x:c>
      <x:c r="S387" t="n">
        <x:v>8</x:v>
      </x:c>
      <x:c r="T387" s="50" t="n">
        <x:f>IF(D387=0,"",H387/D387)</x:f>
        <x:v>0.6967032967032967</x:v>
      </x:c>
      <x:c r="U387" t="n">
        <x:f>MAX(I387:S387)</x:f>
        <x:v>155</x:v>
      </x:c>
      <x:c r="V387" t="n">
        <x:f>H387-U387</x:f>
        <x:v>479</x:v>
      </x:c>
      <x:c r="W387" s="52" t="n">
        <x:f>IF(D387=0,"",(V387)/D387)</x:f>
        <x:v>0.5263736263736264</x:v>
      </x:c>
      <x:c r="X387" t="str">
        <x:v>AVTAR SINGH BHADANA</x:v>
      </x:c>
      <x:c r="Y387" t="n">
        <x:f>D387-E387-F387</x:f>
        <x:v>0</x:v>
      </x:c>
    </x:row>
    <x:row r="388">
      <x:c r="A388" t="n">
        <x:v>380</x:v>
      </x:c>
      <x:c r="B388" t="str">
        <x:v>PRIMARY SCHOOL MIRPUR KUTCH AKA KANIGARHI ROOM NO 1</x:v>
      </x:c>
      <x:c r="C388" t="n">
        <x:v>1103</x:v>
      </x:c>
      <x:c r="D388" t="n">
        <x:v>792</x:v>
      </x:c>
      <x:c r="E388" t="n">
        <x:f>SUM(H388:S388)</x:f>
        <x:v>792</x:v>
      </x:c>
      <x:c r="F388" t="n">
        <x:v>0</x:v>
      </x:c>
      <x:c r="G388" s="50" t="n">
        <x:f>IF(C388="","",IFERROR(D388/C388,0))</x:f>
        <x:v>0.7180417044424298</x:v>
      </x:c>
      <x:c r="H388" s="36" t="n">
        <x:v>184</x:v>
      </x:c>
      <x:c r="I388" t="n">
        <x:v>553</x:v>
      </x:c>
      <x:c r="J388" t="n">
        <x:v>22</x:v>
      </x:c>
      <x:c r="K388" t="n">
        <x:v>25</x:v>
      </x:c>
      <x:c r="L388" t="n">
        <x:v>0</x:v>
      </x:c>
      <x:c r="M388" t="n">
        <x:v>1</x:v>
      </x:c>
      <x:c r="N388" t="n">
        <x:v>1</x:v>
      </x:c>
      <x:c r="O388" t="n">
        <x:v>0</x:v>
      </x:c>
      <x:c r="P388" t="n">
        <x:v>1</x:v>
      </x:c>
      <x:c r="Q388" t="n">
        <x:v>0</x:v>
      </x:c>
      <x:c r="R388" t="n">
        <x:v>1</x:v>
      </x:c>
      <x:c r="S388" t="n">
        <x:v>4</x:v>
      </x:c>
      <x:c r="T388" s="50" t="n">
        <x:f>IF(D388=0,"",H388/D388)</x:f>
        <x:v>0.23232323232323232</x:v>
      </x:c>
      <x:c r="U388" t="n">
        <x:f>MAX(I388:S388)</x:f>
        <x:v>553</x:v>
      </x:c>
      <x:c r="V388" t="n">
        <x:f>H388-U388</x:f>
        <x:v>-369</x:v>
      </x:c>
      <x:c r="W388" s="52" t="n">
        <x:f>IF(D388=0,"",(V388)/D388)</x:f>
        <x:v>-0.4659090909090909</x:v>
      </x:c>
      <x:c r="X388" t="str">
        <x:v>DHIRENDRA SINGH</x:v>
      </x:c>
      <x:c r="Y388" t="n">
        <x:f>D388-E388-F388</x:f>
        <x:v>0</x:v>
      </x:c>
    </x:row>
    <x:row r="389">
      <x:c r="A389" t="n">
        <x:v>381</x:v>
      </x:c>
      <x:c r="B389" t="str">
        <x:v>PRIMARY SCHOOL MIRPUR KUTCH AKA KANIGARHI ROOM NO 2</x:v>
      </x:c>
      <x:c r="C389" t="n">
        <x:v>1049</x:v>
      </x:c>
      <x:c r="D389" t="n">
        <x:v>783</x:v>
      </x:c>
      <x:c r="E389" t="n">
        <x:f>SUM(H389:S389)</x:f>
        <x:v>780</x:v>
      </x:c>
      <x:c r="F389" t="n">
        <x:v>3</x:v>
      </x:c>
      <x:c r="G389" s="50" t="n">
        <x:f>IF(C389="","",IFERROR(D389/C389,0))</x:f>
        <x:v>0.7464251668255482</x:v>
      </x:c>
      <x:c r="H389" s="36" t="n">
        <x:v>41</x:v>
      </x:c>
      <x:c r="I389" t="n">
        <x:v>504</x:v>
      </x:c>
      <x:c r="J389" t="n">
        <x:v>223</x:v>
      </x:c>
      <x:c r="K389" t="n">
        <x:v>5</x:v>
      </x:c>
      <x:c r="L389" t="n">
        <x:v>0</x:v>
      </x:c>
      <x:c r="M389" t="n">
        <x:v>3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3</x:v>
      </x:c>
      <x:c r="S389" t="n">
        <x:v>1</x:v>
      </x:c>
      <x:c r="T389" s="50" t="n">
        <x:f>IF(D389=0,"",H389/D389)</x:f>
        <x:v>0.05236270753512133</x:v>
      </x:c>
      <x:c r="U389" t="n">
        <x:f>MAX(I389:S389)</x:f>
        <x:v>504</x:v>
      </x:c>
      <x:c r="V389" t="n">
        <x:f>H389-U389</x:f>
        <x:v>-463</x:v>
      </x:c>
      <x:c r="W389" s="52" t="n">
        <x:f>IF(D389=0,"",(V389)/D389)</x:f>
        <x:v>-0.5913154533844189</x:v>
      </x:c>
      <x:c r="X389" t="str">
        <x:v>DHIRENDRA SINGH</x:v>
      </x:c>
      <x:c r="Y389" t="n">
        <x:f>D389-E389-F389</x:f>
        <x:v>0</x:v>
      </x:c>
    </x:row>
    <x:row r="390">
      <x:c r="A390" t="n">
        <x:v>382</x:v>
      </x:c>
      <x:c r="B390" t="str">
        <x:v>PRIMARY SCHOOL GOVINDSGARH ROOM NO 1</x:v>
      </x:c>
      <x:c r="C390" t="n">
        <x:v>779</x:v>
      </x:c>
      <x:c r="D390" t="n">
        <x:v>560</x:v>
      </x:c>
      <x:c r="E390" t="n">
        <x:f>SUM(H390:S390)</x:f>
        <x:v>556</x:v>
      </x:c>
      <x:c r="F390" t="n">
        <x:v>4</x:v>
      </x:c>
      <x:c r="G390" s="50" t="n">
        <x:f>IF(C390="","",IFERROR(D390/C390,0))</x:f>
        <x:v>0.7188703465982028</x:v>
      </x:c>
      <x:c r="H390" s="36" t="n">
        <x:v>85</x:v>
      </x:c>
      <x:c r="I390" t="n">
        <x:v>429</x:v>
      </x:c>
      <x:c r="J390" t="n">
        <x:v>24</x:v>
      </x:c>
      <x:c r="K390" t="n">
        <x:v>0</x:v>
      </x:c>
      <x:c r="L390" t="n">
        <x:v>0</x:v>
      </x:c>
      <x:c r="M390" t="n">
        <x:v>3</x:v>
      </x:c>
      <x:c r="N390" t="n">
        <x:v>0</x:v>
      </x:c>
      <x:c r="O390" t="n">
        <x:v>0</x:v>
      </x:c>
      <x:c r="P390" t="n">
        <x:v>0</x:v>
      </x:c>
      <x:c r="Q390" t="n">
        <x:v>1</x:v>
      </x:c>
      <x:c r="R390" t="n">
        <x:v>13</x:v>
      </x:c>
      <x:c r="S390" t="n">
        <x:v>1</x:v>
      </x:c>
      <x:c r="T390" s="50" t="n">
        <x:f>IF(D390=0,"",H390/D390)</x:f>
        <x:v>0.15178571428571427</x:v>
      </x:c>
      <x:c r="U390" t="n">
        <x:f>MAX(I390:S390)</x:f>
        <x:v>429</x:v>
      </x:c>
      <x:c r="V390" t="n">
        <x:f>H390-U390</x:f>
        <x:v>-344</x:v>
      </x:c>
      <x:c r="W390" s="52" t="n">
        <x:f>IF(D390=0,"",(V390)/D390)</x:f>
        <x:v>-0.6142857142857143</x:v>
      </x:c>
      <x:c r="X390" t="str">
        <x:v>DHIRENDRA SINGH</x:v>
      </x:c>
      <x:c r="Y390" t="n">
        <x:f>D390-E390-F390</x:f>
        <x:v>0</x:v>
      </x:c>
    </x:row>
    <x:row r="391">
      <x:c r="A391" t="n">
        <x:v>383</x:v>
      </x:c>
      <x:c r="B391" t="str">
        <x:v>PRIMARY SCHOOL SHAMSHMNAGAR ROOM NO 1</x:v>
      </x:c>
      <x:c r="C391" t="n">
        <x:v>807</x:v>
      </x:c>
      <x:c r="D391" t="n">
        <x:v>516</x:v>
      </x:c>
      <x:c r="E391" t="n">
        <x:f>SUM(H391:S391)</x:f>
        <x:v>513</x:v>
      </x:c>
      <x:c r="F391" t="n">
        <x:v>3</x:v>
      </x:c>
      <x:c r="G391" s="50" t="n">
        <x:f>IF(C391="","",IFERROR(D391/C391,0))</x:f>
        <x:v>0.6394052044609665</x:v>
      </x:c>
      <x:c r="H391" s="36" t="n">
        <x:v>96</x:v>
      </x:c>
      <x:c r="I391" t="n">
        <x:v>284</x:v>
      </x:c>
      <x:c r="J391" t="n">
        <x:v>121</x:v>
      </x:c>
      <x:c r="K391" t="n">
        <x:v>6</x:v>
      </x:c>
      <x:c r="L391" t="n">
        <x:v>1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4</x:v>
      </x:c>
      <x:c r="S391" t="n">
        <x:v>1</x:v>
      </x:c>
      <x:c r="T391" s="50" t="n">
        <x:f>IF(D391=0,"",H391/D391)</x:f>
        <x:v>0.18604651162790697</x:v>
      </x:c>
      <x:c r="U391" t="n">
        <x:f>MAX(I391:S391)</x:f>
        <x:v>284</x:v>
      </x:c>
      <x:c r="V391" t="n">
        <x:f>H391-U391</x:f>
        <x:v>-188</x:v>
      </x:c>
      <x:c r="W391" s="52" t="n">
        <x:f>IF(D391=0,"",(V391)/D391)</x:f>
        <x:v>-0.3643410852713178</x:v>
      </x:c>
      <x:c r="X391" t="str">
        <x:v>DHIRENDRA SINGH</x:v>
      </x:c>
      <x:c r="Y391" t="n">
        <x:f>D391-E391-F391</x:f>
        <x:v>0</x:v>
      </x:c>
    </x:row>
    <x:row r="392">
      <x:c r="A392" t="n">
        <x:v>384</x:v>
      </x:c>
      <x:c r="B392" t="str">
        <x:v>PRIMARY SCHOOL BHAGWANTPUR CHHATANGA KHURD ROOM NO 1</x:v>
      </x:c>
      <x:c r="C392" t="n">
        <x:v>922</x:v>
      </x:c>
      <x:c r="D392" t="n">
        <x:v>698</x:v>
      </x:c>
      <x:c r="E392" t="n">
        <x:f>SUM(H392:S392)</x:f>
        <x:v>697</x:v>
      </x:c>
      <x:c r="F392" t="n">
        <x:v>1</x:v>
      </x:c>
      <x:c r="G392" s="50" t="n">
        <x:f>IF(C392="","",IFERROR(D392/C392,0))</x:f>
        <x:v>0.7570498915401301</x:v>
      </x:c>
      <x:c r="H392" s="36" t="n">
        <x:v>26</x:v>
      </x:c>
      <x:c r="I392" t="n">
        <x:v>453</x:v>
      </x:c>
      <x:c r="J392" t="n">
        <x:v>199</x:v>
      </x:c>
      <x:c r="K392" t="n">
        <x:v>6</x:v>
      </x:c>
      <x:c r="L392" t="n">
        <x:v>0</x:v>
      </x:c>
      <x:c r="M392" t="n">
        <x:v>1</x:v>
      </x:c>
      <x:c r="N392" t="n">
        <x:v>0</x:v>
      </x:c>
      <x:c r="O392" t="n">
        <x:v>0</x:v>
      </x:c>
      <x:c r="P392" t="n">
        <x:v>1</x:v>
      </x:c>
      <x:c r="Q392" t="n">
        <x:v>1</x:v>
      </x:c>
      <x:c r="R392" t="n">
        <x:v>6</x:v>
      </x:c>
      <x:c r="S392" t="n">
        <x:v>4</x:v>
      </x:c>
      <x:c r="T392" s="50" t="n">
        <x:f>IF(D392=0,"",H392/D392)</x:f>
        <x:v>0.03724928366762178</x:v>
      </x:c>
      <x:c r="U392" t="n">
        <x:f>MAX(I392:S392)</x:f>
        <x:v>453</x:v>
      </x:c>
      <x:c r="V392" t="n">
        <x:f>H392-U392</x:f>
        <x:v>-427</x:v>
      </x:c>
      <x:c r="W392" s="52" t="n">
        <x:f>IF(D392=0,"",(V392)/D392)</x:f>
        <x:v>-0.6117478510028653</x:v>
      </x:c>
      <x:c r="X392" t="str">
        <x:v>DHIRENDRA SINGH</x:v>
      </x:c>
      <x:c r="Y392" t="n">
        <x:f>D392-E392-F392</x:f>
        <x:v>0</x:v>
      </x:c>
    </x:row>
    <x:row r="393">
      <x:c r="A393" t="n">
        <x:v>385</x:v>
      </x:c>
      <x:c r="B393" t="str">
        <x:v>PRIMARY SCHOOL CHHATANGA KHURD ROOM NO 1</x:v>
      </x:c>
      <x:c r="C393" t="n">
        <x:v>714</x:v>
      </x:c>
      <x:c r="D393" t="n">
        <x:v>440</x:v>
      </x:c>
      <x:c r="E393" t="n">
        <x:f>SUM(H393:S393)</x:f>
        <x:v>437</x:v>
      </x:c>
      <x:c r="F393" t="n">
        <x:v>3</x:v>
      </x:c>
      <x:c r="G393" s="50" t="n">
        <x:f>IF(C393="","",IFERROR(D393/C393,0))</x:f>
        <x:v>0.6162464985994398</x:v>
      </x:c>
      <x:c r="H393" s="36" t="n">
        <x:v>93</x:v>
      </x:c>
      <x:c r="I393" t="n">
        <x:v>303</x:v>
      </x:c>
      <x:c r="J393" t="n">
        <x:v>26</x:v>
      </x:c>
      <x:c r="K393" t="n">
        <x:v>3</x:v>
      </x:c>
      <x:c r="L393" t="n">
        <x:v>1</x:v>
      </x:c>
      <x:c r="M393" t="n">
        <x:v>2</x:v>
      </x:c>
      <x:c r="N393" t="n">
        <x:v>0</x:v>
      </x:c>
      <x:c r="O393" t="n">
        <x:v>0</x:v>
      </x:c>
      <x:c r="P393" t="n">
        <x:v>1</x:v>
      </x:c>
      <x:c r="Q393" t="n">
        <x:v>0</x:v>
      </x:c>
      <x:c r="R393" t="n">
        <x:v>2</x:v>
      </x:c>
      <x:c r="S393" t="n">
        <x:v>6</x:v>
      </x:c>
      <x:c r="T393" s="50" t="n">
        <x:f>IF(D393=0,"",H393/D393)</x:f>
        <x:v>0.21136363636363636</x:v>
      </x:c>
      <x:c r="U393" t="n">
        <x:f>MAX(I393:S393)</x:f>
        <x:v>303</x:v>
      </x:c>
      <x:c r="V393" t="n">
        <x:f>H393-U393</x:f>
        <x:v>-210</x:v>
      </x:c>
      <x:c r="W393" s="52" t="n">
        <x:f>IF(D393=0,"",(V393)/D393)</x:f>
        <x:v>-0.4772727272727273</x:v>
      </x:c>
      <x:c r="X393" t="str">
        <x:v>DHIRENDRA SINGH</x:v>
      </x:c>
      <x:c r="Y393" t="n">
        <x:f>D393-E393-F393</x:f>
        <x:v>0</x:v>
      </x:c>
    </x:row>
    <x:row r="394">
      <x:c r="A394" t="n">
        <x:v>386</x:v>
      </x:c>
      <x:c r="B394" t="str">
        <x:v>PRIMARY SCHOOL JHUPPA NARAYAN SINGH ROOM NO 1</x:v>
      </x:c>
      <x:c r="C394" t="n">
        <x:v>965</x:v>
      </x:c>
      <x:c r="D394" t="n">
        <x:v>682</x:v>
      </x:c>
      <x:c r="E394" t="n">
        <x:f>SUM(H394:S394)</x:f>
        <x:v>677</x:v>
      </x:c>
      <x:c r="F394" t="n">
        <x:v>5</x:v>
      </x:c>
      <x:c r="G394" s="50" t="n">
        <x:f>IF(C394="","",IFERROR(D394/C394,0))</x:f>
        <x:v>0.7067357512953368</x:v>
      </x:c>
      <x:c r="H394" s="36" t="n">
        <x:v>166</x:v>
      </x:c>
      <x:c r="I394" t="n">
        <x:v>116</x:v>
      </x:c>
      <x:c r="J394" t="n">
        <x:v>376</x:v>
      </x:c>
      <x:c r="K394" t="n">
        <x:v>11</x:v>
      </x:c>
      <x:c r="L394" t="n">
        <x:v>1</x:v>
      </x:c>
      <x:c r="M394" t="n">
        <x:v>1</x:v>
      </x:c>
      <x:c r="N394" t="n">
        <x:v>1</x:v>
      </x:c>
      <x:c r="O394" t="n">
        <x:v>2</x:v>
      </x:c>
      <x:c r="P394" t="n">
        <x:v>0</x:v>
      </x:c>
      <x:c r="Q394" t="n">
        <x:v>1</x:v>
      </x:c>
      <x:c r="R394" t="n">
        <x:v>1</x:v>
      </x:c>
      <x:c r="S394" t="n">
        <x:v>1</x:v>
      </x:c>
      <x:c r="T394" s="50" t="n">
        <x:f>IF(D394=0,"",H394/D394)</x:f>
        <x:v>0.2434017595307918</x:v>
      </x:c>
      <x:c r="U394" t="n">
        <x:f>MAX(I394:S394)</x:f>
        <x:v>376</x:v>
      </x:c>
      <x:c r="V394" t="n">
        <x:f>H394-U394</x:f>
        <x:v>-210</x:v>
      </x:c>
      <x:c r="W394" s="52" t="n">
        <x:f>IF(D394=0,"",(V394)/D394)</x:f>
        <x:v>-0.30791788856304986</x:v>
      </x:c>
      <x:c r="X394" t="str">
        <x:v>NARENDER KUMAR</x:v>
      </x:c>
      <x:c r="Y394" t="n">
        <x:f>D394-E394-F394</x:f>
        <x:v>0</x:v>
      </x:c>
    </x:row>
    <x:row r="395">
      <x:c r="A395" t="n">
        <x:v>387</x:v>
      </x:c>
      <x:c r="B395" t="str">
        <x:v>PRIMARY SCHOOL JHUPPA KALAN ROOM NO 1</x:v>
      </x:c>
      <x:c r="C395" t="n">
        <x:v>518</x:v>
      </x:c>
      <x:c r="D395" t="n">
        <x:v>416</x:v>
      </x:c>
      <x:c r="E395" t="n">
        <x:f>SUM(H395:S395)</x:f>
        <x:v>414</x:v>
      </x:c>
      <x:c r="F395" t="n">
        <x:v>2</x:v>
      </x:c>
      <x:c r="G395" s="50" t="n">
        <x:f>IF(C395="","",IFERROR(D395/C395,0))</x:f>
        <x:v>0.803088803088803</x:v>
      </x:c>
      <x:c r="H395" s="36" t="n">
        <x:v>351</x:v>
      </x:c>
      <x:c r="I395" t="n">
        <x:v>45</x:v>
      </x:c>
      <x:c r="J395" t="n">
        <x:v>1</x:v>
      </x:c>
      <x:c r="K395" t="n">
        <x:v>14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3</x:v>
      </x:c>
      <x:c r="T395" s="50" t="n">
        <x:f>IF(D395=0,"",H395/D395)</x:f>
        <x:v>0.84375</x:v>
      </x:c>
      <x:c r="U395" t="n">
        <x:f>MAX(I395:S395)</x:f>
        <x:v>45</x:v>
      </x:c>
      <x:c r="V395" t="n">
        <x:f>H395-U395</x:f>
        <x:v>306</x:v>
      </x:c>
      <x:c r="W395" s="52" t="n">
        <x:f>IF(D395=0,"",(V395)/D395)</x:f>
        <x:v>0.7355769230769231</x:v>
      </x:c>
      <x:c r="X395" t="str">
        <x:v>AVTAR SINGH BHADANA</x:v>
      </x:c>
      <x:c r="Y395" t="n">
        <x:f>D395-E395-F395</x:f>
        <x:v>0</x:v>
      </x:c>
    </x:row>
    <x:row r="396">
      <x:c r="A396" t="n">
        <x:v>388</x:v>
      </x:c>
      <x:c r="B396" t="str">
        <x:v>PRIMARY SCHOOL MEWLA GOPAL GARH ROOM NO 1</x:v>
      </x:c>
      <x:c r="C396" t="n">
        <x:v>1023</x:v>
      </x:c>
      <x:c r="D396" t="n">
        <x:v>675</x:v>
      </x:c>
      <x:c r="E396" t="n">
        <x:f>SUM(H396:S396)</x:f>
        <x:v>675</x:v>
      </x:c>
      <x:c r="F396" t="n">
        <x:v>0</x:v>
      </x:c>
      <x:c r="G396" s="50" t="n">
        <x:f>IF(C396="","",IFERROR(D396/C396,0))</x:f>
        <x:v>0.6598240469208211</x:v>
      </x:c>
      <x:c r="H396" s="36" t="n">
        <x:v>51</x:v>
      </x:c>
      <x:c r="I396" t="n">
        <x:v>414</x:v>
      </x:c>
      <x:c r="J396" t="n">
        <x:v>206</x:v>
      </x:c>
      <x:c r="K396" t="n">
        <x:v>1</x:v>
      </x:c>
      <x:c r="L396" t="n">
        <x:v>0</x:v>
      </x:c>
      <x:c r="M396" t="n">
        <x:v>0</x:v>
      </x:c>
      <x:c r="N396" t="n">
        <x:v>0</x:v>
      </x:c>
      <x:c r="O396" t="n">
        <x:v>1</x:v>
      </x:c>
      <x:c r="P396" t="n">
        <x:v>0</x:v>
      </x:c>
      <x:c r="Q396" t="n">
        <x:v>0</x:v>
      </x:c>
      <x:c r="R396" t="n">
        <x:v>1</x:v>
      </x:c>
      <x:c r="S396" t="n">
        <x:v>1</x:v>
      </x:c>
      <x:c r="T396" s="50" t="n">
        <x:f>IF(D396=0,"",H396/D396)</x:f>
        <x:v>0.07555555555555556</x:v>
      </x:c>
      <x:c r="U396" t="n">
        <x:f>MAX(I396:S396)</x:f>
        <x:v>414</x:v>
      </x:c>
      <x:c r="V396" t="n">
        <x:f>H396-U396</x:f>
        <x:v>-363</x:v>
      </x:c>
      <x:c r="W396" s="52" t="n">
        <x:f>IF(D396=0,"",(V396)/D396)</x:f>
        <x:v>-0.5377777777777778</x:v>
      </x:c>
      <x:c r="X396" t="str">
        <x:v>DHIRENDRA SINGH</x:v>
      </x:c>
      <x:c r="Y396" t="n">
        <x:f>D396-E396-F396</x:f>
        <x:v>0</x:v>
      </x:c>
    </x:row>
    <x:row r="397">
      <x:c r="A397" t="n">
        <x:v>389</x:v>
      </x:c>
      <x:c r="B397" t="str">
        <x:v>PRIMARY SCHOOL MEWLA GOPAL GARH ROOM NO 2</x:v>
      </x:c>
      <x:c r="C397" t="n">
        <x:v>1032</x:v>
      </x:c>
      <x:c r="D397" t="n">
        <x:v>728</x:v>
      </x:c>
      <x:c r="E397" t="n">
        <x:f>SUM(H397:S397)</x:f>
        <x:v>716</x:v>
      </x:c>
      <x:c r="F397" t="n">
        <x:v>12</x:v>
      </x:c>
      <x:c r="G397" s="50" t="n">
        <x:f>IF(C397="","",IFERROR(D397/C397,0))</x:f>
        <x:v>0.7054263565891473</x:v>
      </x:c>
      <x:c r="H397" s="36" t="n">
        <x:v>113</x:v>
      </x:c>
      <x:c r="I397" t="n">
        <x:v>589</x:v>
      </x:c>
      <x:c r="J397" t="n">
        <x:v>3</x:v>
      </x:c>
      <x:c r="K397" t="n">
        <x:v>3</x:v>
      </x:c>
      <x:c r="L397" t="n">
        <x:v>1</x:v>
      </x:c>
      <x:c r="M397" t="n">
        <x:v>0</x:v>
      </x:c>
      <x:c r="N397" t="n">
        <x:v>1</x:v>
      </x:c>
      <x:c r="O397" t="n">
        <x:v>1</x:v>
      </x:c>
      <x:c r="P397" t="n">
        <x:v>0</x:v>
      </x:c>
      <x:c r="Q397" t="n">
        <x:v>0</x:v>
      </x:c>
      <x:c r="R397" t="n">
        <x:v>1</x:v>
      </x:c>
      <x:c r="S397" t="n">
        <x:v>4</x:v>
      </x:c>
      <x:c r="T397" s="50" t="n">
        <x:f>IF(D397=0,"",H397/D397)</x:f>
        <x:v>0.15521978021978022</x:v>
      </x:c>
      <x:c r="U397" t="n">
        <x:f>MAX(I397:S397)</x:f>
        <x:v>589</x:v>
      </x:c>
      <x:c r="V397" t="n">
        <x:f>H397-U397</x:f>
        <x:v>-476</x:v>
      </x:c>
      <x:c r="W397" s="52" t="n">
        <x:f>IF(D397=0,"",(V397)/D397)</x:f>
        <x:v>-0.6538461538461539</x:v>
      </x:c>
      <x:c r="X397" t="str">
        <x:v>DHIRENDRA SINGH</x:v>
      </x:c>
      <x:c r="Y397" t="n">
        <x:f>D397-E397-F397</x:f>
        <x:v>0</x:v>
      </x:c>
    </x:row>
    <x:row r="398">
      <x:c r="A398" t="n">
        <x:v>390</x:v>
      </x:c>
      <x:c r="B398" t="str">
        <x:v>PRIMARY SCHOOL ALIABAD URF MEHDIPUR ROOM NO 1</x:v>
      </x:c>
      <x:c r="C398" t="n">
        <x:v>1004</x:v>
      </x:c>
      <x:c r="D398" t="n">
        <x:v>685</x:v>
      </x:c>
      <x:c r="E398" t="n">
        <x:f>SUM(H398:S398)</x:f>
        <x:v>683</x:v>
      </x:c>
      <x:c r="F398" t="n">
        <x:v>2</x:v>
      </x:c>
      <x:c r="G398" s="50" t="n">
        <x:f>IF(C398="","",IFERROR(D398/C398,0))</x:f>
        <x:v>0.6822709163346613</x:v>
      </x:c>
      <x:c r="H398" s="36" t="n">
        <x:v>494</x:v>
      </x:c>
      <x:c r="I398" t="n">
        <x:v>158</x:v>
      </x:c>
      <x:c r="J398" t="n">
        <x:v>21</x:v>
      </x:c>
      <x:c r="K398" t="n">
        <x:v>5</x:v>
      </x:c>
      <x:c r="L398" t="n">
        <x:v>0</x:v>
      </x:c>
      <x:c r="M398" t="n">
        <x:v>0</x:v>
      </x:c>
      <x:c r="N398" t="n">
        <x:v>2</x:v>
      </x:c>
      <x:c r="O398" t="n">
        <x:v>1</x:v>
      </x:c>
      <x:c r="P398" t="n">
        <x:v>0</x:v>
      </x:c>
      <x:c r="Q398" t="n">
        <x:v>0</x:v>
      </x:c>
      <x:c r="R398" t="n">
        <x:v>2</x:v>
      </x:c>
      <x:c r="S398" t="n">
        <x:v>0</x:v>
      </x:c>
      <x:c r="T398" s="50" t="n">
        <x:f>IF(D398=0,"",H398/D398)</x:f>
        <x:v>0.7211678832116788</x:v>
      </x:c>
      <x:c r="U398" t="n">
        <x:f>MAX(I398:S398)</x:f>
        <x:v>158</x:v>
      </x:c>
      <x:c r="V398" t="n">
        <x:f>H398-U398</x:f>
        <x:v>336</x:v>
      </x:c>
      <x:c r="W398" s="52" t="n">
        <x:f>IF(D398=0,"",(V398)/D398)</x:f>
        <x:v>0.4905109489051095</x:v>
      </x:c>
      <x:c r="X398" t="str">
        <x:v>AVTAR SINGH BHADANA</x:v>
      </x:c>
      <x:c r="Y398" t="n">
        <x:f>D398-E398-F398</x:f>
        <x:v>0</x:v>
      </x:c>
    </x:row>
    <x:row r="399">
      <x:c r="A399" t="n">
        <x:v>391</x:v>
      </x:c>
      <x:c r="B399" t="str">
        <x:v>PRIMARY SCHOOL MANGRAULI ROOM NO 1</x:v>
      </x:c>
      <x:c r="C399" t="n">
        <x:v>967</x:v>
      </x:c>
      <x:c r="D399" t="n">
        <x:v>449</x:v>
      </x:c>
      <x:c r="E399" t="n">
        <x:f>SUM(H399:S399)</x:f>
        <x:v>445</x:v>
      </x:c>
      <x:c r="F399" t="n">
        <x:v>4</x:v>
      </x:c>
      <x:c r="G399" s="50" t="n">
        <x:f>IF(C399="","",IFERROR(D399/C399,0))</x:f>
        <x:v>0.4643226473629783</x:v>
      </x:c>
      <x:c r="H399" s="36" t="n">
        <x:v>140</x:v>
      </x:c>
      <x:c r="I399" t="n">
        <x:v>278</x:v>
      </x:c>
      <x:c r="J399" t="n">
        <x:v>14</x:v>
      </x:c>
      <x:c r="K399" t="n">
        <x:v>10</x:v>
      </x:c>
      <x:c r="L399" t="n">
        <x:v>0</x:v>
      </x:c>
      <x:c r="M399" t="n">
        <x:v>0</x:v>
      </x:c>
      <x:c r="N399" t="n">
        <x:v>1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2</x:v>
      </x:c>
      <x:c r="T399" s="50" t="n">
        <x:f>IF(D399=0,"",H399/D399)</x:f>
        <x:v>0.311804008908686</x:v>
      </x:c>
      <x:c r="U399" t="n">
        <x:f>MAX(I399:S399)</x:f>
        <x:v>278</x:v>
      </x:c>
      <x:c r="V399" t="n">
        <x:f>H399-U399</x:f>
        <x:v>-138</x:v>
      </x:c>
      <x:c r="W399" s="52" t="n">
        <x:f>IF(D399=0,"",(V399)/D399)</x:f>
        <x:v>-0.30734966592427615</x:v>
      </x:c>
      <x:c r="X399" t="str">
        <x:v>DHIRENDRA SINGH</x:v>
      </x:c>
      <x:c r="Y399" t="n">
        <x:f>D399-E399-F399</x:f>
        <x:v>0</x:v>
      </x:c>
    </x:row>
    <x:row r="400">
      <x:c r="A400" t="n">
        <x:v>392</x:v>
      </x:c>
      <x:c r="B400" t="str">
        <x:v>PRIMARY SCHOOL MANGRAULI ROOM NO 2</x:v>
      </x:c>
      <x:c r="C400" t="n">
        <x:v>977</x:v>
      </x:c>
      <x:c r="D400" t="n">
        <x:v>577</x:v>
      </x:c>
      <x:c r="E400" t="n">
        <x:f>SUM(H400:S400)</x:f>
        <x:v>575</x:v>
      </x:c>
      <x:c r="F400" t="n">
        <x:v>2</x:v>
      </x:c>
      <x:c r="G400" s="50" t="n">
        <x:f>IF(C400="","",IFERROR(D400/C400,0))</x:f>
        <x:v>0.5905834186284544</x:v>
      </x:c>
      <x:c r="H400" s="36" t="n">
        <x:v>105</x:v>
      </x:c>
      <x:c r="I400" t="n">
        <x:v>155</x:v>
      </x:c>
      <x:c r="J400" t="n">
        <x:v>309</x:v>
      </x:c>
      <x:c r="K400" t="n">
        <x:v>1</x:v>
      </x:c>
      <x:c r="L400" t="n">
        <x:v>0</x:v>
      </x:c>
      <x:c r="M400" t="n">
        <x:v>1</x:v>
      </x:c>
      <x:c r="N400" t="n">
        <x:v>0</x:v>
      </x:c>
      <x:c r="O400" t="n">
        <x:v>0</x:v>
      </x:c>
      <x:c r="P400" t="n">
        <x:v>0</x:v>
      </x:c>
      <x:c r="Q400" t="n">
        <x:v>1</x:v>
      </x:c>
      <x:c r="R400" t="n">
        <x:v>3</x:v>
      </x:c>
      <x:c r="S400" t="n">
        <x:v>0</x:v>
      </x:c>
      <x:c r="T400" s="50" t="n">
        <x:f>IF(D400=0,"",H400/D400)</x:f>
        <x:v>0.18197573656845753</x:v>
      </x:c>
      <x:c r="U400" t="n">
        <x:f>MAX(I400:S400)</x:f>
        <x:v>309</x:v>
      </x:c>
      <x:c r="V400" t="n">
        <x:f>H400-U400</x:f>
        <x:v>-204</x:v>
      </x:c>
      <x:c r="W400" s="52" t="n">
        <x:f>IF(D400=0,"",(V400)/D400)</x:f>
        <x:v>-0.3535528596187175</x:v>
      </x:c>
      <x:c r="X400" t="str">
        <x:v>NARENDER KUMAR</x:v>
      </x:c>
      <x:c r="Y400" t="n">
        <x:f>D400-E400-F400</x:f>
        <x:v>0</x:v>
      </x:c>
    </x:row>
    <x:row r="401">
      <x:c r="A401" t="n">
        <x:v>393</x:v>
      </x:c>
      <x:c r="B401" t="str">
        <x:v>PRIMARY SCHOOL ALAWALPUR ROOM NO 1</x:v>
      </x:c>
      <x:c r="C401" t="n">
        <x:v>598</x:v>
      </x:c>
      <x:c r="D401" t="n">
        <x:v>432</x:v>
      </x:c>
      <x:c r="E401" t="n">
        <x:f>SUM(H401:S401)</x:f>
        <x:v>432</x:v>
      </x:c>
      <x:c r="F401" t="n">
        <x:v>0</x:v>
      </x:c>
      <x:c r="G401" s="50" t="n">
        <x:f>IF(C401="","",IFERROR(D401/C401,0))</x:f>
        <x:v>0.7224080267558528</x:v>
      </x:c>
      <x:c r="H401" s="36" t="n">
        <x:v>31</x:v>
      </x:c>
      <x:c r="I401" t="n">
        <x:v>378</x:v>
      </x:c>
      <x:c r="J401" t="n">
        <x:v>20</x:v>
      </x:c>
      <x:c r="K401" t="n">
        <x:v>2</x:v>
      </x:c>
      <x:c r="L401" t="n">
        <x:v>1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s="50" t="n">
        <x:f>IF(D401=0,"",H401/D401)</x:f>
        <x:v>0.07175925925925926</x:v>
      </x:c>
      <x:c r="U401" t="n">
        <x:f>MAX(I401:S401)</x:f>
        <x:v>378</x:v>
      </x:c>
      <x:c r="V401" t="n">
        <x:f>H401-U401</x:f>
        <x:v>-347</x:v>
      </x:c>
      <x:c r="W401" s="52" t="n">
        <x:f>IF(D401=0,"",(V401)/D401)</x:f>
        <x:v>-0.8032407407407407</x:v>
      </x:c>
      <x:c r="X401" t="str">
        <x:v>DHIRENDRA SINGH</x:v>
      </x:c>
      <x:c r="Y401" t="n">
        <x:f>D401-E401-F401</x:f>
        <x:v>0</x:v>
      </x:c>
    </x:row>
    <x:row r="402">
      <x:c r="A402" t="n">
        <x:v>394</x:v>
      </x:c>
      <x:c r="B402" t="str">
        <x:v>PRIMARY SCHOOL AHMEDPUR CHAURAULI ROOM NO 1</x:v>
      </x:c>
      <x:c r="C402" t="n">
        <x:v>838</x:v>
      </x:c>
      <x:c r="D402" t="n">
        <x:v>552</x:v>
      </x:c>
      <x:c r="E402" t="n">
        <x:f>SUM(H402:S402)</x:f>
        <x:v>550</x:v>
      </x:c>
      <x:c r="F402" t="n">
        <x:v>2</x:v>
      </x:c>
      <x:c r="G402" s="50" t="n">
        <x:f>IF(C402="","",IFERROR(D402/C402,0))</x:f>
        <x:v>0.6587112171837709</x:v>
      </x:c>
      <x:c r="H402" s="36" t="n">
        <x:v>175</x:v>
      </x:c>
      <x:c r="I402" t="n">
        <x:v>146</x:v>
      </x:c>
      <x:c r="J402" t="n">
        <x:v>224</x:v>
      </x:c>
      <x:c r="K402" t="n">
        <x:v>0</x:v>
      </x:c>
      <x:c r="L402" t="n">
        <x:v>1</x:v>
      </x:c>
      <x:c r="M402" t="n">
        <x:v>1</x:v>
      </x:c>
      <x:c r="N402" t="n">
        <x:v>0</x:v>
      </x:c>
      <x:c r="O402" t="n">
        <x:v>0</x:v>
      </x:c>
      <x:c r="P402" t="n">
        <x:v>1</x:v>
      </x:c>
      <x:c r="Q402" t="n">
        <x:v>0</x:v>
      </x:c>
      <x:c r="R402" t="n">
        <x:v>2</x:v>
      </x:c>
      <x:c r="S402" t="n">
        <x:v>0</x:v>
      </x:c>
      <x:c r="T402" s="50" t="n">
        <x:f>IF(D402=0,"",H402/D402)</x:f>
        <x:v>0.3170289855072464</x:v>
      </x:c>
      <x:c r="U402" t="n">
        <x:f>MAX(I402:S402)</x:f>
        <x:v>224</x:v>
      </x:c>
      <x:c r="V402" t="n">
        <x:f>H402-U402</x:f>
        <x:v>-49</x:v>
      </x:c>
      <x:c r="W402" s="52" t="n">
        <x:f>IF(D402=0,"",(V402)/D402)</x:f>
        <x:v>-0.08876811594202899</x:v>
      </x:c>
      <x:c r="X402" t="str">
        <x:v>NARENDER KUMAR</x:v>
      </x:c>
      <x:c r="Y402" t="n">
        <x:f>D402-E402-F402</x:f>
        <x:v>0</x:v>
      </x:c>
    </x:row>
    <x:row r="403">
      <x:c r="A403" t="n">
        <x:v>395</x:v>
      </x:c>
      <x:c r="B403" t="str">
        <x:v>PRIMARY SCHOOL AHMEDPUR CHAURAULI ROOM NO 2</x:v>
      </x:c>
      <x:c r="C403" t="n">
        <x:v>1054</x:v>
      </x:c>
      <x:c r="D403" t="n">
        <x:v>711</x:v>
      </x:c>
      <x:c r="E403" t="n">
        <x:f>SUM(H403:S403)</x:f>
        <x:v>706</x:v>
      </x:c>
      <x:c r="F403" t="n">
        <x:v>5</x:v>
      </x:c>
      <x:c r="G403" s="50" t="n">
        <x:f>IF(C403="","",IFERROR(D403/C403,0))</x:f>
        <x:v>0.674573055028463</x:v>
      </x:c>
      <x:c r="H403" s="36" t="n">
        <x:v>340</x:v>
      </x:c>
      <x:c r="I403" t="n">
        <x:v>298</x:v>
      </x:c>
      <x:c r="J403" t="n">
        <x:v>62</x:v>
      </x:c>
      <x:c r="K403" t="n">
        <x:v>2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2</x:v>
      </x:c>
      <x:c r="S403" t="n">
        <x:v>2</x:v>
      </x:c>
      <x:c r="T403" s="50" t="n">
        <x:f>IF(D403=0,"",H403/D403)</x:f>
        <x:v>0.4781997187060478</x:v>
      </x:c>
      <x:c r="U403" t="n">
        <x:f>MAX(I403:S403)</x:f>
        <x:v>298</x:v>
      </x:c>
      <x:c r="V403" t="n">
        <x:f>H403-U403</x:f>
        <x:v>42</x:v>
      </x:c>
      <x:c r="W403" s="52" t="n">
        <x:f>IF(D403=0,"",(V403)/D403)</x:f>
        <x:v>0.05907172995780591</x:v>
      </x:c>
      <x:c r="X403" t="str">
        <x:v>AVTAR SINGH BHADANA</x:v>
      </x:c>
      <x:c r="Y403" t="n">
        <x:f>D403-E403-F403</x:f>
        <x:v>0</x:v>
      </x:c>
    </x:row>
    <x:row r="404">
      <x:c r="A404" t="n">
        <x:v>396</x:v>
      </x:c>
      <x:c r="B404" t="str">
        <x:v>PRIMARY SCHOOL AHMEDPUR CHAURAULI ROOM NO 3</x:v>
      </x:c>
      <x:c r="C404" t="n">
        <x:v>1109</x:v>
      </x:c>
      <x:c r="D404" t="n">
        <x:v>689</x:v>
      </x:c>
      <x:c r="E404" t="n">
        <x:f>SUM(H404:S404)</x:f>
        <x:v>688</x:v>
      </x:c>
      <x:c r="F404" t="n">
        <x:v>1</x:v>
      </x:c>
      <x:c r="G404" s="50" t="n">
        <x:f>IF(C404="","",IFERROR(D404/C404,0))</x:f>
        <x:v>0.6212804328223624</x:v>
      </x:c>
      <x:c r="H404" s="36" t="n">
        <x:v>331</x:v>
      </x:c>
      <x:c r="I404" t="n">
        <x:v>312</x:v>
      </x:c>
      <x:c r="J404" t="n">
        <x:v>40</x:v>
      </x:c>
      <x:c r="K404" t="n">
        <x:v>0</x:v>
      </x:c>
      <x:c r="L404" t="n">
        <x:v>0</x:v>
      </x:c>
      <x:c r="M404" t="n">
        <x:v>1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2</x:v>
      </x:c>
      <x:c r="S404" t="n">
        <x:v>2</x:v>
      </x:c>
      <x:c r="T404" s="50" t="n">
        <x:f>IF(D404=0,"",H404/D404)</x:f>
        <x:v>0.48040638606676345</x:v>
      </x:c>
      <x:c r="U404" t="n">
        <x:f>MAX(I404:S404)</x:f>
        <x:v>312</x:v>
      </x:c>
      <x:c r="V404" t="n">
        <x:f>H404-U404</x:f>
        <x:v>19</x:v>
      </x:c>
      <x:c r="W404" s="52" t="n">
        <x:f>IF(D404=0,"",(V404)/D404)</x:f>
        <x:v>0.027576197387518143</x:v>
      </x:c>
      <x:c r="X404" t="str">
        <x:v>AVTAR SINGH BHADANA</x:v>
      </x:c>
      <x:c r="Y404" t="n">
        <x:f>D404-E404-F404</x:f>
        <x:v>0</x:v>
      </x:c>
    </x:row>
    <x:row r="405">
      <x:c r="A405" t="n">
        <x:v>397</x:v>
      </x:c>
      <x:c r="B405" t="str">
        <x:v>JUNIOR HIGH SCHOOL AHMEDPUR CHAURAULI ROOM NO.1</x:v>
      </x:c>
      <x:c r="C405" t="n">
        <x:v>975</x:v>
      </x:c>
      <x:c r="D405" t="n">
        <x:v>588</x:v>
      </x:c>
      <x:c r="E405" t="n">
        <x:f>SUM(H405:S405)</x:f>
        <x:v>588</x:v>
      </x:c>
      <x:c r="F405" t="n">
        <x:v>0</x:v>
      </x:c>
      <x:c r="G405" s="50" t="n">
        <x:f>IF(C405="","",IFERROR(D405/C405,0))</x:f>
        <x:v>0.6030769230769231</x:v>
      </x:c>
      <x:c r="H405" s="36" t="n">
        <x:v>244</x:v>
      </x:c>
      <x:c r="I405" t="n">
        <x:v>252</x:v>
      </x:c>
      <x:c r="J405" t="n">
        <x:v>84</x:v>
      </x:c>
      <x:c r="K405" t="n">
        <x:v>1</x:v>
      </x:c>
      <x:c r="L405" t="n">
        <x:v>0</x:v>
      </x:c>
      <x:c r="M405" t="n">
        <x:v>2</x:v>
      </x:c>
      <x:c r="N405" t="n">
        <x:v>0</x:v>
      </x:c>
      <x:c r="O405" t="n">
        <x:v>1</x:v>
      </x:c>
      <x:c r="P405" t="n">
        <x:v>0</x:v>
      </x:c>
      <x:c r="Q405" t="n">
        <x:v>0</x:v>
      </x:c>
      <x:c r="R405" t="n">
        <x:v>0</x:v>
      </x:c>
      <x:c r="S405" t="n">
        <x:v>4</x:v>
      </x:c>
      <x:c r="T405" s="50" t="n">
        <x:f>IF(D405=0,"",H405/D405)</x:f>
        <x:v>0.41496598639455784</x:v>
      </x:c>
      <x:c r="U405" t="n">
        <x:f>MAX(I405:S405)</x:f>
        <x:v>252</x:v>
      </x:c>
      <x:c r="V405" t="n">
        <x:f>H405-U405</x:f>
        <x:v>-8</x:v>
      </x:c>
      <x:c r="W405" s="52" t="n">
        <x:f>IF(D405=0,"",(V405)/D405)</x:f>
        <x:v>-0.013605442176870748</x:v>
      </x:c>
      <x:c r="X405" t="str">
        <x:v>DHIRENDRA SINGH</x:v>
      </x:c>
      <x:c r="Y405" t="n">
        <x:f>D405-E405-F405</x:f>
        <x:v>0</x:v>
      </x:c>
    </x:row>
    <x:row r="406">
      <x:c r="A406" t="n">
        <x:v>398</x:v>
      </x:c>
      <x:c r="B406" t="str">
        <x:v>JUNIOR HIGH SCHOOL AHMEDPUR CHAURAULI ROOM NO.2</x:v>
      </x:c>
      <x:c r="C406" t="n">
        <x:v>800</x:v>
      </x:c>
      <x:c r="D406" t="n">
        <x:v>505</x:v>
      </x:c>
      <x:c r="E406" t="n">
        <x:f>SUM(H406:S406)</x:f>
        <x:v>504</x:v>
      </x:c>
      <x:c r="F406" t="n">
        <x:v>1</x:v>
      </x:c>
      <x:c r="G406" s="50" t="n">
        <x:f>IF(C406="","",IFERROR(D406/C406,0))</x:f>
        <x:v>0.63125</x:v>
      </x:c>
      <x:c r="H406" s="36" t="n">
        <x:v>264</x:v>
      </x:c>
      <x:c r="I406" t="n">
        <x:v>109</x:v>
      </x:c>
      <x:c r="J406" t="n">
        <x:v>121</x:v>
      </x:c>
      <x:c r="K406" t="n">
        <x:v>6</x:v>
      </x:c>
      <x:c r="L406" t="n">
        <x:v>0</x:v>
      </x:c>
      <x:c r="M406" t="n">
        <x:v>3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1</x:v>
      </x:c>
      <x:c r="T406" s="50" t="n">
        <x:f>IF(D406=0,"",H406/D406)</x:f>
        <x:v>0.5227722772277228</x:v>
      </x:c>
      <x:c r="U406" t="n">
        <x:f>MAX(I406:S406)</x:f>
        <x:v>121</x:v>
      </x:c>
      <x:c r="V406" t="n">
        <x:f>H406-U406</x:f>
        <x:v>143</x:v>
      </x:c>
      <x:c r="W406" s="52" t="n">
        <x:f>IF(D406=0,"",(V406)/D406)</x:f>
        <x:v>0.28316831683168314</x:v>
      </x:c>
      <x:c r="X406" t="str">
        <x:v>AVTAR SINGH BHADANA</x:v>
      </x:c>
      <x:c r="Y406" t="n">
        <x:f>D406-E406-F406</x:f>
        <x:v>0</x:v>
      </x:c>
    </x:row>
    <x:row r="407">
      <x:c r="A407" t="n">
        <x:v>399</x:v>
      </x:c>
      <x:c r="B407" t="str">
        <x:v>PRIMARY SCHOOL BHAVOKARA ROOM NO 1</x:v>
      </x:c>
      <x:c r="C407" t="n">
        <x:v>594</x:v>
      </x:c>
      <x:c r="D407" t="n">
        <x:v>453</x:v>
      </x:c>
      <x:c r="E407" t="n">
        <x:f>SUM(H407:S407)</x:f>
        <x:v>452</x:v>
      </x:c>
      <x:c r="F407" t="n">
        <x:v>1</x:v>
      </x:c>
      <x:c r="G407" s="50" t="n">
        <x:f>IF(C407="","",IFERROR(D407/C407,0))</x:f>
        <x:v>0.7626262626262627</x:v>
      </x:c>
      <x:c r="H407" s="36" t="n">
        <x:v>134</x:v>
      </x:c>
      <x:c r="I407" t="n">
        <x:v>230</x:v>
      </x:c>
      <x:c r="J407" t="n">
        <x:v>87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1</x:v>
      </x:c>
      <x:c r="S407" t="n">
        <x:v>0</x:v>
      </x:c>
      <x:c r="T407" s="50" t="n">
        <x:f>IF(D407=0,"",H407/D407)</x:f>
        <x:v>0.2958057395143488</x:v>
      </x:c>
      <x:c r="U407" t="n">
        <x:f>MAX(I407:S407)</x:f>
        <x:v>230</x:v>
      </x:c>
      <x:c r="V407" t="n">
        <x:f>H407-U407</x:f>
        <x:v>-96</x:v>
      </x:c>
      <x:c r="W407" s="52" t="n">
        <x:f>IF(D407=0,"",(V407)/D407)</x:f>
        <x:v>-0.2119205298013245</x:v>
      </x:c>
      <x:c r="X407" t="str">
        <x:v>DHIRENDRA SINGH</x:v>
      </x:c>
      <x:c r="Y407" t="n">
        <x:f>D407-E407-F407</x:f>
        <x:v>0</x:v>
      </x:c>
    </x:row>
    <x:row r="408">
      <x:c r="A408" t="n">
        <x:v>400</x:v>
      </x:c>
      <x:c r="B408" t="str">
        <x:v>PRIMARY SCHOOL BHAVOKARA ROOM NO 2</x:v>
      </x:c>
      <x:c r="C408" t="n">
        <x:v>658</x:v>
      </x:c>
      <x:c r="D408" t="n">
        <x:v>419</x:v>
      </x:c>
      <x:c r="E408" t="n">
        <x:f>SUM(H408:S408)</x:f>
        <x:v>418</x:v>
      </x:c>
      <x:c r="F408" t="n">
        <x:v>1</x:v>
      </x:c>
      <x:c r="G408" s="50" t="n">
        <x:f>IF(C408="","",IFERROR(D408/C408,0))</x:f>
        <x:v>0.6367781155015197</x:v>
      </x:c>
      <x:c r="H408" s="36" t="n">
        <x:v>108</x:v>
      </x:c>
      <x:c r="I408" t="n">
        <x:v>219</x:v>
      </x:c>
      <x:c r="J408" t="n">
        <x:v>83</x:v>
      </x:c>
      <x:c r="K408" t="n">
        <x:v>3</x:v>
      </x:c>
      <x:c r="L408" t="n">
        <x:v>0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n">
        <x:v>0</x:v>
      </x:c>
      <x:c r="R408" t="n">
        <x:v>0</x:v>
      </x:c>
      <x:c r="S408" t="n">
        <x:v>4</x:v>
      </x:c>
      <x:c r="T408" s="50" t="n">
        <x:f>IF(D408=0,"",H408/D408)</x:f>
        <x:v>0.2577565632458234</x:v>
      </x:c>
      <x:c r="U408" t="n">
        <x:f>MAX(I408:S408)</x:f>
        <x:v>219</x:v>
      </x:c>
      <x:c r="V408" t="n">
        <x:f>H408-U408</x:f>
        <x:v>-111</x:v>
      </x:c>
      <x:c r="W408" s="52" t="n">
        <x:f>IF(D408=0,"",(V408)/D408)</x:f>
        <x:v>-0.2649164677804296</x:v>
      </x:c>
      <x:c r="X408" t="str">
        <x:v>DHIRENDRA SINGH</x:v>
      </x:c>
      <x:c r="Y408" t="n">
        <x:f>D408-E408-F408</x:f>
        <x:v>0</x:v>
      </x:c>
    </x:row>
    <x:row r="409">
      <x:c r="A409" t="n">
        <x:v>401</x:v>
      </x:c>
      <x:c r="B409" t="str">
        <x:v>PRIMARY SCHOOL DAYURAR ROOM NO 1</x:v>
      </x:c>
      <x:c r="C409" t="n">
        <x:v>931</x:v>
      </x:c>
      <x:c r="D409" t="n">
        <x:v>755</x:v>
      </x:c>
      <x:c r="E409" t="n">
        <x:f>SUM(H409:S409)</x:f>
        <x:v>751</x:v>
      </x:c>
      <x:c r="F409" t="n">
        <x:v>4</x:v>
      </x:c>
      <x:c r="G409" s="50" t="n">
        <x:f>IF(C409="","",IFERROR(D409/C409,0))</x:f>
        <x:v>0.8109559613319012</x:v>
      </x:c>
      <x:c r="H409" s="36" t="n">
        <x:v>69</x:v>
      </x:c>
      <x:c r="I409" t="n">
        <x:v>532</x:v>
      </x:c>
      <x:c r="J409" t="n">
        <x:v>148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1</x:v>
      </x:c>
      <x:c r="R409" t="n">
        <x:v>1</x:v>
      </x:c>
      <x:c r="S409" t="n">
        <x:v>0</x:v>
      </x:c>
      <x:c r="T409" s="50" t="n">
        <x:f>IF(D409=0,"",H409/D409)</x:f>
        <x:v>0.0913907284768212</x:v>
      </x:c>
      <x:c r="U409" t="n">
        <x:f>MAX(I409:S409)</x:f>
        <x:v>532</x:v>
      </x:c>
      <x:c r="V409" t="n">
        <x:f>H409-U409</x:f>
        <x:v>-463</x:v>
      </x:c>
      <x:c r="W409" s="52" t="n">
        <x:f>IF(D409=0,"",(V409)/D409)</x:f>
        <x:v>-0.6132450331125828</x:v>
      </x:c>
      <x:c r="X409" t="str">
        <x:v>DHIRENDRA SINGH</x:v>
      </x:c>
      <x:c r="Y409" t="n">
        <x:f>D409-E409-F409</x:f>
        <x:v>0</x:v>
      </x:c>
    </x:row>
    <x:row r="410">
      <x:c r="A410" t="n">
        <x:v>402</x:v>
      </x:c>
      <x:c r="B410" t="str">
        <x:v>JUNIOR HIGH SCHOOL CHANCHLI ROOM NO 1</x:v>
      </x:c>
      <x:c r="C410" t="n">
        <x:v>882</x:v>
      </x:c>
      <x:c r="D410" t="n">
        <x:v>582</x:v>
      </x:c>
      <x:c r="E410" t="n">
        <x:f>SUM(H410:S410)</x:f>
        <x:v>582</x:v>
      </x:c>
      <x:c r="F410" t="n">
        <x:v>0</x:v>
      </x:c>
      <x:c r="G410" s="50" t="n">
        <x:f>IF(C410="","",IFERROR(D410/C410,0))</x:f>
        <x:v>0.6598639455782312</x:v>
      </x:c>
      <x:c r="H410" s="36" t="n">
        <x:v>109</x:v>
      </x:c>
      <x:c r="I410" t="n">
        <x:v>442</x:v>
      </x:c>
      <x:c r="J410" t="n">
        <x:v>13</x:v>
      </x:c>
      <x:c r="K410" t="n">
        <x:v>12</x:v>
      </x:c>
      <x:c r="L410" t="n">
        <x:v>0</x:v>
      </x:c>
      <x:c r="M410" t="n">
        <x:v>2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2</x:v>
      </x:c>
      <x:c r="S410" t="n">
        <x:v>2</x:v>
      </x:c>
      <x:c r="T410" s="50" t="n">
        <x:f>IF(D410=0,"",H410/D410)</x:f>
        <x:v>0.1872852233676976</x:v>
      </x:c>
      <x:c r="U410" t="n">
        <x:f>MAX(I410:S410)</x:f>
        <x:v>442</x:v>
      </x:c>
      <x:c r="V410" t="n">
        <x:f>H410-U410</x:f>
        <x:v>-333</x:v>
      </x:c>
      <x:c r="W410" s="52" t="n">
        <x:f>IF(D410=0,"",(V410)/D410)</x:f>
        <x:v>-0.5721649484536082</x:v>
      </x:c>
      <x:c r="X410" t="str">
        <x:v>DHIRENDRA SINGH</x:v>
      </x:c>
      <x:c r="Y410" t="n">
        <x:f>D410-E410-F410</x:f>
        <x:v>0</x:v>
      </x:c>
    </x:row>
    <x:row r="411">
      <x:c r="A411" t="n">
        <x:v>403</x:v>
      </x:c>
      <x:c r="B411" t="str">
        <x:v>JUNIOR HIGH SCHOOL CHANCHLI ROOM NO 2</x:v>
      </x:c>
      <x:c r="C411" t="n">
        <x:v>832</x:v>
      </x:c>
      <x:c r="D411" t="n">
        <x:v>603</x:v>
      </x:c>
      <x:c r="E411" t="n">
        <x:f>SUM(H411:S411)</x:f>
        <x:v>599</x:v>
      </x:c>
      <x:c r="F411" t="n">
        <x:v>4</x:v>
      </x:c>
      <x:c r="G411" s="50" t="n">
        <x:f>IF(C411="","",IFERROR(D411/C411,0))</x:f>
        <x:v>0.7247596153846154</x:v>
      </x:c>
      <x:c r="H411" s="36" t="n">
        <x:v>42</x:v>
      </x:c>
      <x:c r="I411" t="n">
        <x:v>259</x:v>
      </x:c>
      <x:c r="J411" t="n">
        <x:v>284</x:v>
      </x:c>
      <x:c r="K411" t="n">
        <x:v>4</x:v>
      </x:c>
      <x:c r="L411" t="n">
        <x:v>0</x:v>
      </x:c>
      <x:c r="M411" t="n">
        <x:v>0</x:v>
      </x:c>
      <x:c r="N411" t="n">
        <x:v>0</x:v>
      </x:c>
      <x:c r="O411" t="n">
        <x:v>1</x:v>
      </x:c>
      <x:c r="P411" t="n">
        <x:v>1</x:v>
      </x:c>
      <x:c r="Q411" t="n">
        <x:v>0</x:v>
      </x:c>
      <x:c r="R411" t="n">
        <x:v>4</x:v>
      </x:c>
      <x:c r="S411" t="n">
        <x:v>4</x:v>
      </x:c>
      <x:c r="T411" s="50" t="n">
        <x:f>IF(D411=0,"",H411/D411)</x:f>
        <x:v>0.06965174129353234</x:v>
      </x:c>
      <x:c r="U411" t="n">
        <x:f>MAX(I411:S411)</x:f>
        <x:v>284</x:v>
      </x:c>
      <x:c r="V411" t="n">
        <x:f>H411-U411</x:f>
        <x:v>-242</x:v>
      </x:c>
      <x:c r="W411" s="52" t="n">
        <x:f>IF(D411=0,"",(V411)/D411)</x:f>
        <x:v>-0.4013266998341625</x:v>
      </x:c>
      <x:c r="X411" t="str">
        <x:v>NARENDER KUMAR</x:v>
      </x:c>
      <x:c r="Y411" t="n">
        <x:f>D411-E411-F411</x:f>
        <x:v>0</x:v>
      </x:c>
    </x:row>
    <x:row r="412">
      <x:c r="A412" t="n">
        <x:v>404</x:v>
      </x:c>
      <x:c r="B412" t="str">
        <x:v>PRIMARY SCHOOL AURANGABAD AKA HIMAYUPUR ROOM NO 1</x:v>
      </x:c>
      <x:c r="C412" t="n">
        <x:v>708</x:v>
      </x:c>
      <x:c r="D412" t="n">
        <x:v>450</x:v>
      </x:c>
      <x:c r="E412" t="n">
        <x:f>SUM(H412:S412)</x:f>
        <x:v>448</x:v>
      </x:c>
      <x:c r="F412" t="n">
        <x:v>2</x:v>
      </x:c>
      <x:c r="G412" s="50" t="n">
        <x:f>IF(C412="","",IFERROR(D412/C412,0))</x:f>
        <x:v>0.635593220338983</x:v>
      </x:c>
      <x:c r="H412" s="36" t="n">
        <x:v>163</x:v>
      </x:c>
      <x:c r="I412" t="n">
        <x:v>202</x:v>
      </x:c>
      <x:c r="J412" t="n">
        <x:v>74</x:v>
      </x:c>
      <x:c r="K412" t="n">
        <x:v>2</x:v>
      </x:c>
      <x:c r="L412" t="n">
        <x:v>2</x:v>
      </x:c>
      <x:c r="M412" t="n">
        <x:v>3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1</x:v>
      </x:c>
      <x:c r="S412" t="n">
        <x:v>1</x:v>
      </x:c>
      <x:c r="T412" s="50" t="n">
        <x:f>IF(D412=0,"",H412/D412)</x:f>
        <x:v>0.3622222222222222</x:v>
      </x:c>
      <x:c r="U412" t="n">
        <x:f>MAX(I412:S412)</x:f>
        <x:v>202</x:v>
      </x:c>
      <x:c r="V412" t="n">
        <x:f>H412-U412</x:f>
        <x:v>-39</x:v>
      </x:c>
      <x:c r="W412" s="52" t="n">
        <x:f>IF(D412=0,"",(V412)/D412)</x:f>
        <x:v>-0.08666666666666667</x:v>
      </x:c>
      <x:c r="X412" t="str">
        <x:v>DHIRENDRA SINGH</x:v>
      </x:c>
      <x:c r="Y412" t="n">
        <x:f>D412-E412-F412</x:f>
        <x:v>0</x:v>
      </x:c>
    </x:row>
    <x:row r="413">
      <x:c r="A413" t="n">
        <x:v>405</x:v>
      </x:c>
      <x:c r="B413" t="str">
        <x:v>INTER COLLEGE TOWN AREA JAHANGIRPUR ROOM NO 1</x:v>
      </x:c>
      <x:c r="C413" t="n">
        <x:v>870</x:v>
      </x:c>
      <x:c r="D413" t="n">
        <x:v>473</x:v>
      </x:c>
      <x:c r="E413" t="n">
        <x:f>SUM(H413:S413)</x:f>
        <x:v>470</x:v>
      </x:c>
      <x:c r="F413" t="n">
        <x:v>3</x:v>
      </x:c>
      <x:c r="G413" s="50" t="n">
        <x:f>IF(C413="","",IFERROR(D413/C413,0))</x:f>
        <x:v>0.5436781609195402</x:v>
      </x:c>
      <x:c r="H413" s="36" t="n">
        <x:v>120</x:v>
      </x:c>
      <x:c r="I413" t="n">
        <x:v>217</x:v>
      </x:c>
      <x:c r="J413" t="n">
        <x:v>120</x:v>
      </x:c>
      <x:c r="K413" t="n">
        <x:v>5</x:v>
      </x:c>
      <x:c r="L413" t="n">
        <x:v>0</x:v>
      </x:c>
      <x:c r="M413" t="n">
        <x:v>2</x:v>
      </x:c>
      <x:c r="N413" t="n">
        <x:v>0</x:v>
      </x:c>
      <x:c r="O413" t="n">
        <x:v>2</x:v>
      </x:c>
      <x:c r="P413" t="n">
        <x:v>0</x:v>
      </x:c>
      <x:c r="Q413" t="n">
        <x:v>0</x:v>
      </x:c>
      <x:c r="R413" t="n">
        <x:v>1</x:v>
      </x:c>
      <x:c r="S413" t="n">
        <x:v>3</x:v>
      </x:c>
      <x:c r="T413" s="50" t="n">
        <x:f>IF(D413=0,"",H413/D413)</x:f>
        <x:v>0.2536997885835095</x:v>
      </x:c>
      <x:c r="U413" t="n">
        <x:f>MAX(I413:S413)</x:f>
        <x:v>217</x:v>
      </x:c>
      <x:c r="V413" t="n">
        <x:f>H413-U413</x:f>
        <x:v>-97</x:v>
      </x:c>
      <x:c r="W413" s="52" t="n">
        <x:f>IF(D413=0,"",(V413)/D413)</x:f>
        <x:v>-0.20507399577167018</x:v>
      </x:c>
      <x:c r="X413" t="str">
        <x:v>DHIRENDRA SINGH</x:v>
      </x:c>
      <x:c r="Y413" t="n">
        <x:f>D413-E413-F413</x:f>
        <x:v>0</x:v>
      </x:c>
    </x:row>
    <x:row r="414">
      <x:c r="A414" t="n">
        <x:v>406</x:v>
      </x:c>
      <x:c r="B414" t="str">
        <x:v>INTER COLLEGE TOWN AREA JAHANGIRPUR ROOM NO 2</x:v>
      </x:c>
      <x:c r="C414" t="n">
        <x:v>804</x:v>
      </x:c>
      <x:c r="D414" t="n">
        <x:v>427</x:v>
      </x:c>
      <x:c r="E414" t="n">
        <x:f>SUM(H414:S414)</x:f>
        <x:v>426</x:v>
      </x:c>
      <x:c r="F414" t="n">
        <x:v>1</x:v>
      </x:c>
      <x:c r="G414" s="50" t="n">
        <x:f>IF(C414="","",IFERROR(D414/C414,0))</x:f>
        <x:v>0.5310945273631841</x:v>
      </x:c>
      <x:c r="H414" s="36" t="n">
        <x:v>121</x:v>
      </x:c>
      <x:c r="I414" t="n">
        <x:v>178</x:v>
      </x:c>
      <x:c r="J414" t="n">
        <x:v>114</x:v>
      </x:c>
      <x:c r="K414" t="n">
        <x:v>3</x:v>
      </x:c>
      <x:c r="L414" t="n">
        <x:v>1</x:v>
      </x:c>
      <x:c r="M414" t="n">
        <x:v>1</x:v>
      </x:c>
      <x:c r="N414" t="n">
        <x:v>2</x:v>
      </x:c>
      <x:c r="O414" t="n">
        <x:v>0</x:v>
      </x:c>
      <x:c r="P414" t="n">
        <x:v>0</x:v>
      </x:c>
      <x:c r="Q414" t="n">
        <x:v>1</x:v>
      </x:c>
      <x:c r="R414" t="n">
        <x:v>4</x:v>
      </x:c>
      <x:c r="S414" t="n">
        <x:v>1</x:v>
      </x:c>
      <x:c r="T414" s="50" t="n">
        <x:f>IF(D414=0,"",H414/D414)</x:f>
        <x:v>0.28337236533957844</x:v>
      </x:c>
      <x:c r="U414" t="n">
        <x:f>MAX(I414:S414)</x:f>
        <x:v>178</x:v>
      </x:c>
      <x:c r="V414" t="n">
        <x:f>H414-U414</x:f>
        <x:v>-57</x:v>
      </x:c>
      <x:c r="W414" s="52" t="n">
        <x:f>IF(D414=0,"",(V414)/D414)</x:f>
        <x:v>-0.13348946135831383</x:v>
      </x:c>
      <x:c r="X414" t="str">
        <x:v>DHIRENDRA SINGH</x:v>
      </x:c>
      <x:c r="Y414" t="n">
        <x:f>D414-E414-F414</x:f>
        <x:v>0</x:v>
      </x:c>
    </x:row>
    <x:row r="415">
      <x:c r="A415" t="n">
        <x:v>407</x:v>
      </x:c>
      <x:c r="B415" t="str">
        <x:v>INTER COLLEGE TOWN AREA JAHANGIRPUR ROOM NO 3</x:v>
      </x:c>
      <x:c r="C415" t="n">
        <x:v>529</x:v>
      </x:c>
      <x:c r="D415" t="n">
        <x:v>400</x:v>
      </x:c>
      <x:c r="E415" t="n">
        <x:f>SUM(H415:S415)</x:f>
        <x:v>396</x:v>
      </x:c>
      <x:c r="F415" t="n">
        <x:v>4</x:v>
      </x:c>
      <x:c r="G415" s="50" t="n">
        <x:f>IF(C415="","",IFERROR(D415/C415,0))</x:f>
        <x:v>0.7561436672967864</x:v>
      </x:c>
      <x:c r="H415" s="36" t="n">
        <x:v>86</x:v>
      </x:c>
      <x:c r="I415" t="n">
        <x:v>304</x:v>
      </x:c>
      <x:c r="J415" t="n">
        <x:v>4</x:v>
      </x:c>
      <x:c r="K415" t="n">
        <x:v>1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1</x:v>
      </x:c>
      <x:c r="T415" s="50" t="n">
        <x:f>IF(D415=0,"",H415/D415)</x:f>
        <x:v>0.215</x:v>
      </x:c>
      <x:c r="U415" t="n">
        <x:f>MAX(I415:S415)</x:f>
        <x:v>304</x:v>
      </x:c>
      <x:c r="V415" t="n">
        <x:f>H415-U415</x:f>
        <x:v>-218</x:v>
      </x:c>
      <x:c r="W415" s="52" t="n">
        <x:f>IF(D415=0,"",(V415)/D415)</x:f>
        <x:v>-0.545</x:v>
      </x:c>
      <x:c r="X415" t="str">
        <x:v>DHIRENDRA SINGH</x:v>
      </x:c>
      <x:c r="Y415" t="n">
        <x:f>D415-E415-F415</x:f>
        <x:v>0</x:v>
      </x:c>
    </x:row>
    <x:row r="416">
      <x:c r="A416" t="n">
        <x:v>408</x:v>
      </x:c>
      <x:c r="B416" t="str">
        <x:v>INTER COLLEGE TOWN AREA JAHANGIRPUR ROOM NO 4</x:v>
      </x:c>
      <x:c r="C416" t="n">
        <x:v>905</x:v>
      </x:c>
      <x:c r="D416" t="n">
        <x:v>613</x:v>
      </x:c>
      <x:c r="E416" t="n">
        <x:f>SUM(H416:S416)</x:f>
        <x:v>612</x:v>
      </x:c>
      <x:c r="F416" t="n">
        <x:v>1</x:v>
      </x:c>
      <x:c r="G416" s="50" t="n">
        <x:f>IF(C416="","",IFERROR(D416/C416,0))</x:f>
        <x:v>0.6773480662983425</x:v>
      </x:c>
      <x:c r="H416" s="36" t="n">
        <x:v>65</x:v>
      </x:c>
      <x:c r="I416" t="n">
        <x:v>539</x:v>
      </x:c>
      <x:c r="J416" t="n">
        <x:v>3</x:v>
      </x:c>
      <x:c r="K416" t="n">
        <x:v>3</x:v>
      </x:c>
      <x:c r="L416" t="n">
        <x:v>1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1</x:v>
      </x:c>
      <x:c r="T416" s="50" t="n">
        <x:f>IF(D416=0,"",H416/D416)</x:f>
        <x:v>0.10603588907014681</x:v>
      </x:c>
      <x:c r="U416" t="n">
        <x:f>MAX(I416:S416)</x:f>
        <x:v>539</x:v>
      </x:c>
      <x:c r="V416" t="n">
        <x:f>H416-U416</x:f>
        <x:v>-474</x:v>
      </x:c>
      <x:c r="W416" s="52" t="n">
        <x:f>IF(D416=0,"",(V416)/D416)</x:f>
        <x:v>-0.7732463295269169</x:v>
      </x:c>
      <x:c r="X416" t="str">
        <x:v>DHIRENDRA SINGH</x:v>
      </x:c>
      <x:c r="Y416" t="n">
        <x:f>D416-E416-F416</x:f>
        <x:v>0</x:v>
      </x:c>
    </x:row>
    <x:row r="417">
      <x:c r="A417" t="n">
        <x:v>409</x:v>
      </x:c>
      <x:c r="B417" t="str">
        <x:v>INTER COLLEGE TOWN AREA JAHANGIRPUR ROOM NO 5</x:v>
      </x:c>
      <x:c r="C417" t="n">
        <x:v>852</x:v>
      </x:c>
      <x:c r="D417" t="n">
        <x:v>615</x:v>
      </x:c>
      <x:c r="E417" t="n">
        <x:f>SUM(H417:S417)</x:f>
        <x:v>612</x:v>
      </x:c>
      <x:c r="F417" t="n">
        <x:v>3</x:v>
      </x:c>
      <x:c r="G417" s="50" t="n">
        <x:f>IF(C417="","",IFERROR(D417/C417,0))</x:f>
        <x:v>0.721830985915493</x:v>
      </x:c>
      <x:c r="H417" s="36" t="n">
        <x:v>217</x:v>
      </x:c>
      <x:c r="I417" t="n">
        <x:v>383</x:v>
      </x:c>
      <x:c r="J417" t="n">
        <x:v>3</x:v>
      </x:c>
      <x:c r="K417" t="n">
        <x:v>2</x:v>
      </x:c>
      <x:c r="L417" t="n">
        <x:v>0</x:v>
      </x:c>
      <x:c r="M417" t="n">
        <x:v>0</x:v>
      </x:c>
      <x:c r="N417" t="n">
        <x:v>1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6</x:v>
      </x:c>
      <x:c r="T417" s="50" t="n">
        <x:f>IF(D417=0,"",H417/D417)</x:f>
        <x:v>0.35284552845528455</x:v>
      </x:c>
      <x:c r="U417" t="n">
        <x:f>MAX(I417:S417)</x:f>
        <x:v>383</x:v>
      </x:c>
      <x:c r="V417" t="n">
        <x:f>H417-U417</x:f>
        <x:v>-166</x:v>
      </x:c>
      <x:c r="W417" s="52" t="n">
        <x:f>IF(D417=0,"",(V417)/D417)</x:f>
        <x:v>-0.26991869918699185</x:v>
      </x:c>
      <x:c r="X417" t="str">
        <x:v>DHIRENDRA SINGH</x:v>
      </x:c>
      <x:c r="Y417" t="n">
        <x:f>D417-E417-F417</x:f>
        <x:v>0</x:v>
      </x:c>
    </x:row>
    <x:row r="418">
      <x:c r="A418" t="n">
        <x:v>410</x:v>
      </x:c>
      <x:c r="B418" t="str">
        <x:v>KANYA PATHSHALA TOWN AREA ROOM NO 1</x:v>
      </x:c>
      <x:c r="C418" t="n">
        <x:v>938</x:v>
      </x:c>
      <x:c r="D418" t="n">
        <x:v>703</x:v>
      </x:c>
      <x:c r="E418" t="n">
        <x:f>SUM(H418:S418)</x:f>
        <x:v>700</x:v>
      </x:c>
      <x:c r="F418" t="n">
        <x:v>3</x:v>
      </x:c>
      <x:c r="G418" s="50" t="n">
        <x:f>IF(C418="","",IFERROR(D418/C418,0))</x:f>
        <x:v>0.7494669509594882</x:v>
      </x:c>
      <x:c r="H418" s="36" t="n">
        <x:v>234</x:v>
      </x:c>
      <x:c r="I418" t="n">
        <x:v>444</x:v>
      </x:c>
      <x:c r="J418" t="n">
        <x:v>14</x:v>
      </x:c>
      <x:c r="K418" t="n">
        <x:v>4</x:v>
      </x:c>
      <x:c r="L418" t="n">
        <x:v>0</x:v>
      </x:c>
      <x:c r="M418" t="n">
        <x:v>0</x:v>
      </x:c>
      <x:c r="N418" t="n">
        <x:v>1</x:v>
      </x:c>
      <x:c r="O418" t="n">
        <x:v>1</x:v>
      </x:c>
      <x:c r="P418" t="n">
        <x:v>0</x:v>
      </x:c>
      <x:c r="Q418" t="n">
        <x:v>0</x:v>
      </x:c>
      <x:c r="R418" t="n">
        <x:v>1</x:v>
      </x:c>
      <x:c r="S418" t="n">
        <x:v>1</x:v>
      </x:c>
      <x:c r="T418" s="50" t="n">
        <x:f>IF(D418=0,"",H418/D418)</x:f>
        <x:v>0.3328591749644381</x:v>
      </x:c>
      <x:c r="U418" t="n">
        <x:f>MAX(I418:S418)</x:f>
        <x:v>444</x:v>
      </x:c>
      <x:c r="V418" t="n">
        <x:f>H418-U418</x:f>
        <x:v>-210</x:v>
      </x:c>
      <x:c r="W418" s="52" t="n">
        <x:f>IF(D418=0,"",(V418)/D418)</x:f>
        <x:v>-0.29871977240398295</x:v>
      </x:c>
      <x:c r="X418" t="str">
        <x:v>DHIRENDRA SINGH</x:v>
      </x:c>
      <x:c r="Y418" t="n">
        <x:f>D418-E418-F418</x:f>
        <x:v>0</x:v>
      </x:c>
    </x:row>
    <x:row r="419">
      <x:c r="A419" t="n">
        <x:v>411</x:v>
      </x:c>
      <x:c r="B419" t="str">
        <x:v>KANYA PATHSHALA TOWN AREA ROOM NO 2</x:v>
      </x:c>
      <x:c r="C419" t="n">
        <x:v>392</x:v>
      </x:c>
      <x:c r="D419" t="n">
        <x:v>282</x:v>
      </x:c>
      <x:c r="E419" t="n">
        <x:f>SUM(H419:S419)</x:f>
        <x:v>282</x:v>
      </x:c>
      <x:c r="F419" t="n">
        <x:v>0</x:v>
      </x:c>
      <x:c r="G419" s="50" t="n">
        <x:f>IF(C419="","",IFERROR(D419/C419,0))</x:f>
        <x:v>0.7193877551020408</x:v>
      </x:c>
      <x:c r="H419" s="36" t="n">
        <x:v>59</x:v>
      </x:c>
      <x:c r="I419" t="n">
        <x:v>222</x:v>
      </x:c>
      <x:c r="J419" t="n">
        <x:v>0</x:v>
      </x:c>
      <x:c r="K419" t="n">
        <x:v>1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s="50" t="n">
        <x:f>IF(D419=0,"",H419/D419)</x:f>
        <x:v>0.20921985815602837</x:v>
      </x:c>
      <x:c r="U419" t="n">
        <x:f>MAX(I419:S419)</x:f>
        <x:v>222</x:v>
      </x:c>
      <x:c r="V419" t="n">
        <x:f>H419-U419</x:f>
        <x:v>-163</x:v>
      </x:c>
      <x:c r="W419" s="52" t="n">
        <x:f>IF(D419=0,"",(V419)/D419)</x:f>
        <x:v>-0.5780141843971631</x:v>
      </x:c>
      <x:c r="X419" t="str">
        <x:v>DHIRENDRA SINGH</x:v>
      </x:c>
      <x:c r="Y419" t="n">
        <x:f>D419-E419-F419</x:f>
        <x:v>0</x:v>
      </x:c>
    </x:row>
    <x:row r="420">
      <x:c r="A420" t="n">
        <x:v>412</x:v>
      </x:c>
      <x:c r="B420" t="str">
        <x:v>PRIMARY SCHOOL TOWN AREA JAHANGIRPUR ROOM NO 1</x:v>
      </x:c>
      <x:c r="C420" t="n">
        <x:v>982</x:v>
      </x:c>
      <x:c r="D420" t="n">
        <x:v>731</x:v>
      </x:c>
      <x:c r="E420" t="n">
        <x:f>SUM(H420:S420)</x:f>
        <x:v>730</x:v>
      </x:c>
      <x:c r="F420" t="n">
        <x:v>1</x:v>
      </x:c>
      <x:c r="G420" s="50" t="n">
        <x:f>IF(C420="","",IFERROR(D420/C420,0))</x:f>
        <x:v>0.7443991853360489</x:v>
      </x:c>
      <x:c r="H420" s="36" t="n">
        <x:v>232</x:v>
      </x:c>
      <x:c r="I420" t="n">
        <x:v>477</x:v>
      </x:c>
      <x:c r="J420" t="n">
        <x:v>11</x:v>
      </x:c>
      <x:c r="K420" t="n">
        <x:v>4</x:v>
      </x:c>
      <x:c r="L420" t="n">
        <x:v>1</x:v>
      </x:c>
      <x:c r="M420" t="n">
        <x:v>1</x:v>
      </x:c>
      <x:c r="N420" t="n">
        <x:v>0</x:v>
      </x:c>
      <x:c r="O420" t="n">
        <x:v>0</x:v>
      </x:c>
      <x:c r="P420" t="n">
        <x:v>2</x:v>
      </x:c>
      <x:c r="Q420" t="n">
        <x:v>0</x:v>
      </x:c>
      <x:c r="R420" t="n">
        <x:v>0</x:v>
      </x:c>
      <x:c r="S420" t="n">
        <x:v>2</x:v>
      </x:c>
      <x:c r="T420" s="50" t="n">
        <x:f>IF(D420=0,"",H420/D420)</x:f>
        <x:v>0.3173734610123119</x:v>
      </x:c>
      <x:c r="U420" t="n">
        <x:f>MAX(I420:S420)</x:f>
        <x:v>477</x:v>
      </x:c>
      <x:c r="V420" t="n">
        <x:f>H420-U420</x:f>
        <x:v>-245</x:v>
      </x:c>
      <x:c r="W420" s="52" t="n">
        <x:f>IF(D420=0,"",(V420)/D420)</x:f>
        <x:v>-0.33515731874145005</x:v>
      </x:c>
      <x:c r="X420" t="str">
        <x:v>DHIRENDRA SINGH</x:v>
      </x:c>
      <x:c r="Y420" t="n">
        <x:f>D420-E420-F420</x:f>
        <x:v>0</x:v>
      </x:c>
    </x:row>
    <x:row r="421">
      <x:c r="A421" t="n">
        <x:v>413</x:v>
      </x:c>
      <x:c r="B421" t="str">
        <x:v>PRIMARY SCHOOL TOWN AREA JAHANGIRPUR ROOM NO 2</x:v>
      </x:c>
      <x:c r="C421" t="n">
        <x:v>663</x:v>
      </x:c>
      <x:c r="D421" t="n">
        <x:v>414</x:v>
      </x:c>
      <x:c r="E421" t="n">
        <x:f>SUM(H421:S421)</x:f>
        <x:v>405</x:v>
      </x:c>
      <x:c r="F421" t="n">
        <x:v>9</x:v>
      </x:c>
      <x:c r="G421" s="50" t="n">
        <x:f>IF(C421="","",IFERROR(D421/C421,0))</x:f>
        <x:v>0.6244343891402715</x:v>
      </x:c>
      <x:c r="H421" s="36" t="n">
        <x:v>341</x:v>
      </x:c>
      <x:c r="I421" t="n">
        <x:v>44</x:v>
      </x:c>
      <x:c r="J421" t="n">
        <x:v>10</x:v>
      </x:c>
      <x:c r="K421" t="n">
        <x:v>1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1</x:v>
      </x:c>
      <x:c r="Q421" t="n">
        <x:v>1</x:v>
      </x:c>
      <x:c r="R421" t="n">
        <x:v>2</x:v>
      </x:c>
      <x:c r="S421" t="n">
        <x:v>5</x:v>
      </x:c>
      <x:c r="T421" s="50" t="n">
        <x:f>IF(D421=0,"",H421/D421)</x:f>
        <x:v>0.8236714975845411</x:v>
      </x:c>
      <x:c r="U421" t="n">
        <x:f>MAX(I421:S421)</x:f>
        <x:v>44</x:v>
      </x:c>
      <x:c r="V421" t="n">
        <x:f>H421-U421</x:f>
        <x:v>297</x:v>
      </x:c>
      <x:c r="W421" s="52" t="n">
        <x:f>IF(D421=0,"",(V421)/D421)</x:f>
        <x:v>0.717391304347826</x:v>
      </x:c>
      <x:c r="X421" t="str">
        <x:v>AVTAR SINGH BHADANA</x:v>
      </x:c>
      <x:c r="Y421" t="n">
        <x:f>D421-E421-F421</x:f>
        <x:v>0</x:v>
      </x:c>
    </x:row>
    <x:row r="422">
      <x:c r="A422" t="n">
        <x:v>414</x:v>
      </x:c>
      <x:c r="B422" t="str">
        <x:v>PRIMARY SCHOOL TOWN AREA JAHANGIRPUR ROOM NO 3</x:v>
      </x:c>
      <x:c r="C422" t="n">
        <x:v>989</x:v>
      </x:c>
      <x:c r="D422" t="n">
        <x:v>650</x:v>
      </x:c>
      <x:c r="E422" t="n">
        <x:f>SUM(H422:S422)</x:f>
        <x:v>650</x:v>
      </x:c>
      <x:c r="F422" t="n">
        <x:v>0</x:v>
      </x:c>
      <x:c r="G422" s="50" t="n">
        <x:f>IF(C422="","",IFERROR(D422/C422,0))</x:f>
        <x:v>0.6572295247724975</x:v>
      </x:c>
      <x:c r="H422" s="36" t="n">
        <x:v>567</x:v>
      </x:c>
      <x:c r="I422" t="n">
        <x:v>63</x:v>
      </x:c>
      <x:c r="J422" t="n">
        <x:v>15</x:v>
      </x:c>
      <x:c r="K422" t="n">
        <x:v>1</x:v>
      </x:c>
      <x:c r="L422" t="n">
        <x:v>0</x:v>
      </x:c>
      <x:c r="M422" t="n">
        <x:v>0</x:v>
      </x:c>
      <x:c r="N422" t="n">
        <x:v>1</x:v>
      </x:c>
      <x:c r="O422" t="n">
        <x:v>0</x:v>
      </x:c>
      <x:c r="P422" t="n">
        <x:v>1</x:v>
      </x:c>
      <x:c r="Q422" t="n">
        <x:v>0</x:v>
      </x:c>
      <x:c r="R422" t="n">
        <x:v>1</x:v>
      </x:c>
      <x:c r="S422" t="n">
        <x:v>1</x:v>
      </x:c>
      <x:c r="T422" s="50" t="n">
        <x:f>IF(D422=0,"",H422/D422)</x:f>
        <x:v>0.8723076923076923</x:v>
      </x:c>
      <x:c r="U422" t="n">
        <x:f>MAX(I422:S422)</x:f>
        <x:v>63</x:v>
      </x:c>
      <x:c r="V422" t="n">
        <x:f>H422-U422</x:f>
        <x:v>504</x:v>
      </x:c>
      <x:c r="W422" s="52" t="n">
        <x:f>IF(D422=0,"",(V422)/D422)</x:f>
        <x:v>0.7753846153846153</x:v>
      </x:c>
      <x:c r="X422" t="str">
        <x:v>AVTAR SINGH BHADANA</x:v>
      </x:c>
      <x:c r="Y422" t="n">
        <x:f>D422-E422-F422</x:f>
        <x:v>0</x:v>
      </x:c>
    </x:row>
    <x:row r="423">
      <x:c r="A423" t="n">
        <x:v>415</x:v>
      </x:c>
      <x:c r="B423" t="str">
        <x:v>PRIMARY SCHOOL CHAK JAHANGIRPUR ROOM NO 1</x:v>
      </x:c>
      <x:c r="C423" t="n">
        <x:v>260</x:v>
      </x:c>
      <x:c r="D423" t="n">
        <x:v>209</x:v>
      </x:c>
      <x:c r="E423" t="n">
        <x:f>SUM(H423:S423)</x:f>
        <x:v>209</x:v>
      </x:c>
      <x:c r="F423" t="n">
        <x:v>0</x:v>
      </x:c>
      <x:c r="G423" s="50" t="n">
        <x:f>IF(C423="","",IFERROR(D423/C423,0))</x:f>
        <x:v>0.8038461538461539</x:v>
      </x:c>
      <x:c r="H423" s="36" t="n">
        <x:v>114</x:v>
      </x:c>
      <x:c r="I423" t="n">
        <x:v>95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s="50" t="n">
        <x:f>IF(D423=0,"",H423/D423)</x:f>
        <x:v>0.5454545454545454</x:v>
      </x:c>
      <x:c r="U423" t="n">
        <x:f>MAX(I423:S423)</x:f>
        <x:v>95</x:v>
      </x:c>
      <x:c r="V423" t="n">
        <x:f>H423-U423</x:f>
        <x:v>19</x:v>
      </x:c>
      <x:c r="W423" s="52" t="n">
        <x:f>IF(D423=0,"",(V423)/D423)</x:f>
        <x:v>0.09090909090909091</x:v>
      </x:c>
      <x:c r="X423" t="str">
        <x:v>AVTAR SINGH BHADANA</x:v>
      </x:c>
      <x:c r="Y423" t="n">
        <x:f>D423-E423-F423</x:f>
        <x:v>0</x:v>
      </x:c>
    </x:row>
    <x:row r="424">
      <x:c r="A424" t="n">
        <x:v>416</x:v>
      </x:c>
      <x:c r="B424" t="str">
        <x:v>PRIMARY SCHOOL JAFARGARH MAJRA JAHANGIRPUR ROOM NO 1</x:v>
      </x:c>
      <x:c r="C424" t="n">
        <x:v>457</x:v>
      </x:c>
      <x:c r="D424" t="n">
        <x:v>328</x:v>
      </x:c>
      <x:c r="E424" t="n">
        <x:f>SUM(H424:S424)</x:f>
        <x:v>328</x:v>
      </x:c>
      <x:c r="F424" t="n">
        <x:v>0</x:v>
      </x:c>
      <x:c r="G424" s="50" t="n">
        <x:f>IF(C424="","",IFERROR(D424/C424,0))</x:f>
        <x:v>0.7177242888402626</x:v>
      </x:c>
      <x:c r="H424" s="36" t="n">
        <x:v>6</x:v>
      </x:c>
      <x:c r="I424" t="n">
        <x:v>33</x:v>
      </x:c>
      <x:c r="J424" t="n">
        <x:v>281</x:v>
      </x:c>
      <x:c r="K424" t="n">
        <x:v>4</x:v>
      </x:c>
      <x:c r="L424" t="n">
        <x:v>1</x:v>
      </x:c>
      <x:c r="M424" t="n">
        <x:v>1</x:v>
      </x:c>
      <x:c r="N424" t="n">
        <x:v>0</x:v>
      </x:c>
      <x:c r="O424" t="n">
        <x:v>1</x:v>
      </x:c>
      <x:c r="P424" t="n">
        <x:v>0</x:v>
      </x:c>
      <x:c r="Q424" t="n">
        <x:v>0</x:v>
      </x:c>
      <x:c r="R424" t="n">
        <x:v>1</x:v>
      </x:c>
      <x:c r="S424" t="n">
        <x:v>0</x:v>
      </x:c>
      <x:c r="T424" s="50" t="n">
        <x:f>IF(D424=0,"",H424/D424)</x:f>
        <x:v>0.018292682926829267</x:v>
      </x:c>
      <x:c r="U424" t="n">
        <x:f>MAX(I424:S424)</x:f>
        <x:v>281</x:v>
      </x:c>
      <x:c r="V424" t="n">
        <x:f>H424-U424</x:f>
        <x:v>-275</x:v>
      </x:c>
      <x:c r="W424" s="52" t="n">
        <x:f>IF(D424=0,"",(V424)/D424)</x:f>
        <x:v>-0.8384146341463414</x:v>
      </x:c>
      <x:c r="X424" t="str">
        <x:v>NARENDER KUMAR</x:v>
      </x:c>
      <x:c r="Y424" t="n">
        <x:f>D424-E424-F424</x:f>
        <x:v>0</x:v>
      </x:c>
    </x:row>
    <x:row r="425">
      <x:c r="A425" t="n">
        <x:v>417</x:v>
      </x:c>
      <x:c r="B425" t="str">
        <x:v>PRIMARY SCHOOL CHAK NAGLIA ROOM NO. 1</x:v>
      </x:c>
      <x:c r="C425" t="n">
        <x:v>745</x:v>
      </x:c>
      <x:c r="D425" t="n">
        <x:v>579</x:v>
      </x:c>
      <x:c r="E425" t="n">
        <x:f>SUM(H425:S425)</x:f>
        <x:v>575</x:v>
      </x:c>
      <x:c r="F425" t="n">
        <x:v>4</x:v>
      </x:c>
      <x:c r="G425" s="50" t="n">
        <x:f>IF(C425="","",IFERROR(D425/C425,0))</x:f>
        <x:v>0.7771812080536913</x:v>
      </x:c>
      <x:c r="H425" s="36" t="n">
        <x:v>13</x:v>
      </x:c>
      <x:c r="I425" t="n">
        <x:v>556</x:v>
      </x:c>
      <x:c r="J425" t="n">
        <x:v>1</x:v>
      </x:c>
      <x:c r="K425" t="n">
        <x:v>1</x:v>
      </x:c>
      <x:c r="L425" t="n">
        <x:v>0</x:v>
      </x:c>
      <x:c r="M425" t="n">
        <x:v>0</x:v>
      </x:c>
      <x:c r="N425" t="n">
        <x:v>1</x:v>
      </x:c>
      <x:c r="O425" t="n">
        <x:v>0</x:v>
      </x:c>
      <x:c r="P425" t="n">
        <x:v>0</x:v>
      </x:c>
      <x:c r="Q425" t="n">
        <x:v>0</x:v>
      </x:c>
      <x:c r="R425" t="n">
        <x:v>1</x:v>
      </x:c>
      <x:c r="S425" t="n">
        <x:v>2</x:v>
      </x:c>
      <x:c r="T425" s="50" t="n">
        <x:f>IF(D425=0,"",H425/D425)</x:f>
        <x:v>0.022452504317789293</x:v>
      </x:c>
      <x:c r="U425" t="n">
        <x:f>MAX(I425:S425)</x:f>
        <x:v>556</x:v>
      </x:c>
      <x:c r="V425" t="n">
        <x:f>H425-U425</x:f>
        <x:v>-543</x:v>
      </x:c>
      <x:c r="W425" s="52" t="n">
        <x:f>IF(D425=0,"",(V425)/D425)</x:f>
        <x:v>-0.9378238341968912</x:v>
      </x:c>
      <x:c r="X425" t="str">
        <x:v>DHIRENDRA SINGH</x:v>
      </x:c>
      <x:c r="Y425" t="n">
        <x:f>D425-E425-F425</x:f>
        <x:v>0</x:v>
      </x:c>
    </x:row>
    <x:row r="426">
      <x:c r="A426" t="n">
        <x:v>418</x:v>
      </x:c>
      <x:c r="B426" t="str">
        <x:v>PRIMARY SCHOOL ALAMPUR HATHALA ALIAS LAUDENA ROOM NO 1</x:v>
      </x:c>
      <x:c r="C426" t="n">
        <x:v>1060</x:v>
      </x:c>
      <x:c r="D426" t="n">
        <x:v>601</x:v>
      </x:c>
      <x:c r="E426" t="n">
        <x:f>SUM(H426:S426)</x:f>
        <x:v>600</x:v>
      </x:c>
      <x:c r="F426" t="n">
        <x:v>1</x:v>
      </x:c>
      <x:c r="G426" s="50" t="n">
        <x:f>IF(C426="","",IFERROR(D426/C426,0))</x:f>
        <x:v>0.5669811320754717</x:v>
      </x:c>
      <x:c r="H426" s="36" t="n">
        <x:v>118</x:v>
      </x:c>
      <x:c r="I426" t="n">
        <x:v>373</x:v>
      </x:c>
      <x:c r="J426" t="n">
        <x:v>98</x:v>
      </x:c>
      <x:c r="K426" t="n">
        <x:v>0</x:v>
      </x:c>
      <x:c r="L426" t="n">
        <x:v>1</x:v>
      </x:c>
      <x:c r="M426" t="n">
        <x:v>0</x:v>
      </x:c>
      <x:c r="N426" t="n">
        <x:v>2</x:v>
      </x:c>
      <x:c r="O426" t="n">
        <x:v>0</x:v>
      </x:c>
      <x:c r="P426" t="n">
        <x:v>2</x:v>
      </x:c>
      <x:c r="Q426" t="n">
        <x:v>1</x:v>
      </x:c>
      <x:c r="R426" t="n">
        <x:v>4</x:v>
      </x:c>
      <x:c r="S426" t="n">
        <x:v>1</x:v>
      </x:c>
      <x:c r="T426" s="50" t="n">
        <x:f>IF(D426=0,"",H426/D426)</x:f>
        <x:v>0.19633943427620631</x:v>
      </x:c>
      <x:c r="U426" t="n">
        <x:f>MAX(I426:S426)</x:f>
        <x:v>373</x:v>
      </x:c>
      <x:c r="V426" t="n">
        <x:f>H426-U426</x:f>
        <x:v>-255</x:v>
      </x:c>
      <x:c r="W426" s="52" t="n">
        <x:f>IF(D426=0,"",(V426)/D426)</x:f>
        <x:v>-0.4242928452579035</x:v>
      </x:c>
      <x:c r="X426" t="str">
        <x:v>DHIRENDRA SINGH</x:v>
      </x:c>
      <x:c r="Y426" t="n">
        <x:f>D426-E426-F426</x:f>
        <x:v>0</x:v>
      </x:c>
    </x:row>
    <x:row r="427">
      <x:c r="A427" t="n">
        <x:v>419</x:v>
      </x:c>
      <x:c r="B427" t="str">
        <x:v>PRIMARY SCHOOL ALAMPUR HATHALA ALIAS LAUDENA ROOM NO 2</x:v>
      </x:c>
      <x:c r="C427" t="n">
        <x:v>1048</x:v>
      </x:c>
      <x:c r="D427" t="n">
        <x:v>587</x:v>
      </x:c>
      <x:c r="E427" t="n">
        <x:f>SUM(H427:S427)</x:f>
        <x:v>580</x:v>
      </x:c>
      <x:c r="F427" t="n">
        <x:v>7</x:v>
      </x:c>
      <x:c r="G427" s="50" t="n">
        <x:f>IF(C427="","",IFERROR(D427/C427,0))</x:f>
        <x:v>0.5601145038167938</x:v>
      </x:c>
      <x:c r="H427" s="36" t="n">
        <x:v>186</x:v>
      </x:c>
      <x:c r="I427" t="n">
        <x:v>373</x:v>
      </x:c>
      <x:c r="J427" t="n">
        <x:v>9</x:v>
      </x:c>
      <x:c r="K427" t="n">
        <x:v>5</x:v>
      </x:c>
      <x:c r="L427" t="n">
        <x:v>0</x:v>
      </x:c>
      <x:c r="M427" t="n">
        <x:v>3</x:v>
      </x:c>
      <x:c r="N427" t="n">
        <x:v>0</x:v>
      </x:c>
      <x:c r="O427" t="n">
        <x:v>1</x:v>
      </x:c>
      <x:c r="P427" t="n">
        <x:v>2</x:v>
      </x:c>
      <x:c r="Q427" t="n">
        <x:v>0</x:v>
      </x:c>
      <x:c r="R427" t="n">
        <x:v>1</x:v>
      </x:c>
      <x:c r="S427" t="n">
        <x:v>0</x:v>
      </x:c>
      <x:c r="T427" s="50" t="n">
        <x:f>IF(D427=0,"",H427/D427)</x:f>
        <x:v>0.31686541737649065</x:v>
      </x:c>
      <x:c r="U427" t="n">
        <x:f>MAX(I427:S427)</x:f>
        <x:v>373</x:v>
      </x:c>
      <x:c r="V427" t="n">
        <x:f>H427-U427</x:f>
        <x:v>-187</x:v>
      </x:c>
      <x:c r="W427" s="52" t="n">
        <x:f>IF(D427=0,"",(V427)/D427)</x:f>
        <x:v>-0.3185689948892675</x:v>
      </x:c>
      <x:c r="X427" t="str">
        <x:v>DHIRENDRA SINGH</x:v>
      </x:c>
      <x:c r="Y427" t="n">
        <x:f>D427-E427-F427</x:f>
        <x:v>0</x:v>
      </x:c>
    </x:row>
  </x:sheetData>
  <x:mergeCells>
    <x:mergeCell ref="A1:Y2"/>
    <x:mergeCell ref="A3:Y3"/>
    <x:mergeCell ref="A5:Y6"/>
  </x:mergeCells>
  <x:conditionalFormatting sqref="T9:T427">
    <x:cfRule type="dataBar" priority="1">
      <x:dataBar>
        <x:cfvo type="min"/>
        <x:cfvo type="max"/>
        <x:color rgb="FF48A899"/>
      </x:dataBar>
      <x:extLst>
        <x:ext xmlns:x14="http://schemas.microsoft.com/office/spreadsheetml/2009/9/main" uri="{B025F937-C7B1-47D3-B67F-A62EFF666E3E}">
          <x14:id>{3A676AC4-2B44-D06B-07A2-4C1BF75F7752}</x14:id>
        </x:ext>
      </x:extLst>
    </x:cfRule>
  </x:conditionalFormatting>
  <x:conditionalFormatting sqref="W9:W427">
    <x:cfRule type="colorScale" priority="2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Y9:Y427">
    <x:cfRule type="cellIs" dxfId="2" priority="3" operator="notEqual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676AC4-2B44-D06B-07A2-4C1BF75F7752}">
            <x14:dataBar gradient="1">
              <x14:cfvo type="min"/>
              <x14:cfvo type="max"/>
              <x14:fillColor rgb="FF48A899"/>
            </x14:dataBar>
          </x14:cfRule>
          <xm:sqref>T9:T427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5" customHeight="1">
      <x:c r="A1" s="4" t="str">
        <x:v>2024 LOK SABHA FORM 20 | DR. MAHENDRA SINGH NAGAR (SP)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 ht="28" customHeight="1">
      <x:c r="A3" s="10" t="str">
        <x:v>JEWAR AC 63 • SOURCE: form 20 data 2024.pdf • EVM STATION ROWS ONLY • Focal candidate shown first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</x:row>
    <x:row r="5" ht="24" customHeight="1">
      <x:c r="A5" s="38" t="str">
        <x:v>SP + INC INDIA alliance; Gautam Buddha Nagar Lok Sabha candidate Dr. Mahendra Singh Nagar (SP). Narender Nagar did not contest this election.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  <x:c r="AA5" s="38"/>
      <x:c r="AB5" s="38"/>
    </x:row>
    <x:row r="6" ht="24" customHeight="1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38"/>
      <x:c r="AB6" s="38"/>
    </x:row>
    <x:row r="8" ht="38" customHeight="1">
      <x:c r="A8" s="45" t="str">
        <x:v>PS #</x:v>
      </x:c>
      <x:c r="B8" s="45" t="str">
        <x:v>Polling station / location</x:v>
      </x:c>
      <x:c r="C8" s="45" t="str">
        <x:v>Electors</x:v>
      </x:c>
      <x:c r="D8" s="45" t="str">
        <x:v>EVM votes incl NOTA</x:v>
      </x:c>
      <x:c r="E8" s="45" t="str">
        <x:v>Candidate votes</x:v>
      </x:c>
      <x:c r="F8" s="45" t="str">
        <x:v>NOTA</x:v>
      </x:c>
      <x:c r="G8" s="45" t="str">
        <x:v>Turnout %</x:v>
      </x:c>
      <x:c r="H8" s="54" t="str">
        <x:v>Dr. Mahendra Singh Nagar (SP)</x:v>
      </x:c>
      <x:c r="I8" s="45" t="str">
        <x:v>Dr. Mahesh Sharma (BJP)</x:v>
      </x:c>
      <x:c r="J8" s="45" t="str">
        <x:v>Rajendra Singh Solanki (BSP)</x:v>
      </x:c>
      <x:c r="K8" s="45" t="str">
        <x:v>Naravedashvar (SBSPSP)</x:v>
      </x:c>
      <x:c r="L8" s="45" t="str">
        <x:v>Kishor Singh (NPA)</x:v>
      </x:c>
      <x:c r="M8" s="45" t="str">
        <x:v>Naresh Nautiyal (BRJ)</x:v>
      </x:c>
      <x:c r="N8" s="45" t="str">
        <x:v>Bhim Prakash Jigyasu (VKVIP)</x:v>
      </x:c>
      <x:c r="O8" s="45" t="str">
        <x:v>Manish Kumar Dwivedi (AKBRPRVP)</x:v>
      </x:c>
      <x:c r="P8" s="45" t="str">
        <x:v>Ran Singh Dudee (SPIP)</x:v>
      </x:c>
      <x:c r="Q8" s="45" t="str">
        <x:v>Rajeev Mishra (JIHNDNTLP)</x:v>
      </x:c>
      <x:c r="R8" s="45" t="str">
        <x:v>Km. Shalu (LOKJANP)</x:v>
      </x:c>
      <x:c r="S8" s="45" t="str">
        <x:v>Parag Kaushik (IND)</x:v>
      </x:c>
      <x:c r="T8" s="45" t="str">
        <x:v>Mahkar Singh (IND)</x:v>
      </x:c>
      <x:c r="U8" s="45" t="str">
        <x:v>Mohd. Mumtaj Aalam (IND)</x:v>
      </x:c>
      <x:c r="V8" s="45" t="str">
        <x:v>Shivam Ashutosh (IND)</x:v>
      </x:c>
      <x:c r="W8" s="45" t="str">
        <x:v>FOCUS share %</x:v>
      </x:c>
      <x:c r="X8" s="45" t="str">
        <x:v>Highest rival votes</x:v>
      </x:c>
      <x:c r="Y8" s="45" t="str">
        <x:v>FOCUS lead vs rival</x:v>
      </x:c>
      <x:c r="Z8" s="45" t="str">
        <x:v>Lead in pp</x:v>
      </x:c>
      <x:c r="AA8" s="45" t="str">
        <x:v>EVM station leader</x:v>
      </x:c>
      <x:c r="AB8" s="45" t="str">
        <x:v>QA difference</x:v>
      </x:c>
    </x:row>
    <x:row r="9">
      <x:c r="A9" t="n">
        <x:v>1</x:v>
      </x:c>
      <x:c r="B9" t="str">
        <x:v>2024 location: not supplied</x:v>
      </x:c>
      <x:c r="C9"/>
      <x:c r="D9" t="n">
        <x:v>576</x:v>
      </x:c>
      <x:c r="E9" t="n">
        <x:f>SUM(H9:V9)</x:f>
        <x:v>576</x:v>
      </x:c>
      <x:c r="F9" t="n">
        <x:v>0</x:v>
      </x:c>
      <x:c r="G9" s="50" t="str">
        <x:f>IF(C9="","",IFERROR(D9/C9,0))</x:f>
      </x:c>
      <x:c r="H9" s="36" t="n">
        <x:v>70</x:v>
      </x:c>
      <x:c r="I9" t="n">
        <x:v>387</x:v>
      </x:c>
      <x:c r="J9" t="n">
        <x:v>110</x:v>
      </x:c>
      <x:c r="K9" t="n">
        <x:v>0</x:v>
      </x:c>
      <x:c r="L9" t="n">
        <x:v>0</x:v>
      </x:c>
      <x:c r="M9" t="n">
        <x:v>0</x:v>
      </x:c>
      <x:c r="N9" t="n">
        <x:v>2</x:v>
      </x:c>
      <x:c r="O9" t="n">
        <x:v>2</x:v>
      </x:c>
      <x:c r="P9" t="n">
        <x:v>0</x:v>
      </x:c>
      <x:c r="Q9" t="n">
        <x:v>1</x:v>
      </x:c>
      <x:c r="R9" t="n">
        <x:v>0</x:v>
      </x:c>
      <x:c r="S9" t="n">
        <x:v>1</x:v>
      </x:c>
      <x:c r="T9" t="n">
        <x:v>1</x:v>
      </x:c>
      <x:c r="U9" t="n">
        <x:v>1</x:v>
      </x:c>
      <x:c r="V9" t="n">
        <x:v>1</x:v>
      </x:c>
      <x:c r="W9" s="50" t="n">
        <x:f>IF(D9=0,"",H9/D9)</x:f>
        <x:v>0.12152777777777778</x:v>
      </x:c>
      <x:c r="X9" t="n">
        <x:f>MAX(I9:V9)</x:f>
        <x:v>387</x:v>
      </x:c>
      <x:c r="Y9" t="n">
        <x:f>H9-X9</x:f>
        <x:v>-317</x:v>
      </x:c>
      <x:c r="Z9" s="52" t="n">
        <x:f>IF(D9=0,"",(Y9)/D9)</x:f>
        <x:v>-0.5503472222222222</x:v>
      </x:c>
      <x:c r="AA9" t="str">
        <x:v>Dr. Mahesh Sharma</x:v>
      </x:c>
      <x:c r="AB9" t="n">
        <x:f>D9-E9-F9</x:f>
        <x:v>0</x:v>
      </x:c>
    </x:row>
    <x:row r="10">
      <x:c r="A10" t="n">
        <x:v>2</x:v>
      </x:c>
      <x:c r="B10" t="str">
        <x:v>2024 location: not supplied</x:v>
      </x:c>
      <x:c r="C10"/>
      <x:c r="D10" t="n">
        <x:v>564</x:v>
      </x:c>
      <x:c r="E10" t="n">
        <x:f>SUM(H10:V10)</x:f>
        <x:v>562</x:v>
      </x:c>
      <x:c r="F10" t="n">
        <x:v>2</x:v>
      </x:c>
      <x:c r="G10" s="50" t="str">
        <x:f>IF(C10="","",IFERROR(D10/C10,0))</x:f>
      </x:c>
      <x:c r="H10" s="36" t="n">
        <x:v>73</x:v>
      </x:c>
      <x:c r="I10" t="n">
        <x:v>330</x:v>
      </x:c>
      <x:c r="J10" t="n">
        <x:v>151</x:v>
      </x:c>
      <x:c r="K10" t="n">
        <x:v>1</x:v>
      </x:c>
      <x:c r="L10" t="n">
        <x:v>0</x:v>
      </x:c>
      <x:c r="M10" t="n">
        <x:v>0</x:v>
      </x:c>
      <x:c r="N10" t="n">
        <x:v>0</x:v>
      </x:c>
      <x:c r="O10" t="n">
        <x:v>1</x:v>
      </x:c>
      <x:c r="P10" t="n">
        <x:v>0</x:v>
      </x:c>
      <x:c r="Q10" t="n">
        <x:v>0</x:v>
      </x:c>
      <x:c r="R10" t="n">
        <x:v>1</x:v>
      </x:c>
      <x:c r="S10" t="n">
        <x:v>2</x:v>
      </x:c>
      <x:c r="T10" t="n">
        <x:v>0</x:v>
      </x:c>
      <x:c r="U10" t="n">
        <x:v>1</x:v>
      </x:c>
      <x:c r="V10" t="n">
        <x:v>2</x:v>
      </x:c>
      <x:c r="W10" s="50" t="n">
        <x:f>IF(D10=0,"",H10/D10)</x:f>
        <x:v>0.12943262411347517</x:v>
      </x:c>
      <x:c r="X10" t="n">
        <x:f>MAX(I10:V10)</x:f>
        <x:v>330</x:v>
      </x:c>
      <x:c r="Y10" t="n">
        <x:f>H10-X10</x:f>
        <x:v>-257</x:v>
      </x:c>
      <x:c r="Z10" s="52" t="n">
        <x:f>IF(D10=0,"",(Y10)/D10)</x:f>
        <x:v>-0.45567375886524825</x:v>
      </x:c>
      <x:c r="AA10" t="str">
        <x:v>Dr. Mahesh Sharma</x:v>
      </x:c>
      <x:c r="AB10" t="n">
        <x:f>D10-E10-F10</x:f>
        <x:v>0</x:v>
      </x:c>
    </x:row>
    <x:row r="11">
      <x:c r="A11" t="n">
        <x:v>3</x:v>
      </x:c>
      <x:c r="B11" t="str">
        <x:v>2024 location: not supplied</x:v>
      </x:c>
      <x:c r="C11"/>
      <x:c r="D11" t="n">
        <x:v>713</x:v>
      </x:c>
      <x:c r="E11" t="n">
        <x:f>SUM(H11:V11)</x:f>
        <x:v>712</x:v>
      </x:c>
      <x:c r="F11" t="n">
        <x:v>1</x:v>
      </x:c>
      <x:c r="G11" s="50" t="str">
        <x:f>IF(C11="","",IFERROR(D11/C11,0))</x:f>
      </x:c>
      <x:c r="H11" s="36" t="n">
        <x:v>53</x:v>
      </x:c>
      <x:c r="I11" t="n">
        <x:v>155</x:v>
      </x:c>
      <x:c r="J11" t="n">
        <x:v>494</x:v>
      </x:c>
      <x:c r="K11" t="n">
        <x:v>0</x:v>
      </x:c>
      <x:c r="L11" t="n">
        <x:v>2</x:v>
      </x:c>
      <x:c r="M11" t="n">
        <x:v>1</x:v>
      </x:c>
      <x:c r="N11" t="n">
        <x:v>2</x:v>
      </x:c>
      <x:c r="O11" t="n">
        <x:v>2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2</x:v>
      </x:c>
      <x:c r="V11" t="n">
        <x:v>1</x:v>
      </x:c>
      <x:c r="W11" s="50" t="n">
        <x:f>IF(D11=0,"",H11/D11)</x:f>
        <x:v>0.07433380084151472</x:v>
      </x:c>
      <x:c r="X11" t="n">
        <x:f>MAX(I11:V11)</x:f>
        <x:v>494</x:v>
      </x:c>
      <x:c r="Y11" t="n">
        <x:f>H11-X11</x:f>
        <x:v>-441</x:v>
      </x:c>
      <x:c r="Z11" s="52" t="n">
        <x:f>IF(D11=0,"",(Y11)/D11)</x:f>
        <x:v>-0.6185133239831697</x:v>
      </x:c>
      <x:c r="AA11" t="str">
        <x:v>Rajendra Singh Solanki</x:v>
      </x:c>
      <x:c r="AB11" t="n">
        <x:f>D11-E11-F11</x:f>
        <x:v>0</x:v>
      </x:c>
    </x:row>
    <x:row r="12">
      <x:c r="A12" t="n">
        <x:v>4</x:v>
      </x:c>
      <x:c r="B12" t="str">
        <x:v>2024 location: not supplied</x:v>
      </x:c>
      <x:c r="C12"/>
      <x:c r="D12" t="n">
        <x:v>489</x:v>
      </x:c>
      <x:c r="E12" t="n">
        <x:f>SUM(H12:V12)</x:f>
        <x:v>487</x:v>
      </x:c>
      <x:c r="F12" t="n">
        <x:v>2</x:v>
      </x:c>
      <x:c r="G12" s="50" t="str">
        <x:f>IF(C12="","",IFERROR(D12/C12,0))</x:f>
      </x:c>
      <x:c r="H12" s="36" t="n">
        <x:v>42</x:v>
      </x:c>
      <x:c r="I12" t="n">
        <x:v>290</x:v>
      </x:c>
      <x:c r="J12" t="n">
        <x:v>139</x:v>
      </x:c>
      <x:c r="K12" t="n">
        <x:v>1</x:v>
      </x:c>
      <x:c r="L12" t="n">
        <x:v>0</x:v>
      </x:c>
      <x:c r="M12" t="n">
        <x:v>0</x:v>
      </x:c>
      <x:c r="N12" t="n">
        <x:v>6</x:v>
      </x:c>
      <x:c r="O12" t="n">
        <x:v>2</x:v>
      </x:c>
      <x:c r="P12" t="n">
        <x:v>0</x:v>
      </x:c>
      <x:c r="Q12" t="n">
        <x:v>1</x:v>
      </x:c>
      <x:c r="R12" t="n">
        <x:v>0</x:v>
      </x:c>
      <x:c r="S12" t="n">
        <x:v>0</x:v>
      </x:c>
      <x:c r="T12" t="n">
        <x:v>1</x:v>
      </x:c>
      <x:c r="U12" t="n">
        <x:v>2</x:v>
      </x:c>
      <x:c r="V12" t="n">
        <x:v>3</x:v>
      </x:c>
      <x:c r="W12" s="50" t="n">
        <x:f>IF(D12=0,"",H12/D12)</x:f>
        <x:v>0.08588957055214724</x:v>
      </x:c>
      <x:c r="X12" t="n">
        <x:f>MAX(I12:V12)</x:f>
        <x:v>290</x:v>
      </x:c>
      <x:c r="Y12" t="n">
        <x:f>H12-X12</x:f>
        <x:v>-248</x:v>
      </x:c>
      <x:c r="Z12" s="52" t="n">
        <x:f>IF(D12=0,"",(Y12)/D12)</x:f>
        <x:v>-0.5071574642126789</x:v>
      </x:c>
      <x:c r="AA12" t="str">
        <x:v>Dr. Mahesh Sharma</x:v>
      </x:c>
      <x:c r="AB12" t="n">
        <x:f>D12-E12-F12</x:f>
        <x:v>0</x:v>
      </x:c>
    </x:row>
    <x:row r="13">
      <x:c r="A13" t="n">
        <x:v>5</x:v>
      </x:c>
      <x:c r="B13" t="str">
        <x:v>2024 location: not supplied</x:v>
      </x:c>
      <x:c r="C13"/>
      <x:c r="D13" t="n">
        <x:v>296</x:v>
      </x:c>
      <x:c r="E13" t="n">
        <x:f>SUM(H13:V13)</x:f>
        <x:v>294</x:v>
      </x:c>
      <x:c r="F13" t="n">
        <x:v>2</x:v>
      </x:c>
      <x:c r="G13" s="50" t="str">
        <x:f>IF(C13="","",IFERROR(D13/C13,0))</x:f>
      </x:c>
      <x:c r="H13" s="36" t="n">
        <x:v>41</x:v>
      </x:c>
      <x:c r="I13" t="n">
        <x:v>192</x:v>
      </x:c>
      <x:c r="J13" t="n">
        <x:v>55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1</x:v>
      </x:c>
      <x:c r="T13" t="n">
        <x:v>0</x:v>
      </x:c>
      <x:c r="U13" t="n">
        <x:v>1</x:v>
      </x:c>
      <x:c r="V13" t="n">
        <x:v>0</x:v>
      </x:c>
      <x:c r="W13" s="50" t="n">
        <x:f>IF(D13=0,"",H13/D13)</x:f>
        <x:v>0.13851351351351351</x:v>
      </x:c>
      <x:c r="X13" t="n">
        <x:f>MAX(I13:V13)</x:f>
        <x:v>192</x:v>
      </x:c>
      <x:c r="Y13" t="n">
        <x:f>H13-X13</x:f>
        <x:v>-151</x:v>
      </x:c>
      <x:c r="Z13" s="52" t="n">
        <x:f>IF(D13=0,"",(Y13)/D13)</x:f>
        <x:v>-0.5101351351351351</x:v>
      </x:c>
      <x:c r="AA13" t="str">
        <x:v>Dr. Mahesh Sharma</x:v>
      </x:c>
      <x:c r="AB13" t="n">
        <x:f>D13-E13-F13</x:f>
        <x:v>0</x:v>
      </x:c>
    </x:row>
    <x:row r="14">
      <x:c r="A14" t="n">
        <x:v>6</x:v>
      </x:c>
      <x:c r="B14" t="str">
        <x:v>2024 location: not supplied</x:v>
      </x:c>
      <x:c r="C14"/>
      <x:c r="D14" t="n">
        <x:v>251</x:v>
      </x:c>
      <x:c r="E14" t="n">
        <x:f>SUM(H14:V14)</x:f>
        <x:v>250</x:v>
      </x:c>
      <x:c r="F14" t="n">
        <x:v>1</x:v>
      </x:c>
      <x:c r="G14" s="50" t="str">
        <x:f>IF(C14="","",IFERROR(D14/C14,0))</x:f>
      </x:c>
      <x:c r="H14" s="36" t="n">
        <x:v>25</x:v>
      </x:c>
      <x:c r="I14" t="n">
        <x:v>155</x:v>
      </x:c>
      <x:c r="J14" t="n">
        <x:v>68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1</x:v>
      </x:c>
      <x:c r="V14" t="n">
        <x:v>0</x:v>
      </x:c>
      <x:c r="W14" s="50" t="n">
        <x:f>IF(D14=0,"",H14/D14)</x:f>
        <x:v>0.099601593625498</x:v>
      </x:c>
      <x:c r="X14" t="n">
        <x:f>MAX(I14:V14)</x:f>
        <x:v>155</x:v>
      </x:c>
      <x:c r="Y14" t="n">
        <x:f>H14-X14</x:f>
        <x:v>-130</x:v>
      </x:c>
      <x:c r="Z14" s="52" t="n">
        <x:f>IF(D14=0,"",(Y14)/D14)</x:f>
        <x:v>-0.5179282868525896</x:v>
      </x:c>
      <x:c r="AA14" t="str">
        <x:v>Dr. Mahesh Sharma</x:v>
      </x:c>
      <x:c r="AB14" t="n">
        <x:f>D14-E14-F14</x:f>
        <x:v>0</x:v>
      </x:c>
    </x:row>
    <x:row r="15">
      <x:c r="A15" t="n">
        <x:v>7</x:v>
      </x:c>
      <x:c r="B15" t="str">
        <x:v>2024 location: not supplied</x:v>
      </x:c>
      <x:c r="C15"/>
      <x:c r="D15" t="n">
        <x:v>372</x:v>
      </x:c>
      <x:c r="E15" t="n">
        <x:f>SUM(H15:V15)</x:f>
        <x:v>371</x:v>
      </x:c>
      <x:c r="F15" t="n">
        <x:v>1</x:v>
      </x:c>
      <x:c r="G15" s="50" t="str">
        <x:f>IF(C15="","",IFERROR(D15/C15,0))</x:f>
      </x:c>
      <x:c r="H15" s="36" t="n">
        <x:v>64</x:v>
      </x:c>
      <x:c r="I15" t="n">
        <x:v>289</x:v>
      </x:c>
      <x:c r="J15" t="n">
        <x:v>18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s="50" t="n">
        <x:f>IF(D15=0,"",H15/D15)</x:f>
        <x:v>0.17204301075268819</x:v>
      </x:c>
      <x:c r="X15" t="n">
        <x:f>MAX(I15:V15)</x:f>
        <x:v>289</x:v>
      </x:c>
      <x:c r="Y15" t="n">
        <x:f>H15-X15</x:f>
        <x:v>-225</x:v>
      </x:c>
      <x:c r="Z15" s="52" t="n">
        <x:f>IF(D15=0,"",(Y15)/D15)</x:f>
        <x:v>-0.6048387096774194</x:v>
      </x:c>
      <x:c r="AA15" t="str">
        <x:v>Dr. Mahesh Sharma</x:v>
      </x:c>
      <x:c r="AB15" t="n">
        <x:f>D15-E15-F15</x:f>
        <x:v>0</x:v>
      </x:c>
    </x:row>
    <x:row r="16">
      <x:c r="A16" t="n">
        <x:v>8</x:v>
      </x:c>
      <x:c r="B16" t="str">
        <x:v>2024 location: not supplied</x:v>
      </x:c>
      <x:c r="C16"/>
      <x:c r="D16" t="n">
        <x:v>410</x:v>
      </x:c>
      <x:c r="E16" t="n">
        <x:f>SUM(H16:V16)</x:f>
        <x:v>407</x:v>
      </x:c>
      <x:c r="F16" t="n">
        <x:v>3</x:v>
      </x:c>
      <x:c r="G16" s="50" t="str">
        <x:f>IF(C16="","",IFERROR(D16/C16,0))</x:f>
      </x:c>
      <x:c r="H16" s="36" t="n">
        <x:v>48</x:v>
      </x:c>
      <x:c r="I16" t="n">
        <x:v>349</x:v>
      </x:c>
      <x:c r="J16" t="n">
        <x:v>9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1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s="50" t="n">
        <x:f>IF(D16=0,"",H16/D16)</x:f>
        <x:v>0.11707317073170732</x:v>
      </x:c>
      <x:c r="X16" t="n">
        <x:f>MAX(I16:V16)</x:f>
        <x:v>349</x:v>
      </x:c>
      <x:c r="Y16" t="n">
        <x:f>H16-X16</x:f>
        <x:v>-301</x:v>
      </x:c>
      <x:c r="Z16" s="52" t="n">
        <x:f>IF(D16=0,"",(Y16)/D16)</x:f>
        <x:v>-0.7341463414634146</x:v>
      </x:c>
      <x:c r="AA16" t="str">
        <x:v>Dr. Mahesh Sharma</x:v>
      </x:c>
      <x:c r="AB16" t="n">
        <x:f>D16-E16-F16</x:f>
        <x:v>0</x:v>
      </x:c>
    </x:row>
    <x:row r="17">
      <x:c r="A17" t="n">
        <x:v>9</x:v>
      </x:c>
      <x:c r="B17" t="str">
        <x:v>2024 location: not supplied</x:v>
      </x:c>
      <x:c r="C17"/>
      <x:c r="D17" t="n">
        <x:v>509</x:v>
      </x:c>
      <x:c r="E17" t="n">
        <x:f>SUM(H17:V17)</x:f>
        <x:v>502</x:v>
      </x:c>
      <x:c r="F17" t="n">
        <x:v>7</x:v>
      </x:c>
      <x:c r="G17" s="50" t="str">
        <x:f>IF(C17="","",IFERROR(D17/C17,0))</x:f>
      </x:c>
      <x:c r="H17" s="36" t="n">
        <x:v>41</x:v>
      </x:c>
      <x:c r="I17" t="n">
        <x:v>434</x:v>
      </x:c>
      <x:c r="J17" t="n">
        <x:v>24</x:v>
      </x:c>
      <x:c r="K17" t="n">
        <x:v>0</x:v>
      </x:c>
      <x:c r="L17" t="n">
        <x:v>0</x:v>
      </x:c>
      <x:c r="M17" t="n">
        <x:v>1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1</x:v>
      </x:c>
      <x:c r="S17" t="n">
        <x:v>0</x:v>
      </x:c>
      <x:c r="T17" t="n">
        <x:v>0</x:v>
      </x:c>
      <x:c r="U17" t="n">
        <x:v>1</x:v>
      </x:c>
      <x:c r="V17" t="n">
        <x:v>0</x:v>
      </x:c>
      <x:c r="W17" s="50" t="n">
        <x:f>IF(D17=0,"",H17/D17)</x:f>
        <x:v>0.08055009823182711</x:v>
      </x:c>
      <x:c r="X17" t="n">
        <x:f>MAX(I17:V17)</x:f>
        <x:v>434</x:v>
      </x:c>
      <x:c r="Y17" t="n">
        <x:f>H17-X17</x:f>
        <x:v>-393</x:v>
      </x:c>
      <x:c r="Z17" s="52" t="n">
        <x:f>IF(D17=0,"",(Y17)/D17)</x:f>
        <x:v>-0.7721021611001965</x:v>
      </x:c>
      <x:c r="AA17" t="str">
        <x:v>Dr. Mahesh Sharma</x:v>
      </x:c>
      <x:c r="AB17" t="n">
        <x:f>D17-E17-F17</x:f>
        <x:v>0</x:v>
      </x:c>
    </x:row>
    <x:row r="18">
      <x:c r="A18" t="n">
        <x:v>10</x:v>
      </x:c>
      <x:c r="B18" t="str">
        <x:v>2024 location: not supplied</x:v>
      </x:c>
      <x:c r="C18"/>
      <x:c r="D18" t="n">
        <x:v>481</x:v>
      </x:c>
      <x:c r="E18" t="n">
        <x:f>SUM(H18:V18)</x:f>
        <x:v>475</x:v>
      </x:c>
      <x:c r="F18" t="n">
        <x:v>6</x:v>
      </x:c>
      <x:c r="G18" s="50" t="str">
        <x:f>IF(C18="","",IFERROR(D18/C18,0))</x:f>
      </x:c>
      <x:c r="H18" s="36" t="n">
        <x:v>32</x:v>
      </x:c>
      <x:c r="I18" t="n">
        <x:v>427</x:v>
      </x:c>
      <x:c r="J18" t="n">
        <x:v>14</x:v>
      </x:c>
      <x:c r="K18" t="n">
        <x:v>0</x:v>
      </x:c>
      <x:c r="L18" t="n">
        <x:v>0</x:v>
      </x:c>
      <x:c r="M18" t="n">
        <x:v>0</x:v>
      </x:c>
      <x:c r="N18" t="n">
        <x:v>1</x:v>
      </x:c>
      <x:c r="O18" t="n">
        <x:v>0</x:v>
      </x:c>
      <x:c r="P18" t="n">
        <x:v>0</x:v>
      </x:c>
      <x:c r="Q18" t="n">
        <x:v>0</x:v>
      </x:c>
      <x:c r="R18" t="n">
        <x:v>1</x:v>
      </x:c>
      <x:c r="S18" t="n">
        <x:v>0</x:v>
      </x:c>
      <x:c r="T18" t="n">
        <x:v>0</x:v>
      </x:c>
      <x:c r="U18" t="n">
        <x:v>0</x:v>
      </x:c>
      <x:c r="V18" t="n">
        <x:v>0</x:v>
      </x:c>
      <x:c r="W18" s="50" t="n">
        <x:f>IF(D18=0,"",H18/D18)</x:f>
        <x:v>0.06652806652806653</x:v>
      </x:c>
      <x:c r="X18" t="n">
        <x:f>MAX(I18:V18)</x:f>
        <x:v>427</x:v>
      </x:c>
      <x:c r="Y18" t="n">
        <x:f>H18-X18</x:f>
        <x:v>-395</x:v>
      </x:c>
      <x:c r="Z18" s="52" t="n">
        <x:f>IF(D18=0,"",(Y18)/D18)</x:f>
        <x:v>-0.8212058212058212</x:v>
      </x:c>
      <x:c r="AA18" t="str">
        <x:v>Dr. Mahesh Sharma</x:v>
      </x:c>
      <x:c r="AB18" t="n">
        <x:f>D18-E18-F18</x:f>
        <x:v>0</x:v>
      </x:c>
    </x:row>
    <x:row r="19">
      <x:c r="A19" t="n">
        <x:v>11</x:v>
      </x:c>
      <x:c r="B19" t="str">
        <x:v>2024 location: not supplied</x:v>
      </x:c>
      <x:c r="C19"/>
      <x:c r="D19" t="n">
        <x:v>463</x:v>
      </x:c>
      <x:c r="E19" t="n">
        <x:f>SUM(H19:V19)</x:f>
        <x:v>460</x:v>
      </x:c>
      <x:c r="F19" t="n">
        <x:v>3</x:v>
      </x:c>
      <x:c r="G19" s="50" t="str">
        <x:f>IF(C19="","",IFERROR(D19/C19,0))</x:f>
      </x:c>
      <x:c r="H19" s="36" t="n">
        <x:v>133</x:v>
      </x:c>
      <x:c r="I19" t="n">
        <x:v>224</x:v>
      </x:c>
      <x:c r="J19" t="n">
        <x:v>101</x:v>
      </x:c>
      <x:c r="K19" t="n">
        <x:v>0</x:v>
      </x:c>
      <x:c r="L19" t="n">
        <x:v>0</x:v>
      </x:c>
      <x:c r="M19" t="n">
        <x:v>0</x:v>
      </x:c>
      <x:c r="N19" t="n">
        <x:v>1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1</x:v>
      </x:c>
      <x:c r="V19" t="n">
        <x:v>0</x:v>
      </x:c>
      <x:c r="W19" s="50" t="n">
        <x:f>IF(D19=0,"",H19/D19)</x:f>
        <x:v>0.28725701943844495</x:v>
      </x:c>
      <x:c r="X19" t="n">
        <x:f>MAX(I19:V19)</x:f>
        <x:v>224</x:v>
      </x:c>
      <x:c r="Y19" t="n">
        <x:f>H19-X19</x:f>
        <x:v>-91</x:v>
      </x:c>
      <x:c r="Z19" s="52" t="n">
        <x:f>IF(D19=0,"",(Y19)/D19)</x:f>
        <x:v>-0.19654427645788336</x:v>
      </x:c>
      <x:c r="AA19" t="str">
        <x:v>Dr. Mahesh Sharma</x:v>
      </x:c>
      <x:c r="AB19" t="n">
        <x:f>D19-E19-F19</x:f>
        <x:v>0</x:v>
      </x:c>
    </x:row>
    <x:row r="20">
      <x:c r="A20" t="n">
        <x:v>12</x:v>
      </x:c>
      <x:c r="B20" t="str">
        <x:v>2024 location: not supplied</x:v>
      </x:c>
      <x:c r="C20"/>
      <x:c r="D20" t="n">
        <x:v>323</x:v>
      </x:c>
      <x:c r="E20" t="n">
        <x:f>SUM(H20:V20)</x:f>
        <x:v>322</x:v>
      </x:c>
      <x:c r="F20" t="n">
        <x:v>1</x:v>
      </x:c>
      <x:c r="G20" s="50" t="str">
        <x:f>IF(C20="","",IFERROR(D20/C20,0))</x:f>
      </x:c>
      <x:c r="H20" s="36" t="n">
        <x:v>117</x:v>
      </x:c>
      <x:c r="I20" t="n">
        <x:v>183</x:v>
      </x:c>
      <x:c r="J20" t="n">
        <x:v>22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s="50" t="n">
        <x:f>IF(D20=0,"",H20/D20)</x:f>
        <x:v>0.3622291021671827</x:v>
      </x:c>
      <x:c r="X20" t="n">
        <x:f>MAX(I20:V20)</x:f>
        <x:v>183</x:v>
      </x:c>
      <x:c r="Y20" t="n">
        <x:f>H20-X20</x:f>
        <x:v>-66</x:v>
      </x:c>
      <x:c r="Z20" s="52" t="n">
        <x:f>IF(D20=0,"",(Y20)/D20)</x:f>
        <x:v>-0.2043343653250774</x:v>
      </x:c>
      <x:c r="AA20" t="str">
        <x:v>Dr. Mahesh Sharma</x:v>
      </x:c>
      <x:c r="AB20" t="n">
        <x:f>D20-E20-F20</x:f>
        <x:v>0</x:v>
      </x:c>
    </x:row>
    <x:row r="21">
      <x:c r="A21" t="n">
        <x:v>13</x:v>
      </x:c>
      <x:c r="B21" t="str">
        <x:v>2024 location: not supplied</x:v>
      </x:c>
      <x:c r="C21"/>
      <x:c r="D21" t="n">
        <x:v>366</x:v>
      </x:c>
      <x:c r="E21" t="n">
        <x:f>SUM(H21:V21)</x:f>
        <x:v>363</x:v>
      </x:c>
      <x:c r="F21" t="n">
        <x:v>3</x:v>
      </x:c>
      <x:c r="G21" s="50" t="str">
        <x:f>IF(C21="","",IFERROR(D21/C21,0))</x:f>
      </x:c>
      <x:c r="H21" s="36" t="n">
        <x:v>52</x:v>
      </x:c>
      <x:c r="I21" t="n">
        <x:v>303</x:v>
      </x:c>
      <x:c r="J21" t="n">
        <x:v>7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1</x:v>
      </x:c>
      <x:c r="S21" t="n">
        <x:v>0</x:v>
      </x:c>
      <x:c r="T21" t="n">
        <x:v>0</x:v>
      </x:c>
      <x:c r="U21" t="n">
        <x:v>0</x:v>
      </x:c>
      <x:c r="V21" t="n">
        <x:v>0</x:v>
      </x:c>
      <x:c r="W21" s="50" t="n">
        <x:f>IF(D21=0,"",H21/D21)</x:f>
        <x:v>0.14207650273224043</x:v>
      </x:c>
      <x:c r="X21" t="n">
        <x:f>MAX(I21:V21)</x:f>
        <x:v>303</x:v>
      </x:c>
      <x:c r="Y21" t="n">
        <x:f>H21-X21</x:f>
        <x:v>-251</x:v>
      </x:c>
      <x:c r="Z21" s="52" t="n">
        <x:f>IF(D21=0,"",(Y21)/D21)</x:f>
        <x:v>-0.6857923497267759</x:v>
      </x:c>
      <x:c r="AA21" t="str">
        <x:v>Dr. Mahesh Sharma</x:v>
      </x:c>
      <x:c r="AB21" t="n">
        <x:f>D21-E21-F21</x:f>
        <x:v>0</x:v>
      </x:c>
    </x:row>
    <x:row r="22">
      <x:c r="A22" t="n">
        <x:v>14</x:v>
      </x:c>
      <x:c r="B22" t="str">
        <x:v>2024 location: not supplied</x:v>
      </x:c>
      <x:c r="C22"/>
      <x:c r="D22" t="n">
        <x:v>382</x:v>
      </x:c>
      <x:c r="E22" t="n">
        <x:f>SUM(H22:V22)</x:f>
        <x:v>376</x:v>
      </x:c>
      <x:c r="F22" t="n">
        <x:v>6</x:v>
      </x:c>
      <x:c r="G22" s="50" t="str">
        <x:f>IF(C22="","",IFERROR(D22/C22,0))</x:f>
      </x:c>
      <x:c r="H22" s="36" t="n">
        <x:v>61</x:v>
      </x:c>
      <x:c r="I22" t="n">
        <x:v>298</x:v>
      </x:c>
      <x:c r="J22" t="n">
        <x:v>14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2</x:v>
      </x:c>
      <x:c r="V22" t="n">
        <x:v>1</x:v>
      </x:c>
      <x:c r="W22" s="50" t="n">
        <x:f>IF(D22=0,"",H22/D22)</x:f>
        <x:v>0.15968586387434555</x:v>
      </x:c>
      <x:c r="X22" t="n">
        <x:f>MAX(I22:V22)</x:f>
        <x:v>298</x:v>
      </x:c>
      <x:c r="Y22" t="n">
        <x:f>H22-X22</x:f>
        <x:v>-237</x:v>
      </x:c>
      <x:c r="Z22" s="52" t="n">
        <x:f>IF(D22=0,"",(Y22)/D22)</x:f>
        <x:v>-0.6204188481675392</x:v>
      </x:c>
      <x:c r="AA22" t="str">
        <x:v>Dr. Mahesh Sharma</x:v>
      </x:c>
      <x:c r="AB22" t="n">
        <x:f>D22-E22-F22</x:f>
        <x:v>0</x:v>
      </x:c>
    </x:row>
    <x:row r="23">
      <x:c r="A23" t="n">
        <x:v>15</x:v>
      </x:c>
      <x:c r="B23" t="str">
        <x:v>2024 location: not supplied</x:v>
      </x:c>
      <x:c r="C23"/>
      <x:c r="D23" t="n">
        <x:v>366</x:v>
      </x:c>
      <x:c r="E23" t="n">
        <x:f>SUM(H23:V23)</x:f>
        <x:v>356</x:v>
      </x:c>
      <x:c r="F23" t="n">
        <x:v>10</x:v>
      </x:c>
      <x:c r="G23" s="50" t="str">
        <x:f>IF(C23="","",IFERROR(D23/C23,0))</x:f>
      </x:c>
      <x:c r="H23" s="36" t="n">
        <x:v>51</x:v>
      </x:c>
      <x:c r="I23" t="n">
        <x:v>298</x:v>
      </x:c>
      <x:c r="J23" t="n">
        <x:v>5</x:v>
      </x:c>
      <x:c r="K23" t="n">
        <x:v>0</x:v>
      </x:c>
      <x:c r="L23" t="n">
        <x:v>1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1</x:v>
      </x:c>
      <x:c r="T23" t="n">
        <x:v>0</x:v>
      </x:c>
      <x:c r="U23" t="n">
        <x:v>0</x:v>
      </x:c>
      <x:c r="V23" t="n">
        <x:v>0</x:v>
      </x:c>
      <x:c r="W23" s="50" t="n">
        <x:f>IF(D23=0,"",H23/D23)</x:f>
        <x:v>0.13934426229508196</x:v>
      </x:c>
      <x:c r="X23" t="n">
        <x:f>MAX(I23:V23)</x:f>
        <x:v>298</x:v>
      </x:c>
      <x:c r="Y23" t="n">
        <x:f>H23-X23</x:f>
        <x:v>-247</x:v>
      </x:c>
      <x:c r="Z23" s="52" t="n">
        <x:f>IF(D23=0,"",(Y23)/D23)</x:f>
        <x:v>-0.674863387978142</x:v>
      </x:c>
      <x:c r="AA23" t="str">
        <x:v>Dr. Mahesh Sharma</x:v>
      </x:c>
      <x:c r="AB23" t="n">
        <x:f>D23-E23-F23</x:f>
        <x:v>0</x:v>
      </x:c>
    </x:row>
    <x:row r="24">
      <x:c r="A24" t="n">
        <x:v>16</x:v>
      </x:c>
      <x:c r="B24" t="str">
        <x:v>2024 location: not supplied</x:v>
      </x:c>
      <x:c r="C24"/>
      <x:c r="D24" t="n">
        <x:v>425</x:v>
      </x:c>
      <x:c r="E24" t="n">
        <x:f>SUM(H24:V24)</x:f>
        <x:v>423</x:v>
      </x:c>
      <x:c r="F24" t="n">
        <x:v>2</x:v>
      </x:c>
      <x:c r="G24" s="50" t="str">
        <x:f>IF(C24="","",IFERROR(D24/C24,0))</x:f>
      </x:c>
      <x:c r="H24" s="36" t="n">
        <x:v>79</x:v>
      </x:c>
      <x:c r="I24" t="n">
        <x:v>332</x:v>
      </x:c>
      <x:c r="J24" t="n">
        <x:v>11</x:v>
      </x:c>
      <x:c r="K24" t="n">
        <x:v>0</x:v>
      </x:c>
      <x:c r="L24" t="n">
        <x:v>0</x:v>
      </x:c>
      <x:c r="M24" t="n">
        <x:v>0</x:v>
      </x:c>
      <x:c r="N24" t="n">
        <x:v>1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s="50" t="n">
        <x:f>IF(D24=0,"",H24/D24)</x:f>
        <x:v>0.18588235294117647</x:v>
      </x:c>
      <x:c r="X24" t="n">
        <x:f>MAX(I24:V24)</x:f>
        <x:v>332</x:v>
      </x:c>
      <x:c r="Y24" t="n">
        <x:f>H24-X24</x:f>
        <x:v>-253</x:v>
      </x:c>
      <x:c r="Z24" s="52" t="n">
        <x:f>IF(D24=0,"",(Y24)/D24)</x:f>
        <x:v>-0.5952941176470589</x:v>
      </x:c>
      <x:c r="AA24" t="str">
        <x:v>Dr. Mahesh Sharma</x:v>
      </x:c>
      <x:c r="AB24" t="n">
        <x:f>D24-E24-F24</x:f>
        <x:v>0</x:v>
      </x:c>
    </x:row>
    <x:row r="25">
      <x:c r="A25" t="n">
        <x:v>17</x:v>
      </x:c>
      <x:c r="B25" t="str">
        <x:v>2024 location: not supplied</x:v>
      </x:c>
      <x:c r="C25"/>
      <x:c r="D25" t="n">
        <x:v>405</x:v>
      </x:c>
      <x:c r="E25" t="n">
        <x:f>SUM(H25:V25)</x:f>
        <x:v>397</x:v>
      </x:c>
      <x:c r="F25" t="n">
        <x:v>8</x:v>
      </x:c>
      <x:c r="G25" s="50" t="str">
        <x:f>IF(C25="","",IFERROR(D25/C25,0))</x:f>
      </x:c>
      <x:c r="H25" s="36" t="n">
        <x:v>53</x:v>
      </x:c>
      <x:c r="I25" t="n">
        <x:v>333</x:v>
      </x:c>
      <x:c r="J25" t="n">
        <x:v>7</x:v>
      </x:c>
      <x:c r="K25" t="n">
        <x:v>0</x:v>
      </x:c>
      <x:c r="L25" t="n">
        <x:v>0</x:v>
      </x:c>
      <x:c r="M25" t="n">
        <x:v>2</x:v>
      </x:c>
      <x:c r="N25" t="n">
        <x:v>1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1</x:v>
      </x:c>
      <x:c r="W25" s="50" t="n">
        <x:f>IF(D25=0,"",H25/D25)</x:f>
        <x:v>0.1308641975308642</x:v>
      </x:c>
      <x:c r="X25" t="n">
        <x:f>MAX(I25:V25)</x:f>
        <x:v>333</x:v>
      </x:c>
      <x:c r="Y25" t="n">
        <x:f>H25-X25</x:f>
        <x:v>-280</x:v>
      </x:c>
      <x:c r="Z25" s="52" t="n">
        <x:f>IF(D25=0,"",(Y25)/D25)</x:f>
        <x:v>-0.691358024691358</x:v>
      </x:c>
      <x:c r="AA25" t="str">
        <x:v>Dr. Mahesh Sharma</x:v>
      </x:c>
      <x:c r="AB25" t="n">
        <x:f>D25-E25-F25</x:f>
        <x:v>0</x:v>
      </x:c>
    </x:row>
    <x:row r="26">
      <x:c r="A26" t="n">
        <x:v>18</x:v>
      </x:c>
      <x:c r="B26" t="str">
        <x:v>2024 location: not supplied</x:v>
      </x:c>
      <x:c r="C26"/>
      <x:c r="D26" t="n">
        <x:v>643</x:v>
      </x:c>
      <x:c r="E26" t="n">
        <x:f>SUM(H26:V26)</x:f>
        <x:v>634</x:v>
      </x:c>
      <x:c r="F26" t="n">
        <x:v>9</x:v>
      </x:c>
      <x:c r="G26" s="50" t="str">
        <x:f>IF(C26="","",IFERROR(D26/C26,0))</x:f>
      </x:c>
      <x:c r="H26" s="36" t="n">
        <x:v>111</x:v>
      </x:c>
      <x:c r="I26" t="n">
        <x:v>507</x:v>
      </x:c>
      <x:c r="J26" t="n">
        <x:v>15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1</x:v>
      </x:c>
      <x:c r="V26" t="n">
        <x:v>0</x:v>
      </x:c>
      <x:c r="W26" s="50" t="n">
        <x:f>IF(D26=0,"",H26/D26)</x:f>
        <x:v>0.17262830482115085</x:v>
      </x:c>
      <x:c r="X26" t="n">
        <x:f>MAX(I26:V26)</x:f>
        <x:v>507</x:v>
      </x:c>
      <x:c r="Y26" t="n">
        <x:f>H26-X26</x:f>
        <x:v>-396</x:v>
      </x:c>
      <x:c r="Z26" s="52" t="n">
        <x:f>IF(D26=0,"",(Y26)/D26)</x:f>
        <x:v>-0.6158631415241057</x:v>
      </x:c>
      <x:c r="AA26" t="str">
        <x:v>Dr. Mahesh Sharma</x:v>
      </x:c>
      <x:c r="AB26" t="n">
        <x:f>D26-E26-F26</x:f>
        <x:v>0</x:v>
      </x:c>
    </x:row>
    <x:row r="27">
      <x:c r="A27" t="n">
        <x:v>19</x:v>
      </x:c>
      <x:c r="B27" t="str">
        <x:v>2024 location: not supplied</x:v>
      </x:c>
      <x:c r="C27"/>
      <x:c r="D27" t="n">
        <x:v>288</x:v>
      </x:c>
      <x:c r="E27" t="n">
        <x:f>SUM(H27:V27)</x:f>
        <x:v>285</x:v>
      </x:c>
      <x:c r="F27" t="n">
        <x:v>3</x:v>
      </x:c>
      <x:c r="G27" s="50" t="str">
        <x:f>IF(C27="","",IFERROR(D27/C27,0))</x:f>
      </x:c>
      <x:c r="H27" s="36" t="n">
        <x:v>47</x:v>
      </x:c>
      <x:c r="I27" t="n">
        <x:v>219</x:v>
      </x:c>
      <x:c r="J27" t="n">
        <x:v>18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1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s="50" t="n">
        <x:f>IF(D27=0,"",H27/D27)</x:f>
        <x:v>0.16319444444444445</x:v>
      </x:c>
      <x:c r="X27" t="n">
        <x:f>MAX(I27:V27)</x:f>
        <x:v>219</x:v>
      </x:c>
      <x:c r="Y27" t="n">
        <x:f>H27-X27</x:f>
        <x:v>-172</x:v>
      </x:c>
      <x:c r="Z27" s="52" t="n">
        <x:f>IF(D27=0,"",(Y27)/D27)</x:f>
        <x:v>-0.5972222222222222</x:v>
      </x:c>
      <x:c r="AA27" t="str">
        <x:v>Dr. Mahesh Sharma</x:v>
      </x:c>
      <x:c r="AB27" t="n">
        <x:f>D27-E27-F27</x:f>
        <x:v>0</x:v>
      </x:c>
    </x:row>
    <x:row r="28">
      <x:c r="A28" t="n">
        <x:v>20</x:v>
      </x:c>
      <x:c r="B28" t="str">
        <x:v>2024 location: not supplied</x:v>
      </x:c>
      <x:c r="C28"/>
      <x:c r="D28" t="n">
        <x:v>515</x:v>
      </x:c>
      <x:c r="E28" t="n">
        <x:f>SUM(H28:V28)</x:f>
        <x:v>509</x:v>
      </x:c>
      <x:c r="F28" t="n">
        <x:v>6</x:v>
      </x:c>
      <x:c r="G28" s="50" t="str">
        <x:f>IF(C28="","",IFERROR(D28/C28,0))</x:f>
      </x:c>
      <x:c r="H28" s="36" t="n">
        <x:v>58</x:v>
      </x:c>
      <x:c r="I28" t="n">
        <x:v>423</x:v>
      </x:c>
      <x:c r="J28" t="n">
        <x:v>23</x:v>
      </x:c>
      <x:c r="K28" t="n">
        <x:v>0</x:v>
      </x:c>
      <x:c r="L28" t="n">
        <x:v>0</x:v>
      </x:c>
      <x:c r="M28" t="n">
        <x:v>1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2</x:v>
      </x:c>
      <x:c r="S28" t="n">
        <x:v>0</x:v>
      </x:c>
      <x:c r="T28" t="n">
        <x:v>0</x:v>
      </x:c>
      <x:c r="U28" t="n">
        <x:v>2</x:v>
      </x:c>
      <x:c r="V28" t="n">
        <x:v>0</x:v>
      </x:c>
      <x:c r="W28" s="50" t="n">
        <x:f>IF(D28=0,"",H28/D28)</x:f>
        <x:v>0.11262135922330097</x:v>
      </x:c>
      <x:c r="X28" t="n">
        <x:f>MAX(I28:V28)</x:f>
        <x:v>423</x:v>
      </x:c>
      <x:c r="Y28" t="n">
        <x:f>H28-X28</x:f>
        <x:v>-365</x:v>
      </x:c>
      <x:c r="Z28" s="52" t="n">
        <x:f>IF(D28=0,"",(Y28)/D28)</x:f>
        <x:v>-0.7087378640776699</x:v>
      </x:c>
      <x:c r="AA28" t="str">
        <x:v>Dr. Mahesh Sharma</x:v>
      </x:c>
      <x:c r="AB28" t="n">
        <x:f>D28-E28-F28</x:f>
        <x:v>0</x:v>
      </x:c>
    </x:row>
    <x:row r="29">
      <x:c r="A29" t="n">
        <x:v>21</x:v>
      </x:c>
      <x:c r="B29" t="str">
        <x:v>2024 location: not supplied</x:v>
      </x:c>
      <x:c r="C29"/>
      <x:c r="D29" t="n">
        <x:v>457</x:v>
      </x:c>
      <x:c r="E29" t="n">
        <x:f>SUM(H29:V29)</x:f>
        <x:v>455</x:v>
      </x:c>
      <x:c r="F29" t="n">
        <x:v>2</x:v>
      </x:c>
      <x:c r="G29" s="50" t="str">
        <x:f>IF(C29="","",IFERROR(D29/C29,0))</x:f>
      </x:c>
      <x:c r="H29" s="36" t="n">
        <x:v>145</x:v>
      </x:c>
      <x:c r="I29" t="n">
        <x:v>235</x:v>
      </x:c>
      <x:c r="J29" t="n">
        <x:v>70</x:v>
      </x:c>
      <x:c r="K29" t="n">
        <x:v>0</x:v>
      </x:c>
      <x:c r="L29" t="n">
        <x:v>2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1</x:v>
      </x:c>
      <x:c r="R29" t="n">
        <x:v>0</x:v>
      </x:c>
      <x:c r="S29" t="n">
        <x:v>1</x:v>
      </x:c>
      <x:c r="T29" t="n">
        <x:v>1</x:v>
      </x:c>
      <x:c r="U29" t="n">
        <x:v>0</x:v>
      </x:c>
      <x:c r="V29" t="n">
        <x:v>0</x:v>
      </x:c>
      <x:c r="W29" s="50" t="n">
        <x:f>IF(D29=0,"",H29/D29)</x:f>
        <x:v>0.3172866520787746</x:v>
      </x:c>
      <x:c r="X29" t="n">
        <x:f>MAX(I29:V29)</x:f>
        <x:v>235</x:v>
      </x:c>
      <x:c r="Y29" t="n">
        <x:f>H29-X29</x:f>
        <x:v>-90</x:v>
      </x:c>
      <x:c r="Z29" s="52" t="n">
        <x:f>IF(D29=0,"",(Y29)/D29)</x:f>
        <x:v>-0.19693654266958424</x:v>
      </x:c>
      <x:c r="AA29" t="str">
        <x:v>Dr. Mahesh Sharma</x:v>
      </x:c>
      <x:c r="AB29" t="n">
        <x:f>D29-E29-F29</x:f>
        <x:v>0</x:v>
      </x:c>
    </x:row>
    <x:row r="30">
      <x:c r="A30" t="n">
        <x:v>22</x:v>
      </x:c>
      <x:c r="B30" t="str">
        <x:v>2024 location: not supplied</x:v>
      </x:c>
      <x:c r="C30"/>
      <x:c r="D30" t="n">
        <x:v>490</x:v>
      </x:c>
      <x:c r="E30" t="n">
        <x:f>SUM(H30:V30)</x:f>
        <x:v>484</x:v>
      </x:c>
      <x:c r="F30" t="n">
        <x:v>6</x:v>
      </x:c>
      <x:c r="G30" s="50" t="str">
        <x:f>IF(C30="","",IFERROR(D30/C30,0))</x:f>
      </x:c>
      <x:c r="H30" s="36" t="n">
        <x:v>88</x:v>
      </x:c>
      <x:c r="I30" t="n">
        <x:v>382</x:v>
      </x:c>
      <x:c r="J30" t="n">
        <x:v>12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1</x:v>
      </x:c>
      <x:c r="S30" t="n">
        <x:v>0</x:v>
      </x:c>
      <x:c r="T30" t="n">
        <x:v>0</x:v>
      </x:c>
      <x:c r="U30" t="n">
        <x:v>1</x:v>
      </x:c>
      <x:c r="V30" t="n">
        <x:v>0</x:v>
      </x:c>
      <x:c r="W30" s="50" t="n">
        <x:f>IF(D30=0,"",H30/D30)</x:f>
        <x:v>0.17959183673469387</x:v>
      </x:c>
      <x:c r="X30" t="n">
        <x:f>MAX(I30:V30)</x:f>
        <x:v>382</x:v>
      </x:c>
      <x:c r="Y30" t="n">
        <x:f>H30-X30</x:f>
        <x:v>-294</x:v>
      </x:c>
      <x:c r="Z30" s="52" t="n">
        <x:f>IF(D30=0,"",(Y30)/D30)</x:f>
        <x:v>-0.6</x:v>
      </x:c>
      <x:c r="AA30" t="str">
        <x:v>Dr. Mahesh Sharma</x:v>
      </x:c>
      <x:c r="AB30" t="n">
        <x:f>D30-E30-F30</x:f>
        <x:v>0</x:v>
      </x:c>
    </x:row>
    <x:row r="31">
      <x:c r="A31" t="n">
        <x:v>23</x:v>
      </x:c>
      <x:c r="B31" t="str">
        <x:v>2024 location: not supplied</x:v>
      </x:c>
      <x:c r="C31"/>
      <x:c r="D31" t="n">
        <x:v>325</x:v>
      </x:c>
      <x:c r="E31" t="n">
        <x:f>SUM(H31:V31)</x:f>
        <x:v>323</x:v>
      </x:c>
      <x:c r="F31" t="n">
        <x:v>2</x:v>
      </x:c>
      <x:c r="G31" s="50" t="str">
        <x:f>IF(C31="","",IFERROR(D31/C31,0))</x:f>
      </x:c>
      <x:c r="H31" s="36" t="n">
        <x:v>44</x:v>
      </x:c>
      <x:c r="I31" t="n">
        <x:v>269</x:v>
      </x:c>
      <x:c r="J31" t="n">
        <x:v>10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s="50" t="n">
        <x:f>IF(D31=0,"",H31/D31)</x:f>
        <x:v>0.13538461538461538</x:v>
      </x:c>
      <x:c r="X31" t="n">
        <x:f>MAX(I31:V31)</x:f>
        <x:v>269</x:v>
      </x:c>
      <x:c r="Y31" t="n">
        <x:f>H31-X31</x:f>
        <x:v>-225</x:v>
      </x:c>
      <x:c r="Z31" s="52" t="n">
        <x:f>IF(D31=0,"",(Y31)/D31)</x:f>
        <x:v>-0.6923076923076923</x:v>
      </x:c>
      <x:c r="AA31" t="str">
        <x:v>Dr. Mahesh Sharma</x:v>
      </x:c>
      <x:c r="AB31" t="n">
        <x:f>D31-E31-F31</x:f>
        <x:v>0</x:v>
      </x:c>
    </x:row>
    <x:row r="32">
      <x:c r="A32" t="n">
        <x:v>24</x:v>
      </x:c>
      <x:c r="B32" t="str">
        <x:v>2024 location: not supplied</x:v>
      </x:c>
      <x:c r="C32"/>
      <x:c r="D32" t="n">
        <x:v>743</x:v>
      </x:c>
      <x:c r="E32" t="n">
        <x:f>SUM(H32:V32)</x:f>
        <x:v>734</x:v>
      </x:c>
      <x:c r="F32" t="n">
        <x:v>9</x:v>
      </x:c>
      <x:c r="G32" s="50" t="str">
        <x:f>IF(C32="","",IFERROR(D32/C32,0))</x:f>
      </x:c>
      <x:c r="H32" s="36" t="n">
        <x:v>101</x:v>
      </x:c>
      <x:c r="I32" t="n">
        <x:v>619</x:v>
      </x:c>
      <x:c r="J32" t="n">
        <x:v>12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1</x:v>
      </x:c>
      <x:c r="R32" t="n">
        <x:v>0</x:v>
      </x:c>
      <x:c r="S32" t="n">
        <x:v>0</x:v>
      </x:c>
      <x:c r="T32" t="n">
        <x:v>1</x:v>
      </x:c>
      <x:c r="U32" t="n">
        <x:v>0</x:v>
      </x:c>
      <x:c r="V32" t="n">
        <x:v>0</x:v>
      </x:c>
      <x:c r="W32" s="50" t="n">
        <x:f>IF(D32=0,"",H32/D32)</x:f>
        <x:v>0.13593539703903096</x:v>
      </x:c>
      <x:c r="X32" t="n">
        <x:f>MAX(I32:V32)</x:f>
        <x:v>619</x:v>
      </x:c>
      <x:c r="Y32" t="n">
        <x:f>H32-X32</x:f>
        <x:v>-518</x:v>
      </x:c>
      <x:c r="Z32" s="52" t="n">
        <x:f>IF(D32=0,"",(Y32)/D32)</x:f>
        <x:v>-0.6971736204576043</x:v>
      </x:c>
      <x:c r="AA32" t="str">
        <x:v>Dr. Mahesh Sharma</x:v>
      </x:c>
      <x:c r="AB32" t="n">
        <x:f>D32-E32-F32</x:f>
        <x:v>0</x:v>
      </x:c>
    </x:row>
    <x:row r="33">
      <x:c r="A33" t="n">
        <x:v>25</x:v>
      </x:c>
      <x:c r="B33" t="str">
        <x:v>2024 location: not supplied</x:v>
      </x:c>
      <x:c r="C33"/>
      <x:c r="D33" t="n">
        <x:v>363</x:v>
      </x:c>
      <x:c r="E33" t="n">
        <x:f>SUM(H33:V33)</x:f>
        <x:v>355</x:v>
      </x:c>
      <x:c r="F33" t="n">
        <x:v>8</x:v>
      </x:c>
      <x:c r="G33" s="50" t="str">
        <x:f>IF(C33="","",IFERROR(D33/C33,0))</x:f>
      </x:c>
      <x:c r="H33" s="36" t="n">
        <x:v>66</x:v>
      </x:c>
      <x:c r="I33" t="n">
        <x:v>273</x:v>
      </x:c>
      <x:c r="J33" t="n">
        <x:v>16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s="50" t="n">
        <x:f>IF(D33=0,"",H33/D33)</x:f>
        <x:v>0.18181818181818182</x:v>
      </x:c>
      <x:c r="X33" t="n">
        <x:f>MAX(I33:V33)</x:f>
        <x:v>273</x:v>
      </x:c>
      <x:c r="Y33" t="n">
        <x:f>H33-X33</x:f>
        <x:v>-207</x:v>
      </x:c>
      <x:c r="Z33" s="52" t="n">
        <x:f>IF(D33=0,"",(Y33)/D33)</x:f>
        <x:v>-0.5702479338842975</x:v>
      </x:c>
      <x:c r="AA33" t="str">
        <x:v>Dr. Mahesh Sharma</x:v>
      </x:c>
      <x:c r="AB33" t="n">
        <x:f>D33-E33-F33</x:f>
        <x:v>0</x:v>
      </x:c>
    </x:row>
    <x:row r="34">
      <x:c r="A34" t="n">
        <x:v>26</x:v>
      </x:c>
      <x:c r="B34" t="str">
        <x:v>2024 location: not supplied</x:v>
      </x:c>
      <x:c r="C34"/>
      <x:c r="D34" t="n">
        <x:v>588</x:v>
      </x:c>
      <x:c r="E34" t="n">
        <x:f>SUM(H34:V34)</x:f>
        <x:v>582</x:v>
      </x:c>
      <x:c r="F34" t="n">
        <x:v>6</x:v>
      </x:c>
      <x:c r="G34" s="50" t="str">
        <x:f>IF(C34="","",IFERROR(D34/C34,0))</x:f>
      </x:c>
      <x:c r="H34" s="36" t="n">
        <x:v>72</x:v>
      </x:c>
      <x:c r="I34" t="n">
        <x:v>486</x:v>
      </x:c>
      <x:c r="J34" t="n">
        <x:v>19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s="50" t="n">
        <x:f>IF(D34=0,"",H34/D34)</x:f>
        <x:v>0.12244897959183673</x:v>
      </x:c>
      <x:c r="X34" t="n">
        <x:f>MAX(I34:V34)</x:f>
        <x:v>486</x:v>
      </x:c>
      <x:c r="Y34" t="n">
        <x:f>H34-X34</x:f>
        <x:v>-414</x:v>
      </x:c>
      <x:c r="Z34" s="52" t="n">
        <x:f>IF(D34=0,"",(Y34)/D34)</x:f>
        <x:v>-0.7040816326530612</x:v>
      </x:c>
      <x:c r="AA34" t="str">
        <x:v>Dr. Mahesh Sharma</x:v>
      </x:c>
      <x:c r="AB34" t="n">
        <x:f>D34-E34-F34</x:f>
        <x:v>0</x:v>
      </x:c>
    </x:row>
    <x:row r="35">
      <x:c r="A35" t="n">
        <x:v>27</x:v>
      </x:c>
      <x:c r="B35" t="str">
        <x:v>2024 location: not supplied</x:v>
      </x:c>
      <x:c r="C35"/>
      <x:c r="D35" t="n">
        <x:v>708</x:v>
      </x:c>
      <x:c r="E35" t="n">
        <x:f>SUM(H35:V35)</x:f>
        <x:v>707</x:v>
      </x:c>
      <x:c r="F35" t="n">
        <x:v>1</x:v>
      </x:c>
      <x:c r="G35" s="50" t="str">
        <x:f>IF(C35="","",IFERROR(D35/C35,0))</x:f>
      </x:c>
      <x:c r="H35" s="36" t="n">
        <x:v>142</x:v>
      </x:c>
      <x:c r="I35" t="n">
        <x:v>422</x:v>
      </x:c>
      <x:c r="J35" t="n">
        <x:v>133</x:v>
      </x:c>
      <x:c r="K35" t="n">
        <x:v>2</x:v>
      </x:c>
      <x:c r="L35" t="n">
        <x:v>2</x:v>
      </x:c>
      <x:c r="M35" t="n">
        <x:v>2</x:v>
      </x:c>
      <x:c r="N35" t="n">
        <x:v>0</x:v>
      </x:c>
      <x:c r="O35" t="n">
        <x:v>0</x:v>
      </x:c>
      <x:c r="P35" t="n">
        <x:v>1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2</x:v>
      </x:c>
      <x:c r="V35" t="n">
        <x:v>1</x:v>
      </x:c>
      <x:c r="W35" s="50" t="n">
        <x:f>IF(D35=0,"",H35/D35)</x:f>
        <x:v>0.20056497175141244</x:v>
      </x:c>
      <x:c r="X35" t="n">
        <x:f>MAX(I35:V35)</x:f>
        <x:v>422</x:v>
      </x:c>
      <x:c r="Y35" t="n">
        <x:f>H35-X35</x:f>
        <x:v>-280</x:v>
      </x:c>
      <x:c r="Z35" s="52" t="n">
        <x:f>IF(D35=0,"",(Y35)/D35)</x:f>
        <x:v>-0.3954802259887006</x:v>
      </x:c>
      <x:c r="AA35" t="str">
        <x:v>Dr. Mahesh Sharma</x:v>
      </x:c>
      <x:c r="AB35" t="n">
        <x:f>D35-E35-F35</x:f>
        <x:v>0</x:v>
      </x:c>
    </x:row>
    <x:row r="36">
      <x:c r="A36" t="n">
        <x:v>28</x:v>
      </x:c>
      <x:c r="B36" t="str">
        <x:v>2024 location: not supplied</x:v>
      </x:c>
      <x:c r="C36"/>
      <x:c r="D36" t="n">
        <x:v>724</x:v>
      </x:c>
      <x:c r="E36" t="n">
        <x:f>SUM(H36:V36)</x:f>
        <x:v>722</x:v>
      </x:c>
      <x:c r="F36" t="n">
        <x:v>2</x:v>
      </x:c>
      <x:c r="G36" s="50" t="str">
        <x:f>IF(C36="","",IFERROR(D36/C36,0))</x:f>
      </x:c>
      <x:c r="H36" s="36" t="n">
        <x:v>151</x:v>
      </x:c>
      <x:c r="I36" t="n">
        <x:v>458</x:v>
      </x:c>
      <x:c r="J36" t="n">
        <x:v>102</x:v>
      </x:c>
      <x:c r="K36" t="n">
        <x:v>0</x:v>
      </x:c>
      <x:c r="L36" t="n">
        <x:v>2</x:v>
      </x:c>
      <x:c r="M36" t="n">
        <x:v>0</x:v>
      </x:c>
      <x:c r="N36" t="n">
        <x:v>0</x:v>
      </x:c>
      <x:c r="O36" t="n">
        <x:v>0</x:v>
      </x:c>
      <x:c r="P36" t="n">
        <x:v>1</x:v>
      </x:c>
      <x:c r="Q36" t="n">
        <x:v>0</x:v>
      </x:c>
      <x:c r="R36" t="n">
        <x:v>1</x:v>
      </x:c>
      <x:c r="S36" t="n">
        <x:v>0</x:v>
      </x:c>
      <x:c r="T36" t="n">
        <x:v>1</x:v>
      </x:c>
      <x:c r="U36" t="n">
        <x:v>3</x:v>
      </x:c>
      <x:c r="V36" t="n">
        <x:v>3</x:v>
      </x:c>
      <x:c r="W36" s="50" t="n">
        <x:f>IF(D36=0,"",H36/D36)</x:f>
        <x:v>0.2085635359116022</x:v>
      </x:c>
      <x:c r="X36" t="n">
        <x:f>MAX(I36:V36)</x:f>
        <x:v>458</x:v>
      </x:c>
      <x:c r="Y36" t="n">
        <x:f>H36-X36</x:f>
        <x:v>-307</x:v>
      </x:c>
      <x:c r="Z36" s="52" t="n">
        <x:f>IF(D36=0,"",(Y36)/D36)</x:f>
        <x:v>-0.4240331491712707</x:v>
      </x:c>
      <x:c r="AA36" t="str">
        <x:v>Dr. Mahesh Sharma</x:v>
      </x:c>
      <x:c r="AB36" t="n">
        <x:f>D36-E36-F36</x:f>
        <x:v>0</x:v>
      </x:c>
    </x:row>
    <x:row r="37">
      <x:c r="A37" t="n">
        <x:v>29</x:v>
      </x:c>
      <x:c r="B37" t="str">
        <x:v>2024 location: not supplied</x:v>
      </x:c>
      <x:c r="C37"/>
      <x:c r="D37" t="n">
        <x:v>483</x:v>
      </x:c>
      <x:c r="E37" t="n">
        <x:f>SUM(H37:V37)</x:f>
        <x:v>481</x:v>
      </x:c>
      <x:c r="F37" t="n">
        <x:v>2</x:v>
      </x:c>
      <x:c r="G37" s="50" t="str">
        <x:f>IF(C37="","",IFERROR(D37/C37,0))</x:f>
      </x:c>
      <x:c r="H37" s="36" t="n">
        <x:v>49</x:v>
      </x:c>
      <x:c r="I37" t="n">
        <x:v>386</x:v>
      </x:c>
      <x:c r="J37" t="n">
        <x:v>34</x:v>
      </x:c>
      <x:c r="K37" t="n">
        <x:v>0</x:v>
      </x:c>
      <x:c r="L37" t="n">
        <x:v>1</x:v>
      </x:c>
      <x:c r="M37" t="n">
        <x:v>0</x:v>
      </x:c>
      <x:c r="N37" t="n">
        <x:v>1</x:v>
      </x:c>
      <x:c r="O37" t="n">
        <x:v>1</x:v>
      </x:c>
      <x:c r="P37" t="n">
        <x:v>0</x:v>
      </x:c>
      <x:c r="Q37" t="n">
        <x:v>2</x:v>
      </x:c>
      <x:c r="R37" t="n">
        <x:v>0</x:v>
      </x:c>
      <x:c r="S37" t="n">
        <x:v>3</x:v>
      </x:c>
      <x:c r="T37" t="n">
        <x:v>3</x:v>
      </x:c>
      <x:c r="U37" t="n">
        <x:v>0</x:v>
      </x:c>
      <x:c r="V37" t="n">
        <x:v>1</x:v>
      </x:c>
      <x:c r="W37" s="50" t="n">
        <x:f>IF(D37=0,"",H37/D37)</x:f>
        <x:v>0.10144927536231885</x:v>
      </x:c>
      <x:c r="X37" t="n">
        <x:f>MAX(I37:V37)</x:f>
        <x:v>386</x:v>
      </x:c>
      <x:c r="Y37" t="n">
        <x:f>H37-X37</x:f>
        <x:v>-337</x:v>
      </x:c>
      <x:c r="Z37" s="52" t="n">
        <x:f>IF(D37=0,"",(Y37)/D37)</x:f>
        <x:v>-0.6977225672877847</x:v>
      </x:c>
      <x:c r="AA37" t="str">
        <x:v>Dr. Mahesh Sharma</x:v>
      </x:c>
      <x:c r="AB37" t="n">
        <x:f>D37-E37-F37</x:f>
        <x:v>0</x:v>
      </x:c>
    </x:row>
    <x:row r="38">
      <x:c r="A38" t="n">
        <x:v>30</x:v>
      </x:c>
      <x:c r="B38" t="str">
        <x:v>2024 location: not supplied</x:v>
      </x:c>
      <x:c r="C38"/>
      <x:c r="D38" t="n">
        <x:v>550</x:v>
      </x:c>
      <x:c r="E38" t="n">
        <x:f>SUM(H38:V38)</x:f>
        <x:v>547</x:v>
      </x:c>
      <x:c r="F38" t="n">
        <x:v>3</x:v>
      </x:c>
      <x:c r="G38" s="50" t="str">
        <x:f>IF(C38="","",IFERROR(D38/C38,0))</x:f>
      </x:c>
      <x:c r="H38" s="36" t="n">
        <x:v>46</x:v>
      </x:c>
      <x:c r="I38" t="n">
        <x:v>391</x:v>
      </x:c>
      <x:c r="J38" t="n">
        <x:v>102</x:v>
      </x:c>
      <x:c r="K38" t="n">
        <x:v>0</x:v>
      </x:c>
      <x:c r="L38" t="n">
        <x:v>3</x:v>
      </x:c>
      <x:c r="M38" t="n">
        <x:v>0</x:v>
      </x:c>
      <x:c r="N38" t="n">
        <x:v>0</x:v>
      </x:c>
      <x:c r="O38" t="n">
        <x:v>1</x:v>
      </x:c>
      <x:c r="P38" t="n">
        <x:v>0</x:v>
      </x:c>
      <x:c r="Q38" t="n">
        <x:v>1</x:v>
      </x:c>
      <x:c r="R38" t="n">
        <x:v>0</x:v>
      </x:c>
      <x:c r="S38" t="n">
        <x:v>0</x:v>
      </x:c>
      <x:c r="T38" t="n">
        <x:v>1</x:v>
      </x:c>
      <x:c r="U38" t="n">
        <x:v>1</x:v>
      </x:c>
      <x:c r="V38" t="n">
        <x:v>1</x:v>
      </x:c>
      <x:c r="W38" s="50" t="n">
        <x:f>IF(D38=0,"",H38/D38)</x:f>
        <x:v>0.08363636363636363</x:v>
      </x:c>
      <x:c r="X38" t="n">
        <x:f>MAX(I38:V38)</x:f>
        <x:v>391</x:v>
      </x:c>
      <x:c r="Y38" t="n">
        <x:f>H38-X38</x:f>
        <x:v>-345</x:v>
      </x:c>
      <x:c r="Z38" s="52" t="n">
        <x:f>IF(D38=0,"",(Y38)/D38)</x:f>
        <x:v>-0.6272727272727273</x:v>
      </x:c>
      <x:c r="AA38" t="str">
        <x:v>Dr. Mahesh Sharma</x:v>
      </x:c>
      <x:c r="AB38" t="n">
        <x:f>D38-E38-F38</x:f>
        <x:v>0</x:v>
      </x:c>
    </x:row>
    <x:row r="39">
      <x:c r="A39" t="n">
        <x:v>31</x:v>
      </x:c>
      <x:c r="B39" t="str">
        <x:v>2024 location: not supplied</x:v>
      </x:c>
      <x:c r="C39"/>
      <x:c r="D39" t="n">
        <x:v>576</x:v>
      </x:c>
      <x:c r="E39" t="n">
        <x:f>SUM(H39:V39)</x:f>
        <x:v>572</x:v>
      </x:c>
      <x:c r="F39" t="n">
        <x:v>4</x:v>
      </x:c>
      <x:c r="G39" s="50" t="str">
        <x:f>IF(C39="","",IFERROR(D39/C39,0))</x:f>
      </x:c>
      <x:c r="H39" s="36" t="n">
        <x:v>136</x:v>
      </x:c>
      <x:c r="I39" t="n">
        <x:v>412</x:v>
      </x:c>
      <x:c r="J39" t="n">
        <x:v>12</x:v>
      </x:c>
      <x:c r="K39" t="n">
        <x:v>0</x:v>
      </x:c>
      <x:c r="L39" t="n">
        <x:v>0</x:v>
      </x:c>
      <x:c r="M39" t="n">
        <x:v>0</x:v>
      </x:c>
      <x:c r="N39" t="n">
        <x:v>9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1</x:v>
      </x:c>
      <x:c r="V39" t="n">
        <x:v>2</x:v>
      </x:c>
      <x:c r="W39" s="50" t="n">
        <x:f>IF(D39=0,"",H39/D39)</x:f>
        <x:v>0.2361111111111111</x:v>
      </x:c>
      <x:c r="X39" t="n">
        <x:f>MAX(I39:V39)</x:f>
        <x:v>412</x:v>
      </x:c>
      <x:c r="Y39" t="n">
        <x:f>H39-X39</x:f>
        <x:v>-276</x:v>
      </x:c>
      <x:c r="Z39" s="52" t="n">
        <x:f>IF(D39=0,"",(Y39)/D39)</x:f>
        <x:v>-0.4791666666666667</x:v>
      </x:c>
      <x:c r="AA39" t="str">
        <x:v>Dr. Mahesh Sharma</x:v>
      </x:c>
      <x:c r="AB39" t="n">
        <x:f>D39-E39-F39</x:f>
        <x:v>0</x:v>
      </x:c>
    </x:row>
    <x:row r="40">
      <x:c r="A40" t="n">
        <x:v>32</x:v>
      </x:c>
      <x:c r="B40" t="str">
        <x:v>2024 location: not supplied</x:v>
      </x:c>
      <x:c r="C40"/>
      <x:c r="D40" t="n">
        <x:v>651</x:v>
      </x:c>
      <x:c r="E40" t="n">
        <x:f>SUM(H40:V40)</x:f>
        <x:v>651</x:v>
      </x:c>
      <x:c r="F40" t="n">
        <x:v>0</x:v>
      </x:c>
      <x:c r="G40" s="50" t="str">
        <x:f>IF(C40="","",IFERROR(D40/C40,0))</x:f>
      </x:c>
      <x:c r="H40" s="36" t="n">
        <x:v>183</x:v>
      </x:c>
      <x:c r="I40" t="n">
        <x:v>315</x:v>
      </x:c>
      <x:c r="J40" t="n">
        <x:v>138</x:v>
      </x:c>
      <x:c r="K40" t="n">
        <x:v>0</x:v>
      </x:c>
      <x:c r="L40" t="n">
        <x:v>2</x:v>
      </x:c>
      <x:c r="M40" t="n">
        <x:v>0</x:v>
      </x:c>
      <x:c r="N40" t="n">
        <x:v>4</x:v>
      </x:c>
      <x:c r="O40" t="n">
        <x:v>1</x:v>
      </x:c>
      <x:c r="P40" t="n">
        <x:v>0</x:v>
      </x:c>
      <x:c r="Q40" t="n">
        <x:v>1</x:v>
      </x:c>
      <x:c r="R40" t="n">
        <x:v>0</x:v>
      </x:c>
      <x:c r="S40" t="n">
        <x:v>0</x:v>
      </x:c>
      <x:c r="T40" t="n">
        <x:v>1</x:v>
      </x:c>
      <x:c r="U40" t="n">
        <x:v>3</x:v>
      </x:c>
      <x:c r="V40" t="n">
        <x:v>3</x:v>
      </x:c>
      <x:c r="W40" s="50" t="n">
        <x:f>IF(D40=0,"",H40/D40)</x:f>
        <x:v>0.28110599078341014</x:v>
      </x:c>
      <x:c r="X40" t="n">
        <x:f>MAX(I40:V40)</x:f>
        <x:v>315</x:v>
      </x:c>
      <x:c r="Y40" t="n">
        <x:f>H40-X40</x:f>
        <x:v>-132</x:v>
      </x:c>
      <x:c r="Z40" s="52" t="n">
        <x:f>IF(D40=0,"",(Y40)/D40)</x:f>
        <x:v>-0.20276497695852536</x:v>
      </x:c>
      <x:c r="AA40" t="str">
        <x:v>Dr. Mahesh Sharma</x:v>
      </x:c>
      <x:c r="AB40" t="n">
        <x:f>D40-E40-F40</x:f>
        <x:v>0</x:v>
      </x:c>
    </x:row>
    <x:row r="41">
      <x:c r="A41" t="n">
        <x:v>33</x:v>
      </x:c>
      <x:c r="B41" t="str">
        <x:v>2024 location: not supplied</x:v>
      </x:c>
      <x:c r="C41"/>
      <x:c r="D41" t="n">
        <x:v>749</x:v>
      </x:c>
      <x:c r="E41" t="n">
        <x:f>SUM(H41:V41)</x:f>
        <x:v>746</x:v>
      </x:c>
      <x:c r="F41" t="n">
        <x:v>3</x:v>
      </x:c>
      <x:c r="G41" s="50" t="str">
        <x:f>IF(C41="","",IFERROR(D41/C41,0))</x:f>
      </x:c>
      <x:c r="H41" s="36" t="n">
        <x:v>156</x:v>
      </x:c>
      <x:c r="I41" t="n">
        <x:v>496</x:v>
      </x:c>
      <x:c r="J41" t="n">
        <x:v>76</x:v>
      </x:c>
      <x:c r="K41" t="n">
        <x:v>0</x:v>
      </x:c>
      <x:c r="L41" t="n">
        <x:v>0</x:v>
      </x:c>
      <x:c r="M41" t="n">
        <x:v>0</x:v>
      </x:c>
      <x:c r="N41" t="n">
        <x:v>11</x:v>
      </x:c>
      <x:c r="O41" t="n">
        <x:v>0</x:v>
      </x:c>
      <x:c r="P41" t="n">
        <x:v>1</x:v>
      </x:c>
      <x:c r="Q41" t="n">
        <x:v>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3</x:v>
      </x:c>
      <x:c r="W41" s="50" t="n">
        <x:f>IF(D41=0,"",H41/D41)</x:f>
        <x:v>0.2082777036048064</x:v>
      </x:c>
      <x:c r="X41" t="n">
        <x:f>MAX(I41:V41)</x:f>
        <x:v>496</x:v>
      </x:c>
      <x:c r="Y41" t="n">
        <x:f>H41-X41</x:f>
        <x:v>-340</x:v>
      </x:c>
      <x:c r="Z41" s="52" t="n">
        <x:f>IF(D41=0,"",(Y41)/D41)</x:f>
        <x:v>-0.4539385847797063</x:v>
      </x:c>
      <x:c r="AA41" t="str">
        <x:v>Dr. Mahesh Sharma</x:v>
      </x:c>
      <x:c r="AB41" t="n">
        <x:f>D41-E41-F41</x:f>
        <x:v>0</x:v>
      </x:c>
    </x:row>
    <x:row r="42">
      <x:c r="A42" t="n">
        <x:v>34</x:v>
      </x:c>
      <x:c r="B42" t="str">
        <x:v>2024 location: not supplied</x:v>
      </x:c>
      <x:c r="C42"/>
      <x:c r="D42" t="n">
        <x:v>471</x:v>
      </x:c>
      <x:c r="E42" t="n">
        <x:f>SUM(H42:V42)</x:f>
        <x:v>469</x:v>
      </x:c>
      <x:c r="F42" t="n">
        <x:v>2</x:v>
      </x:c>
      <x:c r="G42" s="50" t="str">
        <x:f>IF(C42="","",IFERROR(D42/C42,0))</x:f>
      </x:c>
      <x:c r="H42" s="36" t="n">
        <x:v>59</x:v>
      </x:c>
      <x:c r="I42" t="n">
        <x:v>336</x:v>
      </x:c>
      <x:c r="J42" t="n">
        <x:v>58</x:v>
      </x:c>
      <x:c r="K42" t="n">
        <x:v>0</x:v>
      </x:c>
      <x:c r="L42" t="n">
        <x:v>1</x:v>
      </x:c>
      <x:c r="M42" t="n">
        <x:v>0</x:v>
      </x:c>
      <x:c r="N42" t="n">
        <x:v>5</x:v>
      </x:c>
      <x:c r="O42" t="n">
        <x:v>2</x:v>
      </x:c>
      <x:c r="P42" t="n">
        <x:v>1</x:v>
      </x:c>
      <x:c r="Q42" t="n">
        <x:v>1</x:v>
      </x:c>
      <x:c r="R42" t="n">
        <x:v>0</x:v>
      </x:c>
      <x:c r="S42" t="n">
        <x:v>1</x:v>
      </x:c>
      <x:c r="T42" t="n">
        <x:v>0</x:v>
      </x:c>
      <x:c r="U42" t="n">
        <x:v>2</x:v>
      </x:c>
      <x:c r="V42" t="n">
        <x:v>3</x:v>
      </x:c>
      <x:c r="W42" s="50" t="n">
        <x:f>IF(D42=0,"",H42/D42)</x:f>
        <x:v>0.12526539278131635</x:v>
      </x:c>
      <x:c r="X42" t="n">
        <x:f>MAX(I42:V42)</x:f>
        <x:v>336</x:v>
      </x:c>
      <x:c r="Y42" t="n">
        <x:f>H42-X42</x:f>
        <x:v>-277</x:v>
      </x:c>
      <x:c r="Z42" s="52" t="n">
        <x:f>IF(D42=0,"",(Y42)/D42)</x:f>
        <x:v>-0.5881104033970276</x:v>
      </x:c>
      <x:c r="AA42" t="str">
        <x:v>Dr. Mahesh Sharma</x:v>
      </x:c>
      <x:c r="AB42" t="n">
        <x:f>D42-E42-F42</x:f>
        <x:v>0</x:v>
      </x:c>
    </x:row>
    <x:row r="43">
      <x:c r="A43" t="n">
        <x:v>35</x:v>
      </x:c>
      <x:c r="B43" t="str">
        <x:v>2024 location: not supplied</x:v>
      </x:c>
      <x:c r="C43"/>
      <x:c r="D43" t="n">
        <x:v>579</x:v>
      </x:c>
      <x:c r="E43" t="n">
        <x:f>SUM(H43:V43)</x:f>
        <x:v>578</x:v>
      </x:c>
      <x:c r="F43" t="n">
        <x:v>1</x:v>
      </x:c>
      <x:c r="G43" s="50" t="str">
        <x:f>IF(C43="","",IFERROR(D43/C43,0))</x:f>
      </x:c>
      <x:c r="H43" s="36" t="n">
        <x:v>214</x:v>
      </x:c>
      <x:c r="I43" t="n">
        <x:v>241</x:v>
      </x:c>
      <x:c r="J43" t="n">
        <x:v>110</x:v>
      </x:c>
      <x:c r="K43" t="n">
        <x:v>0</x:v>
      </x:c>
      <x:c r="L43" t="n">
        <x:v>1</x:v>
      </x:c>
      <x:c r="M43" t="n">
        <x:v>0</x:v>
      </x:c>
      <x:c r="N43" t="n">
        <x:v>3</x:v>
      </x:c>
      <x:c r="O43" t="n">
        <x:v>1</x:v>
      </x:c>
      <x:c r="P43" t="n">
        <x:v>2</x:v>
      </x:c>
      <x:c r="Q43" t="n">
        <x:v>1</x:v>
      </x:c>
      <x:c r="R43" t="n">
        <x:v>0</x:v>
      </x:c>
      <x:c r="S43" t="n">
        <x:v>0</x:v>
      </x:c>
      <x:c r="T43" t="n">
        <x:v>1</x:v>
      </x:c>
      <x:c r="U43" t="n">
        <x:v>1</x:v>
      </x:c>
      <x:c r="V43" t="n">
        <x:v>3</x:v>
      </x:c>
      <x:c r="W43" s="50" t="n">
        <x:f>IF(D43=0,"",H43/D43)</x:f>
        <x:v>0.3696027633851468</x:v>
      </x:c>
      <x:c r="X43" t="n">
        <x:f>MAX(I43:V43)</x:f>
        <x:v>241</x:v>
      </x:c>
      <x:c r="Y43" t="n">
        <x:f>H43-X43</x:f>
        <x:v>-27</x:v>
      </x:c>
      <x:c r="Z43" s="52" t="n">
        <x:f>IF(D43=0,"",(Y43)/D43)</x:f>
        <x:v>-0.046632124352331605</x:v>
      </x:c>
      <x:c r="AA43" t="str">
        <x:v>Dr. Mahesh Sharma</x:v>
      </x:c>
      <x:c r="AB43" t="n">
        <x:f>D43-E43-F43</x:f>
        <x:v>0</x:v>
      </x:c>
    </x:row>
    <x:row r="44">
      <x:c r="A44" t="n">
        <x:v>36</x:v>
      </x:c>
      <x:c r="B44" t="str">
        <x:v>2024 location: not supplied</x:v>
      </x:c>
      <x:c r="C44"/>
      <x:c r="D44" t="n">
        <x:v>484</x:v>
      </x:c>
      <x:c r="E44" t="n">
        <x:f>SUM(H44:V44)</x:f>
        <x:v>482</x:v>
      </x:c>
      <x:c r="F44" t="n">
        <x:v>2</x:v>
      </x:c>
      <x:c r="G44" s="50" t="str">
        <x:f>IF(C44="","",IFERROR(D44/C44,0))</x:f>
      </x:c>
      <x:c r="H44" s="36" t="n">
        <x:v>175</x:v>
      </x:c>
      <x:c r="I44" t="n">
        <x:v>287</x:v>
      </x:c>
      <x:c r="J44" t="n">
        <x:v>15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1</x:v>
      </x:c>
      <x:c r="Q44" t="n">
        <x:v>0</x:v>
      </x:c>
      <x:c r="R44" t="n">
        <x:v>0</x:v>
      </x:c>
      <x:c r="S44" t="n">
        <x:v>0</x:v>
      </x:c>
      <x:c r="T44" t="n">
        <x:v>2</x:v>
      </x:c>
      <x:c r="U44" t="n">
        <x:v>0</x:v>
      </x:c>
      <x:c r="V44" t="n">
        <x:v>2</x:v>
      </x:c>
      <x:c r="W44" s="50" t="n">
        <x:f>IF(D44=0,"",H44/D44)</x:f>
        <x:v>0.3615702479338843</x:v>
      </x:c>
      <x:c r="X44" t="n">
        <x:f>MAX(I44:V44)</x:f>
        <x:v>287</x:v>
      </x:c>
      <x:c r="Y44" t="n">
        <x:f>H44-X44</x:f>
        <x:v>-112</x:v>
      </x:c>
      <x:c r="Z44" s="52" t="n">
        <x:f>IF(D44=0,"",(Y44)/D44)</x:f>
        <x:v>-0.23140495867768596</x:v>
      </x:c>
      <x:c r="AA44" t="str">
        <x:v>Dr. Mahesh Sharma</x:v>
      </x:c>
      <x:c r="AB44" t="n">
        <x:f>D44-E44-F44</x:f>
        <x:v>0</x:v>
      </x:c>
    </x:row>
    <x:row r="45">
      <x:c r="A45" t="n">
        <x:v>37</x:v>
      </x:c>
      <x:c r="B45" t="str">
        <x:v>2024 location: not supplied</x:v>
      </x:c>
      <x:c r="C45"/>
      <x:c r="D45" t="n">
        <x:v>417</x:v>
      </x:c>
      <x:c r="E45" t="n">
        <x:f>SUM(H45:V45)</x:f>
        <x:v>417</x:v>
      </x:c>
      <x:c r="F45" t="n">
        <x:v>0</x:v>
      </x:c>
      <x:c r="G45" s="50" t="str">
        <x:f>IF(C45="","",IFERROR(D45/C45,0))</x:f>
      </x:c>
      <x:c r="H45" s="36" t="n">
        <x:v>95</x:v>
      </x:c>
      <x:c r="I45" t="n">
        <x:v>281</x:v>
      </x:c>
      <x:c r="J45" t="n">
        <x:v>27</x:v>
      </x:c>
      <x:c r="K45" t="n">
        <x:v>1</x:v>
      </x:c>
      <x:c r="L45" t="n">
        <x:v>2</x:v>
      </x:c>
      <x:c r="M45" t="n">
        <x:v>0</x:v>
      </x:c>
      <x:c r="N45" t="n">
        <x:v>4</x:v>
      </x:c>
      <x:c r="O45" t="n">
        <x:v>3</x:v>
      </x:c>
      <x:c r="P45" t="n">
        <x:v>0</x:v>
      </x:c>
      <x:c r="Q45" t="n">
        <x:v>0</x:v>
      </x:c>
      <x:c r="R45" t="n">
        <x:v>1</x:v>
      </x:c>
      <x:c r="S45" t="n">
        <x:v>0</x:v>
      </x:c>
      <x:c r="T45" t="n">
        <x:v>0</x:v>
      </x:c>
      <x:c r="U45" t="n">
        <x:v>1</x:v>
      </x:c>
      <x:c r="V45" t="n">
        <x:v>2</x:v>
      </x:c>
      <x:c r="W45" s="50" t="n">
        <x:f>IF(D45=0,"",H45/D45)</x:f>
        <x:v>0.2278177458033573</x:v>
      </x:c>
      <x:c r="X45" t="n">
        <x:f>MAX(I45:V45)</x:f>
        <x:v>281</x:v>
      </x:c>
      <x:c r="Y45" t="n">
        <x:f>H45-X45</x:f>
        <x:v>-186</x:v>
      </x:c>
      <x:c r="Z45" s="52" t="n">
        <x:f>IF(D45=0,"",(Y45)/D45)</x:f>
        <x:v>-0.4460431654676259</x:v>
      </x:c>
      <x:c r="AA45" t="str">
        <x:v>Dr. Mahesh Sharma</x:v>
      </x:c>
      <x:c r="AB45" t="n">
        <x:f>D45-E45-F45</x:f>
        <x:v>0</x:v>
      </x:c>
    </x:row>
    <x:row r="46">
      <x:c r="A46" t="n">
        <x:v>38</x:v>
      </x:c>
      <x:c r="B46" t="str">
        <x:v>2024 location: not supplied</x:v>
      </x:c>
      <x:c r="C46"/>
      <x:c r="D46" t="n">
        <x:v>583</x:v>
      </x:c>
      <x:c r="E46" t="n">
        <x:f>SUM(H46:V46)</x:f>
        <x:v>581</x:v>
      </x:c>
      <x:c r="F46" t="n">
        <x:v>2</x:v>
      </x:c>
      <x:c r="G46" s="50" t="str">
        <x:f>IF(C46="","",IFERROR(D46/C46,0))</x:f>
      </x:c>
      <x:c r="H46" s="36" t="n">
        <x:v>273</x:v>
      </x:c>
      <x:c r="I46" t="n">
        <x:v>293</x:v>
      </x:c>
      <x:c r="J46" t="n">
        <x:v>12</x:v>
      </x:c>
      <x:c r="K46" t="n">
        <x:v>0</x:v>
      </x:c>
      <x:c r="L46" t="n">
        <x:v>1</x:v>
      </x:c>
      <x:c r="M46" t="n">
        <x:v>0</x:v>
      </x:c>
      <x:c r="N46" t="n">
        <x:v>1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1</x:v>
      </x:c>
      <x:c r="T46" t="n">
        <x:v>0</x:v>
      </x:c>
      <x:c r="U46" t="n">
        <x:v>0</x:v>
      </x:c>
      <x:c r="V46" t="n">
        <x:v>0</x:v>
      </x:c>
      <x:c r="W46" s="50" t="n">
        <x:f>IF(D46=0,"",H46/D46)</x:f>
        <x:v>0.46826758147512865</x:v>
      </x:c>
      <x:c r="X46" t="n">
        <x:f>MAX(I46:V46)</x:f>
        <x:v>293</x:v>
      </x:c>
      <x:c r="Y46" t="n">
        <x:f>H46-X46</x:f>
        <x:v>-20</x:v>
      </x:c>
      <x:c r="Z46" s="52" t="n">
        <x:f>IF(D46=0,"",(Y46)/D46)</x:f>
        <x:v>-0.03430531732418525</x:v>
      </x:c>
      <x:c r="AA46" t="str">
        <x:v>Dr. Mahesh Sharma</x:v>
      </x:c>
      <x:c r="AB46" t="n">
        <x:f>D46-E46-F46</x:f>
        <x:v>0</x:v>
      </x:c>
    </x:row>
    <x:row r="47">
      <x:c r="A47" t="n">
        <x:v>39</x:v>
      </x:c>
      <x:c r="B47" t="str">
        <x:v>2024 location: not supplied</x:v>
      </x:c>
      <x:c r="C47"/>
      <x:c r="D47" t="n">
        <x:v>632</x:v>
      </x:c>
      <x:c r="E47" t="n">
        <x:f>SUM(H47:V47)</x:f>
        <x:v>631</x:v>
      </x:c>
      <x:c r="F47" t="n">
        <x:v>1</x:v>
      </x:c>
      <x:c r="G47" s="50" t="str">
        <x:f>IF(C47="","",IFERROR(D47/C47,0))</x:f>
      </x:c>
      <x:c r="H47" s="36" t="n">
        <x:v>374</x:v>
      </x:c>
      <x:c r="I47" t="n">
        <x:v>249</x:v>
      </x:c>
      <x:c r="J47" t="n">
        <x:v>4</x:v>
      </x:c>
      <x:c r="K47" t="n">
        <x:v>0</x:v>
      </x:c>
      <x:c r="L47" t="n">
        <x:v>0</x:v>
      </x:c>
      <x:c r="M47" t="n">
        <x:v>0</x:v>
      </x:c>
      <x:c r="N47" t="n">
        <x:v>2</x:v>
      </x:c>
      <x:c r="O47" t="n">
        <x:v>0</x:v>
      </x:c>
      <x:c r="P47" t="n">
        <x:v>1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</x:v>
      </x:c>
      <x:c r="W47" s="50" t="n">
        <x:f>IF(D47=0,"",H47/D47)</x:f>
        <x:v>0.5917721518987342</x:v>
      </x:c>
      <x:c r="X47" t="n">
        <x:f>MAX(I47:V47)</x:f>
        <x:v>249</x:v>
      </x:c>
      <x:c r="Y47" t="n">
        <x:f>H47-X47</x:f>
        <x:v>125</x:v>
      </x:c>
      <x:c r="Z47" s="52" t="n">
        <x:f>IF(D47=0,"",(Y47)/D47)</x:f>
        <x:v>0.19778481012658228</x:v>
      </x:c>
      <x:c r="AA47" t="str">
        <x:v>Dr. Mahendra Singh Nagar</x:v>
      </x:c>
      <x:c r="AB47" t="n">
        <x:f>D47-E47-F47</x:f>
        <x:v>0</x:v>
      </x:c>
    </x:row>
    <x:row r="48">
      <x:c r="A48" t="n">
        <x:v>40</x:v>
      </x:c>
      <x:c r="B48" t="str">
        <x:v>2024 location: not supplied</x:v>
      </x:c>
      <x:c r="C48"/>
      <x:c r="D48" t="n">
        <x:v>744</x:v>
      </x:c>
      <x:c r="E48" t="n">
        <x:f>SUM(H48:V48)</x:f>
        <x:v>736</x:v>
      </x:c>
      <x:c r="F48" t="n">
        <x:v>8</x:v>
      </x:c>
      <x:c r="G48" s="50" t="str">
        <x:f>IF(C48="","",IFERROR(D48/C48,0))</x:f>
      </x:c>
      <x:c r="H48" s="36" t="n">
        <x:v>190</x:v>
      </x:c>
      <x:c r="I48" t="n">
        <x:v>515</x:v>
      </x:c>
      <x:c r="J48" t="n">
        <x:v>20</x:v>
      </x:c>
      <x:c r="K48" t="n">
        <x:v>1</x:v>
      </x:c>
      <x:c r="L48" t="n">
        <x:v>2</x:v>
      </x:c>
      <x:c r="M48" t="n">
        <x:v>0</x:v>
      </x:c>
      <x:c r="N48" t="n">
        <x:v>1</x:v>
      </x:c>
      <x:c r="O48" t="n">
        <x:v>2</x:v>
      </x:c>
      <x:c r="P48" t="n">
        <x:v>1</x:v>
      </x:c>
      <x:c r="Q48" t="n">
        <x:v>1</x:v>
      </x:c>
      <x:c r="R48" t="n">
        <x:v>0</x:v>
      </x:c>
      <x:c r="S48" t="n">
        <x:v>0</x:v>
      </x:c>
      <x:c r="T48" t="n">
        <x:v>0</x:v>
      </x:c>
      <x:c r="U48" t="n">
        <x:v>1</x:v>
      </x:c>
      <x:c r="V48" t="n">
        <x:v>2</x:v>
      </x:c>
      <x:c r="W48" s="50" t="n">
        <x:f>IF(D48=0,"",H48/D48)</x:f>
        <x:v>0.2553763440860215</x:v>
      </x:c>
      <x:c r="X48" t="n">
        <x:f>MAX(I48:V48)</x:f>
        <x:v>515</x:v>
      </x:c>
      <x:c r="Y48" t="n">
        <x:f>H48-X48</x:f>
        <x:v>-325</x:v>
      </x:c>
      <x:c r="Z48" s="52" t="n">
        <x:f>IF(D48=0,"",(Y48)/D48)</x:f>
        <x:v>-0.4368279569892473</x:v>
      </x:c>
      <x:c r="AA48" t="str">
        <x:v>Dr. Mahesh Sharma</x:v>
      </x:c>
      <x:c r="AB48" t="n">
        <x:f>D48-E48-F48</x:f>
        <x:v>0</x:v>
      </x:c>
    </x:row>
    <x:row r="49">
      <x:c r="A49" t="n">
        <x:v>41</x:v>
      </x:c>
      <x:c r="B49" t="str">
        <x:v>2024 location: not supplied</x:v>
      </x:c>
      <x:c r="C49"/>
      <x:c r="D49" t="n">
        <x:v>634</x:v>
      </x:c>
      <x:c r="E49" t="n">
        <x:f>SUM(H49:V49)</x:f>
        <x:v>632</x:v>
      </x:c>
      <x:c r="F49" t="n">
        <x:v>2</x:v>
      </x:c>
      <x:c r="G49" s="50" t="str">
        <x:f>IF(C49="","",IFERROR(D49/C49,0))</x:f>
      </x:c>
      <x:c r="H49" s="36" t="n">
        <x:v>159</x:v>
      </x:c>
      <x:c r="I49" t="n">
        <x:v>326</x:v>
      </x:c>
      <x:c r="J49" t="n">
        <x:v>132</x:v>
      </x:c>
      <x:c r="K49" t="n">
        <x:v>1</x:v>
      </x:c>
      <x:c r="L49" t="n">
        <x:v>1</x:v>
      </x:c>
      <x:c r="M49" t="n">
        <x:v>0</x:v>
      </x:c>
      <x:c r="N49" t="n">
        <x:v>4</x:v>
      </x:c>
      <x:c r="O49" t="n">
        <x:v>1</x:v>
      </x:c>
      <x:c r="P49" t="n">
        <x:v>0</x:v>
      </x:c>
      <x:c r="Q49" t="n">
        <x:v>0</x:v>
      </x:c>
      <x:c r="R49" t="n">
        <x:v>0</x:v>
      </x:c>
      <x:c r="S49" t="n">
        <x:v>2</x:v>
      </x:c>
      <x:c r="T49" t="n">
        <x:v>2</x:v>
      </x:c>
      <x:c r="U49" t="n">
        <x:v>4</x:v>
      </x:c>
      <x:c r="V49" t="n">
        <x:v>0</x:v>
      </x:c>
      <x:c r="W49" s="50" t="n">
        <x:f>IF(D49=0,"",H49/D49)</x:f>
        <x:v>0.250788643533123</x:v>
      </x:c>
      <x:c r="X49" t="n">
        <x:f>MAX(I49:V49)</x:f>
        <x:v>326</x:v>
      </x:c>
      <x:c r="Y49" t="n">
        <x:f>H49-X49</x:f>
        <x:v>-167</x:v>
      </x:c>
      <x:c r="Z49" s="52" t="n">
        <x:f>IF(D49=0,"",(Y49)/D49)</x:f>
        <x:v>-0.2634069400630915</x:v>
      </x:c>
      <x:c r="AA49" t="str">
        <x:v>Dr. Mahesh Sharma</x:v>
      </x:c>
      <x:c r="AB49" t="n">
        <x:f>D49-E49-F49</x:f>
        <x:v>0</x:v>
      </x:c>
    </x:row>
    <x:row r="50">
      <x:c r="A50" t="n">
        <x:v>42</x:v>
      </x:c>
      <x:c r="B50" t="str">
        <x:v>2024 location: not supplied</x:v>
      </x:c>
      <x:c r="C50"/>
      <x:c r="D50" t="n">
        <x:v>477</x:v>
      </x:c>
      <x:c r="E50" t="n">
        <x:f>SUM(H50:V50)</x:f>
        <x:v>476</x:v>
      </x:c>
      <x:c r="F50" t="n">
        <x:v>1</x:v>
      </x:c>
      <x:c r="G50" s="50" t="str">
        <x:f>IF(C50="","",IFERROR(D50/C50,0))</x:f>
      </x:c>
      <x:c r="H50" s="36" t="n">
        <x:v>140</x:v>
      </x:c>
      <x:c r="I50" t="n">
        <x:v>214</x:v>
      </x:c>
      <x:c r="J50" t="n">
        <x:v>113</x:v>
      </x:c>
      <x:c r="K50" t="n">
        <x:v>0</x:v>
      </x:c>
      <x:c r="L50" t="n">
        <x:v>0</x:v>
      </x:c>
      <x:c r="M50" t="n">
        <x:v>0</x:v>
      </x:c>
      <x:c r="N50" t="n">
        <x:v>2</x:v>
      </x:c>
      <x:c r="O50" t="n">
        <x:v>1</x:v>
      </x:c>
      <x:c r="P50" t="n">
        <x:v>1</x:v>
      </x:c>
      <x:c r="Q50" t="n">
        <x:v>1</x:v>
      </x:c>
      <x:c r="R50" t="n">
        <x:v>0</x:v>
      </x:c>
      <x:c r="S50" t="n">
        <x:v>0</x:v>
      </x:c>
      <x:c r="T50" t="n">
        <x:v>1</x:v>
      </x:c>
      <x:c r="U50" t="n">
        <x:v>2</x:v>
      </x:c>
      <x:c r="V50" t="n">
        <x:v>1</x:v>
      </x:c>
      <x:c r="W50" s="50" t="n">
        <x:f>IF(D50=0,"",H50/D50)</x:f>
        <x:v>0.29350104821802936</x:v>
      </x:c>
      <x:c r="X50" t="n">
        <x:f>MAX(I50:V50)</x:f>
        <x:v>214</x:v>
      </x:c>
      <x:c r="Y50" t="n">
        <x:f>H50-X50</x:f>
        <x:v>-74</x:v>
      </x:c>
      <x:c r="Z50" s="52" t="n">
        <x:f>IF(D50=0,"",(Y50)/D50)</x:f>
        <x:v>-0.15513626834381553</x:v>
      </x:c>
      <x:c r="AA50" t="str">
        <x:v>Dr. Mahesh Sharma</x:v>
      </x:c>
      <x:c r="AB50" t="n">
        <x:f>D50-E50-F50</x:f>
        <x:v>0</x:v>
      </x:c>
    </x:row>
    <x:row r="51">
      <x:c r="A51" t="n">
        <x:v>43</x:v>
      </x:c>
      <x:c r="B51" t="str">
        <x:v>2024 location: not supplied</x:v>
      </x:c>
      <x:c r="C51"/>
      <x:c r="D51" t="n">
        <x:v>431</x:v>
      </x:c>
      <x:c r="E51" t="n">
        <x:f>SUM(H51:V51)</x:f>
        <x:v>429</x:v>
      </x:c>
      <x:c r="F51" t="n">
        <x:v>2</x:v>
      </x:c>
      <x:c r="G51" s="50" t="str">
        <x:f>IF(C51="","",IFERROR(D51/C51,0))</x:f>
      </x:c>
      <x:c r="H51" s="36" t="n">
        <x:v>140</x:v>
      </x:c>
      <x:c r="I51" t="n">
        <x:v>264</x:v>
      </x:c>
      <x:c r="J51" t="n">
        <x:v>19</x:v>
      </x:c>
      <x:c r="K51" t="n">
        <x:v>0</x:v>
      </x:c>
      <x:c r="L51" t="n">
        <x:v>0</x:v>
      </x:c>
      <x:c r="M51" t="n">
        <x:v>1</x:v>
      </x:c>
      <x:c r="N51" t="n">
        <x:v>0</x:v>
      </x:c>
      <x:c r="O51" t="n">
        <x:v>1</x:v>
      </x:c>
      <x:c r="P51" t="n">
        <x:v>0</x:v>
      </x:c>
      <x:c r="Q51" t="n">
        <x:v>0</x:v>
      </x:c>
      <x:c r="R51" t="n">
        <x:v>0</x:v>
      </x:c>
      <x:c r="S51" t="n">
        <x:v>1</x:v>
      </x:c>
      <x:c r="T51" t="n">
        <x:v>0</x:v>
      </x:c>
      <x:c r="U51" t="n">
        <x:v>0</x:v>
      </x:c>
      <x:c r="V51" t="n">
        <x:v>3</x:v>
      </x:c>
      <x:c r="W51" s="50" t="n">
        <x:f>IF(D51=0,"",H51/D51)</x:f>
        <x:v>0.3248259860788863</x:v>
      </x:c>
      <x:c r="X51" t="n">
        <x:f>MAX(I51:V51)</x:f>
        <x:v>264</x:v>
      </x:c>
      <x:c r="Y51" t="n">
        <x:f>H51-X51</x:f>
        <x:v>-124</x:v>
      </x:c>
      <x:c r="Z51" s="52" t="n">
        <x:f>IF(D51=0,"",(Y51)/D51)</x:f>
        <x:v>-0.2877030162412993</x:v>
      </x:c>
      <x:c r="AA51" t="str">
        <x:v>Dr. Mahesh Sharma</x:v>
      </x:c>
      <x:c r="AB51" t="n">
        <x:f>D51-E51-F51</x:f>
        <x:v>0</x:v>
      </x:c>
    </x:row>
    <x:row r="52">
      <x:c r="A52" t="n">
        <x:v>44</x:v>
      </x:c>
      <x:c r="B52" t="str">
        <x:v>2024 location: not supplied</x:v>
      </x:c>
      <x:c r="C52"/>
      <x:c r="D52" t="n">
        <x:v>436</x:v>
      </x:c>
      <x:c r="E52" t="n">
        <x:f>SUM(H52:V52)</x:f>
        <x:v>434</x:v>
      </x:c>
      <x:c r="F52" t="n">
        <x:v>2</x:v>
      </x:c>
      <x:c r="G52" s="50" t="str">
        <x:f>IF(C52="","",IFERROR(D52/C52,0))</x:f>
      </x:c>
      <x:c r="H52" s="36" t="n">
        <x:v>86</x:v>
      </x:c>
      <x:c r="I52" t="n">
        <x:v>251</x:v>
      </x:c>
      <x:c r="J52" t="n">
        <x:v>86</x:v>
      </x:c>
      <x:c r="K52" t="n">
        <x:v>0</x:v>
      </x:c>
      <x:c r="L52" t="n">
        <x:v>1</x:v>
      </x:c>
      <x:c r="M52" t="n">
        <x:v>1</x:v>
      </x:c>
      <x:c r="N52" t="n">
        <x:v>2</x:v>
      </x:c>
      <x:c r="O52" t="n">
        <x:v>1</x:v>
      </x:c>
      <x:c r="P52" t="n">
        <x:v>1</x:v>
      </x:c>
      <x:c r="Q52" t="n">
        <x:v>0</x:v>
      </x:c>
      <x:c r="R52" t="n">
        <x:v>0</x:v>
      </x:c>
      <x:c r="S52" t="n">
        <x:v>1</x:v>
      </x:c>
      <x:c r="T52" t="n">
        <x:v>0</x:v>
      </x:c>
      <x:c r="U52" t="n">
        <x:v>4</x:v>
      </x:c>
      <x:c r="V52" t="n">
        <x:v>0</x:v>
      </x:c>
      <x:c r="W52" s="50" t="n">
        <x:f>IF(D52=0,"",H52/D52)</x:f>
        <x:v>0.19724770642201836</x:v>
      </x:c>
      <x:c r="X52" t="n">
        <x:f>MAX(I52:V52)</x:f>
        <x:v>251</x:v>
      </x:c>
      <x:c r="Y52" t="n">
        <x:f>H52-X52</x:f>
        <x:v>-165</x:v>
      </x:c>
      <x:c r="Z52" s="52" t="n">
        <x:f>IF(D52=0,"",(Y52)/D52)</x:f>
        <x:v>-0.37844036697247707</x:v>
      </x:c>
      <x:c r="AA52" t="str">
        <x:v>Dr. Mahesh Sharma</x:v>
      </x:c>
      <x:c r="AB52" t="n">
        <x:f>D52-E52-F52</x:f>
        <x:v>0</x:v>
      </x:c>
    </x:row>
    <x:row r="53">
      <x:c r="A53" t="n">
        <x:v>45</x:v>
      </x:c>
      <x:c r="B53" t="str">
        <x:v>2024 location: not supplied</x:v>
      </x:c>
      <x:c r="C53"/>
      <x:c r="D53" t="n">
        <x:v>358</x:v>
      </x:c>
      <x:c r="E53" t="n">
        <x:f>SUM(H53:V53)</x:f>
        <x:v>357</x:v>
      </x:c>
      <x:c r="F53" t="n">
        <x:v>1</x:v>
      </x:c>
      <x:c r="G53" s="50" t="str">
        <x:f>IF(C53="","",IFERROR(D53/C53,0))</x:f>
      </x:c>
      <x:c r="H53" s="36" t="n">
        <x:v>76</x:v>
      </x:c>
      <x:c r="I53" t="n">
        <x:v>196</x:v>
      </x:c>
      <x:c r="J53" t="n">
        <x:v>81</x:v>
      </x:c>
      <x:c r="K53" t="n">
        <x:v>0</x:v>
      </x:c>
      <x:c r="L53" t="n">
        <x:v>0</x:v>
      </x:c>
      <x:c r="M53" t="n">
        <x:v>0</x:v>
      </x:c>
      <x:c r="N53" t="n">
        <x:v>1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1</x:v>
      </x:c>
      <x:c r="V53" t="n">
        <x:v>2</x:v>
      </x:c>
      <x:c r="W53" s="50" t="n">
        <x:f>IF(D53=0,"",H53/D53)</x:f>
        <x:v>0.2122905027932961</x:v>
      </x:c>
      <x:c r="X53" t="n">
        <x:f>MAX(I53:V53)</x:f>
        <x:v>196</x:v>
      </x:c>
      <x:c r="Y53" t="n">
        <x:f>H53-X53</x:f>
        <x:v>-120</x:v>
      </x:c>
      <x:c r="Z53" s="52" t="n">
        <x:f>IF(D53=0,"",(Y53)/D53)</x:f>
        <x:v>-0.33519553072625696</x:v>
      </x:c>
      <x:c r="AA53" t="str">
        <x:v>Dr. Mahesh Sharma</x:v>
      </x:c>
      <x:c r="AB53" t="n">
        <x:f>D53-E53-F53</x:f>
        <x:v>0</x:v>
      </x:c>
    </x:row>
    <x:row r="54">
      <x:c r="A54" t="n">
        <x:v>46</x:v>
      </x:c>
      <x:c r="B54" t="str">
        <x:v>2024 location: not supplied</x:v>
      </x:c>
      <x:c r="C54"/>
      <x:c r="D54" t="n">
        <x:v>822</x:v>
      </x:c>
      <x:c r="E54" t="n">
        <x:f>SUM(H54:V54)</x:f>
        <x:v>822</x:v>
      </x:c>
      <x:c r="F54" t="n">
        <x:v>0</x:v>
      </x:c>
      <x:c r="G54" s="50" t="str">
        <x:f>IF(C54="","",IFERROR(D54/C54,0))</x:f>
      </x:c>
      <x:c r="H54" s="36" t="n">
        <x:v>140</x:v>
      </x:c>
      <x:c r="I54" t="n">
        <x:v>548</x:v>
      </x:c>
      <x:c r="J54" t="n">
        <x:v>131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2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1</x:v>
      </x:c>
      <x:c r="V54" t="n">
        <x:v>0</x:v>
      </x:c>
      <x:c r="W54" s="50" t="n">
        <x:f>IF(D54=0,"",H54/D54)</x:f>
        <x:v>0.170316301703163</x:v>
      </x:c>
      <x:c r="X54" t="n">
        <x:f>MAX(I54:V54)</x:f>
        <x:v>548</x:v>
      </x:c>
      <x:c r="Y54" t="n">
        <x:f>H54-X54</x:f>
        <x:v>-408</x:v>
      </x:c>
      <x:c r="Z54" s="52" t="n">
        <x:f>IF(D54=0,"",(Y54)/D54)</x:f>
        <x:v>-0.49635036496350365</x:v>
      </x:c>
      <x:c r="AA54" t="str">
        <x:v>Dr. Mahesh Sharma</x:v>
      </x:c>
      <x:c r="AB54" t="n">
        <x:f>D54-E54-F54</x:f>
        <x:v>0</x:v>
      </x:c>
    </x:row>
    <x:row r="55">
      <x:c r="A55" t="n">
        <x:v>47</x:v>
      </x:c>
      <x:c r="B55" t="str">
        <x:v>2024 location: not supplied</x:v>
      </x:c>
      <x:c r="C55"/>
      <x:c r="D55" t="n">
        <x:v>491</x:v>
      </x:c>
      <x:c r="E55" t="n">
        <x:f>SUM(H55:V55)</x:f>
        <x:v>490</x:v>
      </x:c>
      <x:c r="F55" t="n">
        <x:v>1</x:v>
      </x:c>
      <x:c r="G55" s="50" t="str">
        <x:f>IF(C55="","",IFERROR(D55/C55,0))</x:f>
      </x:c>
      <x:c r="H55" s="36" t="n">
        <x:v>220</x:v>
      </x:c>
      <x:c r="I55" t="n">
        <x:v>220</x:v>
      </x:c>
      <x:c r="J55" t="n">
        <x:v>46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1</x:v>
      </x:c>
      <x:c r="Q55" t="n">
        <x:v>0</x:v>
      </x:c>
      <x:c r="R55" t="n">
        <x:v>1</x:v>
      </x:c>
      <x:c r="S55" t="n">
        <x:v>0</x:v>
      </x:c>
      <x:c r="T55" t="n">
        <x:v>0</x:v>
      </x:c>
      <x:c r="U55" t="n">
        <x:v>2</x:v>
      </x:c>
      <x:c r="V55" t="n">
        <x:v>0</x:v>
      </x:c>
      <x:c r="W55" s="50" t="n">
        <x:f>IF(D55=0,"",H55/D55)</x:f>
        <x:v>0.4480651731160896</x:v>
      </x:c>
      <x:c r="X55" t="n">
        <x:f>MAX(I55:V55)</x:f>
        <x:v>220</x:v>
      </x:c>
      <x:c r="Y55" t="n">
        <x:f>H55-X55</x:f>
        <x:v>0</x:v>
      </x:c>
      <x:c r="Z55" s="52" t="n">
        <x:f>IF(D55=0,"",(Y55)/D55)</x:f>
        <x:v>0</x:v>
      </x:c>
      <x:c r="AA55" t="str">
        <x:v>Dr. Mahendra Singh Nagar</x:v>
      </x:c>
      <x:c r="AB55" t="n">
        <x:f>D55-E55-F55</x:f>
        <x:v>0</x:v>
      </x:c>
    </x:row>
    <x:row r="56">
      <x:c r="A56" t="n">
        <x:v>48</x:v>
      </x:c>
      <x:c r="B56" t="str">
        <x:v>2024 location: not supplied</x:v>
      </x:c>
      <x:c r="C56"/>
      <x:c r="D56" t="n">
        <x:v>440</x:v>
      </x:c>
      <x:c r="E56" t="n">
        <x:f>SUM(H56:V56)</x:f>
        <x:v>440</x:v>
      </x:c>
      <x:c r="F56" t="n">
        <x:v>0</x:v>
      </x:c>
      <x:c r="G56" s="50" t="str">
        <x:f>IF(C56="","",IFERROR(D56/C56,0))</x:f>
      </x:c>
      <x:c r="H56" s="36" t="n">
        <x:v>87</x:v>
      </x:c>
      <x:c r="I56" t="n">
        <x:v>237</x:v>
      </x:c>
      <x:c r="J56" t="n">
        <x:v>108</x:v>
      </x:c>
      <x:c r="K56" t="n">
        <x:v>0</x:v>
      </x:c>
      <x:c r="L56" t="n">
        <x:v>0</x:v>
      </x:c>
      <x:c r="M56" t="n">
        <x:v>1</x:v>
      </x:c>
      <x:c r="N56" t="n">
        <x:v>2</x:v>
      </x:c>
      <x:c r="O56" t="n">
        <x:v>0</x:v>
      </x:c>
      <x:c r="P56" t="n">
        <x:v>1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2</x:v>
      </x:c>
      <x:c r="V56" t="n">
        <x:v>2</x:v>
      </x:c>
      <x:c r="W56" s="50" t="n">
        <x:f>IF(D56=0,"",H56/D56)</x:f>
        <x:v>0.19772727272727272</x:v>
      </x:c>
      <x:c r="X56" t="n">
        <x:f>MAX(I56:V56)</x:f>
        <x:v>237</x:v>
      </x:c>
      <x:c r="Y56" t="n">
        <x:f>H56-X56</x:f>
        <x:v>-150</x:v>
      </x:c>
      <x:c r="Z56" s="52" t="n">
        <x:f>IF(D56=0,"",(Y56)/D56)</x:f>
        <x:v>-0.3409090909090909</x:v>
      </x:c>
      <x:c r="AA56" t="str">
        <x:v>Dr. Mahesh Sharma</x:v>
      </x:c>
      <x:c r="AB56" t="n">
        <x:f>D56-E56-F56</x:f>
        <x:v>0</x:v>
      </x:c>
    </x:row>
    <x:row r="57">
      <x:c r="A57" t="n">
        <x:v>49</x:v>
      </x:c>
      <x:c r="B57" t="str">
        <x:v>2024 location: not supplied</x:v>
      </x:c>
      <x:c r="C57"/>
      <x:c r="D57" t="n">
        <x:v>743</x:v>
      </x:c>
      <x:c r="E57" t="n">
        <x:f>SUM(H57:V57)</x:f>
        <x:v>738</x:v>
      </x:c>
      <x:c r="F57" t="n">
        <x:v>5</x:v>
      </x:c>
      <x:c r="G57" s="50" t="str">
        <x:f>IF(C57="","",IFERROR(D57/C57,0))</x:f>
      </x:c>
      <x:c r="H57" s="36" t="n">
        <x:v>182</x:v>
      </x:c>
      <x:c r="I57" t="n">
        <x:v>121</x:v>
      </x:c>
      <x:c r="J57" t="n">
        <x:v>420</x:v>
      </x:c>
      <x:c r="K57" t="n">
        <x:v>0</x:v>
      </x:c>
      <x:c r="L57" t="n">
        <x:v>2</x:v>
      </x:c>
      <x:c r="M57" t="n">
        <x:v>0</x:v>
      </x:c>
      <x:c r="N57" t="n">
        <x:v>1</x:v>
      </x:c>
      <x:c r="O57" t="n">
        <x:v>1</x:v>
      </x:c>
      <x:c r="P57" t="n">
        <x:v>4</x:v>
      </x:c>
      <x:c r="Q57" t="n">
        <x:v>1</x:v>
      </x:c>
      <x:c r="R57" t="n">
        <x:v>1</x:v>
      </x:c>
      <x:c r="S57" t="n">
        <x:v>1</x:v>
      </x:c>
      <x:c r="T57" t="n">
        <x:v>0</x:v>
      </x:c>
      <x:c r="U57" t="n">
        <x:v>3</x:v>
      </x:c>
      <x:c r="V57" t="n">
        <x:v>1</x:v>
      </x:c>
      <x:c r="W57" s="50" t="n">
        <x:f>IF(D57=0,"",H57/D57)</x:f>
        <x:v>0.2449528936742934</x:v>
      </x:c>
      <x:c r="X57" t="n">
        <x:f>MAX(I57:V57)</x:f>
        <x:v>420</x:v>
      </x:c>
      <x:c r="Y57" t="n">
        <x:f>H57-X57</x:f>
        <x:v>-238</x:v>
      </x:c>
      <x:c r="Z57" s="52" t="n">
        <x:f>IF(D57=0,"",(Y57)/D57)</x:f>
        <x:v>-0.3203230148048452</x:v>
      </x:c>
      <x:c r="AA57" t="str">
        <x:v>Rajendra Singh Solanki</x:v>
      </x:c>
      <x:c r="AB57" t="n">
        <x:f>D57-E57-F57</x:f>
        <x:v>0</x:v>
      </x:c>
    </x:row>
    <x:row r="58">
      <x:c r="A58" t="n">
        <x:v>50</x:v>
      </x:c>
      <x:c r="B58" t="str">
        <x:v>2024 location: not supplied</x:v>
      </x:c>
      <x:c r="C58"/>
      <x:c r="D58" t="n">
        <x:v>740</x:v>
      </x:c>
      <x:c r="E58" t="n">
        <x:f>SUM(H58:V58)</x:f>
        <x:v>740</x:v>
      </x:c>
      <x:c r="F58" t="n">
        <x:v>0</x:v>
      </x:c>
      <x:c r="G58" s="50" t="str">
        <x:f>IF(C58="","",IFERROR(D58/C58,0))</x:f>
      </x:c>
      <x:c r="H58" s="36" t="n">
        <x:v>256</x:v>
      </x:c>
      <x:c r="I58" t="n">
        <x:v>51</x:v>
      </x:c>
      <x:c r="J58" t="n">
        <x:v>419</x:v>
      </x:c>
      <x:c r="K58" t="n">
        <x:v>1</x:v>
      </x:c>
      <x:c r="L58" t="n">
        <x:v>4</x:v>
      </x:c>
      <x:c r="M58" t="n">
        <x:v>0</x:v>
      </x:c>
      <x:c r="N58" t="n">
        <x:v>3</x:v>
      </x:c>
      <x:c r="O58" t="n">
        <x:v>0</x:v>
      </x:c>
      <x:c r="P58" t="n">
        <x:v>0</x:v>
      </x:c>
      <x:c r="Q58" t="n">
        <x:v>0</x:v>
      </x:c>
      <x:c r="R58" t="n">
        <x:v>1</x:v>
      </x:c>
      <x:c r="S58" t="n">
        <x:v>0</x:v>
      </x:c>
      <x:c r="T58" t="n">
        <x:v>0</x:v>
      </x:c>
      <x:c r="U58" t="n">
        <x:v>3</x:v>
      </x:c>
      <x:c r="V58" t="n">
        <x:v>2</x:v>
      </x:c>
      <x:c r="W58" s="50" t="n">
        <x:f>IF(D58=0,"",H58/D58)</x:f>
        <x:v>0.34594594594594597</x:v>
      </x:c>
      <x:c r="X58" t="n">
        <x:f>MAX(I58:V58)</x:f>
        <x:v>419</x:v>
      </x:c>
      <x:c r="Y58" t="n">
        <x:f>H58-X58</x:f>
        <x:v>-163</x:v>
      </x:c>
      <x:c r="Z58" s="52" t="n">
        <x:f>IF(D58=0,"",(Y58)/D58)</x:f>
        <x:v>-0.22027027027027027</x:v>
      </x:c>
      <x:c r="AA58" t="str">
        <x:v>Rajendra Singh Solanki</x:v>
      </x:c>
      <x:c r="AB58" t="n">
        <x:f>D58-E58-F58</x:f>
        <x:v>0</x:v>
      </x:c>
    </x:row>
    <x:row r="59">
      <x:c r="A59" t="n">
        <x:v>51</x:v>
      </x:c>
      <x:c r="B59" t="str">
        <x:v>2024 location: not supplied</x:v>
      </x:c>
      <x:c r="C59"/>
      <x:c r="D59" t="n">
        <x:v>662</x:v>
      </x:c>
      <x:c r="E59" t="n">
        <x:f>SUM(H59:V59)</x:f>
        <x:v>659</x:v>
      </x:c>
      <x:c r="F59" t="n">
        <x:v>3</x:v>
      </x:c>
      <x:c r="G59" s="50" t="str">
        <x:f>IF(C59="","",IFERROR(D59/C59,0))</x:f>
      </x:c>
      <x:c r="H59" s="36" t="n">
        <x:v>13</x:v>
      </x:c>
      <x:c r="I59" t="n">
        <x:v>579</x:v>
      </x:c>
      <x:c r="J59" t="n">
        <x:v>49</x:v>
      </x:c>
      <x:c r="K59" t="n">
        <x:v>0</x:v>
      </x:c>
      <x:c r="L59" t="n">
        <x:v>0</x:v>
      </x:c>
      <x:c r="M59" t="n">
        <x:v>0</x:v>
      </x:c>
      <x:c r="N59" t="n">
        <x:v>7</x:v>
      </x:c>
      <x:c r="O59" t="n">
        <x:v>1</x:v>
      </x:c>
      <x:c r="P59" t="n">
        <x:v>0</x:v>
      </x:c>
      <x:c r="Q59" t="n">
        <x:v>0</x:v>
      </x:c>
      <x:c r="R59" t="n">
        <x:v>1</x:v>
      </x:c>
      <x:c r="S59" t="n">
        <x:v>1</x:v>
      </x:c>
      <x:c r="T59" t="n">
        <x:v>0</x:v>
      </x:c>
      <x:c r="U59" t="n">
        <x:v>4</x:v>
      </x:c>
      <x:c r="V59" t="n">
        <x:v>4</x:v>
      </x:c>
      <x:c r="W59" s="50" t="n">
        <x:f>IF(D59=0,"",H59/D59)</x:f>
        <x:v>0.019637462235649546</x:v>
      </x:c>
      <x:c r="X59" t="n">
        <x:f>MAX(I59:V59)</x:f>
        <x:v>579</x:v>
      </x:c>
      <x:c r="Y59" t="n">
        <x:f>H59-X59</x:f>
        <x:v>-566</x:v>
      </x:c>
      <x:c r="Z59" s="52" t="n">
        <x:f>IF(D59=0,"",(Y59)/D59)</x:f>
        <x:v>-0.8549848942598187</x:v>
      </x:c>
      <x:c r="AA59" t="str">
        <x:v>Dr. Mahesh Sharma</x:v>
      </x:c>
      <x:c r="AB59" t="n">
        <x:f>D59-E59-F59</x:f>
        <x:v>0</x:v>
      </x:c>
    </x:row>
    <x:row r="60">
      <x:c r="A60" t="n">
        <x:v>52</x:v>
      </x:c>
      <x:c r="B60" t="str">
        <x:v>2024 location: not supplied</x:v>
      </x:c>
      <x:c r="C60"/>
      <x:c r="D60" t="n">
        <x:v>759</x:v>
      </x:c>
      <x:c r="E60" t="n">
        <x:f>SUM(H60:V60)</x:f>
        <x:v>754</x:v>
      </x:c>
      <x:c r="F60" t="n">
        <x:v>5</x:v>
      </x:c>
      <x:c r="G60" s="50" t="str">
        <x:f>IF(C60="","",IFERROR(D60/C60,0))</x:f>
      </x:c>
      <x:c r="H60" s="36" t="n">
        <x:v>290</x:v>
      </x:c>
      <x:c r="I60" t="n">
        <x:v>55</x:v>
      </x:c>
      <x:c r="J60" t="n">
        <x:v>393</x:v>
      </x:c>
      <x:c r="K60" t="n">
        <x:v>0</x:v>
      </x:c>
      <x:c r="L60" t="n">
        <x:v>3</x:v>
      </x:c>
      <x:c r="M60" t="n">
        <x:v>1</x:v>
      </x:c>
      <x:c r="N60" t="n">
        <x:v>1</x:v>
      </x:c>
      <x:c r="O60" t="n">
        <x:v>0</x:v>
      </x:c>
      <x:c r="P60" t="n">
        <x:v>2</x:v>
      </x:c>
      <x:c r="Q60" t="n">
        <x:v>0</x:v>
      </x:c>
      <x:c r="R60" t="n">
        <x:v>0</x:v>
      </x:c>
      <x:c r="S60" t="n">
        <x:v>0</x:v>
      </x:c>
      <x:c r="T60" t="n">
        <x:v>2</x:v>
      </x:c>
      <x:c r="U60" t="n">
        <x:v>4</x:v>
      </x:c>
      <x:c r="V60" t="n">
        <x:v>3</x:v>
      </x:c>
      <x:c r="W60" s="50" t="n">
        <x:f>IF(D60=0,"",H60/D60)</x:f>
        <x:v>0.3820816864295125</x:v>
      </x:c>
      <x:c r="X60" t="n">
        <x:f>MAX(I60:V60)</x:f>
        <x:v>393</x:v>
      </x:c>
      <x:c r="Y60" t="n">
        <x:f>H60-X60</x:f>
        <x:v>-103</x:v>
      </x:c>
      <x:c r="Z60" s="52" t="n">
        <x:f>IF(D60=0,"",(Y60)/D60)</x:f>
        <x:v>-0.13570487483530963</x:v>
      </x:c>
      <x:c r="AA60" t="str">
        <x:v>Rajendra Singh Solanki</x:v>
      </x:c>
      <x:c r="AB60" t="n">
        <x:f>D60-E60-F60</x:f>
        <x:v>0</x:v>
      </x:c>
    </x:row>
    <x:row r="61">
      <x:c r="A61" t="n">
        <x:v>53</x:v>
      </x:c>
      <x:c r="B61" t="str">
        <x:v>2024 location: not supplied</x:v>
      </x:c>
      <x:c r="C61"/>
      <x:c r="D61" t="n">
        <x:v>798</x:v>
      </x:c>
      <x:c r="E61" t="n">
        <x:f>SUM(H61:V61)</x:f>
        <x:v>794</x:v>
      </x:c>
      <x:c r="F61" t="n">
        <x:v>4</x:v>
      </x:c>
      <x:c r="G61" s="50" t="str">
        <x:f>IF(C61="","",IFERROR(D61/C61,0))</x:f>
      </x:c>
      <x:c r="H61" s="36" t="n">
        <x:v>246</x:v>
      </x:c>
      <x:c r="I61" t="n">
        <x:v>90</x:v>
      </x:c>
      <x:c r="J61" t="n">
        <x:v>445</x:v>
      </x:c>
      <x:c r="K61" t="n">
        <x:v>1</x:v>
      </x:c>
      <x:c r="L61" t="n">
        <x:v>2</x:v>
      </x:c>
      <x:c r="M61" t="n">
        <x:v>0</x:v>
      </x:c>
      <x:c r="N61" t="n">
        <x:v>4</x:v>
      </x:c>
      <x:c r="O61" t="n">
        <x:v>2</x:v>
      </x:c>
      <x:c r="P61" t="n">
        <x:v>1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3</x:v>
      </x:c>
      <x:c r="V61" t="n">
        <x:v>0</x:v>
      </x:c>
      <x:c r="W61" s="50" t="n">
        <x:f>IF(D61=0,"",H61/D61)</x:f>
        <x:v>0.3082706766917293</x:v>
      </x:c>
      <x:c r="X61" t="n">
        <x:f>MAX(I61:V61)</x:f>
        <x:v>445</x:v>
      </x:c>
      <x:c r="Y61" t="n">
        <x:f>H61-X61</x:f>
        <x:v>-199</x:v>
      </x:c>
      <x:c r="Z61" s="52" t="n">
        <x:f>IF(D61=0,"",(Y61)/D61)</x:f>
        <x:v>-0.24937343358395989</x:v>
      </x:c>
      <x:c r="AA61" t="str">
        <x:v>Rajendra Singh Solanki</x:v>
      </x:c>
      <x:c r="AB61" t="n">
        <x:f>D61-E61-F61</x:f>
        <x:v>0</x:v>
      </x:c>
    </x:row>
    <x:row r="62">
      <x:c r="A62" t="n">
        <x:v>54</x:v>
      </x:c>
      <x:c r="B62" t="str">
        <x:v>2024 location: not supplied</x:v>
      </x:c>
      <x:c r="C62"/>
      <x:c r="D62" t="n">
        <x:v>483</x:v>
      </x:c>
      <x:c r="E62" t="n">
        <x:f>SUM(H62:V62)</x:f>
        <x:v>481</x:v>
      </x:c>
      <x:c r="F62" t="n">
        <x:v>2</x:v>
      </x:c>
      <x:c r="G62" s="50" t="str">
        <x:f>IF(C62="","",IFERROR(D62/C62,0))</x:f>
      </x:c>
      <x:c r="H62" s="36" t="n">
        <x:v>232</x:v>
      </x:c>
      <x:c r="I62" t="n">
        <x:v>231</x:v>
      </x:c>
      <x:c r="J62" t="n">
        <x:v>14</x:v>
      </x:c>
      <x:c r="K62" t="n">
        <x:v>0</x:v>
      </x:c>
      <x:c r="L62" t="n">
        <x:v>0</x:v>
      </x:c>
      <x:c r="M62" t="n">
        <x:v>1</x:v>
      </x:c>
      <x:c r="N62" t="n">
        <x:v>1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1</x:v>
      </x:c>
      <x:c r="V62" t="n">
        <x:v>1</x:v>
      </x:c>
      <x:c r="W62" s="50" t="n">
        <x:f>IF(D62=0,"",H62/D62)</x:f>
        <x:v>0.4803312629399586</x:v>
      </x:c>
      <x:c r="X62" t="n">
        <x:f>MAX(I62:V62)</x:f>
        <x:v>231</x:v>
      </x:c>
      <x:c r="Y62" t="n">
        <x:f>H62-X62</x:f>
        <x:v>1</x:v>
      </x:c>
      <x:c r="Z62" s="52" t="n">
        <x:f>IF(D62=0,"",(Y62)/D62)</x:f>
        <x:v>0.002070393374741201</x:v>
      </x:c>
      <x:c r="AA62" t="str">
        <x:v>Dr. Mahendra Singh Nagar</x:v>
      </x:c>
      <x:c r="AB62" t="n">
        <x:f>D62-E62-F62</x:f>
        <x:v>0</x:v>
      </x:c>
    </x:row>
    <x:row r="63">
      <x:c r="A63" t="n">
        <x:v>55</x:v>
      </x:c>
      <x:c r="B63" t="str">
        <x:v>2024 location: not supplied</x:v>
      </x:c>
      <x:c r="C63"/>
      <x:c r="D63" t="n">
        <x:v>368</x:v>
      </x:c>
      <x:c r="E63" t="n">
        <x:f>SUM(H63:V63)</x:f>
        <x:v>366</x:v>
      </x:c>
      <x:c r="F63" t="n">
        <x:v>2</x:v>
      </x:c>
      <x:c r="G63" s="50" t="str">
        <x:f>IF(C63="","",IFERROR(D63/C63,0))</x:f>
      </x:c>
      <x:c r="H63" s="36" t="n">
        <x:v>113</x:v>
      </x:c>
      <x:c r="I63" t="n">
        <x:v>110</x:v>
      </x:c>
      <x:c r="J63" t="n">
        <x:v>131</x:v>
      </x:c>
      <x:c r="K63" t="n">
        <x:v>0</x:v>
      </x:c>
      <x:c r="L63" t="n">
        <x:v>3</x:v>
      </x:c>
      <x:c r="M63" t="n">
        <x:v>1</x:v>
      </x:c>
      <x:c r="N63" t="n">
        <x:v>2</x:v>
      </x:c>
      <x:c r="O63" t="n">
        <x:v>2</x:v>
      </x:c>
      <x:c r="P63" t="n">
        <x:v>0</x:v>
      </x:c>
      <x:c r="Q63" t="n">
        <x:v>0</x:v>
      </x:c>
      <x:c r="R63" t="n">
        <x:v>0</x:v>
      </x:c>
      <x:c r="S63" t="n">
        <x:v>1</x:v>
      </x:c>
      <x:c r="T63" t="n">
        <x:v>0</x:v>
      </x:c>
      <x:c r="U63" t="n">
        <x:v>2</x:v>
      </x:c>
      <x:c r="V63" t="n">
        <x:v>1</x:v>
      </x:c>
      <x:c r="W63" s="50" t="n">
        <x:f>IF(D63=0,"",H63/D63)</x:f>
        <x:v>0.3070652173913043</x:v>
      </x:c>
      <x:c r="X63" t="n">
        <x:f>MAX(I63:V63)</x:f>
        <x:v>131</x:v>
      </x:c>
      <x:c r="Y63" t="n">
        <x:f>H63-X63</x:f>
        <x:v>-18</x:v>
      </x:c>
      <x:c r="Z63" s="52" t="n">
        <x:f>IF(D63=0,"",(Y63)/D63)</x:f>
        <x:v>-0.04891304347826087</x:v>
      </x:c>
      <x:c r="AA63" t="str">
        <x:v>Rajendra Singh Solanki</x:v>
      </x:c>
      <x:c r="AB63" t="n">
        <x:f>D63-E63-F63</x:f>
        <x:v>0</x:v>
      </x:c>
    </x:row>
    <x:row r="64">
      <x:c r="A64" t="n">
        <x:v>56</x:v>
      </x:c>
      <x:c r="B64" t="str">
        <x:v>2024 location: not supplied</x:v>
      </x:c>
      <x:c r="C64"/>
      <x:c r="D64" t="n">
        <x:v>627</x:v>
      </x:c>
      <x:c r="E64" t="n">
        <x:f>SUM(H64:V64)</x:f>
        <x:v>623</x:v>
      </x:c>
      <x:c r="F64" t="n">
        <x:v>4</x:v>
      </x:c>
      <x:c r="G64" s="50" t="str">
        <x:f>IF(C64="","",IFERROR(D64/C64,0))</x:f>
      </x:c>
      <x:c r="H64" s="36" t="n">
        <x:v>251</x:v>
      </x:c>
      <x:c r="I64" t="n">
        <x:v>290</x:v>
      </x:c>
      <x:c r="J64" t="n">
        <x:v>64</x:v>
      </x:c>
      <x:c r="K64" t="n">
        <x:v>0</x:v>
      </x:c>
      <x:c r="L64" t="n">
        <x:v>0</x:v>
      </x:c>
      <x:c r="M64" t="n">
        <x:v>0</x:v>
      </x:c>
      <x:c r="N64" t="n">
        <x:v>4</x:v>
      </x:c>
      <x:c r="O64" t="n">
        <x:v>2</x:v>
      </x:c>
      <x:c r="P64" t="n">
        <x:v>1</x:v>
      </x:c>
      <x:c r="Q64" t="n">
        <x:v>1</x:v>
      </x:c>
      <x:c r="R64" t="n">
        <x:v>1</x:v>
      </x:c>
      <x:c r="S64" t="n">
        <x:v>3</x:v>
      </x:c>
      <x:c r="T64" t="n">
        <x:v>1</x:v>
      </x:c>
      <x:c r="U64" t="n">
        <x:v>1</x:v>
      </x:c>
      <x:c r="V64" t="n">
        <x:v>4</x:v>
      </x:c>
      <x:c r="W64" s="50" t="n">
        <x:f>IF(D64=0,"",H64/D64)</x:f>
        <x:v>0.4003189792663477</x:v>
      </x:c>
      <x:c r="X64" t="n">
        <x:f>MAX(I64:V64)</x:f>
        <x:v>290</x:v>
      </x:c>
      <x:c r="Y64" t="n">
        <x:f>H64-X64</x:f>
        <x:v>-39</x:v>
      </x:c>
      <x:c r="Z64" s="52" t="n">
        <x:f>IF(D64=0,"",(Y64)/D64)</x:f>
        <x:v>-0.06220095693779904</x:v>
      </x:c>
      <x:c r="AA64" t="str">
        <x:v>Dr. Mahesh Sharma</x:v>
      </x:c>
      <x:c r="AB64" t="n">
        <x:f>D64-E64-F64</x:f>
        <x:v>0</x:v>
      </x:c>
    </x:row>
    <x:row r="65">
      <x:c r="A65" t="n">
        <x:v>57</x:v>
      </x:c>
      <x:c r="B65" t="str">
        <x:v>2024 location: not supplied</x:v>
      </x:c>
      <x:c r="C65"/>
      <x:c r="D65" t="n">
        <x:v>545</x:v>
      </x:c>
      <x:c r="E65" t="n">
        <x:f>SUM(H65:V65)</x:f>
        <x:v>544</x:v>
      </x:c>
      <x:c r="F65" t="n">
        <x:v>1</x:v>
      </x:c>
      <x:c r="G65" s="50" t="str">
        <x:f>IF(C65="","",IFERROR(D65/C65,0))</x:f>
      </x:c>
      <x:c r="H65" s="36" t="n">
        <x:v>47</x:v>
      </x:c>
      <x:c r="I65" t="n">
        <x:v>268</x:v>
      </x:c>
      <x:c r="J65" t="n">
        <x:v>226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1</x:v>
      </x:c>
      <x:c r="P65" t="n">
        <x:v>1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1</x:v>
      </x:c>
      <x:c r="W65" s="50" t="n">
        <x:f>IF(D65=0,"",H65/D65)</x:f>
        <x:v>0.08623853211009175</x:v>
      </x:c>
      <x:c r="X65" t="n">
        <x:f>MAX(I65:V65)</x:f>
        <x:v>268</x:v>
      </x:c>
      <x:c r="Y65" t="n">
        <x:f>H65-X65</x:f>
        <x:v>-221</x:v>
      </x:c>
      <x:c r="Z65" s="52" t="n">
        <x:f>IF(D65=0,"",(Y65)/D65)</x:f>
        <x:v>-0.4055045871559633</x:v>
      </x:c>
      <x:c r="AA65" t="str">
        <x:v>Dr. Mahesh Sharma</x:v>
      </x:c>
      <x:c r="AB65" t="n">
        <x:f>D65-E65-F65</x:f>
        <x:v>0</x:v>
      </x:c>
    </x:row>
    <x:row r="66">
      <x:c r="A66" t="n">
        <x:v>58</x:v>
      </x:c>
      <x:c r="B66" t="str">
        <x:v>2024 location: not supplied</x:v>
      </x:c>
      <x:c r="C66"/>
      <x:c r="D66" t="n">
        <x:v>450</x:v>
      </x:c>
      <x:c r="E66" t="n">
        <x:f>SUM(H66:V66)</x:f>
        <x:v>449</x:v>
      </x:c>
      <x:c r="F66" t="n">
        <x:v>1</x:v>
      </x:c>
      <x:c r="G66" s="50" t="str">
        <x:f>IF(C66="","",IFERROR(D66/C66,0))</x:f>
      </x:c>
      <x:c r="H66" s="36" t="n">
        <x:v>71</x:v>
      </x:c>
      <x:c r="I66" t="n">
        <x:v>329</x:v>
      </x:c>
      <x:c r="J66" t="n">
        <x:v>40</x:v>
      </x:c>
      <x:c r="K66" t="n">
        <x:v>1</x:v>
      </x:c>
      <x:c r="L66" t="n">
        <x:v>1</x:v>
      </x:c>
      <x:c r="M66" t="n">
        <x:v>1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2</x:v>
      </x:c>
      <x:c r="T66" t="n">
        <x:v>0</x:v>
      </x:c>
      <x:c r="U66" t="n">
        <x:v>2</x:v>
      </x:c>
      <x:c r="V66" t="n">
        <x:v>2</x:v>
      </x:c>
      <x:c r="W66" s="50" t="n">
        <x:f>IF(D66=0,"",H66/D66)</x:f>
        <x:v>0.15777777777777777</x:v>
      </x:c>
      <x:c r="X66" t="n">
        <x:f>MAX(I66:V66)</x:f>
        <x:v>329</x:v>
      </x:c>
      <x:c r="Y66" t="n">
        <x:f>H66-X66</x:f>
        <x:v>-258</x:v>
      </x:c>
      <x:c r="Z66" s="52" t="n">
        <x:f>IF(D66=0,"",(Y66)/D66)</x:f>
        <x:v>-0.5733333333333334</x:v>
      </x:c>
      <x:c r="AA66" t="str">
        <x:v>Dr. Mahesh Sharma</x:v>
      </x:c>
      <x:c r="AB66" t="n">
        <x:f>D66-E66-F66</x:f>
        <x:v>0</x:v>
      </x:c>
    </x:row>
    <x:row r="67">
      <x:c r="A67" t="n">
        <x:v>59</x:v>
      </x:c>
      <x:c r="B67" t="str">
        <x:v>2024 location: not supplied</x:v>
      </x:c>
      <x:c r="C67"/>
      <x:c r="D67" t="n">
        <x:v>468</x:v>
      </x:c>
      <x:c r="E67" t="n">
        <x:f>SUM(H67:V67)</x:f>
        <x:v>466</x:v>
      </x:c>
      <x:c r="F67" t="n">
        <x:v>2</x:v>
      </x:c>
      <x:c r="G67" s="50" t="str">
        <x:f>IF(C67="","",IFERROR(D67/C67,0))</x:f>
      </x:c>
      <x:c r="H67" s="36" t="n">
        <x:v>132</x:v>
      </x:c>
      <x:c r="I67" t="n">
        <x:v>304</x:v>
      </x:c>
      <x:c r="J67" t="n">
        <x:v>25</x:v>
      </x:c>
      <x:c r="K67" t="n">
        <x:v>0</x:v>
      </x:c>
      <x:c r="L67" t="n">
        <x:v>0</x:v>
      </x:c>
      <x:c r="M67" t="n">
        <x:v>0</x:v>
      </x:c>
      <x:c r="N67" t="n">
        <x:v>2</x:v>
      </x:c>
      <x:c r="O67" t="n">
        <x:v>1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1</x:v>
      </x:c>
      <x:c r="V67" t="n">
        <x:v>1</x:v>
      </x:c>
      <x:c r="W67" s="50" t="n">
        <x:f>IF(D67=0,"",H67/D67)</x:f>
        <x:v>0.28205128205128205</x:v>
      </x:c>
      <x:c r="X67" t="n">
        <x:f>MAX(I67:V67)</x:f>
        <x:v>304</x:v>
      </x:c>
      <x:c r="Y67" t="n">
        <x:f>H67-X67</x:f>
        <x:v>-172</x:v>
      </x:c>
      <x:c r="Z67" s="52" t="n">
        <x:f>IF(D67=0,"",(Y67)/D67)</x:f>
        <x:v>-0.36752136752136755</x:v>
      </x:c>
      <x:c r="AA67" t="str">
        <x:v>Dr. Mahesh Sharma</x:v>
      </x:c>
      <x:c r="AB67" t="n">
        <x:f>D67-E67-F67</x:f>
        <x:v>0</x:v>
      </x:c>
    </x:row>
    <x:row r="68">
      <x:c r="A68" t="n">
        <x:v>60</x:v>
      </x:c>
      <x:c r="B68" t="str">
        <x:v>2024 location: not supplied</x:v>
      </x:c>
      <x:c r="C68"/>
      <x:c r="D68" t="n">
        <x:v>283</x:v>
      </x:c>
      <x:c r="E68" t="n">
        <x:f>SUM(H68:V68)</x:f>
        <x:v>281</x:v>
      </x:c>
      <x:c r="F68" t="n">
        <x:v>2</x:v>
      </x:c>
      <x:c r="G68" s="50" t="str">
        <x:f>IF(C68="","",IFERROR(D68/C68,0))</x:f>
      </x:c>
      <x:c r="H68" s="36" t="n">
        <x:v>130</x:v>
      </x:c>
      <x:c r="I68" t="n">
        <x:v>142</x:v>
      </x:c>
      <x:c r="J68" t="n">
        <x:v>8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1</x:v>
      </x:c>
      <x:c r="T68" t="n">
        <x:v>0</x:v>
      </x:c>
      <x:c r="U68" t="n">
        <x:v>0</x:v>
      </x:c>
      <x:c r="V68" t="n">
        <x:v>0</x:v>
      </x:c>
      <x:c r="W68" s="50" t="n">
        <x:f>IF(D68=0,"",H68/D68)</x:f>
        <x:v>0.45936395759717313</x:v>
      </x:c>
      <x:c r="X68" t="n">
        <x:f>MAX(I68:V68)</x:f>
        <x:v>142</x:v>
      </x:c>
      <x:c r="Y68" t="n">
        <x:f>H68-X68</x:f>
        <x:v>-12</x:v>
      </x:c>
      <x:c r="Z68" s="52" t="n">
        <x:f>IF(D68=0,"",(Y68)/D68)</x:f>
        <x:v>-0.04240282685512368</x:v>
      </x:c>
      <x:c r="AA68" t="str">
        <x:v>Dr. Mahesh Sharma</x:v>
      </x:c>
      <x:c r="AB68" t="n">
        <x:f>D68-E68-F68</x:f>
        <x:v>0</x:v>
      </x:c>
    </x:row>
    <x:row r="69">
      <x:c r="A69" t="n">
        <x:v>61</x:v>
      </x:c>
      <x:c r="B69" t="str">
        <x:v>2024 location: not supplied</x:v>
      </x:c>
      <x:c r="C69"/>
      <x:c r="D69" t="n">
        <x:v>536</x:v>
      </x:c>
      <x:c r="E69" t="n">
        <x:f>SUM(H69:V69)</x:f>
        <x:v>535</x:v>
      </x:c>
      <x:c r="F69" t="n">
        <x:v>1</x:v>
      </x:c>
      <x:c r="G69" s="50" t="str">
        <x:f>IF(C69="","",IFERROR(D69/C69,0))</x:f>
      </x:c>
      <x:c r="H69" s="36" t="n">
        <x:v>162</x:v>
      </x:c>
      <x:c r="I69" t="n">
        <x:v>299</x:v>
      </x:c>
      <x:c r="J69" t="n">
        <x:v>67</x:v>
      </x:c>
      <x:c r="K69" t="n">
        <x:v>1</x:v>
      </x:c>
      <x:c r="L69" t="n">
        <x:v>1</x:v>
      </x:c>
      <x:c r="M69" t="n">
        <x:v>1</x:v>
      </x:c>
      <x:c r="N69" t="n">
        <x:v>1</x:v>
      </x:c>
      <x:c r="O69" t="n">
        <x:v>0</x:v>
      </x:c>
      <x:c r="P69" t="n">
        <x:v>0</x:v>
      </x:c>
      <x:c r="Q69" t="n">
        <x:v>0</x:v>
      </x:c>
      <x:c r="R69" t="n">
        <x:v>1</x:v>
      </x:c>
      <x:c r="S69" t="n">
        <x:v>0</x:v>
      </x:c>
      <x:c r="T69" t="n">
        <x:v>1</x:v>
      </x:c>
      <x:c r="U69" t="n">
        <x:v>0</x:v>
      </x:c>
      <x:c r="V69" t="n">
        <x:v>1</x:v>
      </x:c>
      <x:c r="W69" s="50" t="n">
        <x:f>IF(D69=0,"",H69/D69)</x:f>
        <x:v>0.30223880597014924</x:v>
      </x:c>
      <x:c r="X69" t="n">
        <x:f>MAX(I69:V69)</x:f>
        <x:v>299</x:v>
      </x:c>
      <x:c r="Y69" t="n">
        <x:f>H69-X69</x:f>
        <x:v>-137</x:v>
      </x:c>
      <x:c r="Z69" s="52" t="n">
        <x:f>IF(D69=0,"",(Y69)/D69)</x:f>
        <x:v>-0.2555970149253731</x:v>
      </x:c>
      <x:c r="AA69" t="str">
        <x:v>Dr. Mahesh Sharma</x:v>
      </x:c>
      <x:c r="AB69" t="n">
        <x:f>D69-E69-F69</x:f>
        <x:v>0</x:v>
      </x:c>
    </x:row>
    <x:row r="70">
      <x:c r="A70" t="n">
        <x:v>62</x:v>
      </x:c>
      <x:c r="B70" t="str">
        <x:v>2024 location: not supplied</x:v>
      </x:c>
      <x:c r="C70"/>
      <x:c r="D70" t="n">
        <x:v>581</x:v>
      </x:c>
      <x:c r="E70" t="n">
        <x:f>SUM(H70:V70)</x:f>
        <x:v>578</x:v>
      </x:c>
      <x:c r="F70" t="n">
        <x:v>3</x:v>
      </x:c>
      <x:c r="G70" s="50" t="str">
        <x:f>IF(C70="","",IFERROR(D70/C70,0))</x:f>
      </x:c>
      <x:c r="H70" s="36" t="n">
        <x:v>293</x:v>
      </x:c>
      <x:c r="I70" t="n">
        <x:v>226</x:v>
      </x:c>
      <x:c r="J70" t="n">
        <x:v>45</x:v>
      </x:c>
      <x:c r="K70" t="n">
        <x:v>0</x:v>
      </x:c>
      <x:c r="L70" t="n">
        <x:v>1</x:v>
      </x:c>
      <x:c r="M70" t="n">
        <x:v>0</x:v>
      </x:c>
      <x:c r="N70" t="n">
        <x:v>5</x:v>
      </x:c>
      <x:c r="O70" t="n">
        <x:v>2</x:v>
      </x:c>
      <x:c r="P70" t="n">
        <x:v>1</x:v>
      </x:c>
      <x:c r="Q70" t="n">
        <x:v>0</x:v>
      </x:c>
      <x:c r="R70" t="n">
        <x:v>0</x:v>
      </x:c>
      <x:c r="S70" t="n">
        <x:v>1</x:v>
      </x:c>
      <x:c r="T70" t="n">
        <x:v>0</x:v>
      </x:c>
      <x:c r="U70" t="n">
        <x:v>1</x:v>
      </x:c>
      <x:c r="V70" t="n">
        <x:v>3</x:v>
      </x:c>
      <x:c r="W70" s="50" t="n">
        <x:f>IF(D70=0,"",H70/D70)</x:f>
        <x:v>0.504302925989673</x:v>
      </x:c>
      <x:c r="X70" t="n">
        <x:f>MAX(I70:V70)</x:f>
        <x:v>226</x:v>
      </x:c>
      <x:c r="Y70" t="n">
        <x:f>H70-X70</x:f>
        <x:v>67</x:v>
      </x:c>
      <x:c r="Z70" s="52" t="n">
        <x:f>IF(D70=0,"",(Y70)/D70)</x:f>
        <x:v>0.1153184165232358</x:v>
      </x:c>
      <x:c r="AA70" t="str">
        <x:v>Dr. Mahendra Singh Nagar</x:v>
      </x:c>
      <x:c r="AB70" t="n">
        <x:f>D70-E70-F70</x:f>
        <x:v>0</x:v>
      </x:c>
    </x:row>
    <x:row r="71">
      <x:c r="A71" t="n">
        <x:v>63</x:v>
      </x:c>
      <x:c r="B71" t="str">
        <x:v>2024 location: not supplied</x:v>
      </x:c>
      <x:c r="C71"/>
      <x:c r="D71" t="n">
        <x:v>547</x:v>
      </x:c>
      <x:c r="E71" t="n">
        <x:f>SUM(H71:V71)</x:f>
        <x:v>545</x:v>
      </x:c>
      <x:c r="F71" t="n">
        <x:v>2</x:v>
      </x:c>
      <x:c r="G71" s="50" t="str">
        <x:f>IF(C71="","",IFERROR(D71/C71,0))</x:f>
      </x:c>
      <x:c r="H71" s="36" t="n">
        <x:v>82</x:v>
      </x:c>
      <x:c r="I71" t="n">
        <x:v>214</x:v>
      </x:c>
      <x:c r="J71" t="n">
        <x:v>245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3</x:v>
      </x:c>
      <x:c r="V71" t="n">
        <x:v>1</x:v>
      </x:c>
      <x:c r="W71" s="50" t="n">
        <x:f>IF(D71=0,"",H71/D71)</x:f>
        <x:v>0.14990859232175502</x:v>
      </x:c>
      <x:c r="X71" t="n">
        <x:f>MAX(I71:V71)</x:f>
        <x:v>245</x:v>
      </x:c>
      <x:c r="Y71" t="n">
        <x:f>H71-X71</x:f>
        <x:v>-163</x:v>
      </x:c>
      <x:c r="Z71" s="52" t="n">
        <x:f>IF(D71=0,"",(Y71)/D71)</x:f>
        <x:v>-0.2979890310786106</x:v>
      </x:c>
      <x:c r="AA71" t="str">
        <x:v>Rajendra Singh Solanki</x:v>
      </x:c>
      <x:c r="AB71" t="n">
        <x:f>D71-E71-F71</x:f>
        <x:v>0</x:v>
      </x:c>
    </x:row>
    <x:row r="72">
      <x:c r="A72" t="n">
        <x:v>64</x:v>
      </x:c>
      <x:c r="B72" t="str">
        <x:v>2024 location: not supplied</x:v>
      </x:c>
      <x:c r="C72"/>
      <x:c r="D72" t="n">
        <x:v>628</x:v>
      </x:c>
      <x:c r="E72" t="n">
        <x:f>SUM(H72:V72)</x:f>
        <x:v>619</x:v>
      </x:c>
      <x:c r="F72" t="n">
        <x:v>9</x:v>
      </x:c>
      <x:c r="G72" s="50" t="str">
        <x:f>IF(C72="","",IFERROR(D72/C72,0))</x:f>
      </x:c>
      <x:c r="H72" s="36" t="n">
        <x:v>204</x:v>
      </x:c>
      <x:c r="I72" t="n">
        <x:v>380</x:v>
      </x:c>
      <x:c r="J72" t="n">
        <x:v>31</x:v>
      </x:c>
      <x:c r="K72" t="n">
        <x:v>0</x:v>
      </x:c>
      <x:c r="L72" t="n">
        <x:v>1</x:v>
      </x:c>
      <x:c r="M72" t="n">
        <x:v>0</x:v>
      </x:c>
      <x:c r="N72" t="n">
        <x:v>1</x:v>
      </x:c>
      <x:c r="O72" t="n">
        <x:v>1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1</x:v>
      </x:c>
      <x:c r="V72" t="n">
        <x:v>0</x:v>
      </x:c>
      <x:c r="W72" s="50" t="n">
        <x:f>IF(D72=0,"",H72/D72)</x:f>
        <x:v>0.3248407643312102</x:v>
      </x:c>
      <x:c r="X72" t="n">
        <x:f>MAX(I72:V72)</x:f>
        <x:v>380</x:v>
      </x:c>
      <x:c r="Y72" t="n">
        <x:f>H72-X72</x:f>
        <x:v>-176</x:v>
      </x:c>
      <x:c r="Z72" s="52" t="n">
        <x:f>IF(D72=0,"",(Y72)/D72)</x:f>
        <x:v>-0.2802547770700637</x:v>
      </x:c>
      <x:c r="AA72" t="str">
        <x:v>Dr. Mahesh Sharma</x:v>
      </x:c>
      <x:c r="AB72" t="n">
        <x:f>D72-E72-F72</x:f>
        <x:v>0</x:v>
      </x:c>
    </x:row>
    <x:row r="73">
      <x:c r="A73" t="n">
        <x:v>65</x:v>
      </x:c>
      <x:c r="B73" t="str">
        <x:v>2024 location: not supplied</x:v>
      </x:c>
      <x:c r="C73"/>
      <x:c r="D73" t="n">
        <x:v>344</x:v>
      </x:c>
      <x:c r="E73" t="n">
        <x:f>SUM(H73:V73)</x:f>
        <x:v>342</x:v>
      </x:c>
      <x:c r="F73" t="n">
        <x:v>2</x:v>
      </x:c>
      <x:c r="G73" s="50" t="str">
        <x:f>IF(C73="","",IFERROR(D73/C73,0))</x:f>
      </x:c>
      <x:c r="H73" s="36" t="n">
        <x:v>83</x:v>
      </x:c>
      <x:c r="I73" t="n">
        <x:v>239</x:v>
      </x:c>
      <x:c r="J73" t="n">
        <x:v>13</x:v>
      </x:c>
      <x:c r="K73" t="n">
        <x:v>0</x:v>
      </x:c>
      <x:c r="L73" t="n">
        <x:v>0</x:v>
      </x:c>
      <x:c r="M73" t="n">
        <x:v>0</x:v>
      </x:c>
      <x:c r="N73" t="n">
        <x:v>2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1</x:v>
      </x:c>
      <x:c r="U73" t="n">
        <x:v>1</x:v>
      </x:c>
      <x:c r="V73" t="n">
        <x:v>3</x:v>
      </x:c>
      <x:c r="W73" s="50" t="n">
        <x:f>IF(D73=0,"",H73/D73)</x:f>
        <x:v>0.24127906976744187</x:v>
      </x:c>
      <x:c r="X73" t="n">
        <x:f>MAX(I73:V73)</x:f>
        <x:v>239</x:v>
      </x:c>
      <x:c r="Y73" t="n">
        <x:f>H73-X73</x:f>
        <x:v>-156</x:v>
      </x:c>
      <x:c r="Z73" s="52" t="n">
        <x:f>IF(D73=0,"",(Y73)/D73)</x:f>
        <x:v>-0.45348837209302323</x:v>
      </x:c>
      <x:c r="AA73" t="str">
        <x:v>Dr. Mahesh Sharma</x:v>
      </x:c>
      <x:c r="AB73" t="n">
        <x:f>D73-E73-F73</x:f>
        <x:v>0</x:v>
      </x:c>
    </x:row>
    <x:row r="74">
      <x:c r="A74" t="n">
        <x:v>66</x:v>
      </x:c>
      <x:c r="B74" t="str">
        <x:v>2024 location: not supplied</x:v>
      </x:c>
      <x:c r="C74"/>
      <x:c r="D74" t="n">
        <x:v>463</x:v>
      </x:c>
      <x:c r="E74" t="n">
        <x:f>SUM(H74:V74)</x:f>
        <x:v>461</x:v>
      </x:c>
      <x:c r="F74" t="n">
        <x:v>2</x:v>
      </x:c>
      <x:c r="G74" s="50" t="str">
        <x:f>IF(C74="","",IFERROR(D74/C74,0))</x:f>
      </x:c>
      <x:c r="H74" s="36" t="n">
        <x:v>80</x:v>
      </x:c>
      <x:c r="I74" t="n">
        <x:v>254</x:v>
      </x:c>
      <x:c r="J74" t="n">
        <x:v>121</x:v>
      </x:c>
      <x:c r="K74" t="n">
        <x:v>0</x:v>
      </x:c>
      <x:c r="L74" t="n">
        <x:v>0</x:v>
      </x:c>
      <x:c r="M74" t="n">
        <x:v>1</x:v>
      </x:c>
      <x:c r="N74" t="n">
        <x:v>3</x:v>
      </x:c>
      <x:c r="O74" t="n">
        <x:v>0</x:v>
      </x:c>
      <x:c r="P74" t="n">
        <x:v>0</x:v>
      </x:c>
      <x:c r="Q74" t="n">
        <x:v>1</x:v>
      </x:c>
      <x:c r="R74" t="n">
        <x:v>0</x:v>
      </x:c>
      <x:c r="S74" t="n">
        <x:v>1</x:v>
      </x:c>
      <x:c r="T74" t="n">
        <x:v>0</x:v>
      </x:c>
      <x:c r="U74" t="n">
        <x:v>0</x:v>
      </x:c>
      <x:c r="V74" t="n">
        <x:v>0</x:v>
      </x:c>
      <x:c r="W74" s="50" t="n">
        <x:f>IF(D74=0,"",H74/D74)</x:f>
        <x:v>0.17278617710583152</x:v>
      </x:c>
      <x:c r="X74" t="n">
        <x:f>MAX(I74:V74)</x:f>
        <x:v>254</x:v>
      </x:c>
      <x:c r="Y74" t="n">
        <x:f>H74-X74</x:f>
        <x:v>-174</x:v>
      </x:c>
      <x:c r="Z74" s="52" t="n">
        <x:f>IF(D74=0,"",(Y74)/D74)</x:f>
        <x:v>-0.3758099352051836</x:v>
      </x:c>
      <x:c r="AA74" t="str">
        <x:v>Dr. Mahesh Sharma</x:v>
      </x:c>
      <x:c r="AB74" t="n">
        <x:f>D74-E74-F74</x:f>
        <x:v>0</x:v>
      </x:c>
    </x:row>
    <x:row r="75">
      <x:c r="A75" t="n">
        <x:v>67</x:v>
      </x:c>
      <x:c r="B75" t="str">
        <x:v>2024 location: not supplied</x:v>
      </x:c>
      <x:c r="C75"/>
      <x:c r="D75" t="n">
        <x:v>428</x:v>
      </x:c>
      <x:c r="E75" t="n">
        <x:f>SUM(H75:V75)</x:f>
        <x:v>425</x:v>
      </x:c>
      <x:c r="F75" t="n">
        <x:v>3</x:v>
      </x:c>
      <x:c r="G75" s="50" t="str">
        <x:f>IF(C75="","",IFERROR(D75/C75,0))</x:f>
      </x:c>
      <x:c r="H75" s="36" t="n">
        <x:v>33</x:v>
      </x:c>
      <x:c r="I75" t="n">
        <x:v>343</x:v>
      </x:c>
      <x:c r="J75" t="n">
        <x:v>48</x:v>
      </x:c>
      <x:c r="K75" t="n">
        <x:v>0</x:v>
      </x:c>
      <x:c r="L75" t="n">
        <x:v>0</x:v>
      </x:c>
      <x:c r="M75" t="n">
        <x:v>1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s="50" t="n">
        <x:f>IF(D75=0,"",H75/D75)</x:f>
        <x:v>0.07710280373831775</x:v>
      </x:c>
      <x:c r="X75" t="n">
        <x:f>MAX(I75:V75)</x:f>
        <x:v>343</x:v>
      </x:c>
      <x:c r="Y75" t="n">
        <x:f>H75-X75</x:f>
        <x:v>-310</x:v>
      </x:c>
      <x:c r="Z75" s="52" t="n">
        <x:f>IF(D75=0,"",(Y75)/D75)</x:f>
        <x:v>-0.7242990654205608</x:v>
      </x:c>
      <x:c r="AA75" t="str">
        <x:v>Dr. Mahesh Sharma</x:v>
      </x:c>
      <x:c r="AB75" t="n">
        <x:f>D75-E75-F75</x:f>
        <x:v>0</x:v>
      </x:c>
    </x:row>
    <x:row r="76">
      <x:c r="A76" t="n">
        <x:v>68</x:v>
      </x:c>
      <x:c r="B76" t="str">
        <x:v>2024 location: not supplied</x:v>
      </x:c>
      <x:c r="C76"/>
      <x:c r="D76" t="n">
        <x:v>328</x:v>
      </x:c>
      <x:c r="E76" t="n">
        <x:f>SUM(H76:V76)</x:f>
        <x:v>324</x:v>
      </x:c>
      <x:c r="F76" t="n">
        <x:v>4</x:v>
      </x:c>
      <x:c r="G76" s="50" t="str">
        <x:f>IF(C76="","",IFERROR(D76/C76,0))</x:f>
      </x:c>
      <x:c r="H76" s="36" t="n">
        <x:v>37</x:v>
      </x:c>
      <x:c r="I76" t="n">
        <x:v>250</x:v>
      </x:c>
      <x:c r="J76" t="n">
        <x:v>32</x:v>
      </x:c>
      <x:c r="K76" t="n">
        <x:v>0</x:v>
      </x:c>
      <x:c r="L76" t="n">
        <x:v>0</x:v>
      </x:c>
      <x:c r="M76" t="n">
        <x:v>0</x:v>
      </x:c>
      <x:c r="N76" t="n">
        <x:v>3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1</x:v>
      </x:c>
      <x:c r="V76" t="n">
        <x:v>1</x:v>
      </x:c>
      <x:c r="W76" s="50" t="n">
        <x:f>IF(D76=0,"",H76/D76)</x:f>
        <x:v>0.11280487804878049</x:v>
      </x:c>
      <x:c r="X76" t="n">
        <x:f>MAX(I76:V76)</x:f>
        <x:v>250</x:v>
      </x:c>
      <x:c r="Y76" t="n">
        <x:f>H76-X76</x:f>
        <x:v>-213</x:v>
      </x:c>
      <x:c r="Z76" s="52" t="n">
        <x:f>IF(D76=0,"",(Y76)/D76)</x:f>
        <x:v>-0.649390243902439</x:v>
      </x:c>
      <x:c r="AA76" t="str">
        <x:v>Dr. Mahesh Sharma</x:v>
      </x:c>
      <x:c r="AB76" t="n">
        <x:f>D76-E76-F76</x:f>
        <x:v>0</x:v>
      </x:c>
    </x:row>
    <x:row r="77">
      <x:c r="A77" t="n">
        <x:v>69</x:v>
      </x:c>
      <x:c r="B77" t="str">
        <x:v>2024 location: not supplied</x:v>
      </x:c>
      <x:c r="C77"/>
      <x:c r="D77" t="n">
        <x:v>608</x:v>
      </x:c>
      <x:c r="E77" t="n">
        <x:f>SUM(H77:V77)</x:f>
        <x:v>603</x:v>
      </x:c>
      <x:c r="F77" t="n">
        <x:v>5</x:v>
      </x:c>
      <x:c r="G77" s="50" t="str">
        <x:f>IF(C77="","",IFERROR(D77/C77,0))</x:f>
      </x:c>
      <x:c r="H77" s="36" t="n">
        <x:v>46</x:v>
      </x:c>
      <x:c r="I77" t="n">
        <x:v>507</x:v>
      </x:c>
      <x:c r="J77" t="n">
        <x:v>39</x:v>
      </x:c>
      <x:c r="K77" t="n">
        <x:v>0</x:v>
      </x:c>
      <x:c r="L77" t="n">
        <x:v>1</x:v>
      </x:c>
      <x:c r="M77" t="n">
        <x:v>0</x:v>
      </x:c>
      <x:c r="N77" t="n">
        <x:v>6</x:v>
      </x:c>
      <x:c r="O77" t="n">
        <x:v>0</x:v>
      </x:c>
      <x:c r="P77" t="n">
        <x:v>1</x:v>
      </x:c>
      <x:c r="Q77" t="n">
        <x:v>0</x:v>
      </x:c>
      <x:c r="R77" t="n">
        <x:v>0</x:v>
      </x:c>
      <x:c r="S77" t="n">
        <x:v>1</x:v>
      </x:c>
      <x:c r="T77" t="n">
        <x:v>0</x:v>
      </x:c>
      <x:c r="U77" t="n">
        <x:v>0</x:v>
      </x:c>
      <x:c r="V77" t="n">
        <x:v>2</x:v>
      </x:c>
      <x:c r="W77" s="50" t="n">
        <x:f>IF(D77=0,"",H77/D77)</x:f>
        <x:v>0.0756578947368421</x:v>
      </x:c>
      <x:c r="X77" t="n">
        <x:f>MAX(I77:V77)</x:f>
        <x:v>507</x:v>
      </x:c>
      <x:c r="Y77" t="n">
        <x:f>H77-X77</x:f>
        <x:v>-461</x:v>
      </x:c>
      <x:c r="Z77" s="52" t="n">
        <x:f>IF(D77=0,"",(Y77)/D77)</x:f>
        <x:v>-0.7582236842105263</x:v>
      </x:c>
      <x:c r="AA77" t="str">
        <x:v>Dr. Mahesh Sharma</x:v>
      </x:c>
      <x:c r="AB77" t="n">
        <x:f>D77-E77-F77</x:f>
        <x:v>0</x:v>
      </x:c>
    </x:row>
    <x:row r="78">
      <x:c r="A78" t="n">
        <x:v>70</x:v>
      </x:c>
      <x:c r="B78" t="str">
        <x:v>2024 location: not supplied</x:v>
      </x:c>
      <x:c r="C78"/>
      <x:c r="D78" t="n">
        <x:v>574</x:v>
      </x:c>
      <x:c r="E78" t="n">
        <x:f>SUM(H78:V78)</x:f>
        <x:v>569</x:v>
      </x:c>
      <x:c r="F78" t="n">
        <x:v>5</x:v>
      </x:c>
      <x:c r="G78" s="50" t="str">
        <x:f>IF(C78="","",IFERROR(D78/C78,0))</x:f>
      </x:c>
      <x:c r="H78" s="36" t="n">
        <x:v>29</x:v>
      </x:c>
      <x:c r="I78" t="n">
        <x:v>469</x:v>
      </x:c>
      <x:c r="J78" t="n">
        <x:v>63</x:v>
      </x:c>
      <x:c r="K78" t="n">
        <x:v>2</x:v>
      </x:c>
      <x:c r="L78" t="n">
        <x:v>0</x:v>
      </x:c>
      <x:c r="M78" t="n">
        <x:v>0</x:v>
      </x:c>
      <x:c r="N78" t="n">
        <x:v>1</x:v>
      </x:c>
      <x:c r="O78" t="n">
        <x:v>3</x:v>
      </x:c>
      <x:c r="P78" t="n">
        <x:v>1</x:v>
      </x:c>
      <x:c r="Q78" t="n">
        <x:v>0</x:v>
      </x:c>
      <x:c r="R78" t="n">
        <x:v>0</x:v>
      </x:c>
      <x:c r="S78" t="n">
        <x:v>1</x:v>
      </x:c>
      <x:c r="T78" t="n">
        <x:v>0</x:v>
      </x:c>
      <x:c r="U78" t="n">
        <x:v>0</x:v>
      </x:c>
      <x:c r="V78" t="n">
        <x:v>0</x:v>
      </x:c>
      <x:c r="W78" s="50" t="n">
        <x:f>IF(D78=0,"",H78/D78)</x:f>
        <x:v>0.050522648083623695</x:v>
      </x:c>
      <x:c r="X78" t="n">
        <x:f>MAX(I78:V78)</x:f>
        <x:v>469</x:v>
      </x:c>
      <x:c r="Y78" t="n">
        <x:f>H78-X78</x:f>
        <x:v>-440</x:v>
      </x:c>
      <x:c r="Z78" s="52" t="n">
        <x:f>IF(D78=0,"",(Y78)/D78)</x:f>
        <x:v>-0.7665505226480837</x:v>
      </x:c>
      <x:c r="AA78" t="str">
        <x:v>Dr. Mahesh Sharma</x:v>
      </x:c>
      <x:c r="AB78" t="n">
        <x:f>D78-E78-F78</x:f>
        <x:v>0</x:v>
      </x:c>
    </x:row>
    <x:row r="79">
      <x:c r="A79" t="n">
        <x:v>71</x:v>
      </x:c>
      <x:c r="B79" t="str">
        <x:v>2024 location: not supplied</x:v>
      </x:c>
      <x:c r="C79"/>
      <x:c r="D79" t="n">
        <x:v>562</x:v>
      </x:c>
      <x:c r="E79" t="n">
        <x:f>SUM(H79:V79)</x:f>
        <x:v>559</x:v>
      </x:c>
      <x:c r="F79" t="n">
        <x:v>3</x:v>
      </x:c>
      <x:c r="G79" s="50" t="str">
        <x:f>IF(C79="","",IFERROR(D79/C79,0))</x:f>
      </x:c>
      <x:c r="H79" s="36" t="n">
        <x:v>49</x:v>
      </x:c>
      <x:c r="I79" t="n">
        <x:v>423</x:v>
      </x:c>
      <x:c r="J79" t="n">
        <x:v>83</x:v>
      </x:c>
      <x:c r="K79" t="n">
        <x:v>0</x:v>
      </x:c>
      <x:c r="L79" t="n">
        <x:v>0</x:v>
      </x:c>
      <x:c r="M79" t="n">
        <x:v>0</x:v>
      </x:c>
      <x:c r="N79" t="n">
        <x:v>1</x:v>
      </x:c>
      <x:c r="O79" t="n">
        <x:v>0</x:v>
      </x:c>
      <x:c r="P79" t="n">
        <x:v>0</x:v>
      </x:c>
      <x:c r="Q79" t="n">
        <x:v>1</x:v>
      </x:c>
      <x:c r="R79" t="n">
        <x:v>0</x:v>
      </x:c>
      <x:c r="S79" t="n">
        <x:v>1</x:v>
      </x:c>
      <x:c r="T79" t="n">
        <x:v>0</x:v>
      </x:c>
      <x:c r="U79" t="n">
        <x:v>1</x:v>
      </x:c>
      <x:c r="V79" t="n">
        <x:v>0</x:v>
      </x:c>
      <x:c r="W79" s="50" t="n">
        <x:f>IF(D79=0,"",H79/D79)</x:f>
        <x:v>0.08718861209964412</x:v>
      </x:c>
      <x:c r="X79" t="n">
        <x:f>MAX(I79:V79)</x:f>
        <x:v>423</x:v>
      </x:c>
      <x:c r="Y79" t="n">
        <x:f>H79-X79</x:f>
        <x:v>-374</x:v>
      </x:c>
      <x:c r="Z79" s="52" t="n">
        <x:f>IF(D79=0,"",(Y79)/D79)</x:f>
        <x:v>-0.6654804270462633</x:v>
      </x:c>
      <x:c r="AA79" t="str">
        <x:v>Dr. Mahesh Sharma</x:v>
      </x:c>
      <x:c r="AB79" t="n">
        <x:f>D79-E79-F79</x:f>
        <x:v>0</x:v>
      </x:c>
    </x:row>
    <x:row r="80">
      <x:c r="A80" t="n">
        <x:v>72</x:v>
      </x:c>
      <x:c r="B80" t="str">
        <x:v>2024 location: not supplied</x:v>
      </x:c>
      <x:c r="C80"/>
      <x:c r="D80" t="n">
        <x:v>478</x:v>
      </x:c>
      <x:c r="E80" t="n">
        <x:f>SUM(H80:V80)</x:f>
        <x:v>476</x:v>
      </x:c>
      <x:c r="F80" t="n">
        <x:v>2</x:v>
      </x:c>
      <x:c r="G80" s="50" t="str">
        <x:f>IF(C80="","",IFERROR(D80/C80,0))</x:f>
      </x:c>
      <x:c r="H80" s="36" t="n">
        <x:v>61</x:v>
      </x:c>
      <x:c r="I80" t="n">
        <x:v>236</x:v>
      </x:c>
      <x:c r="J80" t="n">
        <x:v>172</x:v>
      </x:c>
      <x:c r="K80" t="n">
        <x:v>0</x:v>
      </x:c>
      <x:c r="L80" t="n">
        <x:v>0</x:v>
      </x:c>
      <x:c r="M80" t="n">
        <x:v>0</x:v>
      </x:c>
      <x:c r="N80" t="n">
        <x:v>2</x:v>
      </x:c>
      <x:c r="O80" t="n">
        <x:v>1</x:v>
      </x:c>
      <x:c r="P80" t="n">
        <x:v>0</x:v>
      </x:c>
      <x:c r="Q80" t="n">
        <x:v>0</x:v>
      </x:c>
      <x:c r="R80" t="n">
        <x:v>0</x:v>
      </x:c>
      <x:c r="S80" t="n">
        <x:v>1</x:v>
      </x:c>
      <x:c r="T80" t="n">
        <x:v>0</x:v>
      </x:c>
      <x:c r="U80" t="n">
        <x:v>2</x:v>
      </x:c>
      <x:c r="V80" t="n">
        <x:v>1</x:v>
      </x:c>
      <x:c r="W80" s="50" t="n">
        <x:f>IF(D80=0,"",H80/D80)</x:f>
        <x:v>0.12761506276150628</x:v>
      </x:c>
      <x:c r="X80" t="n">
        <x:f>MAX(I80:V80)</x:f>
        <x:v>236</x:v>
      </x:c>
      <x:c r="Y80" t="n">
        <x:f>H80-X80</x:f>
        <x:v>-175</x:v>
      </x:c>
      <x:c r="Z80" s="52" t="n">
        <x:f>IF(D80=0,"",(Y80)/D80)</x:f>
        <x:v>-0.36610878661087864</x:v>
      </x:c>
      <x:c r="AA80" t="str">
        <x:v>Dr. Mahesh Sharma</x:v>
      </x:c>
      <x:c r="AB80" t="n">
        <x:f>D80-E80-F80</x:f>
        <x:v>0</x:v>
      </x:c>
    </x:row>
    <x:row r="81">
      <x:c r="A81" t="n">
        <x:v>73</x:v>
      </x:c>
      <x:c r="B81" t="str">
        <x:v>2024 location: not supplied</x:v>
      </x:c>
      <x:c r="C81"/>
      <x:c r="D81" t="n">
        <x:v>422</x:v>
      </x:c>
      <x:c r="E81" t="n">
        <x:f>SUM(H81:V81)</x:f>
        <x:v>418</x:v>
      </x:c>
      <x:c r="F81" t="n">
        <x:v>4</x:v>
      </x:c>
      <x:c r="G81" s="50" t="str">
        <x:f>IF(C81="","",IFERROR(D81/C81,0))</x:f>
      </x:c>
      <x:c r="H81" s="36" t="n">
        <x:v>79</x:v>
      </x:c>
      <x:c r="I81" t="n">
        <x:v>325</x:v>
      </x:c>
      <x:c r="J81" t="n">
        <x:v>10</x:v>
      </x:c>
      <x:c r="K81" t="n">
        <x:v>1</x:v>
      </x:c>
      <x:c r="L81" t="n">
        <x:v>0</x:v>
      </x:c>
      <x:c r="M81" t="n">
        <x:v>0</x:v>
      </x:c>
      <x:c r="N81" t="n">
        <x:v>1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1</x:v>
      </x:c>
      <x:c r="V81" t="n">
        <x:v>1</x:v>
      </x:c>
      <x:c r="W81" s="50" t="n">
        <x:f>IF(D81=0,"",H81/D81)</x:f>
        <x:v>0.1872037914691943</x:v>
      </x:c>
      <x:c r="X81" t="n">
        <x:f>MAX(I81:V81)</x:f>
        <x:v>325</x:v>
      </x:c>
      <x:c r="Y81" t="n">
        <x:f>H81-X81</x:f>
        <x:v>-246</x:v>
      </x:c>
      <x:c r="Z81" s="52" t="n">
        <x:f>IF(D81=0,"",(Y81)/D81)</x:f>
        <x:v>-0.5829383886255924</x:v>
      </x:c>
      <x:c r="AA81" t="str">
        <x:v>Dr. Mahesh Sharma</x:v>
      </x:c>
      <x:c r="AB81" t="n">
        <x:f>D81-E81-F81</x:f>
        <x:v>0</x:v>
      </x:c>
    </x:row>
    <x:row r="82">
      <x:c r="A82" t="n">
        <x:v>74</x:v>
      </x:c>
      <x:c r="B82" t="str">
        <x:v>2024 location: not supplied</x:v>
      </x:c>
      <x:c r="C82"/>
      <x:c r="D82" t="n">
        <x:v>481</x:v>
      </x:c>
      <x:c r="E82" t="n">
        <x:f>SUM(H82:V82)</x:f>
        <x:v>477</x:v>
      </x:c>
      <x:c r="F82" t="n">
        <x:v>4</x:v>
      </x:c>
      <x:c r="G82" s="50" t="str">
        <x:f>IF(C82="","",IFERROR(D82/C82,0))</x:f>
      </x:c>
      <x:c r="H82" s="36" t="n">
        <x:v>87</x:v>
      </x:c>
      <x:c r="I82" t="n">
        <x:v>318</x:v>
      </x:c>
      <x:c r="J82" t="n">
        <x:v>63</x:v>
      </x:c>
      <x:c r="K82" t="n">
        <x:v>1</x:v>
      </x:c>
      <x:c r="L82" t="n">
        <x:v>1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1</x:v>
      </x:c>
      <x:c r="T82" t="n">
        <x:v>0</x:v>
      </x:c>
      <x:c r="U82" t="n">
        <x:v>3</x:v>
      </x:c>
      <x:c r="V82" t="n">
        <x:v>3</x:v>
      </x:c>
      <x:c r="W82" s="50" t="n">
        <x:f>IF(D82=0,"",H82/D82)</x:f>
        <x:v>0.18087318087318088</x:v>
      </x:c>
      <x:c r="X82" t="n">
        <x:f>MAX(I82:V82)</x:f>
        <x:v>318</x:v>
      </x:c>
      <x:c r="Y82" t="n">
        <x:f>H82-X82</x:f>
        <x:v>-231</x:v>
      </x:c>
      <x:c r="Z82" s="52" t="n">
        <x:f>IF(D82=0,"",(Y82)/D82)</x:f>
        <x:v>-0.4802494802494803</x:v>
      </x:c>
      <x:c r="AA82" t="str">
        <x:v>Dr. Mahesh Sharma</x:v>
      </x:c>
      <x:c r="AB82" t="n">
        <x:f>D82-E82-F82</x:f>
        <x:v>0</x:v>
      </x:c>
    </x:row>
    <x:row r="83">
      <x:c r="A83" t="n">
        <x:v>75</x:v>
      </x:c>
      <x:c r="B83" t="str">
        <x:v>2024 location: not supplied</x:v>
      </x:c>
      <x:c r="C83"/>
      <x:c r="D83" t="n">
        <x:v>413</x:v>
      </x:c>
      <x:c r="E83" t="n">
        <x:f>SUM(H83:V83)</x:f>
        <x:v>413</x:v>
      </x:c>
      <x:c r="F83" t="n">
        <x:v>0</x:v>
      </x:c>
      <x:c r="G83" s="50" t="str">
        <x:f>IF(C83="","",IFERROR(D83/C83,0))</x:f>
      </x:c>
      <x:c r="H83" s="36" t="n">
        <x:v>119</x:v>
      </x:c>
      <x:c r="I83" t="n">
        <x:v>276</x:v>
      </x:c>
      <x:c r="J83" t="n">
        <x:v>15</x:v>
      </x:c>
      <x:c r="K83" t="n">
        <x:v>1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1</x:v>
      </x:c>
      <x:c r="R83" t="n">
        <x:v>0</x:v>
      </x:c>
      <x:c r="S83" t="n">
        <x:v>0</x:v>
      </x:c>
      <x:c r="T83" t="n">
        <x:v>0</x:v>
      </x:c>
      <x:c r="U83" t="n">
        <x:v>1</x:v>
      </x:c>
      <x:c r="V83" t="n">
        <x:v>0</x:v>
      </x:c>
      <x:c r="W83" s="50" t="n">
        <x:f>IF(D83=0,"",H83/D83)</x:f>
        <x:v>0.288135593220339</x:v>
      </x:c>
      <x:c r="X83" t="n">
        <x:f>MAX(I83:V83)</x:f>
        <x:v>276</x:v>
      </x:c>
      <x:c r="Y83" t="n">
        <x:f>H83-X83</x:f>
        <x:v>-157</x:v>
      </x:c>
      <x:c r="Z83" s="52" t="n">
        <x:f>IF(D83=0,"",(Y83)/D83)</x:f>
        <x:v>-0.3801452784503632</x:v>
      </x:c>
      <x:c r="AA83" t="str">
        <x:v>Dr. Mahesh Sharma</x:v>
      </x:c>
      <x:c r="AB83" t="n">
        <x:f>D83-E83-F83</x:f>
        <x:v>0</x:v>
      </x:c>
    </x:row>
    <x:row r="84">
      <x:c r="A84" t="n">
        <x:v>76</x:v>
      </x:c>
      <x:c r="B84" t="str">
        <x:v>2024 location: not supplied</x:v>
      </x:c>
      <x:c r="C84"/>
      <x:c r="D84" t="n">
        <x:v>513</x:v>
      </x:c>
      <x:c r="E84" t="n">
        <x:f>SUM(H84:V84)</x:f>
        <x:v>512</x:v>
      </x:c>
      <x:c r="F84" t="n">
        <x:v>1</x:v>
      </x:c>
      <x:c r="G84" s="50" t="str">
        <x:f>IF(C84="","",IFERROR(D84/C84,0))</x:f>
      </x:c>
      <x:c r="H84" s="36" t="n">
        <x:v>136</x:v>
      </x:c>
      <x:c r="I84" t="n">
        <x:v>178</x:v>
      </x:c>
      <x:c r="J84" t="n">
        <x:v>194</x:v>
      </x:c>
      <x:c r="K84" t="n">
        <x:v>0</x:v>
      </x:c>
      <x:c r="L84" t="n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n">
        <x:v>0</x:v>
      </x:c>
      <x:c r="R84" t="n">
        <x:v>0</x:v>
      </x:c>
      <x:c r="S84" t="n">
        <x:v>1</x:v>
      </x:c>
      <x:c r="T84" t="n">
        <x:v>0</x:v>
      </x:c>
      <x:c r="U84" t="n">
        <x:v>1</x:v>
      </x:c>
      <x:c r="V84" t="n">
        <x:v>0</x:v>
      </x:c>
      <x:c r="W84" s="50" t="n">
        <x:f>IF(D84=0,"",H84/D84)</x:f>
        <x:v>0.2651072124756335</x:v>
      </x:c>
      <x:c r="X84" t="n">
        <x:f>MAX(I84:V84)</x:f>
        <x:v>194</x:v>
      </x:c>
      <x:c r="Y84" t="n">
        <x:f>H84-X84</x:f>
        <x:v>-58</x:v>
      </x:c>
      <x:c r="Z84" s="52" t="n">
        <x:f>IF(D84=0,"",(Y84)/D84)</x:f>
        <x:v>-0.11306042884990253</x:v>
      </x:c>
      <x:c r="AA84" t="str">
        <x:v>Rajendra Singh Solanki</x:v>
      </x:c>
      <x:c r="AB84" t="n">
        <x:f>D84-E84-F84</x:f>
        <x:v>0</x:v>
      </x:c>
    </x:row>
    <x:row r="85">
      <x:c r="A85" t="n">
        <x:v>77</x:v>
      </x:c>
      <x:c r="B85" t="str">
        <x:v>2024 location: not supplied</x:v>
      </x:c>
      <x:c r="C85"/>
      <x:c r="D85" t="n">
        <x:v>688</x:v>
      </x:c>
      <x:c r="E85" t="n">
        <x:f>SUM(H85:V85)</x:f>
        <x:v>682</x:v>
      </x:c>
      <x:c r="F85" t="n">
        <x:v>6</x:v>
      </x:c>
      <x:c r="G85" s="50" t="str">
        <x:f>IF(C85="","",IFERROR(D85/C85,0))</x:f>
      </x:c>
      <x:c r="H85" s="36" t="n">
        <x:v>257</x:v>
      </x:c>
      <x:c r="I85" t="n">
        <x:v>369</x:v>
      </x:c>
      <x:c r="J85" t="n">
        <x:v>45</x:v>
      </x:c>
      <x:c r="K85" t="n">
        <x:v>1</x:v>
      </x:c>
      <x:c r="L85" t="n">
        <x:v>0</x:v>
      </x:c>
      <x:c r="M85" t="n">
        <x:v>0</x:v>
      </x:c>
      <x:c r="N85" t="n">
        <x:v>3</x:v>
      </x:c>
      <x:c r="O85" t="n">
        <x:v>0</x:v>
      </x:c>
      <x:c r="P85" t="n">
        <x:v>0</x:v>
      </x:c>
      <x:c r="Q85" t="n">
        <x:v>1</x:v>
      </x:c>
      <x:c r="R85" t="n">
        <x:v>0</x:v>
      </x:c>
      <x:c r="S85" t="n">
        <x:v>0</x:v>
      </x:c>
      <x:c r="T85" t="n">
        <x:v>2</x:v>
      </x:c>
      <x:c r="U85" t="n">
        <x:v>0</x:v>
      </x:c>
      <x:c r="V85" t="n">
        <x:v>4</x:v>
      </x:c>
      <x:c r="W85" s="50" t="n">
        <x:f>IF(D85=0,"",H85/D85)</x:f>
        <x:v>0.373546511627907</x:v>
      </x:c>
      <x:c r="X85" t="n">
        <x:f>MAX(I85:V85)</x:f>
        <x:v>369</x:v>
      </x:c>
      <x:c r="Y85" t="n">
        <x:f>H85-X85</x:f>
        <x:v>-112</x:v>
      </x:c>
      <x:c r="Z85" s="52" t="n">
        <x:f>IF(D85=0,"",(Y85)/D85)</x:f>
        <x:v>-0.16279069767441862</x:v>
      </x:c>
      <x:c r="AA85" t="str">
        <x:v>Dr. Mahesh Sharma</x:v>
      </x:c>
      <x:c r="AB85" t="n">
        <x:f>D85-E85-F85</x:f>
        <x:v>0</x:v>
      </x:c>
    </x:row>
    <x:row r="86">
      <x:c r="A86" t="n">
        <x:v>78</x:v>
      </x:c>
      <x:c r="B86" t="str">
        <x:v>2024 location: not supplied</x:v>
      </x:c>
      <x:c r="C86"/>
      <x:c r="D86" t="n">
        <x:v>520</x:v>
      </x:c>
      <x:c r="E86" t="n">
        <x:f>SUM(H86:V86)</x:f>
        <x:v>517</x:v>
      </x:c>
      <x:c r="F86" t="n">
        <x:v>3</x:v>
      </x:c>
      <x:c r="G86" s="50" t="str">
        <x:f>IF(C86="","",IFERROR(D86/C86,0))</x:f>
      </x:c>
      <x:c r="H86" s="36" t="n">
        <x:v>196</x:v>
      </x:c>
      <x:c r="I86" t="n">
        <x:v>251</x:v>
      </x:c>
      <x:c r="J86" t="n">
        <x:v>59</x:v>
      </x:c>
      <x:c r="K86" t="n">
        <x:v>0</x:v>
      </x:c>
      <x:c r="L86" t="n">
        <x:v>1</x:v>
      </x:c>
      <x:c r="M86" t="n">
        <x:v>0</x:v>
      </x:c>
      <x:c r="N86" t="n">
        <x:v>1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3</x:v>
      </x:c>
      <x:c r="T86" t="n">
        <x:v>3</x:v>
      </x:c>
      <x:c r="U86" t="n">
        <x:v>1</x:v>
      </x:c>
      <x:c r="V86" t="n">
        <x:v>2</x:v>
      </x:c>
      <x:c r="W86" s="50" t="n">
        <x:f>IF(D86=0,"",H86/D86)</x:f>
        <x:v>0.3769230769230769</x:v>
      </x:c>
      <x:c r="X86" t="n">
        <x:f>MAX(I86:V86)</x:f>
        <x:v>251</x:v>
      </x:c>
      <x:c r="Y86" t="n">
        <x:f>H86-X86</x:f>
        <x:v>-55</x:v>
      </x:c>
      <x:c r="Z86" s="52" t="n">
        <x:f>IF(D86=0,"",(Y86)/D86)</x:f>
        <x:v>-0.10576923076923077</x:v>
      </x:c>
      <x:c r="AA86" t="str">
        <x:v>Dr. Mahesh Sharma</x:v>
      </x:c>
      <x:c r="AB86" t="n">
        <x:f>D86-E86-F86</x:f>
        <x:v>0</x:v>
      </x:c>
    </x:row>
    <x:row r="87">
      <x:c r="A87" t="n">
        <x:v>79</x:v>
      </x:c>
      <x:c r="B87" t="str">
        <x:v>2024 location: not supplied</x:v>
      </x:c>
      <x:c r="C87"/>
      <x:c r="D87" t="n">
        <x:v>548</x:v>
      </x:c>
      <x:c r="E87" t="n">
        <x:f>SUM(H87:V87)</x:f>
        <x:v>546</x:v>
      </x:c>
      <x:c r="F87" t="n">
        <x:v>2</x:v>
      </x:c>
      <x:c r="G87" s="50" t="str">
        <x:f>IF(C87="","",IFERROR(D87/C87,0))</x:f>
      </x:c>
      <x:c r="H87" s="36" t="n">
        <x:v>155</x:v>
      </x:c>
      <x:c r="I87" t="n">
        <x:v>229</x:v>
      </x:c>
      <x:c r="J87" t="n">
        <x:v>153</x:v>
      </x:c>
      <x:c r="K87" t="n">
        <x:v>0</x:v>
      </x:c>
      <x:c r="L87" t="n">
        <x:v>1</x:v>
      </x:c>
      <x:c r="M87" t="n">
        <x:v>0</x:v>
      </x:c>
      <x:c r="N87" t="n">
        <x:v>3</x:v>
      </x:c>
      <x:c r="O87" t="n">
        <x:v>3</x:v>
      </x:c>
      <x:c r="P87" t="n">
        <x:v>0</x:v>
      </x:c>
      <x:c r="Q87" t="n">
        <x:v>0</x:v>
      </x:c>
      <x:c r="R87" t="n">
        <x:v>1</x:v>
      </x:c>
      <x:c r="S87" t="n">
        <x:v>1</x:v>
      </x:c>
      <x:c r="T87" t="n">
        <x:v>0</x:v>
      </x:c>
      <x:c r="U87" t="n">
        <x:v>0</x:v>
      </x:c>
      <x:c r="V87" t="n">
        <x:v>0</x:v>
      </x:c>
      <x:c r="W87" s="50" t="n">
        <x:f>IF(D87=0,"",H87/D87)</x:f>
        <x:v>0.28284671532846717</x:v>
      </x:c>
      <x:c r="X87" t="n">
        <x:f>MAX(I87:V87)</x:f>
        <x:v>229</x:v>
      </x:c>
      <x:c r="Y87" t="n">
        <x:f>H87-X87</x:f>
        <x:v>-74</x:v>
      </x:c>
      <x:c r="Z87" s="52" t="n">
        <x:f>IF(D87=0,"",(Y87)/D87)</x:f>
        <x:v>-0.13503649635036497</x:v>
      </x:c>
      <x:c r="AA87" t="str">
        <x:v>Dr. Mahesh Sharma</x:v>
      </x:c>
      <x:c r="AB87" t="n">
        <x:f>D87-E87-F87</x:f>
        <x:v>0</x:v>
      </x:c>
    </x:row>
    <x:row r="88">
      <x:c r="A88" t="n">
        <x:v>80</x:v>
      </x:c>
      <x:c r="B88" t="str">
        <x:v>2024 location: not supplied</x:v>
      </x:c>
      <x:c r="C88"/>
      <x:c r="D88" t="n">
        <x:v>714</x:v>
      </x:c>
      <x:c r="E88" t="n">
        <x:f>SUM(H88:V88)</x:f>
        <x:v>714</x:v>
      </x:c>
      <x:c r="F88" t="n">
        <x:v>0</x:v>
      </x:c>
      <x:c r="G88" s="50" t="str">
        <x:f>IF(C88="","",IFERROR(D88/C88,0))</x:f>
      </x:c>
      <x:c r="H88" s="36" t="n">
        <x:v>161</x:v>
      </x:c>
      <x:c r="I88" t="n">
        <x:v>492</x:v>
      </x:c>
      <x:c r="J88" t="n">
        <x:v>47</x:v>
      </x:c>
      <x:c r="K88" t="n">
        <x:v>0</x:v>
      </x:c>
      <x:c r="L88" t="n">
        <x:v>1</x:v>
      </x:c>
      <x:c r="M88" t="n">
        <x:v>0</x:v>
      </x:c>
      <x:c r="N88" t="n">
        <x:v>3</x:v>
      </x:c>
      <x:c r="O88" t="n">
        <x:v>2</x:v>
      </x:c>
      <x:c r="P88" t="n">
        <x:v>0</x:v>
      </x:c>
      <x:c r="Q88" t="n">
        <x:v>0</x:v>
      </x:c>
      <x:c r="R88" t="n">
        <x:v>0</x:v>
      </x:c>
      <x:c r="S88" t="n">
        <x:v>1</x:v>
      </x:c>
      <x:c r="T88" t="n">
        <x:v>0</x:v>
      </x:c>
      <x:c r="U88" t="n">
        <x:v>3</x:v>
      </x:c>
      <x:c r="V88" t="n">
        <x:v>4</x:v>
      </x:c>
      <x:c r="W88" s="50" t="n">
        <x:f>IF(D88=0,"",H88/D88)</x:f>
        <x:v>0.22549019607843138</x:v>
      </x:c>
      <x:c r="X88" t="n">
        <x:f>MAX(I88:V88)</x:f>
        <x:v>492</x:v>
      </x:c>
      <x:c r="Y88" t="n">
        <x:f>H88-X88</x:f>
        <x:v>-331</x:v>
      </x:c>
      <x:c r="Z88" s="52" t="n">
        <x:f>IF(D88=0,"",(Y88)/D88)</x:f>
        <x:v>-0.4635854341736695</x:v>
      </x:c>
      <x:c r="AA88" t="str">
        <x:v>Dr. Mahesh Sharma</x:v>
      </x:c>
      <x:c r="AB88" t="n">
        <x:f>D88-E88-F88</x:f>
        <x:v>0</x:v>
      </x:c>
    </x:row>
    <x:row r="89">
      <x:c r="A89" t="n">
        <x:v>81</x:v>
      </x:c>
      <x:c r="B89" t="str">
        <x:v>2024 location: not supplied</x:v>
      </x:c>
      <x:c r="C89"/>
      <x:c r="D89" t="n">
        <x:v>395</x:v>
      </x:c>
      <x:c r="E89" t="n">
        <x:f>SUM(H89:V89)</x:f>
        <x:v>395</x:v>
      </x:c>
      <x:c r="F89" t="n">
        <x:v>0</x:v>
      </x:c>
      <x:c r="G89" s="50" t="str">
        <x:f>IF(C89="","",IFERROR(D89/C89,0))</x:f>
      </x:c>
      <x:c r="H89" s="36" t="n">
        <x:v>109</x:v>
      </x:c>
      <x:c r="I89" t="n">
        <x:v>196</x:v>
      </x:c>
      <x:c r="J89" t="n">
        <x:v>80</x:v>
      </x:c>
      <x:c r="K89" t="n">
        <x:v>0</x:v>
      </x:c>
      <x:c r="L89" t="n">
        <x:v>2</x:v>
      </x:c>
      <x:c r="M89" t="n">
        <x:v>1</x:v>
      </x:c>
      <x:c r="N89" t="n">
        <x:v>1</x:v>
      </x:c>
      <x:c r="O89" t="n">
        <x:v>3</x:v>
      </x:c>
      <x:c r="P89" t="n">
        <x:v>1</x:v>
      </x:c>
      <x:c r="Q89" t="n">
        <x:v>0</x:v>
      </x:c>
      <x:c r="R89" t="n">
        <x:v>0</x:v>
      </x:c>
      <x:c r="S89" t="n">
        <x:v>1</x:v>
      </x:c>
      <x:c r="T89" t="n">
        <x:v>0</x:v>
      </x:c>
      <x:c r="U89" t="n">
        <x:v>0</x:v>
      </x:c>
      <x:c r="V89" t="n">
        <x:v>1</x:v>
      </x:c>
      <x:c r="W89" s="50" t="n">
        <x:f>IF(D89=0,"",H89/D89)</x:f>
        <x:v>0.2759493670886076</x:v>
      </x:c>
      <x:c r="X89" t="n">
        <x:f>MAX(I89:V89)</x:f>
        <x:v>196</x:v>
      </x:c>
      <x:c r="Y89" t="n">
        <x:f>H89-X89</x:f>
        <x:v>-87</x:v>
      </x:c>
      <x:c r="Z89" s="52" t="n">
        <x:f>IF(D89=0,"",(Y89)/D89)</x:f>
        <x:v>-0.22025316455696203</x:v>
      </x:c>
      <x:c r="AA89" t="str">
        <x:v>Dr. Mahesh Sharma</x:v>
      </x:c>
      <x:c r="AB89" t="n">
        <x:f>D89-E89-F89</x:f>
        <x:v>0</x:v>
      </x:c>
    </x:row>
    <x:row r="90">
      <x:c r="A90" t="n">
        <x:v>82</x:v>
      </x:c>
      <x:c r="B90" t="str">
        <x:v>2024 location: not supplied</x:v>
      </x:c>
      <x:c r="C90"/>
      <x:c r="D90" t="n">
        <x:v>411</x:v>
      </x:c>
      <x:c r="E90" t="n">
        <x:f>SUM(H90:V90)</x:f>
        <x:v>411</x:v>
      </x:c>
      <x:c r="F90" t="n">
        <x:v>0</x:v>
      </x:c>
      <x:c r="G90" s="50" t="str">
        <x:f>IF(C90="","",IFERROR(D90/C90,0))</x:f>
      </x:c>
      <x:c r="H90" s="36" t="n">
        <x:v>87</x:v>
      </x:c>
      <x:c r="I90" t="n">
        <x:v>243</x:v>
      </x:c>
      <x:c r="J90" t="n">
        <x:v>77</x:v>
      </x:c>
      <x:c r="K90" t="n">
        <x:v>0</x:v>
      </x:c>
      <x:c r="L90" t="n">
        <x:v>0</x:v>
      </x:c>
      <x:c r="M90" t="n">
        <x:v>0</x:v>
      </x:c>
      <x:c r="N90" t="n">
        <x:v>1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1</x:v>
      </x:c>
      <x:c r="V90" t="n">
        <x:v>2</x:v>
      </x:c>
      <x:c r="W90" s="50" t="n">
        <x:f>IF(D90=0,"",H90/D90)</x:f>
        <x:v>0.2116788321167883</x:v>
      </x:c>
      <x:c r="X90" t="n">
        <x:f>MAX(I90:V90)</x:f>
        <x:v>243</x:v>
      </x:c>
      <x:c r="Y90" t="n">
        <x:f>H90-X90</x:f>
        <x:v>-156</x:v>
      </x:c>
      <x:c r="Z90" s="52" t="n">
        <x:f>IF(D90=0,"",(Y90)/D90)</x:f>
        <x:v>-0.3795620437956204</x:v>
      </x:c>
      <x:c r="AA90" t="str">
        <x:v>Dr. Mahesh Sharma</x:v>
      </x:c>
      <x:c r="AB90" t="n">
        <x:f>D90-E90-F90</x:f>
        <x:v>0</x:v>
      </x:c>
    </x:row>
    <x:row r="91">
      <x:c r="A91" t="n">
        <x:v>83</x:v>
      </x:c>
      <x:c r="B91" t="str">
        <x:v>2024 location: not supplied</x:v>
      </x:c>
      <x:c r="C91"/>
      <x:c r="D91" t="n">
        <x:v>575</x:v>
      </x:c>
      <x:c r="E91" t="n">
        <x:f>SUM(H91:V91)</x:f>
        <x:v>572</x:v>
      </x:c>
      <x:c r="F91" t="n">
        <x:v>3</x:v>
      </x:c>
      <x:c r="G91" s="50" t="str">
        <x:f>IF(C91="","",IFERROR(D91/C91,0))</x:f>
      </x:c>
      <x:c r="H91" s="36" t="n">
        <x:v>292</x:v>
      </x:c>
      <x:c r="I91" t="n">
        <x:v>213</x:v>
      </x:c>
      <x:c r="J91" t="n">
        <x:v>63</x:v>
      </x:c>
      <x:c r="K91" t="n">
        <x:v>0</x:v>
      </x:c>
      <x:c r="L91" t="n">
        <x:v>0</x:v>
      </x:c>
      <x:c r="M91" t="n">
        <x:v>0</x:v>
      </x:c>
      <x:c r="N91" t="n">
        <x:v>2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1</x:v>
      </x:c>
      <x:c r="V91" t="n">
        <x:v>1</x:v>
      </x:c>
      <x:c r="W91" s="50" t="n">
        <x:f>IF(D91=0,"",H91/D91)</x:f>
        <x:v>0.5078260869565218</x:v>
      </x:c>
      <x:c r="X91" t="n">
        <x:f>MAX(I91:V91)</x:f>
        <x:v>213</x:v>
      </x:c>
      <x:c r="Y91" t="n">
        <x:f>H91-X91</x:f>
        <x:v>79</x:v>
      </x:c>
      <x:c r="Z91" s="52" t="n">
        <x:f>IF(D91=0,"",(Y91)/D91)</x:f>
        <x:v>0.1373913043478261</x:v>
      </x:c>
      <x:c r="AA91" t="str">
        <x:v>Dr. Mahendra Singh Nagar</x:v>
      </x:c>
      <x:c r="AB91" t="n">
        <x:f>D91-E91-F91</x:f>
        <x:v>0</x:v>
      </x:c>
    </x:row>
    <x:row r="92">
      <x:c r="A92" t="n">
        <x:v>84</x:v>
      </x:c>
      <x:c r="B92" t="str">
        <x:v>2024 location: not supplied</x:v>
      </x:c>
      <x:c r="C92"/>
      <x:c r="D92" t="n">
        <x:v>492</x:v>
      </x:c>
      <x:c r="E92" t="n">
        <x:f>SUM(H92:V92)</x:f>
        <x:v>490</x:v>
      </x:c>
      <x:c r="F92" t="n">
        <x:v>2</x:v>
      </x:c>
      <x:c r="G92" s="50" t="str">
        <x:f>IF(C92="","",IFERROR(D92/C92,0))</x:f>
      </x:c>
      <x:c r="H92" s="36" t="n">
        <x:v>90</x:v>
      </x:c>
      <x:c r="I92" t="n">
        <x:v>327</x:v>
      </x:c>
      <x:c r="J92" t="n">
        <x:v>64</x:v>
      </x:c>
      <x:c r="K92" t="n">
        <x:v>0</x:v>
      </x:c>
      <x:c r="L92" t="n">
        <x:v>1</x:v>
      </x:c>
      <x:c r="M92" t="n">
        <x:v>0</x:v>
      </x:c>
      <x:c r="N92" t="n">
        <x:v>2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2</x:v>
      </x:c>
      <x:c r="T92" t="n">
        <x:v>0</x:v>
      </x:c>
      <x:c r="U92" t="n">
        <x:v>3</x:v>
      </x:c>
      <x:c r="V92" t="n">
        <x:v>1</x:v>
      </x:c>
      <x:c r="W92" s="50" t="n">
        <x:f>IF(D92=0,"",H92/D92)</x:f>
        <x:v>0.18292682926829268</x:v>
      </x:c>
      <x:c r="X92" t="n">
        <x:f>MAX(I92:V92)</x:f>
        <x:v>327</x:v>
      </x:c>
      <x:c r="Y92" t="n">
        <x:f>H92-X92</x:f>
        <x:v>-237</x:v>
      </x:c>
      <x:c r="Z92" s="52" t="n">
        <x:f>IF(D92=0,"",(Y92)/D92)</x:f>
        <x:v>-0.4817073170731707</x:v>
      </x:c>
      <x:c r="AA92" t="str">
        <x:v>Dr. Mahesh Sharma</x:v>
      </x:c>
      <x:c r="AB92" t="n">
        <x:f>D92-E92-F92</x:f>
        <x:v>0</x:v>
      </x:c>
    </x:row>
    <x:row r="93">
      <x:c r="A93" t="n">
        <x:v>85</x:v>
      </x:c>
      <x:c r="B93" t="str">
        <x:v>2024 location: not supplied</x:v>
      </x:c>
      <x:c r="C93"/>
      <x:c r="D93" t="n">
        <x:v>444</x:v>
      </x:c>
      <x:c r="E93" t="n">
        <x:f>SUM(H93:V93)</x:f>
        <x:v>441</x:v>
      </x:c>
      <x:c r="F93" t="n">
        <x:v>3</x:v>
      </x:c>
      <x:c r="G93" s="50" t="str">
        <x:f>IF(C93="","",IFERROR(D93/C93,0))</x:f>
      </x:c>
      <x:c r="H93" s="36" t="n">
        <x:v>82</x:v>
      </x:c>
      <x:c r="I93" t="n">
        <x:v>282</x:v>
      </x:c>
      <x:c r="J93" t="n">
        <x:v>68</x:v>
      </x:c>
      <x:c r="K93" t="n">
        <x:v>0</x:v>
      </x:c>
      <x:c r="L93" t="n">
        <x:v>1</x:v>
      </x:c>
      <x:c r="M93" t="n">
        <x:v>0</x:v>
      </x:c>
      <x:c r="N93" t="n">
        <x:v>1</x:v>
      </x:c>
      <x:c r="O93" t="n">
        <x:v>3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1</x:v>
      </x:c>
      <x:c r="U93" t="n">
        <x:v>3</x:v>
      </x:c>
      <x:c r="V93" t="n">
        <x:v>0</x:v>
      </x:c>
      <x:c r="W93" s="50" t="n">
        <x:f>IF(D93=0,"",H93/D93)</x:f>
        <x:v>0.18468468468468469</x:v>
      </x:c>
      <x:c r="X93" t="n">
        <x:f>MAX(I93:V93)</x:f>
        <x:v>282</x:v>
      </x:c>
      <x:c r="Y93" t="n">
        <x:f>H93-X93</x:f>
        <x:v>-200</x:v>
      </x:c>
      <x:c r="Z93" s="52" t="n">
        <x:f>IF(D93=0,"",(Y93)/D93)</x:f>
        <x:v>-0.45045045045045046</x:v>
      </x:c>
      <x:c r="AA93" t="str">
        <x:v>Dr. Mahesh Sharma</x:v>
      </x:c>
      <x:c r="AB93" t="n">
        <x:f>D93-E93-F93</x:f>
        <x:v>0</x:v>
      </x:c>
    </x:row>
    <x:row r="94">
      <x:c r="A94" t="n">
        <x:v>86</x:v>
      </x:c>
      <x:c r="B94" t="str">
        <x:v>2024 location: not supplied</x:v>
      </x:c>
      <x:c r="C94"/>
      <x:c r="D94" t="n">
        <x:v>429</x:v>
      </x:c>
      <x:c r="E94" t="n">
        <x:f>SUM(H94:V94)</x:f>
        <x:v>425</x:v>
      </x:c>
      <x:c r="F94" t="n">
        <x:v>4</x:v>
      </x:c>
      <x:c r="G94" s="50" t="str">
        <x:f>IF(C94="","",IFERROR(D94/C94,0))</x:f>
      </x:c>
      <x:c r="H94" s="36" t="n">
        <x:v>164</x:v>
      </x:c>
      <x:c r="I94" t="n">
        <x:v>167</x:v>
      </x:c>
      <x:c r="J94" t="n">
        <x:v>86</x:v>
      </x:c>
      <x:c r="K94" t="n">
        <x:v>1</x:v>
      </x:c>
      <x:c r="L94" t="n">
        <x:v>2</x:v>
      </x:c>
      <x:c r="M94" t="n">
        <x:v>0</x:v>
      </x:c>
      <x:c r="N94" t="n">
        <x:v>1</x:v>
      </x:c>
      <x:c r="O94" t="n">
        <x:v>2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1</x:v>
      </x:c>
      <x:c r="V94" t="n">
        <x:v>1</x:v>
      </x:c>
      <x:c r="W94" s="50" t="n">
        <x:f>IF(D94=0,"",H94/D94)</x:f>
        <x:v>0.3822843822843823</x:v>
      </x:c>
      <x:c r="X94" t="n">
        <x:f>MAX(I94:V94)</x:f>
        <x:v>167</x:v>
      </x:c>
      <x:c r="Y94" t="n">
        <x:f>H94-X94</x:f>
        <x:v>-3</x:v>
      </x:c>
      <x:c r="Z94" s="52" t="n">
        <x:f>IF(D94=0,"",(Y94)/D94)</x:f>
        <x:v>-0.006993006993006993</x:v>
      </x:c>
      <x:c r="AA94" t="str">
        <x:v>Dr. Mahesh Sharma</x:v>
      </x:c>
      <x:c r="AB94" t="n">
        <x:f>D94-E94-F94</x:f>
        <x:v>0</x:v>
      </x:c>
    </x:row>
    <x:row r="95">
      <x:c r="A95" t="n">
        <x:v>87</x:v>
      </x:c>
      <x:c r="B95" t="str">
        <x:v>2024 location: not supplied</x:v>
      </x:c>
      <x:c r="C95"/>
      <x:c r="D95" t="n">
        <x:v>404</x:v>
      </x:c>
      <x:c r="E95" t="n">
        <x:f>SUM(H95:V95)</x:f>
        <x:v>403</x:v>
      </x:c>
      <x:c r="F95" t="n">
        <x:v>1</x:v>
      </x:c>
      <x:c r="G95" s="50" t="str">
        <x:f>IF(C95="","",IFERROR(D95/C95,0))</x:f>
      </x:c>
      <x:c r="H95" s="36" t="n">
        <x:v>185</x:v>
      </x:c>
      <x:c r="I95" t="n">
        <x:v>121</x:v>
      </x:c>
      <x:c r="J95" t="n">
        <x:v>96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1</x:v>
      </x:c>
      <x:c r="T95" t="n">
        <x:v>0</x:v>
      </x:c>
      <x:c r="U95" t="n">
        <x:v>0</x:v>
      </x:c>
      <x:c r="V95" t="n">
        <x:v>0</x:v>
      </x:c>
      <x:c r="W95" s="50" t="n">
        <x:f>IF(D95=0,"",H95/D95)</x:f>
        <x:v>0.45792079207920794</x:v>
      </x:c>
      <x:c r="X95" t="n">
        <x:f>MAX(I95:V95)</x:f>
        <x:v>121</x:v>
      </x:c>
      <x:c r="Y95" t="n">
        <x:f>H95-X95</x:f>
        <x:v>64</x:v>
      </x:c>
      <x:c r="Z95" s="52" t="n">
        <x:f>IF(D95=0,"",(Y95)/D95)</x:f>
        <x:v>0.15841584158415842</x:v>
      </x:c>
      <x:c r="AA95" t="str">
        <x:v>Dr. Mahendra Singh Nagar</x:v>
      </x:c>
      <x:c r="AB95" t="n">
        <x:f>D95-E95-F95</x:f>
        <x:v>0</x:v>
      </x:c>
    </x:row>
    <x:row r="96">
      <x:c r="A96" t="n">
        <x:v>88</x:v>
      </x:c>
      <x:c r="B96" t="str">
        <x:v>2024 location: not supplied</x:v>
      </x:c>
      <x:c r="C96"/>
      <x:c r="D96" t="n">
        <x:v>262</x:v>
      </x:c>
      <x:c r="E96" t="n">
        <x:f>SUM(H96:V96)</x:f>
        <x:v>262</x:v>
      </x:c>
      <x:c r="F96" t="n">
        <x:v>0</x:v>
      </x:c>
      <x:c r="G96" s="50" t="str">
        <x:f>IF(C96="","",IFERROR(D96/C96,0))</x:f>
      </x:c>
      <x:c r="H96" s="36" t="n">
        <x:v>115</x:v>
      </x:c>
      <x:c r="I96" t="n">
        <x:v>90</x:v>
      </x:c>
      <x:c r="J96" t="n">
        <x:v>51</x:v>
      </x:c>
      <x:c r="K96" t="n">
        <x:v>0</x:v>
      </x:c>
      <x:c r="L96" t="n">
        <x:v>0</x:v>
      </x:c>
      <x:c r="M96" t="n">
        <x:v>0</x:v>
      </x:c>
      <x:c r="N96" t="n">
        <x:v>2</x:v>
      </x:c>
      <x:c r="O96" t="n">
        <x:v>1</x:v>
      </x:c>
      <x:c r="P96" t="n">
        <x:v>0</x:v>
      </x:c>
      <x:c r="Q96" t="n">
        <x:v>0</x:v>
      </x:c>
      <x:c r="R96" t="n">
        <x:v>1</x:v>
      </x:c>
      <x:c r="S96" t="n">
        <x:v>0</x:v>
      </x:c>
      <x:c r="T96" t="n">
        <x:v>0</x:v>
      </x:c>
      <x:c r="U96" t="n">
        <x:v>1</x:v>
      </x:c>
      <x:c r="V96" t="n">
        <x:v>1</x:v>
      </x:c>
      <x:c r="W96" s="50" t="n">
        <x:f>IF(D96=0,"",H96/D96)</x:f>
        <x:v>0.4389312977099237</x:v>
      </x:c>
      <x:c r="X96" t="n">
        <x:f>MAX(I96:V96)</x:f>
        <x:v>90</x:v>
      </x:c>
      <x:c r="Y96" t="n">
        <x:f>H96-X96</x:f>
        <x:v>25</x:v>
      </x:c>
      <x:c r="Z96" s="52" t="n">
        <x:f>IF(D96=0,"",(Y96)/D96)</x:f>
        <x:v>0.09541984732824428</x:v>
      </x:c>
      <x:c r="AA96" t="str">
        <x:v>Dr. Mahendra Singh Nagar</x:v>
      </x:c>
      <x:c r="AB96" t="n">
        <x:f>D96-E96-F96</x:f>
        <x:v>0</x:v>
      </x:c>
    </x:row>
    <x:row r="97">
      <x:c r="A97" t="n">
        <x:v>89</x:v>
      </x:c>
      <x:c r="B97" t="str">
        <x:v>2024 location: not supplied</x:v>
      </x:c>
      <x:c r="C97"/>
      <x:c r="D97" t="n">
        <x:v>509</x:v>
      </x:c>
      <x:c r="E97" t="n">
        <x:f>SUM(H97:V97)</x:f>
        <x:v>504</x:v>
      </x:c>
      <x:c r="F97" t="n">
        <x:v>5</x:v>
      </x:c>
      <x:c r="G97" s="50" t="str">
        <x:f>IF(C97="","",IFERROR(D97/C97,0))</x:f>
      </x:c>
      <x:c r="H97" s="36" t="n">
        <x:v>58</x:v>
      </x:c>
      <x:c r="I97" t="n">
        <x:v>399</x:v>
      </x:c>
      <x:c r="J97" t="n">
        <x:v>42</x:v>
      </x:c>
      <x:c r="K97" t="n">
        <x:v>0</x:v>
      </x:c>
      <x:c r="L97" t="n">
        <x:v>2</x:v>
      </x:c>
      <x:c r="M97" t="n">
        <x:v>0</x:v>
      </x:c>
      <x:c r="N97" t="n">
        <x:v>1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1</x:v>
      </x:c>
      <x:c r="T97" t="n">
        <x:v>0</x:v>
      </x:c>
      <x:c r="U97" t="n">
        <x:v>0</x:v>
      </x:c>
      <x:c r="V97" t="n">
        <x:v>1</x:v>
      </x:c>
      <x:c r="W97" s="50" t="n">
        <x:f>IF(D97=0,"",H97/D97)</x:f>
        <x:v>0.11394891944990176</x:v>
      </x:c>
      <x:c r="X97" t="n">
        <x:f>MAX(I97:V97)</x:f>
        <x:v>399</x:v>
      </x:c>
      <x:c r="Y97" t="n">
        <x:f>H97-X97</x:f>
        <x:v>-341</x:v>
      </x:c>
      <x:c r="Z97" s="52" t="n">
        <x:f>IF(D97=0,"",(Y97)/D97)</x:f>
        <x:v>-0.6699410609037328</x:v>
      </x:c>
      <x:c r="AA97" t="str">
        <x:v>Dr. Mahesh Sharma</x:v>
      </x:c>
      <x:c r="AB97" t="n">
        <x:f>D97-E97-F97</x:f>
        <x:v>0</x:v>
      </x:c>
    </x:row>
    <x:row r="98">
      <x:c r="A98" t="n">
        <x:v>90</x:v>
      </x:c>
      <x:c r="B98" t="str">
        <x:v>2024 location: not supplied</x:v>
      </x:c>
      <x:c r="C98"/>
      <x:c r="D98" t="n">
        <x:v>391</x:v>
      </x:c>
      <x:c r="E98" t="n">
        <x:f>SUM(H98:V98)</x:f>
        <x:v>387</x:v>
      </x:c>
      <x:c r="F98" t="n">
        <x:v>4</x:v>
      </x:c>
      <x:c r="G98" s="50" t="str">
        <x:f>IF(C98="","",IFERROR(D98/C98,0))</x:f>
      </x:c>
      <x:c r="H98" s="36" t="n">
        <x:v>44</x:v>
      </x:c>
      <x:c r="I98" t="n">
        <x:v>294</x:v>
      </x:c>
      <x:c r="J98" t="n">
        <x:v>47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1</x:v>
      </x:c>
      <x:c r="S98" t="n">
        <x:v>1</x:v>
      </x:c>
      <x:c r="T98" t="n">
        <x:v>0</x:v>
      </x:c>
      <x:c r="U98" t="n">
        <x:v>0</x:v>
      </x:c>
      <x:c r="V98" t="n">
        <x:v>0</x:v>
      </x:c>
      <x:c r="W98" s="50" t="n">
        <x:f>IF(D98=0,"",H98/D98)</x:f>
        <x:v>0.11253196930946291</x:v>
      </x:c>
      <x:c r="X98" t="n">
        <x:f>MAX(I98:V98)</x:f>
        <x:v>294</x:v>
      </x:c>
      <x:c r="Y98" t="n">
        <x:f>H98-X98</x:f>
        <x:v>-250</x:v>
      </x:c>
      <x:c r="Z98" s="52" t="n">
        <x:f>IF(D98=0,"",(Y98)/D98)</x:f>
        <x:v>-0.639386189258312</x:v>
      </x:c>
      <x:c r="AA98" t="str">
        <x:v>Dr. Mahesh Sharma</x:v>
      </x:c>
      <x:c r="AB98" t="n">
        <x:f>D98-E98-F98</x:f>
        <x:v>0</x:v>
      </x:c>
    </x:row>
    <x:row r="99">
      <x:c r="A99" t="n">
        <x:v>91</x:v>
      </x:c>
      <x:c r="B99" t="str">
        <x:v>2024 location: not supplied</x:v>
      </x:c>
      <x:c r="C99"/>
      <x:c r="D99" t="n">
        <x:v>394</x:v>
      </x:c>
      <x:c r="E99" t="n">
        <x:f>SUM(H99:V99)</x:f>
        <x:v>389</x:v>
      </x:c>
      <x:c r="F99" t="n">
        <x:v>5</x:v>
      </x:c>
      <x:c r="G99" s="50" t="str">
        <x:f>IF(C99="","",IFERROR(D99/C99,0))</x:f>
      </x:c>
      <x:c r="H99" s="36" t="n">
        <x:v>116</x:v>
      </x:c>
      <x:c r="I99" t="n">
        <x:v>102</x:v>
      </x:c>
      <x:c r="J99" t="n">
        <x:v>168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1</x:v>
      </x:c>
      <x:c r="T99" t="n">
        <x:v>0</x:v>
      </x:c>
      <x:c r="U99" t="n">
        <x:v>2</x:v>
      </x:c>
      <x:c r="V99" t="n">
        <x:v>0</x:v>
      </x:c>
      <x:c r="W99" s="50" t="n">
        <x:f>IF(D99=0,"",H99/D99)</x:f>
        <x:v>0.29441624365482233</x:v>
      </x:c>
      <x:c r="X99" t="n">
        <x:f>MAX(I99:V99)</x:f>
        <x:v>168</x:v>
      </x:c>
      <x:c r="Y99" t="n">
        <x:f>H99-X99</x:f>
        <x:v>-52</x:v>
      </x:c>
      <x:c r="Z99" s="52" t="n">
        <x:f>IF(D99=0,"",(Y99)/D99)</x:f>
        <x:v>-0.1319796954314721</x:v>
      </x:c>
      <x:c r="AA99" t="str">
        <x:v>Rajendra Singh Solanki</x:v>
      </x:c>
      <x:c r="AB99" t="n">
        <x:f>D99-E99-F99</x:f>
        <x:v>0</x:v>
      </x:c>
    </x:row>
    <x:row r="100">
      <x:c r="A100" t="n">
        <x:v>92</x:v>
      </x:c>
      <x:c r="B100" t="str">
        <x:v>2024 location: not supplied</x:v>
      </x:c>
      <x:c r="C100"/>
      <x:c r="D100" t="n">
        <x:v>526</x:v>
      </x:c>
      <x:c r="E100" t="n">
        <x:f>SUM(H100:V100)</x:f>
        <x:v>523</x:v>
      </x:c>
      <x:c r="F100" t="n">
        <x:v>3</x:v>
      </x:c>
      <x:c r="G100" s="50" t="str">
        <x:f>IF(C100="","",IFERROR(D100/C100,0))</x:f>
      </x:c>
      <x:c r="H100" s="36" t="n">
        <x:v>223</x:v>
      </x:c>
      <x:c r="I100" t="n">
        <x:v>100</x:v>
      </x:c>
      <x:c r="J100" t="n">
        <x:v>194</x:v>
      </x:c>
      <x:c r="K100" t="n">
        <x:v>0</x:v>
      </x:c>
      <x:c r="L100" t="n">
        <x:v>1</x:v>
      </x:c>
      <x:c r="M100" t="n">
        <x:v>1</x:v>
      </x:c>
      <x:c r="N100" t="n">
        <x:v>1</x:v>
      </x:c>
      <x:c r="O100" t="n">
        <x:v>1</x:v>
      </x:c>
      <x:c r="P100" t="n">
        <x:v>0</x:v>
      </x:c>
      <x:c r="Q100" t="n">
        <x:v>0</x:v>
      </x:c>
      <x:c r="R100" t="n">
        <x:v>0</x:v>
      </x:c>
      <x:c r="S100" t="n">
        <x:v>1</x:v>
      </x:c>
      <x:c r="T100" t="n">
        <x:v>0</x:v>
      </x:c>
      <x:c r="U100" t="n">
        <x:v>0</x:v>
      </x:c>
      <x:c r="V100" t="n">
        <x:v>1</x:v>
      </x:c>
      <x:c r="W100" s="50" t="n">
        <x:f>IF(D100=0,"",H100/D100)</x:f>
        <x:v>0.42395437262357416</x:v>
      </x:c>
      <x:c r="X100" t="n">
        <x:f>MAX(I100:V100)</x:f>
        <x:v>194</x:v>
      </x:c>
      <x:c r="Y100" t="n">
        <x:f>H100-X100</x:f>
        <x:v>29</x:v>
      </x:c>
      <x:c r="Z100" s="52" t="n">
        <x:f>IF(D100=0,"",(Y100)/D100)</x:f>
        <x:v>0.055133079847908745</x:v>
      </x:c>
      <x:c r="AA100" t="str">
        <x:v>Dr. Mahendra Singh Nagar</x:v>
      </x:c>
      <x:c r="AB100" t="n">
        <x:f>D100-E100-F100</x:f>
        <x:v>0</x:v>
      </x:c>
    </x:row>
    <x:row r="101">
      <x:c r="A101" t="n">
        <x:v>93</x:v>
      </x:c>
      <x:c r="B101" t="str">
        <x:v>2024 location: not supplied</x:v>
      </x:c>
      <x:c r="C101"/>
      <x:c r="D101" t="n">
        <x:v>453</x:v>
      </x:c>
      <x:c r="E101" t="n">
        <x:f>SUM(H101:V101)</x:f>
        <x:v>452</x:v>
      </x:c>
      <x:c r="F101" t="n">
        <x:v>1</x:v>
      </x:c>
      <x:c r="G101" s="50" t="str">
        <x:f>IF(C101="","",IFERROR(D101/C101,0))</x:f>
      </x:c>
      <x:c r="H101" s="36" t="n">
        <x:v>55</x:v>
      </x:c>
      <x:c r="I101" t="n">
        <x:v>35</x:v>
      </x:c>
      <x:c r="J101" t="n">
        <x:v>357</x:v>
      </x:c>
      <x:c r="K101" t="n">
        <x:v>1</x:v>
      </x:c>
      <x:c r="L101" t="n">
        <x:v>1</x:v>
      </x:c>
      <x:c r="M101" t="n">
        <x:v>0</x:v>
      </x:c>
      <x:c r="N101" t="n">
        <x:v>0</x:v>
      </x:c>
      <x:c r="O101" t="n">
        <x:v>0</x:v>
      </x:c>
      <x:c r="P101" t="n">
        <x:v>1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2</x:v>
      </x:c>
      <x:c r="V101" t="n">
        <x:v>0</x:v>
      </x:c>
      <x:c r="W101" s="50" t="n">
        <x:f>IF(D101=0,"",H101/D101)</x:f>
        <x:v>0.12141280353200883</x:v>
      </x:c>
      <x:c r="X101" t="n">
        <x:f>MAX(I101:V101)</x:f>
        <x:v>357</x:v>
      </x:c>
      <x:c r="Y101" t="n">
        <x:f>H101-X101</x:f>
        <x:v>-302</x:v>
      </x:c>
      <x:c r="Z101" s="52" t="n">
        <x:f>IF(D101=0,"",(Y101)/D101)</x:f>
        <x:v>-0.6666666666666666</x:v>
      </x:c>
      <x:c r="AA101" t="str">
        <x:v>Rajendra Singh Solanki</x:v>
      </x:c>
      <x:c r="AB101" t="n">
        <x:f>D101-E101-F101</x:f>
        <x:v>0</x:v>
      </x:c>
    </x:row>
    <x:row r="102">
      <x:c r="A102" t="n">
        <x:v>94</x:v>
      </x:c>
      <x:c r="B102" t="str">
        <x:v>2024 location: not supplied</x:v>
      </x:c>
      <x:c r="C102"/>
      <x:c r="D102" t="n">
        <x:v>320</x:v>
      </x:c>
      <x:c r="E102" t="n">
        <x:f>SUM(H102:V102)</x:f>
        <x:v>319</x:v>
      </x:c>
      <x:c r="F102" t="n">
        <x:v>1</x:v>
      </x:c>
      <x:c r="G102" s="50" t="str">
        <x:f>IF(C102="","",IFERROR(D102/C102,0))</x:f>
      </x:c>
      <x:c r="H102" s="36" t="n">
        <x:v>64</x:v>
      </x:c>
      <x:c r="I102" t="n">
        <x:v>35</x:v>
      </x:c>
      <x:c r="J102" t="n">
        <x:v>217</x:v>
      </x:c>
      <x:c r="K102" t="n">
        <x:v>0</x:v>
      </x:c>
      <x:c r="L102" t="n">
        <x:v>0</x:v>
      </x:c>
      <x:c r="M102" t="n">
        <x:v>0</x:v>
      </x:c>
      <x:c r="N102" t="n">
        <x:v>1</x:v>
      </x:c>
      <x:c r="O102" t="n">
        <x:v>1</x:v>
      </x:c>
      <x:c r="P102" t="n">
        <x:v>0</x:v>
      </x:c>
      <x:c r="Q102" t="n">
        <x:v>0</x:v>
      </x:c>
      <x:c r="R102" t="n">
        <x:v>0</x:v>
      </x:c>
      <x:c r="S102" t="n">
        <x:v>1</x:v>
      </x:c>
      <x:c r="T102" t="n">
        <x:v>0</x:v>
      </x:c>
      <x:c r="U102" t="n">
        <x:v>0</x:v>
      </x:c>
      <x:c r="V102" t="n">
        <x:v>0</x:v>
      </x:c>
      <x:c r="W102" s="50" t="n">
        <x:f>IF(D102=0,"",H102/D102)</x:f>
        <x:v>0.2</x:v>
      </x:c>
      <x:c r="X102" t="n">
        <x:f>MAX(I102:V102)</x:f>
        <x:v>217</x:v>
      </x:c>
      <x:c r="Y102" t="n">
        <x:f>H102-X102</x:f>
        <x:v>-153</x:v>
      </x:c>
      <x:c r="Z102" s="52" t="n">
        <x:f>IF(D102=0,"",(Y102)/D102)</x:f>
        <x:v>-0.478125</x:v>
      </x:c>
      <x:c r="AA102" t="str">
        <x:v>Rajendra Singh Solanki</x:v>
      </x:c>
      <x:c r="AB102" t="n">
        <x:f>D102-E102-F102</x:f>
        <x:v>0</x:v>
      </x:c>
    </x:row>
    <x:row r="103">
      <x:c r="A103" t="n">
        <x:v>95</x:v>
      </x:c>
      <x:c r="B103" t="str">
        <x:v>2024 location: not supplied</x:v>
      </x:c>
      <x:c r="C103"/>
      <x:c r="D103" t="n">
        <x:v>711</x:v>
      </x:c>
      <x:c r="E103" t="n">
        <x:f>SUM(H103:V103)</x:f>
        <x:v>706</x:v>
      </x:c>
      <x:c r="F103" t="n">
        <x:v>5</x:v>
      </x:c>
      <x:c r="G103" s="50" t="str">
        <x:f>IF(C103="","",IFERROR(D103/C103,0))</x:f>
      </x:c>
      <x:c r="H103" s="36" t="n">
        <x:v>205</x:v>
      </x:c>
      <x:c r="I103" t="n">
        <x:v>441</x:v>
      </x:c>
      <x:c r="J103" t="n">
        <x:v>49</x:v>
      </x:c>
      <x:c r="K103" t="n">
        <x:v>0</x:v>
      </x:c>
      <x:c r="L103" t="n">
        <x:v>1</x:v>
      </x:c>
      <x:c r="M103" t="n">
        <x:v>0</x:v>
      </x:c>
      <x:c r="N103" t="n">
        <x:v>3</x:v>
      </x:c>
      <x:c r="O103" t="n">
        <x:v>2</x:v>
      </x:c>
      <x:c r="P103" t="n">
        <x:v>0</x:v>
      </x:c>
      <x:c r="Q103" t="n">
        <x:v>0</x:v>
      </x:c>
      <x:c r="R103" t="n">
        <x:v>1</x:v>
      </x:c>
      <x:c r="S103" t="n">
        <x:v>2</x:v>
      </x:c>
      <x:c r="T103" t="n">
        <x:v>1</x:v>
      </x:c>
      <x:c r="U103" t="n">
        <x:v>0</x:v>
      </x:c>
      <x:c r="V103" t="n">
        <x:v>1</x:v>
      </x:c>
      <x:c r="W103" s="50" t="n">
        <x:f>IF(D103=0,"",H103/D103)</x:f>
        <x:v>0.2883263009845288</x:v>
      </x:c>
      <x:c r="X103" t="n">
        <x:f>MAX(I103:V103)</x:f>
        <x:v>441</x:v>
      </x:c>
      <x:c r="Y103" t="n">
        <x:f>H103-X103</x:f>
        <x:v>-236</x:v>
      </x:c>
      <x:c r="Z103" s="52" t="n">
        <x:f>IF(D103=0,"",(Y103)/D103)</x:f>
        <x:v>-0.3319268635724332</x:v>
      </x:c>
      <x:c r="AA103" t="str">
        <x:v>Dr. Mahesh Sharma</x:v>
      </x:c>
      <x:c r="AB103" t="n">
        <x:f>D103-E103-F103</x:f>
        <x:v>0</x:v>
      </x:c>
    </x:row>
    <x:row r="104">
      <x:c r="A104" t="n">
        <x:v>96</x:v>
      </x:c>
      <x:c r="B104" t="str">
        <x:v>2024 location: not supplied</x:v>
      </x:c>
      <x:c r="C104"/>
      <x:c r="D104" t="n">
        <x:v>499</x:v>
      </x:c>
      <x:c r="E104" t="n">
        <x:f>SUM(H104:V104)</x:f>
        <x:v>499</x:v>
      </x:c>
      <x:c r="F104" t="n">
        <x:v>0</x:v>
      </x:c>
      <x:c r="G104" s="50" t="str">
        <x:f>IF(C104="","",IFERROR(D104/C104,0))</x:f>
      </x:c>
      <x:c r="H104" s="36" t="n">
        <x:v>173</x:v>
      </x:c>
      <x:c r="I104" t="n">
        <x:v>271</x:v>
      </x:c>
      <x:c r="J104" t="n">
        <x:v>54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1</x:v>
      </x:c>
      <x:c r="W104" s="50" t="n">
        <x:f>IF(D104=0,"",H104/D104)</x:f>
        <x:v>0.3466933867735471</x:v>
      </x:c>
      <x:c r="X104" t="n">
        <x:f>MAX(I104:V104)</x:f>
        <x:v>271</x:v>
      </x:c>
      <x:c r="Y104" t="n">
        <x:f>H104-X104</x:f>
        <x:v>-98</x:v>
      </x:c>
      <x:c r="Z104" s="52" t="n">
        <x:f>IF(D104=0,"",(Y104)/D104)</x:f>
        <x:v>-0.1963927855711423</x:v>
      </x:c>
      <x:c r="AA104" t="str">
        <x:v>Dr. Mahesh Sharma</x:v>
      </x:c>
      <x:c r="AB104" t="n">
        <x:f>D104-E104-F104</x:f>
        <x:v>0</x:v>
      </x:c>
    </x:row>
    <x:row r="105">
      <x:c r="A105" t="n">
        <x:v>97</x:v>
      </x:c>
      <x:c r="B105" t="str">
        <x:v>2024 location: not supplied</x:v>
      </x:c>
      <x:c r="C105"/>
      <x:c r="D105" t="n">
        <x:v>485</x:v>
      </x:c>
      <x:c r="E105" t="n">
        <x:f>SUM(H105:V105)</x:f>
        <x:v>482</x:v>
      </x:c>
      <x:c r="F105" t="n">
        <x:v>3</x:v>
      </x:c>
      <x:c r="G105" s="50" t="str">
        <x:f>IF(C105="","",IFERROR(D105/C105,0))</x:f>
      </x:c>
      <x:c r="H105" s="36" t="n">
        <x:v>76</x:v>
      </x:c>
      <x:c r="I105" t="n">
        <x:v>136</x:v>
      </x:c>
      <x:c r="J105" t="n">
        <x:v>268</x:v>
      </x:c>
      <x:c r="K105" t="n">
        <x:v>0</x:v>
      </x:c>
      <x:c r="L105" t="n">
        <x:v>0</x:v>
      </x:c>
      <x:c r="M105" t="n">
        <x:v>0</x:v>
      </x:c>
      <x:c r="N105" t="n">
        <x:v>1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1</x:v>
      </x:c>
      <x:c r="V105" t="n">
        <x:v>0</x:v>
      </x:c>
      <x:c r="W105" s="50" t="n">
        <x:f>IF(D105=0,"",H105/D105)</x:f>
        <x:v>0.15670103092783505</x:v>
      </x:c>
      <x:c r="X105" t="n">
        <x:f>MAX(I105:V105)</x:f>
        <x:v>268</x:v>
      </x:c>
      <x:c r="Y105" t="n">
        <x:f>H105-X105</x:f>
        <x:v>-192</x:v>
      </x:c>
      <x:c r="Z105" s="52" t="n">
        <x:f>IF(D105=0,"",(Y105)/D105)</x:f>
        <x:v>-0.3958762886597938</x:v>
      </x:c>
      <x:c r="AA105" t="str">
        <x:v>Rajendra Singh Solanki</x:v>
      </x:c>
      <x:c r="AB105" t="n">
        <x:f>D105-E105-F105</x:f>
        <x:v>0</x:v>
      </x:c>
    </x:row>
    <x:row r="106">
      <x:c r="A106" t="n">
        <x:v>98</x:v>
      </x:c>
      <x:c r="B106" t="str">
        <x:v>2024 location: not supplied</x:v>
      </x:c>
      <x:c r="C106"/>
      <x:c r="D106" t="n">
        <x:v>477</x:v>
      </x:c>
      <x:c r="E106" t="n">
        <x:f>SUM(H106:V106)</x:f>
        <x:v>475</x:v>
      </x:c>
      <x:c r="F106" t="n">
        <x:v>2</x:v>
      </x:c>
      <x:c r="G106" s="50" t="str">
        <x:f>IF(C106="","",IFERROR(D106/C106,0))</x:f>
      </x:c>
      <x:c r="H106" s="36" t="n">
        <x:v>153</x:v>
      </x:c>
      <x:c r="I106" t="n">
        <x:v>198</x:v>
      </x:c>
      <x:c r="J106" t="n">
        <x:v>117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1</x:v>
      </x:c>
      <x:c r="P106" t="n">
        <x:v>1</x:v>
      </x:c>
      <x:c r="Q106" t="n">
        <x:v>0</x:v>
      </x:c>
      <x:c r="R106" t="n">
        <x:v>0</x:v>
      </x:c>
      <x:c r="S106" t="n">
        <x:v>2</x:v>
      </x:c>
      <x:c r="T106" t="n">
        <x:v>1</x:v>
      </x:c>
      <x:c r="U106" t="n">
        <x:v>2</x:v>
      </x:c>
      <x:c r="V106" t="n">
        <x:v>0</x:v>
      </x:c>
      <x:c r="W106" s="50" t="n">
        <x:f>IF(D106=0,"",H106/D106)</x:f>
        <x:v>0.32075471698113206</x:v>
      </x:c>
      <x:c r="X106" t="n">
        <x:f>MAX(I106:V106)</x:f>
        <x:v>198</x:v>
      </x:c>
      <x:c r="Y106" t="n">
        <x:f>H106-X106</x:f>
        <x:v>-45</x:v>
      </x:c>
      <x:c r="Z106" s="52" t="n">
        <x:f>IF(D106=0,"",(Y106)/D106)</x:f>
        <x:v>-0.09433962264150944</x:v>
      </x:c>
      <x:c r="AA106" t="str">
        <x:v>Dr. Mahesh Sharma</x:v>
      </x:c>
      <x:c r="AB106" t="n">
        <x:f>D106-E106-F106</x:f>
        <x:v>0</x:v>
      </x:c>
    </x:row>
    <x:row r="107">
      <x:c r="A107" t="n">
        <x:v>99</x:v>
      </x:c>
      <x:c r="B107" t="str">
        <x:v>2024 location: not supplied</x:v>
      </x:c>
      <x:c r="C107"/>
      <x:c r="D107" t="n">
        <x:v>457</x:v>
      </x:c>
      <x:c r="E107" t="n">
        <x:f>SUM(H107:V107)</x:f>
        <x:v>451</x:v>
      </x:c>
      <x:c r="F107" t="n">
        <x:v>6</x:v>
      </x:c>
      <x:c r="G107" s="50" t="str">
        <x:f>IF(C107="","",IFERROR(D107/C107,0))</x:f>
      </x:c>
      <x:c r="H107" s="36" t="n">
        <x:v>112</x:v>
      </x:c>
      <x:c r="I107" t="n">
        <x:v>201</x:v>
      </x:c>
      <x:c r="J107" t="n">
        <x:v>121</x:v>
      </x:c>
      <x:c r="K107" t="n">
        <x:v>0</x:v>
      </x:c>
      <x:c r="L107" t="n">
        <x:v>0</x:v>
      </x:c>
      <x:c r="M107" t="n">
        <x:v>1</x:v>
      </x:c>
      <x:c r="N107" t="n">
        <x:v>1</x:v>
      </x:c>
      <x:c r="O107" t="n">
        <x:v>0</x:v>
      </x:c>
      <x:c r="P107" t="n">
        <x:v>0</x:v>
      </x:c>
      <x:c r="Q107" t="n">
        <x:v>2</x:v>
      </x:c>
      <x:c r="R107" t="n">
        <x:v>0</x:v>
      </x:c>
      <x:c r="S107" t="n">
        <x:v>0</x:v>
      </x:c>
      <x:c r="T107" t="n">
        <x:v>3</x:v>
      </x:c>
      <x:c r="U107" t="n">
        <x:v>5</x:v>
      </x:c>
      <x:c r="V107" t="n">
        <x:v>5</x:v>
      </x:c>
      <x:c r="W107" s="50" t="n">
        <x:f>IF(D107=0,"",H107/D107)</x:f>
        <x:v>0.24507658643326038</x:v>
      </x:c>
      <x:c r="X107" t="n">
        <x:f>MAX(I107:V107)</x:f>
        <x:v>201</x:v>
      </x:c>
      <x:c r="Y107" t="n">
        <x:f>H107-X107</x:f>
        <x:v>-89</x:v>
      </x:c>
      <x:c r="Z107" s="52" t="n">
        <x:f>IF(D107=0,"",(Y107)/D107)</x:f>
        <x:v>-0.19474835886214442</x:v>
      </x:c>
      <x:c r="AA107" t="str">
        <x:v>Dr. Mahesh Sharma</x:v>
      </x:c>
      <x:c r="AB107" t="n">
        <x:f>D107-E107-F107</x:f>
        <x:v>0</x:v>
      </x:c>
    </x:row>
    <x:row r="108">
      <x:c r="A108" t="n">
        <x:v>100</x:v>
      </x:c>
      <x:c r="B108" t="str">
        <x:v>2024 location: not supplied</x:v>
      </x:c>
      <x:c r="C108"/>
      <x:c r="D108" t="n">
        <x:v>523</x:v>
      </x:c>
      <x:c r="E108" t="n">
        <x:f>SUM(H108:V108)</x:f>
        <x:v>521</x:v>
      </x:c>
      <x:c r="F108" t="n">
        <x:v>2</x:v>
      </x:c>
      <x:c r="G108" s="50" t="str">
        <x:f>IF(C108="","",IFERROR(D108/C108,0))</x:f>
      </x:c>
      <x:c r="H108" s="36" t="n">
        <x:v>61</x:v>
      </x:c>
      <x:c r="I108" t="n">
        <x:v>333</x:v>
      </x:c>
      <x:c r="J108" t="n">
        <x:v>117</x:v>
      </x:c>
      <x:c r="K108" t="n">
        <x:v>0</x:v>
      </x:c>
      <x:c r="L108" t="n">
        <x:v>3</x:v>
      </x:c>
      <x:c r="M108" t="n">
        <x:v>0</x:v>
      </x:c>
      <x:c r="N108" t="n">
        <x:v>3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4</x:v>
      </x:c>
      <x:c r="V108" t="n">
        <x:v>0</x:v>
      </x:c>
      <x:c r="W108" s="50" t="n">
        <x:f>IF(D108=0,"",H108/D108)</x:f>
        <x:v>0.11663479923518165</x:v>
      </x:c>
      <x:c r="X108" t="n">
        <x:f>MAX(I108:V108)</x:f>
        <x:v>333</x:v>
      </x:c>
      <x:c r="Y108" t="n">
        <x:f>H108-X108</x:f>
        <x:v>-272</x:v>
      </x:c>
      <x:c r="Z108" s="52" t="n">
        <x:f>IF(D108=0,"",(Y108)/D108)</x:f>
        <x:v>-0.5200764818355641</x:v>
      </x:c>
      <x:c r="AA108" t="str">
        <x:v>Dr. Mahesh Sharma</x:v>
      </x:c>
      <x:c r="AB108" t="n">
        <x:f>D108-E108-F108</x:f>
        <x:v>0</x:v>
      </x:c>
    </x:row>
    <x:row r="109">
      <x:c r="A109" t="n">
        <x:v>101</x:v>
      </x:c>
      <x:c r="B109" t="str">
        <x:v>2024 location: not supplied</x:v>
      </x:c>
      <x:c r="C109"/>
      <x:c r="D109" t="n">
        <x:v>530</x:v>
      </x:c>
      <x:c r="E109" t="n">
        <x:f>SUM(H109:V109)</x:f>
        <x:v>530</x:v>
      </x:c>
      <x:c r="F109" t="n">
        <x:v>0</x:v>
      </x:c>
      <x:c r="G109" s="50" t="str">
        <x:f>IF(C109="","",IFERROR(D109/C109,0))</x:f>
      </x:c>
      <x:c r="H109" s="36" t="n">
        <x:v>103</x:v>
      </x:c>
      <x:c r="I109" t="n">
        <x:v>184</x:v>
      </x:c>
      <x:c r="J109" t="n">
        <x:v>220</x:v>
      </x:c>
      <x:c r="K109" t="n">
        <x:v>0</x:v>
      </x:c>
      <x:c r="L109" t="n">
        <x:v>2</x:v>
      </x:c>
      <x:c r="M109" t="n">
        <x:v>1</x:v>
      </x:c>
      <x:c r="N109" t="n">
        <x:v>5</x:v>
      </x:c>
      <x:c r="O109" t="n">
        <x:v>0</x:v>
      </x:c>
      <x:c r="P109" t="n">
        <x:v>1</x:v>
      </x:c>
      <x:c r="Q109" t="n">
        <x:v>1</x:v>
      </x:c>
      <x:c r="R109" t="n">
        <x:v>0</x:v>
      </x:c>
      <x:c r="S109" t="n">
        <x:v>1</x:v>
      </x:c>
      <x:c r="T109" t="n">
        <x:v>1</x:v>
      </x:c>
      <x:c r="U109" t="n">
        <x:v>6</x:v>
      </x:c>
      <x:c r="V109" t="n">
        <x:v>5</x:v>
      </x:c>
      <x:c r="W109" s="50" t="n">
        <x:f>IF(D109=0,"",H109/D109)</x:f>
        <x:v>0.19433962264150945</x:v>
      </x:c>
      <x:c r="X109" t="n">
        <x:f>MAX(I109:V109)</x:f>
        <x:v>220</x:v>
      </x:c>
      <x:c r="Y109" t="n">
        <x:f>H109-X109</x:f>
        <x:v>-117</x:v>
      </x:c>
      <x:c r="Z109" s="52" t="n">
        <x:f>IF(D109=0,"",(Y109)/D109)</x:f>
        <x:v>-0.22075471698113208</x:v>
      </x:c>
      <x:c r="AA109" t="str">
        <x:v>Rajendra Singh Solanki</x:v>
      </x:c>
      <x:c r="AB109" t="n">
        <x:f>D109-E109-F109</x:f>
        <x:v>0</x:v>
      </x:c>
    </x:row>
    <x:row r="110">
      <x:c r="A110" t="n">
        <x:v>102</x:v>
      </x:c>
      <x:c r="B110" t="str">
        <x:v>2024 location: not supplied</x:v>
      </x:c>
      <x:c r="C110"/>
      <x:c r="D110" t="n">
        <x:v>692</x:v>
      </x:c>
      <x:c r="E110" t="n">
        <x:f>SUM(H110:V110)</x:f>
        <x:v>691</x:v>
      </x:c>
      <x:c r="F110" t="n">
        <x:v>1</x:v>
      </x:c>
      <x:c r="G110" s="50" t="str">
        <x:f>IF(C110="","",IFERROR(D110/C110,0))</x:f>
      </x:c>
      <x:c r="H110" s="36" t="n">
        <x:v>142</x:v>
      </x:c>
      <x:c r="I110" t="n">
        <x:v>131</x:v>
      </x:c>
      <x:c r="J110" t="n">
        <x:v>398</x:v>
      </x:c>
      <x:c r="K110" t="n">
        <x:v>0</x:v>
      </x:c>
      <x:c r="L110" t="n">
        <x:v>1</x:v>
      </x:c>
      <x:c r="M110" t="n">
        <x:v>0</x:v>
      </x:c>
      <x:c r="N110" t="n">
        <x:v>4</x:v>
      </x:c>
      <x:c r="O110" t="n">
        <x:v>0</x:v>
      </x:c>
      <x:c r="P110" t="n">
        <x:v>2</x:v>
      </x:c>
      <x:c r="Q110" t="n">
        <x:v>1</x:v>
      </x:c>
      <x:c r="R110" t="n">
        <x:v>1</x:v>
      </x:c>
      <x:c r="S110" t="n">
        <x:v>0</x:v>
      </x:c>
      <x:c r="T110" t="n">
        <x:v>1</x:v>
      </x:c>
      <x:c r="U110" t="n">
        <x:v>7</x:v>
      </x:c>
      <x:c r="V110" t="n">
        <x:v>3</x:v>
      </x:c>
      <x:c r="W110" s="50" t="n">
        <x:f>IF(D110=0,"",H110/D110)</x:f>
        <x:v>0.20520231213872833</x:v>
      </x:c>
      <x:c r="X110" t="n">
        <x:f>MAX(I110:V110)</x:f>
        <x:v>398</x:v>
      </x:c>
      <x:c r="Y110" t="n">
        <x:f>H110-X110</x:f>
        <x:v>-256</x:v>
      </x:c>
      <x:c r="Z110" s="52" t="n">
        <x:f>IF(D110=0,"",(Y110)/D110)</x:f>
        <x:v>-0.3699421965317919</x:v>
      </x:c>
      <x:c r="AA110" t="str">
        <x:v>Rajendra Singh Solanki</x:v>
      </x:c>
      <x:c r="AB110" t="n">
        <x:f>D110-E110-F110</x:f>
        <x:v>0</x:v>
      </x:c>
    </x:row>
    <x:row r="111">
      <x:c r="A111" t="n">
        <x:v>103</x:v>
      </x:c>
      <x:c r="B111" t="str">
        <x:v>2024 location: not supplied</x:v>
      </x:c>
      <x:c r="C111"/>
      <x:c r="D111" t="n">
        <x:v>448</x:v>
      </x:c>
      <x:c r="E111" t="n">
        <x:f>SUM(H111:V111)</x:f>
        <x:v>447</x:v>
      </x:c>
      <x:c r="F111" t="n">
        <x:v>1</x:v>
      </x:c>
      <x:c r="G111" s="50" t="str">
        <x:f>IF(C111="","",IFERROR(D111/C111,0))</x:f>
      </x:c>
      <x:c r="H111" s="36" t="n">
        <x:v>60</x:v>
      </x:c>
      <x:c r="I111" t="n">
        <x:v>143</x:v>
      </x:c>
      <x:c r="J111" t="n">
        <x:v>237</x:v>
      </x:c>
      <x:c r="K111" t="n">
        <x:v>1</x:v>
      </x:c>
      <x:c r="L111" t="n">
        <x:v>0</x:v>
      </x:c>
      <x:c r="M111" t="n">
        <x:v>0</x:v>
      </x:c>
      <x:c r="N111" t="n">
        <x:v>1</x:v>
      </x:c>
      <x:c r="O111" t="n">
        <x:v>1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3</x:v>
      </x:c>
      <x:c r="V111" t="n">
        <x:v>1</x:v>
      </x:c>
      <x:c r="W111" s="50" t="n">
        <x:f>IF(D111=0,"",H111/D111)</x:f>
        <x:v>0.13392857142857142</x:v>
      </x:c>
      <x:c r="X111" t="n">
        <x:f>MAX(I111:V111)</x:f>
        <x:v>237</x:v>
      </x:c>
      <x:c r="Y111" t="n">
        <x:f>H111-X111</x:f>
        <x:v>-177</x:v>
      </x:c>
      <x:c r="Z111" s="52" t="n">
        <x:f>IF(D111=0,"",(Y111)/D111)</x:f>
        <x:v>-0.3950892857142857</x:v>
      </x:c>
      <x:c r="AA111" t="str">
        <x:v>Rajendra Singh Solanki</x:v>
      </x:c>
      <x:c r="AB111" t="n">
        <x:f>D111-E111-F111</x:f>
        <x:v>0</x:v>
      </x:c>
    </x:row>
    <x:row r="112">
      <x:c r="A112" t="n">
        <x:v>104</x:v>
      </x:c>
      <x:c r="B112" t="str">
        <x:v>2024 location: not supplied</x:v>
      </x:c>
      <x:c r="C112"/>
      <x:c r="D112" t="n">
        <x:v>387</x:v>
      </x:c>
      <x:c r="E112" t="n">
        <x:f>SUM(H112:V112)</x:f>
        <x:v>387</x:v>
      </x:c>
      <x:c r="F112" t="n">
        <x:v>0</x:v>
      </x:c>
      <x:c r="G112" s="50" t="str">
        <x:f>IF(C112="","",IFERROR(D112/C112,0))</x:f>
      </x:c>
      <x:c r="H112" s="36" t="n">
        <x:v>87</x:v>
      </x:c>
      <x:c r="I112" t="n">
        <x:v>125</x:v>
      </x:c>
      <x:c r="J112" t="n">
        <x:v>166</x:v>
      </x:c>
      <x:c r="K112" t="n">
        <x:v>0</x:v>
      </x:c>
      <x:c r="L112" t="n">
        <x:v>0</x:v>
      </x:c>
      <x:c r="M112" t="n">
        <x:v>1</x:v>
      </x:c>
      <x:c r="N112" t="n">
        <x:v>1</x:v>
      </x:c>
      <x:c r="O112" t="n">
        <x:v>1</x:v>
      </x:c>
      <x:c r="P112" t="n">
        <x:v>0</x:v>
      </x:c>
      <x:c r="Q112" t="n">
        <x:v>1</x:v>
      </x:c>
      <x:c r="R112" t="n">
        <x:v>0</x:v>
      </x:c>
      <x:c r="S112" t="n">
        <x:v>1</x:v>
      </x:c>
      <x:c r="T112" t="n">
        <x:v>1</x:v>
      </x:c>
      <x:c r="U112" t="n">
        <x:v>3</x:v>
      </x:c>
      <x:c r="V112" t="n">
        <x:v>0</x:v>
      </x:c>
      <x:c r="W112" s="50" t="n">
        <x:f>IF(D112=0,"",H112/D112)</x:f>
        <x:v>0.2248062015503876</x:v>
      </x:c>
      <x:c r="X112" t="n">
        <x:f>MAX(I112:V112)</x:f>
        <x:v>166</x:v>
      </x:c>
      <x:c r="Y112" t="n">
        <x:f>H112-X112</x:f>
        <x:v>-79</x:v>
      </x:c>
      <x:c r="Z112" s="52" t="n">
        <x:f>IF(D112=0,"",(Y112)/D112)</x:f>
        <x:v>-0.2041343669250646</x:v>
      </x:c>
      <x:c r="AA112" t="str">
        <x:v>Rajendra Singh Solanki</x:v>
      </x:c>
      <x:c r="AB112" t="n">
        <x:f>D112-E112-F112</x:f>
        <x:v>0</x:v>
      </x:c>
    </x:row>
    <x:row r="113">
      <x:c r="A113" t="n">
        <x:v>105</x:v>
      </x:c>
      <x:c r="B113" t="str">
        <x:v>2024 location: not supplied</x:v>
      </x:c>
      <x:c r="C113"/>
      <x:c r="D113" t="n">
        <x:v>981</x:v>
      </x:c>
      <x:c r="E113" t="n">
        <x:f>SUM(H113:V113)</x:f>
        <x:v>979</x:v>
      </x:c>
      <x:c r="F113" t="n">
        <x:v>2</x:v>
      </x:c>
      <x:c r="G113" s="50" t="str">
        <x:f>IF(C113="","",IFERROR(D113/C113,0))</x:f>
      </x:c>
      <x:c r="H113" s="36" t="n">
        <x:v>87</x:v>
      </x:c>
      <x:c r="I113" t="n">
        <x:v>554</x:v>
      </x:c>
      <x:c r="J113" t="n">
        <x:v>323</x:v>
      </x:c>
      <x:c r="K113" t="n">
        <x:v>2</x:v>
      </x:c>
      <x:c r="L113" t="n">
        <x:v>1</x:v>
      </x:c>
      <x:c r="M113" t="n">
        <x:v>0</x:v>
      </x:c>
      <x:c r="N113" t="n">
        <x:v>2</x:v>
      </x:c>
      <x:c r="O113" t="n">
        <x:v>0</x:v>
      </x:c>
      <x:c r="P113" t="n">
        <x:v>1</x:v>
      </x:c>
      <x:c r="Q113" t="n">
        <x:v>0</x:v>
      </x:c>
      <x:c r="R113" t="n">
        <x:v>0</x:v>
      </x:c>
      <x:c r="S113" t="n">
        <x:v>1</x:v>
      </x:c>
      <x:c r="T113" t="n">
        <x:v>0</x:v>
      </x:c>
      <x:c r="U113" t="n">
        <x:v>4</x:v>
      </x:c>
      <x:c r="V113" t="n">
        <x:v>4</x:v>
      </x:c>
      <x:c r="W113" s="50" t="n">
        <x:f>IF(D113=0,"",H113/D113)</x:f>
        <x:v>0.08868501529051988</x:v>
      </x:c>
      <x:c r="X113" t="n">
        <x:f>MAX(I113:V113)</x:f>
        <x:v>554</x:v>
      </x:c>
      <x:c r="Y113" t="n">
        <x:f>H113-X113</x:f>
        <x:v>-467</x:v>
      </x:c>
      <x:c r="Z113" s="52" t="n">
        <x:f>IF(D113=0,"",(Y113)/D113)</x:f>
        <x:v>-0.47604485219164117</x:v>
      </x:c>
      <x:c r="AA113" t="str">
        <x:v>Dr. Mahesh Sharma</x:v>
      </x:c>
      <x:c r="AB113" t="n">
        <x:f>D113-E113-F113</x:f>
        <x:v>0</x:v>
      </x:c>
    </x:row>
    <x:row r="114">
      <x:c r="A114" t="n">
        <x:v>106</x:v>
      </x:c>
      <x:c r="B114" t="str">
        <x:v>2024 location: not supplied</x:v>
      </x:c>
      <x:c r="C114"/>
      <x:c r="D114" t="n">
        <x:v>520</x:v>
      </x:c>
      <x:c r="E114" t="n">
        <x:f>SUM(H114:V114)</x:f>
        <x:v>520</x:v>
      </x:c>
      <x:c r="F114" t="n">
        <x:v>0</x:v>
      </x:c>
      <x:c r="G114" s="50" t="str">
        <x:f>IF(C114="","",IFERROR(D114/C114,0))</x:f>
      </x:c>
      <x:c r="H114" s="36" t="n">
        <x:v>83</x:v>
      </x:c>
      <x:c r="I114" t="n">
        <x:v>210</x:v>
      </x:c>
      <x:c r="J114" t="n">
        <x:v>223</x:v>
      </x:c>
      <x:c r="K114" t="n">
        <x:v>0</x:v>
      </x:c>
      <x:c r="L114" t="n">
        <x:v>1</x:v>
      </x:c>
      <x:c r="M114" t="n">
        <x:v>1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1</x:v>
      </x:c>
      <x:c r="T114" t="n">
        <x:v>1</x:v>
      </x:c>
      <x:c r="U114" t="n">
        <x:v>0</x:v>
      </x:c>
      <x:c r="V114" t="n">
        <x:v>0</x:v>
      </x:c>
      <x:c r="W114" s="50" t="n">
        <x:f>IF(D114=0,"",H114/D114)</x:f>
        <x:v>0.1596153846153846</x:v>
      </x:c>
      <x:c r="X114" t="n">
        <x:f>MAX(I114:V114)</x:f>
        <x:v>223</x:v>
      </x:c>
      <x:c r="Y114" t="n">
        <x:f>H114-X114</x:f>
        <x:v>-140</x:v>
      </x:c>
      <x:c r="Z114" s="52" t="n">
        <x:f>IF(D114=0,"",(Y114)/D114)</x:f>
        <x:v>-0.2692307692307692</x:v>
      </x:c>
      <x:c r="AA114" t="str">
        <x:v>Rajendra Singh Solanki</x:v>
      </x:c>
      <x:c r="AB114" t="n">
        <x:f>D114-E114-F114</x:f>
        <x:v>0</x:v>
      </x:c>
    </x:row>
    <x:row r="115">
      <x:c r="A115" t="n">
        <x:v>107</x:v>
      </x:c>
      <x:c r="B115" t="str">
        <x:v>2024 location: not supplied</x:v>
      </x:c>
      <x:c r="C115"/>
      <x:c r="D115" t="n">
        <x:v>407</x:v>
      </x:c>
      <x:c r="E115" t="n">
        <x:f>SUM(H115:V115)</x:f>
        <x:v>406</x:v>
      </x:c>
      <x:c r="F115" t="n">
        <x:v>1</x:v>
      </x:c>
      <x:c r="G115" s="50" t="str">
        <x:f>IF(C115="","",IFERROR(D115/C115,0))</x:f>
      </x:c>
      <x:c r="H115" s="36" t="n">
        <x:v>135</x:v>
      </x:c>
      <x:c r="I115" t="n">
        <x:v>222</x:v>
      </x:c>
      <x:c r="J115" t="n">
        <x:v>44</x:v>
      </x:c>
      <x:c r="K115" t="n">
        <x:v>0</x:v>
      </x:c>
      <x:c r="L115" t="n">
        <x:v>1</x:v>
      </x:c>
      <x:c r="M115" t="n">
        <x:v>0</x:v>
      </x:c>
      <x:c r="N115" t="n">
        <x:v>1</x:v>
      </x:c>
      <x:c r="O115" t="n">
        <x:v>1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1</x:v>
      </x:c>
      <x:c r="V115" t="n">
        <x:v>1</x:v>
      </x:c>
      <x:c r="W115" s="50" t="n">
        <x:f>IF(D115=0,"",H115/D115)</x:f>
        <x:v>0.3316953316953317</x:v>
      </x:c>
      <x:c r="X115" t="n">
        <x:f>MAX(I115:V115)</x:f>
        <x:v>222</x:v>
      </x:c>
      <x:c r="Y115" t="n">
        <x:f>H115-X115</x:f>
        <x:v>-87</x:v>
      </x:c>
      <x:c r="Z115" s="52" t="n">
        <x:f>IF(D115=0,"",(Y115)/D115)</x:f>
        <x:v>-0.21375921375921375</x:v>
      </x:c>
      <x:c r="AA115" t="str">
        <x:v>Dr. Mahesh Sharma</x:v>
      </x:c>
      <x:c r="AB115" t="n">
        <x:f>D115-E115-F115</x:f>
        <x:v>0</x:v>
      </x:c>
    </x:row>
    <x:row r="116">
      <x:c r="A116" t="n">
        <x:v>108</x:v>
      </x:c>
      <x:c r="B116" t="str">
        <x:v>2024 location: not supplied</x:v>
      </x:c>
      <x:c r="C116"/>
      <x:c r="D116" t="n">
        <x:v>714</x:v>
      </x:c>
      <x:c r="E116" t="n">
        <x:f>SUM(H116:V116)</x:f>
        <x:v>713</x:v>
      </x:c>
      <x:c r="F116" t="n">
        <x:v>1</x:v>
      </x:c>
      <x:c r="G116" s="50" t="str">
        <x:f>IF(C116="","",IFERROR(D116/C116,0))</x:f>
      </x:c>
      <x:c r="H116" s="36" t="n">
        <x:v>125</x:v>
      </x:c>
      <x:c r="I116" t="n">
        <x:v>525</x:v>
      </x:c>
      <x:c r="J116" t="n">
        <x:v>48</x:v>
      </x:c>
      <x:c r="K116" t="n">
        <x:v>0</x:v>
      </x:c>
      <x:c r="L116" t="n">
        <x:v>1</x:v>
      </x:c>
      <x:c r="M116" t="n">
        <x:v>0</x:v>
      </x:c>
      <x:c r="N116" t="n">
        <x:v>7</x:v>
      </x:c>
      <x:c r="O116" t="n">
        <x:v>2</x:v>
      </x:c>
      <x:c r="P116" t="n">
        <x:v>2</x:v>
      </x:c>
      <x:c r="Q116" t="n">
        <x:v>0</x:v>
      </x:c>
      <x:c r="R116" t="n">
        <x:v>0</x:v>
      </x:c>
      <x:c r="S116" t="n">
        <x:v>1</x:v>
      </x:c>
      <x:c r="T116" t="n">
        <x:v>0</x:v>
      </x:c>
      <x:c r="U116" t="n">
        <x:v>0</x:v>
      </x:c>
      <x:c r="V116" t="n">
        <x:v>2</x:v>
      </x:c>
      <x:c r="W116" s="50" t="n">
        <x:f>IF(D116=0,"",H116/D116)</x:f>
        <x:v>0.17507002801120447</x:v>
      </x:c>
      <x:c r="X116" t="n">
        <x:f>MAX(I116:V116)</x:f>
        <x:v>525</x:v>
      </x:c>
      <x:c r="Y116" t="n">
        <x:f>H116-X116</x:f>
        <x:v>-400</x:v>
      </x:c>
      <x:c r="Z116" s="52" t="n">
        <x:f>IF(D116=0,"",(Y116)/D116)</x:f>
        <x:v>-0.5602240896358543</x:v>
      </x:c>
      <x:c r="AA116" t="str">
        <x:v>Dr. Mahesh Sharma</x:v>
      </x:c>
      <x:c r="AB116" t="n">
        <x:f>D116-E116-F116</x:f>
        <x:v>0</x:v>
      </x:c>
    </x:row>
    <x:row r="117">
      <x:c r="A117" t="n">
        <x:v>109</x:v>
      </x:c>
      <x:c r="B117" t="str">
        <x:v>2024 location: not supplied</x:v>
      </x:c>
      <x:c r="C117"/>
      <x:c r="D117" t="n">
        <x:v>533</x:v>
      </x:c>
      <x:c r="E117" t="n">
        <x:f>SUM(H117:V117)</x:f>
        <x:v>531</x:v>
      </x:c>
      <x:c r="F117" t="n">
        <x:v>2</x:v>
      </x:c>
      <x:c r="G117" s="50" t="str">
        <x:f>IF(C117="","",IFERROR(D117/C117,0))</x:f>
      </x:c>
      <x:c r="H117" s="36" t="n">
        <x:v>111</x:v>
      </x:c>
      <x:c r="I117" t="n">
        <x:v>252</x:v>
      </x:c>
      <x:c r="J117" t="n">
        <x:v>152</x:v>
      </x:c>
      <x:c r="K117" t="n">
        <x:v>0</x:v>
      </x:c>
      <x:c r="L117" t="n">
        <x:v>3</x:v>
      </x:c>
      <x:c r="M117" t="n">
        <x:v>0</x:v>
      </x:c>
      <x:c r="N117" t="n">
        <x:v>2</x:v>
      </x:c>
      <x:c r="O117" t="n">
        <x:v>3</x:v>
      </x:c>
      <x:c r="P117" t="n">
        <x:v>1</x:v>
      </x:c>
      <x:c r="Q117" t="n">
        <x:v>0</x:v>
      </x:c>
      <x:c r="R117" t="n">
        <x:v>1</x:v>
      </x:c>
      <x:c r="S117" t="n">
        <x:v>3</x:v>
      </x:c>
      <x:c r="T117" t="n">
        <x:v>0</x:v>
      </x:c>
      <x:c r="U117" t="n">
        <x:v>2</x:v>
      </x:c>
      <x:c r="V117" t="n">
        <x:v>1</x:v>
      </x:c>
      <x:c r="W117" s="50" t="n">
        <x:f>IF(D117=0,"",H117/D117)</x:f>
        <x:v>0.20825515947467166</x:v>
      </x:c>
      <x:c r="X117" t="n">
        <x:f>MAX(I117:V117)</x:f>
        <x:v>252</x:v>
      </x:c>
      <x:c r="Y117" t="n">
        <x:f>H117-X117</x:f>
        <x:v>-141</x:v>
      </x:c>
      <x:c r="Z117" s="52" t="n">
        <x:f>IF(D117=0,"",(Y117)/D117)</x:f>
        <x:v>-0.26454033771106944</x:v>
      </x:c>
      <x:c r="AA117" t="str">
        <x:v>Dr. Mahesh Sharma</x:v>
      </x:c>
      <x:c r="AB117" t="n">
        <x:f>D117-E117-F117</x:f>
        <x:v>0</x:v>
      </x:c>
    </x:row>
    <x:row r="118">
      <x:c r="A118" t="n">
        <x:v>110</x:v>
      </x:c>
      <x:c r="B118" t="str">
        <x:v>2024 location: not supplied</x:v>
      </x:c>
      <x:c r="C118"/>
      <x:c r="D118" t="n">
        <x:v>566</x:v>
      </x:c>
      <x:c r="E118" t="n">
        <x:f>SUM(H118:V118)</x:f>
        <x:v>563</x:v>
      </x:c>
      <x:c r="F118" t="n">
        <x:v>3</x:v>
      </x:c>
      <x:c r="G118" s="50" t="str">
        <x:f>IF(C118="","",IFERROR(D118/C118,0))</x:f>
      </x:c>
      <x:c r="H118" s="36" t="n">
        <x:v>181</x:v>
      </x:c>
      <x:c r="I118" t="n">
        <x:v>333</x:v>
      </x:c>
      <x:c r="J118" t="n">
        <x:v>42</x:v>
      </x:c>
      <x:c r="K118" t="n">
        <x:v>0</x:v>
      </x:c>
      <x:c r="L118" t="n">
        <x:v>0</x:v>
      </x:c>
      <x:c r="M118" t="n">
        <x:v>0</x:v>
      </x:c>
      <x:c r="N118" t="n">
        <x:v>4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2</x:v>
      </x:c>
      <x:c r="V118" t="n">
        <x:v>1</x:v>
      </x:c>
      <x:c r="W118" s="50" t="n">
        <x:f>IF(D118=0,"",H118/D118)</x:f>
        <x:v>0.3197879858657244</x:v>
      </x:c>
      <x:c r="X118" t="n">
        <x:f>MAX(I118:V118)</x:f>
        <x:v>333</x:v>
      </x:c>
      <x:c r="Y118" t="n">
        <x:f>H118-X118</x:f>
        <x:v>-152</x:v>
      </x:c>
      <x:c r="Z118" s="52" t="n">
        <x:f>IF(D118=0,"",(Y118)/D118)</x:f>
        <x:v>-0.26855123674911663</x:v>
      </x:c>
      <x:c r="AA118" t="str">
        <x:v>Dr. Mahesh Sharma</x:v>
      </x:c>
      <x:c r="AB118" t="n">
        <x:f>D118-E118-F118</x:f>
        <x:v>0</x:v>
      </x:c>
    </x:row>
    <x:row r="119">
      <x:c r="A119" t="n">
        <x:v>111</x:v>
      </x:c>
      <x:c r="B119" t="str">
        <x:v>2024 location: not supplied</x:v>
      </x:c>
      <x:c r="C119"/>
      <x:c r="D119" t="n">
        <x:v>368</x:v>
      </x:c>
      <x:c r="E119" t="n">
        <x:f>SUM(H119:V119)</x:f>
        <x:v>366</x:v>
      </x:c>
      <x:c r="F119" t="n">
        <x:v>2</x:v>
      </x:c>
      <x:c r="G119" s="50" t="str">
        <x:f>IF(C119="","",IFERROR(D119/C119,0))</x:f>
      </x:c>
      <x:c r="H119" s="36" t="n">
        <x:v>137</x:v>
      </x:c>
      <x:c r="I119" t="n">
        <x:v>215</x:v>
      </x:c>
      <x:c r="J119" t="n">
        <x:v>9</x:v>
      </x:c>
      <x:c r="K119" t="n">
        <x:v>0</x:v>
      </x:c>
      <x:c r="L119" t="n">
        <x:v>0</x:v>
      </x:c>
      <x:c r="M119" t="n">
        <x:v>0</x:v>
      </x:c>
      <x:c r="N119" t="n">
        <x:v>3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1</x:v>
      </x:c>
      <x:c r="V119" t="n">
        <x:v>1</x:v>
      </x:c>
      <x:c r="W119" s="50" t="n">
        <x:f>IF(D119=0,"",H119/D119)</x:f>
        <x:v>0.37228260869565216</x:v>
      </x:c>
      <x:c r="X119" t="n">
        <x:f>MAX(I119:V119)</x:f>
        <x:v>215</x:v>
      </x:c>
      <x:c r="Y119" t="n">
        <x:f>H119-X119</x:f>
        <x:v>-78</x:v>
      </x:c>
      <x:c r="Z119" s="52" t="n">
        <x:f>IF(D119=0,"",(Y119)/D119)</x:f>
        <x:v>-0.21195652173913043</x:v>
      </x:c>
      <x:c r="AA119" t="str">
        <x:v>Dr. Mahesh Sharma</x:v>
      </x:c>
      <x:c r="AB119" t="n">
        <x:f>D119-E119-F119</x:f>
        <x:v>0</x:v>
      </x:c>
    </x:row>
    <x:row r="120">
      <x:c r="A120" t="n">
        <x:v>112</x:v>
      </x:c>
      <x:c r="B120" t="str">
        <x:v>2024 location: not supplied</x:v>
      </x:c>
      <x:c r="C120"/>
      <x:c r="D120" t="n">
        <x:v>618</x:v>
      </x:c>
      <x:c r="E120" t="n">
        <x:f>SUM(H120:V120)</x:f>
        <x:v>617</x:v>
      </x:c>
      <x:c r="F120" t="n">
        <x:v>1</x:v>
      </x:c>
      <x:c r="G120" s="50" t="str">
        <x:f>IF(C120="","",IFERROR(D120/C120,0))</x:f>
      </x:c>
      <x:c r="H120" s="36" t="n">
        <x:v>165</x:v>
      </x:c>
      <x:c r="I120" t="n">
        <x:v>179</x:v>
      </x:c>
      <x:c r="J120" t="n">
        <x:v>259</x:v>
      </x:c>
      <x:c r="K120" t="n">
        <x:v>1</x:v>
      </x:c>
      <x:c r="L120" t="n">
        <x:v>1</x:v>
      </x:c>
      <x:c r="M120" t="n">
        <x:v>0</x:v>
      </x:c>
      <x:c r="N120" t="n">
        <x:v>3</x:v>
      </x:c>
      <x:c r="O120" t="n">
        <x:v>4</x:v>
      </x:c>
      <x:c r="P120" t="n">
        <x:v>2</x:v>
      </x:c>
      <x:c r="Q120" t="n">
        <x:v>0</x:v>
      </x:c>
      <x:c r="R120" t="n">
        <x:v>0</x:v>
      </x:c>
      <x:c r="S120" t="n">
        <x:v>2</x:v>
      </x:c>
      <x:c r="T120" t="n">
        <x:v>0</x:v>
      </x:c>
      <x:c r="U120" t="n">
        <x:v>1</x:v>
      </x:c>
      <x:c r="V120" t="n">
        <x:v>0</x:v>
      </x:c>
      <x:c r="W120" s="50" t="n">
        <x:f>IF(D120=0,"",H120/D120)</x:f>
        <x:v>0.2669902912621359</x:v>
      </x:c>
      <x:c r="X120" t="n">
        <x:f>MAX(I120:V120)</x:f>
        <x:v>259</x:v>
      </x:c>
      <x:c r="Y120" t="n">
        <x:f>H120-X120</x:f>
        <x:v>-94</x:v>
      </x:c>
      <x:c r="Z120" s="52" t="n">
        <x:f>IF(D120=0,"",(Y120)/D120)</x:f>
        <x:v>-0.15210355987055016</x:v>
      </x:c>
      <x:c r="AA120" t="str">
        <x:v>Rajendra Singh Solanki</x:v>
      </x:c>
      <x:c r="AB120" t="n">
        <x:f>D120-E120-F120</x:f>
        <x:v>0</x:v>
      </x:c>
    </x:row>
    <x:row r="121">
      <x:c r="A121" t="n">
        <x:v>113</x:v>
      </x:c>
      <x:c r="B121" t="str">
        <x:v>2024 location: not supplied</x:v>
      </x:c>
      <x:c r="C121"/>
      <x:c r="D121" t="n">
        <x:v>505</x:v>
      </x:c>
      <x:c r="E121" t="n">
        <x:f>SUM(H121:V121)</x:f>
        <x:v>501</x:v>
      </x:c>
      <x:c r="F121" t="n">
        <x:v>4</x:v>
      </x:c>
      <x:c r="G121" s="50" t="str">
        <x:f>IF(C121="","",IFERROR(D121/C121,0))</x:f>
      </x:c>
      <x:c r="H121" s="36" t="n">
        <x:v>136</x:v>
      </x:c>
      <x:c r="I121" t="n">
        <x:v>331</x:v>
      </x:c>
      <x:c r="J121" t="n">
        <x:v>25</x:v>
      </x:c>
      <x:c r="K121" t="n">
        <x:v>0</x:v>
      </x:c>
      <x:c r="L121" t="n">
        <x:v>0</x:v>
      </x:c>
      <x:c r="M121" t="n">
        <x:v>0</x:v>
      </x:c>
      <x:c r="N121" t="n">
        <x:v>1</x:v>
      </x:c>
      <x:c r="O121" t="n">
        <x:v>1</x:v>
      </x:c>
      <x:c r="P121" t="n">
        <x:v>1</x:v>
      </x:c>
      <x:c r="Q121" t="n">
        <x:v>0</x:v>
      </x:c>
      <x:c r="R121" t="n">
        <x:v>0</x:v>
      </x:c>
      <x:c r="S121" t="n">
        <x:v>1</x:v>
      </x:c>
      <x:c r="T121" t="n">
        <x:v>1</x:v>
      </x:c>
      <x:c r="U121" t="n">
        <x:v>1</x:v>
      </x:c>
      <x:c r="V121" t="n">
        <x:v>3</x:v>
      </x:c>
      <x:c r="W121" s="50" t="n">
        <x:f>IF(D121=0,"",H121/D121)</x:f>
        <x:v>0.2693069306930693</x:v>
      </x:c>
      <x:c r="X121" t="n">
        <x:f>MAX(I121:V121)</x:f>
        <x:v>331</x:v>
      </x:c>
      <x:c r="Y121" t="n">
        <x:f>H121-X121</x:f>
        <x:v>-195</x:v>
      </x:c>
      <x:c r="Z121" s="52" t="n">
        <x:f>IF(D121=0,"",(Y121)/D121)</x:f>
        <x:v>-0.38613861386138615</x:v>
      </x:c>
      <x:c r="AA121" t="str">
        <x:v>Dr. Mahesh Sharma</x:v>
      </x:c>
      <x:c r="AB121" t="n">
        <x:f>D121-E121-F121</x:f>
        <x:v>0</x:v>
      </x:c>
    </x:row>
    <x:row r="122">
      <x:c r="A122" t="n">
        <x:v>114</x:v>
      </x:c>
      <x:c r="B122" t="str">
        <x:v>2024 location: not supplied</x:v>
      </x:c>
      <x:c r="C122"/>
      <x:c r="D122" t="n">
        <x:v>535</x:v>
      </x:c>
      <x:c r="E122" t="n">
        <x:f>SUM(H122:V122)</x:f>
        <x:v>533</x:v>
      </x:c>
      <x:c r="F122" t="n">
        <x:v>2</x:v>
      </x:c>
      <x:c r="G122" s="50" t="str">
        <x:f>IF(C122="","",IFERROR(D122/C122,0))</x:f>
      </x:c>
      <x:c r="H122" s="36" t="n">
        <x:v>223</x:v>
      </x:c>
      <x:c r="I122" t="n">
        <x:v>252</x:v>
      </x:c>
      <x:c r="J122" t="n">
        <x:v>54</x:v>
      </x:c>
      <x:c r="K122" t="n">
        <x:v>0</x:v>
      </x:c>
      <x:c r="L122" t="n">
        <x:v>1</x:v>
      </x:c>
      <x:c r="M122" t="n">
        <x:v>1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1</x:v>
      </x:c>
      <x:c r="U122" t="n">
        <x:v>0</x:v>
      </x:c>
      <x:c r="V122" t="n">
        <x:v>1</x:v>
      </x:c>
      <x:c r="W122" s="50" t="n">
        <x:f>IF(D122=0,"",H122/D122)</x:f>
        <x:v>0.41682242990654206</x:v>
      </x:c>
      <x:c r="X122" t="n">
        <x:f>MAX(I122:V122)</x:f>
        <x:v>252</x:v>
      </x:c>
      <x:c r="Y122" t="n">
        <x:f>H122-X122</x:f>
        <x:v>-29</x:v>
      </x:c>
      <x:c r="Z122" s="52" t="n">
        <x:f>IF(D122=0,"",(Y122)/D122)</x:f>
        <x:v>-0.05420560747663551</x:v>
      </x:c>
      <x:c r="AA122" t="str">
        <x:v>Dr. Mahesh Sharma</x:v>
      </x:c>
      <x:c r="AB122" t="n">
        <x:f>D122-E122-F122</x:f>
        <x:v>0</x:v>
      </x:c>
    </x:row>
    <x:row r="123">
      <x:c r="A123" t="n">
        <x:v>115</x:v>
      </x:c>
      <x:c r="B123" t="str">
        <x:v>2024 location: not supplied</x:v>
      </x:c>
      <x:c r="C123"/>
      <x:c r="D123" t="n">
        <x:v>748</x:v>
      </x:c>
      <x:c r="E123" t="n">
        <x:f>SUM(H123:V123)</x:f>
        <x:v>745</x:v>
      </x:c>
      <x:c r="F123" t="n">
        <x:v>3</x:v>
      </x:c>
      <x:c r="G123" s="50" t="str">
        <x:f>IF(C123="","",IFERROR(D123/C123,0))</x:f>
      </x:c>
      <x:c r="H123" s="36" t="n">
        <x:v>298</x:v>
      </x:c>
      <x:c r="I123" t="n">
        <x:v>302</x:v>
      </x:c>
      <x:c r="J123" t="n">
        <x:v>135</x:v>
      </x:c>
      <x:c r="K123" t="n">
        <x:v>2</x:v>
      </x:c>
      <x:c r="L123" t="n">
        <x:v>1</x:v>
      </x:c>
      <x:c r="M123" t="n">
        <x:v>1</x:v>
      </x:c>
      <x:c r="N123" t="n">
        <x:v>2</x:v>
      </x:c>
      <x:c r="O123" t="n">
        <x:v>1</x:v>
      </x:c>
      <x:c r="P123" t="n">
        <x:v>0</x:v>
      </x:c>
      <x:c r="Q123" t="n">
        <x:v>1</x:v>
      </x:c>
      <x:c r="R123" t="n">
        <x:v>0</x:v>
      </x:c>
      <x:c r="S123" t="n">
        <x:v>1</x:v>
      </x:c>
      <x:c r="T123" t="n">
        <x:v>0</x:v>
      </x:c>
      <x:c r="U123" t="n">
        <x:v>0</x:v>
      </x:c>
      <x:c r="V123" t="n">
        <x:v>1</x:v>
      </x:c>
      <x:c r="W123" s="50" t="n">
        <x:f>IF(D123=0,"",H123/D123)</x:f>
        <x:v>0.3983957219251337</x:v>
      </x:c>
      <x:c r="X123" t="n">
        <x:f>MAX(I123:V123)</x:f>
        <x:v>302</x:v>
      </x:c>
      <x:c r="Y123" t="n">
        <x:f>H123-X123</x:f>
        <x:v>-4</x:v>
      </x:c>
      <x:c r="Z123" s="52" t="n">
        <x:f>IF(D123=0,"",(Y123)/D123)</x:f>
        <x:v>-0.0053475935828877</x:v>
      </x:c>
      <x:c r="AA123" t="str">
        <x:v>Dr. Mahesh Sharma</x:v>
      </x:c>
      <x:c r="AB123" t="n">
        <x:f>D123-E123-F123</x:f>
        <x:v>0</x:v>
      </x:c>
    </x:row>
    <x:row r="124">
      <x:c r="A124" t="n">
        <x:v>116</x:v>
      </x:c>
      <x:c r="B124" t="str">
        <x:v>2024 location: not supplied</x:v>
      </x:c>
      <x:c r="C124"/>
      <x:c r="D124" t="n">
        <x:v>467</x:v>
      </x:c>
      <x:c r="E124" t="n">
        <x:f>SUM(H124:V124)</x:f>
        <x:v>466</x:v>
      </x:c>
      <x:c r="F124" t="n">
        <x:v>1</x:v>
      </x:c>
      <x:c r="G124" s="50" t="str">
        <x:f>IF(C124="","",IFERROR(D124/C124,0))</x:f>
      </x:c>
      <x:c r="H124" s="36" t="n">
        <x:v>104</x:v>
      </x:c>
      <x:c r="I124" t="n">
        <x:v>284</x:v>
      </x:c>
      <x:c r="J124" t="n">
        <x:v>73</x:v>
      </x:c>
      <x:c r="K124" t="n">
        <x:v>0</x:v>
      </x:c>
      <x:c r="L124" t="n">
        <x:v>0</x:v>
      </x:c>
      <x:c r="M124" t="n">
        <x:v>0</x:v>
      </x:c>
      <x:c r="N124" t="n">
        <x:v>2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1</x:v>
      </x:c>
      <x:c r="V124" t="n">
        <x:v>2</x:v>
      </x:c>
      <x:c r="W124" s="50" t="n">
        <x:f>IF(D124=0,"",H124/D124)</x:f>
        <x:v>0.22269807280513917</x:v>
      </x:c>
      <x:c r="X124" t="n">
        <x:f>MAX(I124:V124)</x:f>
        <x:v>284</x:v>
      </x:c>
      <x:c r="Y124" t="n">
        <x:f>H124-X124</x:f>
        <x:v>-180</x:v>
      </x:c>
      <x:c r="Z124" s="52" t="n">
        <x:f>IF(D124=0,"",(Y124)/D124)</x:f>
        <x:v>-0.3854389721627409</x:v>
      </x:c>
      <x:c r="AA124" t="str">
        <x:v>Dr. Mahesh Sharma</x:v>
      </x:c>
      <x:c r="AB124" t="n">
        <x:f>D124-E124-F124</x:f>
        <x:v>0</x:v>
      </x:c>
    </x:row>
    <x:row r="125">
      <x:c r="A125" t="n">
        <x:v>117</x:v>
      </x:c>
      <x:c r="B125" t="str">
        <x:v>2024 location: not supplied</x:v>
      </x:c>
      <x:c r="C125"/>
      <x:c r="D125" t="n">
        <x:v>514</x:v>
      </x:c>
      <x:c r="E125" t="n">
        <x:f>SUM(H125:V125)</x:f>
        <x:v>512</x:v>
      </x:c>
      <x:c r="F125" t="n">
        <x:v>2</x:v>
      </x:c>
      <x:c r="G125" s="50" t="str">
        <x:f>IF(C125="","",IFERROR(D125/C125,0))</x:f>
      </x:c>
      <x:c r="H125" s="36" t="n">
        <x:v>142</x:v>
      </x:c>
      <x:c r="I125" t="n">
        <x:v>341</x:v>
      </x:c>
      <x:c r="J125" t="n">
        <x:v>22</x:v>
      </x:c>
      <x:c r="K125" t="n">
        <x:v>0</x:v>
      </x:c>
      <x:c r="L125" t="n">
        <x:v>0</x:v>
      </x:c>
      <x:c r="M125" t="n">
        <x:v>0</x:v>
      </x:c>
      <x:c r="N125" t="n">
        <x:v>2</x:v>
      </x:c>
      <x:c r="O125" t="n">
        <x:v>0</x:v>
      </x:c>
      <x:c r="P125" t="n">
        <x:v>0</x:v>
      </x:c>
      <x:c r="Q125" t="n">
        <x:v>1</x:v>
      </x:c>
      <x:c r="R125" t="n">
        <x:v>0</x:v>
      </x:c>
      <x:c r="S125" t="n">
        <x:v>0</x:v>
      </x:c>
      <x:c r="T125" t="n">
        <x:v>1</x:v>
      </x:c>
      <x:c r="U125" t="n">
        <x:v>0</x:v>
      </x:c>
      <x:c r="V125" t="n">
        <x:v>3</x:v>
      </x:c>
      <x:c r="W125" s="50" t="n">
        <x:f>IF(D125=0,"",H125/D125)</x:f>
        <x:v>0.27626459143968873</x:v>
      </x:c>
      <x:c r="X125" t="n">
        <x:f>MAX(I125:V125)</x:f>
        <x:v>341</x:v>
      </x:c>
      <x:c r="Y125" t="n">
        <x:f>H125-X125</x:f>
        <x:v>-199</x:v>
      </x:c>
      <x:c r="Z125" s="52" t="n">
        <x:f>IF(D125=0,"",(Y125)/D125)</x:f>
        <x:v>-0.38715953307393</x:v>
      </x:c>
      <x:c r="AA125" t="str">
        <x:v>Dr. Mahesh Sharma</x:v>
      </x:c>
      <x:c r="AB125" t="n">
        <x:f>D125-E125-F125</x:f>
        <x:v>0</x:v>
      </x:c>
    </x:row>
    <x:row r="126">
      <x:c r="A126" t="n">
        <x:v>118</x:v>
      </x:c>
      <x:c r="B126" t="str">
        <x:v>2024 location: not supplied</x:v>
      </x:c>
      <x:c r="C126"/>
      <x:c r="D126" t="n">
        <x:v>425</x:v>
      </x:c>
      <x:c r="E126" t="n">
        <x:f>SUM(H126:V126)</x:f>
        <x:v>425</x:v>
      </x:c>
      <x:c r="F126" t="n">
        <x:v>0</x:v>
      </x:c>
      <x:c r="G126" s="50" t="str">
        <x:f>IF(C126="","",IFERROR(D126/C126,0))</x:f>
      </x:c>
      <x:c r="H126" s="36" t="n">
        <x:v>38</x:v>
      </x:c>
      <x:c r="I126" t="n">
        <x:v>201</x:v>
      </x:c>
      <x:c r="J126" t="n">
        <x:v>179</x:v>
      </x:c>
      <x:c r="K126" t="n">
        <x:v>0</x:v>
      </x:c>
      <x:c r="L126" t="n">
        <x:v>0</x:v>
      </x:c>
      <x:c r="M126" t="n">
        <x:v>0</x:v>
      </x:c>
      <x:c r="N126" t="n">
        <x:v>1</x:v>
      </x:c>
      <x:c r="O126" t="n">
        <x:v>1</x:v>
      </x:c>
      <x:c r="P126" t="n">
        <x:v>0</x:v>
      </x:c>
      <x:c r="Q126" t="n">
        <x:v>1</x:v>
      </x:c>
      <x:c r="R126" t="n">
        <x:v>0</x:v>
      </x:c>
      <x:c r="S126" t="n">
        <x:v>0</x:v>
      </x:c>
      <x:c r="T126" t="n">
        <x:v>1</x:v>
      </x:c>
      <x:c r="U126" t="n">
        <x:v>3</x:v>
      </x:c>
      <x:c r="V126" t="n">
        <x:v>0</x:v>
      </x:c>
      <x:c r="W126" s="50" t="n">
        <x:f>IF(D126=0,"",H126/D126)</x:f>
        <x:v>0.08941176470588236</x:v>
      </x:c>
      <x:c r="X126" t="n">
        <x:f>MAX(I126:V126)</x:f>
        <x:v>201</x:v>
      </x:c>
      <x:c r="Y126" t="n">
        <x:f>H126-X126</x:f>
        <x:v>-163</x:v>
      </x:c>
      <x:c r="Z126" s="52" t="n">
        <x:f>IF(D126=0,"",(Y126)/D126)</x:f>
        <x:v>-0.3835294117647059</x:v>
      </x:c>
      <x:c r="AA126" t="str">
        <x:v>Dr. Mahesh Sharma</x:v>
      </x:c>
      <x:c r="AB126" t="n">
        <x:f>D126-E126-F126</x:f>
        <x:v>0</x:v>
      </x:c>
    </x:row>
    <x:row r="127">
      <x:c r="A127" t="n">
        <x:v>119</x:v>
      </x:c>
      <x:c r="B127" t="str">
        <x:v>2024 location: not supplied</x:v>
      </x:c>
      <x:c r="C127"/>
      <x:c r="D127" t="n">
        <x:v>514</x:v>
      </x:c>
      <x:c r="E127" t="n">
        <x:f>SUM(H127:V127)</x:f>
        <x:v>510</x:v>
      </x:c>
      <x:c r="F127" t="n">
        <x:v>4</x:v>
      </x:c>
      <x:c r="G127" s="50" t="str">
        <x:f>IF(C127="","",IFERROR(D127/C127,0))</x:f>
      </x:c>
      <x:c r="H127" s="36" t="n">
        <x:v>127</x:v>
      </x:c>
      <x:c r="I127" t="n">
        <x:v>205</x:v>
      </x:c>
      <x:c r="J127" t="n">
        <x:v>166</x:v>
      </x:c>
      <x:c r="K127" t="n">
        <x:v>0</x:v>
      </x:c>
      <x:c r="L127" t="n">
        <x:v>0</x:v>
      </x:c>
      <x:c r="M127" t="n">
        <x:v>0</x:v>
      </x:c>
      <x:c r="N127" t="n">
        <x:v>2</x:v>
      </x:c>
      <x:c r="O127" t="n">
        <x:v>1</x:v>
      </x:c>
      <x:c r="P127" t="n">
        <x:v>1</x:v>
      </x:c>
      <x:c r="Q127" t="n">
        <x:v>1</x:v>
      </x:c>
      <x:c r="R127" t="n">
        <x:v>1</x:v>
      </x:c>
      <x:c r="S127" t="n">
        <x:v>1</x:v>
      </x:c>
      <x:c r="T127" t="n">
        <x:v>0</x:v>
      </x:c>
      <x:c r="U127" t="n">
        <x:v>3</x:v>
      </x:c>
      <x:c r="V127" t="n">
        <x:v>2</x:v>
      </x:c>
      <x:c r="W127" s="50" t="n">
        <x:f>IF(D127=0,"",H127/D127)</x:f>
        <x:v>0.24708171206225682</x:v>
      </x:c>
      <x:c r="X127" t="n">
        <x:f>MAX(I127:V127)</x:f>
        <x:v>205</x:v>
      </x:c>
      <x:c r="Y127" t="n">
        <x:f>H127-X127</x:f>
        <x:v>-78</x:v>
      </x:c>
      <x:c r="Z127" s="52" t="n">
        <x:f>IF(D127=0,"",(Y127)/D127)</x:f>
        <x:v>-0.1517509727626459</x:v>
      </x:c>
      <x:c r="AA127" t="str">
        <x:v>Dr. Mahesh Sharma</x:v>
      </x:c>
      <x:c r="AB127" t="n">
        <x:f>D127-E127-F127</x:f>
        <x:v>0</x:v>
      </x:c>
    </x:row>
    <x:row r="128">
      <x:c r="A128" t="n">
        <x:v>120</x:v>
      </x:c>
      <x:c r="B128" t="str">
        <x:v>2024 location: not supplied</x:v>
      </x:c>
      <x:c r="C128"/>
      <x:c r="D128" t="n">
        <x:v>759</x:v>
      </x:c>
      <x:c r="E128" t="n">
        <x:f>SUM(H128:V128)</x:f>
        <x:v>756</x:v>
      </x:c>
      <x:c r="F128" t="n">
        <x:v>3</x:v>
      </x:c>
      <x:c r="G128" s="50" t="str">
        <x:f>IF(C128="","",IFERROR(D128/C128,0))</x:f>
      </x:c>
      <x:c r="H128" s="36" t="n">
        <x:v>75</x:v>
      </x:c>
      <x:c r="I128" t="n">
        <x:v>158</x:v>
      </x:c>
      <x:c r="J128" t="n">
        <x:v>499</x:v>
      </x:c>
      <x:c r="K128" t="n">
        <x:v>1</x:v>
      </x:c>
      <x:c r="L128" t="n">
        <x:v>2</x:v>
      </x:c>
      <x:c r="M128" t="n">
        <x:v>0</x:v>
      </x:c>
      <x:c r="N128" t="n">
        <x:v>0</x:v>
      </x:c>
      <x:c r="O128" t="n">
        <x:v>1</x:v>
      </x:c>
      <x:c r="P128" t="n">
        <x:v>0</x:v>
      </x:c>
      <x:c r="Q128" t="n">
        <x:v>1</x:v>
      </x:c>
      <x:c r="R128" t="n">
        <x:v>0</x:v>
      </x:c>
      <x:c r="S128" t="n">
        <x:v>0</x:v>
      </x:c>
      <x:c r="T128" t="n">
        <x:v>1</x:v>
      </x:c>
      <x:c r="U128" t="n">
        <x:v>13</x:v>
      </x:c>
      <x:c r="V128" t="n">
        <x:v>5</x:v>
      </x:c>
      <x:c r="W128" s="50" t="n">
        <x:f>IF(D128=0,"",H128/D128)</x:f>
        <x:v>0.09881422924901186</x:v>
      </x:c>
      <x:c r="X128" t="n">
        <x:f>MAX(I128:V128)</x:f>
        <x:v>499</x:v>
      </x:c>
      <x:c r="Y128" t="n">
        <x:f>H128-X128</x:f>
        <x:v>-424</x:v>
      </x:c>
      <x:c r="Z128" s="52" t="n">
        <x:f>IF(D128=0,"",(Y128)/D128)</x:f>
        <x:v>-0.5586297760210803</x:v>
      </x:c>
      <x:c r="AA128" t="str">
        <x:v>Rajendra Singh Solanki</x:v>
      </x:c>
      <x:c r="AB128" t="n">
        <x:f>D128-E128-F128</x:f>
        <x:v>0</x:v>
      </x:c>
    </x:row>
    <x:row r="129">
      <x:c r="A129" t="n">
        <x:v>121</x:v>
      </x:c>
      <x:c r="B129" t="str">
        <x:v>2024 location: not supplied</x:v>
      </x:c>
      <x:c r="C129"/>
      <x:c r="D129" t="n">
        <x:v>627</x:v>
      </x:c>
      <x:c r="E129" t="n">
        <x:f>SUM(H129:V129)</x:f>
        <x:v>623</x:v>
      </x:c>
      <x:c r="F129" t="n">
        <x:v>4</x:v>
      </x:c>
      <x:c r="G129" s="50" t="str">
        <x:f>IF(C129="","",IFERROR(D129/C129,0))</x:f>
      </x:c>
      <x:c r="H129" s="36" t="n">
        <x:v>127</x:v>
      </x:c>
      <x:c r="I129" t="n">
        <x:v>419</x:v>
      </x:c>
      <x:c r="J129" t="n">
        <x:v>69</x:v>
      </x:c>
      <x:c r="K129" t="n">
        <x:v>0</x:v>
      </x:c>
      <x:c r="L129" t="n">
        <x:v>0</x:v>
      </x:c>
      <x:c r="M129" t="n">
        <x:v>0</x:v>
      </x:c>
      <x:c r="N129" t="n">
        <x:v>2</x:v>
      </x:c>
      <x:c r="O129" t="n">
        <x:v>2</x:v>
      </x:c>
      <x:c r="P129" t="n">
        <x:v>0</x:v>
      </x:c>
      <x:c r="Q129" t="n">
        <x:v>0</x:v>
      </x:c>
      <x:c r="R129" t="n">
        <x:v>0</x:v>
      </x:c>
      <x:c r="S129" t="n">
        <x:v>1</x:v>
      </x:c>
      <x:c r="T129" t="n">
        <x:v>1</x:v>
      </x:c>
      <x:c r="U129" t="n">
        <x:v>2</x:v>
      </x:c>
      <x:c r="V129" t="n">
        <x:v>0</x:v>
      </x:c>
      <x:c r="W129" s="50" t="n">
        <x:f>IF(D129=0,"",H129/D129)</x:f>
        <x:v>0.2025518341307815</x:v>
      </x:c>
      <x:c r="X129" t="n">
        <x:f>MAX(I129:V129)</x:f>
        <x:v>419</x:v>
      </x:c>
      <x:c r="Y129" t="n">
        <x:f>H129-X129</x:f>
        <x:v>-292</x:v>
      </x:c>
      <x:c r="Z129" s="52" t="n">
        <x:f>IF(D129=0,"",(Y129)/D129)</x:f>
        <x:v>-0.46570972886762363</x:v>
      </x:c>
      <x:c r="AA129" t="str">
        <x:v>Dr. Mahesh Sharma</x:v>
      </x:c>
      <x:c r="AB129" t="n">
        <x:f>D129-E129-F129</x:f>
        <x:v>0</x:v>
      </x:c>
    </x:row>
    <x:row r="130">
      <x:c r="A130" t="n">
        <x:v>122</x:v>
      </x:c>
      <x:c r="B130" t="str">
        <x:v>2024 location: not supplied</x:v>
      </x:c>
      <x:c r="C130"/>
      <x:c r="D130" t="n">
        <x:v>587</x:v>
      </x:c>
      <x:c r="E130" t="n">
        <x:f>SUM(H130:V130)</x:f>
        <x:v>583</x:v>
      </x:c>
      <x:c r="F130" t="n">
        <x:v>4</x:v>
      </x:c>
      <x:c r="G130" s="50" t="str">
        <x:f>IF(C130="","",IFERROR(D130/C130,0))</x:f>
      </x:c>
      <x:c r="H130" s="36" t="n">
        <x:v>79</x:v>
      </x:c>
      <x:c r="I130" t="n">
        <x:v>422</x:v>
      </x:c>
      <x:c r="J130" t="n">
        <x:v>65</x:v>
      </x:c>
      <x:c r="K130" t="n">
        <x:v>0</x:v>
      </x:c>
      <x:c r="L130" t="n">
        <x:v>0</x:v>
      </x:c>
      <x:c r="M130" t="n">
        <x:v>0</x:v>
      </x:c>
      <x:c r="N130" t="n">
        <x:v>4</x:v>
      </x:c>
      <x:c r="O130" t="n">
        <x:v>1</x:v>
      </x:c>
      <x:c r="P130" t="n">
        <x:v>3</x:v>
      </x:c>
      <x:c r="Q130" t="n">
        <x:v>0</x:v>
      </x:c>
      <x:c r="R130" t="n">
        <x:v>1</x:v>
      </x:c>
      <x:c r="S130" t="n">
        <x:v>2</x:v>
      </x:c>
      <x:c r="T130" t="n">
        <x:v>0</x:v>
      </x:c>
      <x:c r="U130" t="n">
        <x:v>5</x:v>
      </x:c>
      <x:c r="V130" t="n">
        <x:v>1</x:v>
      </x:c>
      <x:c r="W130" s="50" t="n">
        <x:f>IF(D130=0,"",H130/D130)</x:f>
        <x:v>0.13458262350936967</x:v>
      </x:c>
      <x:c r="X130" t="n">
        <x:f>MAX(I130:V130)</x:f>
        <x:v>422</x:v>
      </x:c>
      <x:c r="Y130" t="n">
        <x:f>H130-X130</x:f>
        <x:v>-343</x:v>
      </x:c>
      <x:c r="Z130" s="52" t="n">
        <x:f>IF(D130=0,"",(Y130)/D130)</x:f>
        <x:v>-0.5843270868824532</x:v>
      </x:c>
      <x:c r="AA130" t="str">
        <x:v>Dr. Mahesh Sharma</x:v>
      </x:c>
      <x:c r="AB130" t="n">
        <x:f>D130-E130-F130</x:f>
        <x:v>0</x:v>
      </x:c>
    </x:row>
    <x:row r="131">
      <x:c r="A131" t="n">
        <x:v>123</x:v>
      </x:c>
      <x:c r="B131" t="str">
        <x:v>2024 location: not supplied</x:v>
      </x:c>
      <x:c r="C131"/>
      <x:c r="D131" t="n">
        <x:v>463</x:v>
      </x:c>
      <x:c r="E131" t="n">
        <x:f>SUM(H131:V131)</x:f>
        <x:v>463</x:v>
      </x:c>
      <x:c r="F131" t="n">
        <x:v>0</x:v>
      </x:c>
      <x:c r="G131" s="50" t="str">
        <x:f>IF(C131="","",IFERROR(D131/C131,0))</x:f>
      </x:c>
      <x:c r="H131" s="36" t="n">
        <x:v>242</x:v>
      </x:c>
      <x:c r="I131" t="n">
        <x:v>206</x:v>
      </x:c>
      <x:c r="J131" t="n">
        <x:v>8</x:v>
      </x:c>
      <x:c r="K131" t="n">
        <x:v>0</x:v>
      </x:c>
      <x:c r="L131" t="n">
        <x:v>2</x:v>
      </x:c>
      <x:c r="M131" t="n">
        <x:v>0</x:v>
      </x:c>
      <x:c r="N131" t="n">
        <x:v>1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2</x:v>
      </x:c>
      <x:c r="T131" t="n">
        <x:v>1</x:v>
      </x:c>
      <x:c r="U131" t="n">
        <x:v>0</x:v>
      </x:c>
      <x:c r="V131" t="n">
        <x:v>1</x:v>
      </x:c>
      <x:c r="W131" s="50" t="n">
        <x:f>IF(D131=0,"",H131/D131)</x:f>
        <x:v>0.5226781857451404</x:v>
      </x:c>
      <x:c r="X131" t="n">
        <x:f>MAX(I131:V131)</x:f>
        <x:v>206</x:v>
      </x:c>
      <x:c r="Y131" t="n">
        <x:f>H131-X131</x:f>
        <x:v>36</x:v>
      </x:c>
      <x:c r="Z131" s="52" t="n">
        <x:f>IF(D131=0,"",(Y131)/D131)</x:f>
        <x:v>0.07775377969762419</x:v>
      </x:c>
      <x:c r="AA131" t="str">
        <x:v>Dr. Mahendra Singh Nagar</x:v>
      </x:c>
      <x:c r="AB131" t="n">
        <x:f>D131-E131-F131</x:f>
        <x:v>0</x:v>
      </x:c>
    </x:row>
    <x:row r="132">
      <x:c r="A132" t="n">
        <x:v>124</x:v>
      </x:c>
      <x:c r="B132" t="str">
        <x:v>2024 location: not supplied</x:v>
      </x:c>
      <x:c r="C132"/>
      <x:c r="D132" t="n">
        <x:v>422</x:v>
      </x:c>
      <x:c r="E132" t="n">
        <x:f>SUM(H132:V132)</x:f>
        <x:v>421</x:v>
      </x:c>
      <x:c r="F132" t="n">
        <x:v>1</x:v>
      </x:c>
      <x:c r="G132" s="50" t="str">
        <x:f>IF(C132="","",IFERROR(D132/C132,0))</x:f>
      </x:c>
      <x:c r="H132" s="36" t="n">
        <x:v>210</x:v>
      </x:c>
      <x:c r="I132" t="n">
        <x:v>199</x:v>
      </x:c>
      <x:c r="J132" t="n">
        <x:v>7</x:v>
      </x:c>
      <x:c r="K132" t="n">
        <x:v>0</x:v>
      </x:c>
      <x:c r="L132" t="n">
        <x:v>2</x:v>
      </x:c>
      <x:c r="M132" t="n">
        <x:v>0</x:v>
      </x:c>
      <x:c r="N132" t="n">
        <x:v>1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1</x:v>
      </x:c>
      <x:c r="V132" t="n">
        <x:v>1</x:v>
      </x:c>
      <x:c r="W132" s="50" t="n">
        <x:f>IF(D132=0,"",H132/D132)</x:f>
        <x:v>0.4976303317535545</x:v>
      </x:c>
      <x:c r="X132" t="n">
        <x:f>MAX(I132:V132)</x:f>
        <x:v>199</x:v>
      </x:c>
      <x:c r="Y132" t="n">
        <x:f>H132-X132</x:f>
        <x:v>11</x:v>
      </x:c>
      <x:c r="Z132" s="52" t="n">
        <x:f>IF(D132=0,"",(Y132)/D132)</x:f>
        <x:v>0.026066350710900472</x:v>
      </x:c>
      <x:c r="AA132" t="str">
        <x:v>Dr. Mahendra Singh Nagar</x:v>
      </x:c>
      <x:c r="AB132" t="n">
        <x:f>D132-E132-F132</x:f>
        <x:v>0</x:v>
      </x:c>
    </x:row>
    <x:row r="133">
      <x:c r="A133" t="n">
        <x:v>125</x:v>
      </x:c>
      <x:c r="B133" t="str">
        <x:v>2024 location: not supplied</x:v>
      </x:c>
      <x:c r="C133"/>
      <x:c r="D133" t="n">
        <x:v>664</x:v>
      </x:c>
      <x:c r="E133" t="n">
        <x:f>SUM(H133:V133)</x:f>
        <x:v>660</x:v>
      </x:c>
      <x:c r="F133" t="n">
        <x:v>4</x:v>
      </x:c>
      <x:c r="G133" s="50" t="str">
        <x:f>IF(C133="","",IFERROR(D133/C133,0))</x:f>
      </x:c>
      <x:c r="H133" s="36" t="n">
        <x:v>74</x:v>
      </x:c>
      <x:c r="I133" t="n">
        <x:v>430</x:v>
      </x:c>
      <x:c r="J133" t="n">
        <x:v>140</x:v>
      </x:c>
      <x:c r="K133" t="n">
        <x:v>1</x:v>
      </x:c>
      <x:c r="L133" t="n">
        <x:v>2</x:v>
      </x:c>
      <x:c r="M133" t="n">
        <x:v>0</x:v>
      </x:c>
      <x:c r="N133" t="n">
        <x:v>4</x:v>
      </x:c>
      <x:c r="O133" t="n">
        <x:v>1</x:v>
      </x:c>
      <x:c r="P133" t="n">
        <x:v>0</x:v>
      </x:c>
      <x:c r="Q133" t="n">
        <x:v>2</x:v>
      </x:c>
      <x:c r="R133" t="n">
        <x:v>1</x:v>
      </x:c>
      <x:c r="S133" t="n">
        <x:v>1</x:v>
      </x:c>
      <x:c r="T133" t="n">
        <x:v>0</x:v>
      </x:c>
      <x:c r="U133" t="n">
        <x:v>1</x:v>
      </x:c>
      <x:c r="V133" t="n">
        <x:v>3</x:v>
      </x:c>
      <x:c r="W133" s="50" t="n">
        <x:f>IF(D133=0,"",H133/D133)</x:f>
        <x:v>0.11144578313253012</x:v>
      </x:c>
      <x:c r="X133" t="n">
        <x:f>MAX(I133:V133)</x:f>
        <x:v>430</x:v>
      </x:c>
      <x:c r="Y133" t="n">
        <x:f>H133-X133</x:f>
        <x:v>-356</x:v>
      </x:c>
      <x:c r="Z133" s="52" t="n">
        <x:f>IF(D133=0,"",(Y133)/D133)</x:f>
        <x:v>-0.536144578313253</x:v>
      </x:c>
      <x:c r="AA133" t="str">
        <x:v>Dr. Mahesh Sharma</x:v>
      </x:c>
      <x:c r="AB133" t="n">
        <x:f>D133-E133-F133</x:f>
        <x:v>0</x:v>
      </x:c>
    </x:row>
    <x:row r="134">
      <x:c r="A134" t="n">
        <x:v>126</x:v>
      </x:c>
      <x:c r="B134" t="str">
        <x:v>2024 location: not supplied</x:v>
      </x:c>
      <x:c r="C134"/>
      <x:c r="D134" t="n">
        <x:v>430</x:v>
      </x:c>
      <x:c r="E134" t="n">
        <x:f>SUM(H134:V134)</x:f>
        <x:v>428</x:v>
      </x:c>
      <x:c r="F134" t="n">
        <x:v>2</x:v>
      </x:c>
      <x:c r="G134" s="50" t="str">
        <x:f>IF(C134="","",IFERROR(D134/C134,0))</x:f>
      </x:c>
      <x:c r="H134" s="36" t="n">
        <x:v>94</x:v>
      </x:c>
      <x:c r="I134" t="n">
        <x:v>276</x:v>
      </x:c>
      <x:c r="J134" t="n">
        <x:v>46</x:v>
      </x:c>
      <x:c r="K134" t="n">
        <x:v>0</x:v>
      </x:c>
      <x:c r="L134" t="n">
        <x:v>1</x:v>
      </x:c>
      <x:c r="M134" t="n">
        <x:v>0</x:v>
      </x:c>
      <x:c r="N134" t="n">
        <x:v>4</x:v>
      </x:c>
      <x:c r="O134" t="n">
        <x:v>2</x:v>
      </x:c>
      <x:c r="P134" t="n">
        <x:v>2</x:v>
      </x:c>
      <x:c r="Q134" t="n">
        <x:v>0</x:v>
      </x:c>
      <x:c r="R134" t="n">
        <x:v>1</x:v>
      </x:c>
      <x:c r="S134" t="n">
        <x:v>0</x:v>
      </x:c>
      <x:c r="T134" t="n">
        <x:v>0</x:v>
      </x:c>
      <x:c r="U134" t="n">
        <x:v>1</x:v>
      </x:c>
      <x:c r="V134" t="n">
        <x:v>1</x:v>
      </x:c>
      <x:c r="W134" s="50" t="n">
        <x:f>IF(D134=0,"",H134/D134)</x:f>
        <x:v>0.2186046511627907</x:v>
      </x:c>
      <x:c r="X134" t="n">
        <x:f>MAX(I134:V134)</x:f>
        <x:v>276</x:v>
      </x:c>
      <x:c r="Y134" t="n">
        <x:f>H134-X134</x:f>
        <x:v>-182</x:v>
      </x:c>
      <x:c r="Z134" s="52" t="n">
        <x:f>IF(D134=0,"",(Y134)/D134)</x:f>
        <x:v>-0.4232558139534884</x:v>
      </x:c>
      <x:c r="AA134" t="str">
        <x:v>Dr. Mahesh Sharma</x:v>
      </x:c>
      <x:c r="AB134" t="n">
        <x:f>D134-E134-F134</x:f>
        <x:v>0</x:v>
      </x:c>
    </x:row>
    <x:row r="135">
      <x:c r="A135" t="n">
        <x:v>127</x:v>
      </x:c>
      <x:c r="B135" t="str">
        <x:v>2024 location: not supplied</x:v>
      </x:c>
      <x:c r="C135"/>
      <x:c r="D135" t="n">
        <x:v>555</x:v>
      </x:c>
      <x:c r="E135" t="n">
        <x:f>SUM(H135:V135)</x:f>
        <x:v>554</x:v>
      </x:c>
      <x:c r="F135" t="n">
        <x:v>1</x:v>
      </x:c>
      <x:c r="G135" s="50" t="str">
        <x:f>IF(C135="","",IFERROR(D135/C135,0))</x:f>
      </x:c>
      <x:c r="H135" s="36" t="n">
        <x:v>24</x:v>
      </x:c>
      <x:c r="I135" t="n">
        <x:v>263</x:v>
      </x:c>
      <x:c r="J135" t="n">
        <x:v>262</x:v>
      </x:c>
      <x:c r="K135" t="n">
        <x:v>0</x:v>
      </x:c>
      <x:c r="L135" t="n">
        <x:v>0</x:v>
      </x:c>
      <x:c r="M135" t="n">
        <x:v>1</x:v>
      </x:c>
      <x:c r="N135" t="n">
        <x:v>2</x:v>
      </x:c>
      <x:c r="O135" t="n">
        <x:v>0</x:v>
      </x:c>
      <x:c r="P135" t="n">
        <x:v>0</x:v>
      </x:c>
      <x:c r="Q135" t="n">
        <x:v>1</x:v>
      </x:c>
      <x:c r="R135" t="n">
        <x:v>0</x:v>
      </x:c>
      <x:c r="S135" t="n">
        <x:v>0</x:v>
      </x:c>
      <x:c r="T135" t="n">
        <x:v>0</x:v>
      </x:c>
      <x:c r="U135" t="n">
        <x:v>1</x:v>
      </x:c>
      <x:c r="V135" t="n">
        <x:v>0</x:v>
      </x:c>
      <x:c r="W135" s="50" t="n">
        <x:f>IF(D135=0,"",H135/D135)</x:f>
        <x:v>0.043243243243243246</x:v>
      </x:c>
      <x:c r="X135" t="n">
        <x:f>MAX(I135:V135)</x:f>
        <x:v>263</x:v>
      </x:c>
      <x:c r="Y135" t="n">
        <x:f>H135-X135</x:f>
        <x:v>-239</x:v>
      </x:c>
      <x:c r="Z135" s="52" t="n">
        <x:f>IF(D135=0,"",(Y135)/D135)</x:f>
        <x:v>-0.4306306306306306</x:v>
      </x:c>
      <x:c r="AA135" t="str">
        <x:v>Dr. Mahesh Sharma</x:v>
      </x:c>
      <x:c r="AB135" t="n">
        <x:f>D135-E135-F135</x:f>
        <x:v>0</x:v>
      </x:c>
    </x:row>
    <x:row r="136">
      <x:c r="A136" t="n">
        <x:v>128</x:v>
      </x:c>
      <x:c r="B136" t="str">
        <x:v>2024 location: not supplied</x:v>
      </x:c>
      <x:c r="C136"/>
      <x:c r="D136" t="n">
        <x:v>727</x:v>
      </x:c>
      <x:c r="E136" t="n">
        <x:f>SUM(H136:V136)</x:f>
        <x:v>727</x:v>
      </x:c>
      <x:c r="F136" t="n">
        <x:v>0</x:v>
      </x:c>
      <x:c r="G136" s="50" t="str">
        <x:f>IF(C136="","",IFERROR(D136/C136,0))</x:f>
      </x:c>
      <x:c r="H136" s="36" t="n">
        <x:v>10</x:v>
      </x:c>
      <x:c r="I136" t="n">
        <x:v>252</x:v>
      </x:c>
      <x:c r="J136" t="n">
        <x:v>447</x:v>
      </x:c>
      <x:c r="K136" t="n">
        <x:v>1</x:v>
      </x:c>
      <x:c r="L136" t="n">
        <x:v>3</x:v>
      </x:c>
      <x:c r="M136" t="n">
        <x:v>0</x:v>
      </x:c>
      <x:c r="N136" t="n">
        <x:v>3</x:v>
      </x:c>
      <x:c r="O136" t="n">
        <x:v>1</x:v>
      </x:c>
      <x:c r="P136" t="n">
        <x:v>1</x:v>
      </x:c>
      <x:c r="Q136" t="n">
        <x:v>0</x:v>
      </x:c>
      <x:c r="R136" t="n">
        <x:v>2</x:v>
      </x:c>
      <x:c r="S136" t="n">
        <x:v>2</x:v>
      </x:c>
      <x:c r="T136" t="n">
        <x:v>0</x:v>
      </x:c>
      <x:c r="U136" t="n">
        <x:v>3</x:v>
      </x:c>
      <x:c r="V136" t="n">
        <x:v>2</x:v>
      </x:c>
      <x:c r="W136" s="50" t="n">
        <x:f>IF(D136=0,"",H136/D136)</x:f>
        <x:v>0.013755158184319119</x:v>
      </x:c>
      <x:c r="X136" t="n">
        <x:f>MAX(I136:V136)</x:f>
        <x:v>447</x:v>
      </x:c>
      <x:c r="Y136" t="n">
        <x:f>H136-X136</x:f>
        <x:v>-437</x:v>
      </x:c>
      <x:c r="Z136" s="52" t="n">
        <x:f>IF(D136=0,"",(Y136)/D136)</x:f>
        <x:v>-0.6011004126547456</x:v>
      </x:c>
      <x:c r="AA136" t="str">
        <x:v>Rajendra Singh Solanki</x:v>
      </x:c>
      <x:c r="AB136" t="n">
        <x:f>D136-E136-F136</x:f>
        <x:v>0</x:v>
      </x:c>
    </x:row>
    <x:row r="137">
      <x:c r="A137" t="n">
        <x:v>129</x:v>
      </x:c>
      <x:c r="B137" t="str">
        <x:v>2024 location: not supplied</x:v>
      </x:c>
      <x:c r="C137"/>
      <x:c r="D137" t="n">
        <x:v>489</x:v>
      </x:c>
      <x:c r="E137" t="n">
        <x:f>SUM(H137:V137)</x:f>
        <x:v>488</x:v>
      </x:c>
      <x:c r="F137" t="n">
        <x:v>1</x:v>
      </x:c>
      <x:c r="G137" s="50" t="str">
        <x:f>IF(C137="","",IFERROR(D137/C137,0))</x:f>
      </x:c>
      <x:c r="H137" s="36" t="n">
        <x:v>45</x:v>
      </x:c>
      <x:c r="I137" t="n">
        <x:v>325</x:v>
      </x:c>
      <x:c r="J137" t="n">
        <x:v>115</x:v>
      </x:c>
      <x:c r="K137" t="n">
        <x:v>0</x:v>
      </x:c>
      <x:c r="L137" t="n">
        <x:v>0</x:v>
      </x:c>
      <x:c r="M137" t="n">
        <x:v>0</x:v>
      </x:c>
      <x:c r="N137" t="n">
        <x:v>2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1</x:v>
      </x:c>
      <x:c r="U137" t="n">
        <x:v>0</x:v>
      </x:c>
      <x:c r="V137" t="n">
        <x:v>0</x:v>
      </x:c>
      <x:c r="W137" s="50" t="n">
        <x:f>IF(D137=0,"",H137/D137)</x:f>
        <x:v>0.09202453987730061</x:v>
      </x:c>
      <x:c r="X137" t="n">
        <x:f>MAX(I137:V137)</x:f>
        <x:v>325</x:v>
      </x:c>
      <x:c r="Y137" t="n">
        <x:f>H137-X137</x:f>
        <x:v>-280</x:v>
      </x:c>
      <x:c r="Z137" s="52" t="n">
        <x:f>IF(D137=0,"",(Y137)/D137)</x:f>
        <x:v>-0.5725971370143149</x:v>
      </x:c>
      <x:c r="AA137" t="str">
        <x:v>Dr. Mahesh Sharma</x:v>
      </x:c>
      <x:c r="AB137" t="n">
        <x:f>D137-E137-F137</x:f>
        <x:v>0</x:v>
      </x:c>
    </x:row>
    <x:row r="138">
      <x:c r="A138" t="n">
        <x:v>130</x:v>
      </x:c>
      <x:c r="B138" t="str">
        <x:v>2024 location: not supplied</x:v>
      </x:c>
      <x:c r="C138"/>
      <x:c r="D138" t="n">
        <x:v>509</x:v>
      </x:c>
      <x:c r="E138" t="n">
        <x:f>SUM(H138:V138)</x:f>
        <x:v>508</x:v>
      </x:c>
      <x:c r="F138" t="n">
        <x:v>1</x:v>
      </x:c>
      <x:c r="G138" s="50" t="str">
        <x:f>IF(C138="","",IFERROR(D138/C138,0))</x:f>
      </x:c>
      <x:c r="H138" s="36" t="n">
        <x:v>59</x:v>
      </x:c>
      <x:c r="I138" t="n">
        <x:v>203</x:v>
      </x:c>
      <x:c r="J138" t="n">
        <x:v>237</x:v>
      </x:c>
      <x:c r="K138" t="n">
        <x:v>0</x:v>
      </x:c>
      <x:c r="L138" t="n">
        <x:v>2</x:v>
      </x:c>
      <x:c r="M138" t="n">
        <x:v>0</x:v>
      </x:c>
      <x:c r="N138" t="n">
        <x:v>0</x:v>
      </x:c>
      <x:c r="O138" t="n">
        <x:v>0</x:v>
      </x:c>
      <x:c r="P138" t="n">
        <x:v>1</x:v>
      </x:c>
      <x:c r="Q138" t="n">
        <x:v>0</x:v>
      </x:c>
      <x:c r="R138" t="n">
        <x:v>0</x:v>
      </x:c>
      <x:c r="S138" t="n">
        <x:v>0</x:v>
      </x:c>
      <x:c r="T138" t="n">
        <x:v>1</x:v>
      </x:c>
      <x:c r="U138" t="n">
        <x:v>3</x:v>
      </x:c>
      <x:c r="V138" t="n">
        <x:v>2</x:v>
      </x:c>
      <x:c r="W138" s="50" t="n">
        <x:f>IF(D138=0,"",H138/D138)</x:f>
        <x:v>0.11591355599214145</x:v>
      </x:c>
      <x:c r="X138" t="n">
        <x:f>MAX(I138:V138)</x:f>
        <x:v>237</x:v>
      </x:c>
      <x:c r="Y138" t="n">
        <x:f>H138-X138</x:f>
        <x:v>-178</x:v>
      </x:c>
      <x:c r="Z138" s="52" t="n">
        <x:f>IF(D138=0,"",(Y138)/D138)</x:f>
        <x:v>-0.34970530451866405</x:v>
      </x:c>
      <x:c r="AA138" t="str">
        <x:v>Rajendra Singh Solanki</x:v>
      </x:c>
      <x:c r="AB138" t="n">
        <x:f>D138-E138-F138</x:f>
        <x:v>0</x:v>
      </x:c>
    </x:row>
    <x:row r="139">
      <x:c r="A139" t="n">
        <x:v>131</x:v>
      </x:c>
      <x:c r="B139" t="str">
        <x:v>2024 location: not supplied</x:v>
      </x:c>
      <x:c r="C139"/>
      <x:c r="D139" t="n">
        <x:v>501</x:v>
      </x:c>
      <x:c r="E139" t="n">
        <x:f>SUM(H139:V139)</x:f>
        <x:v>501</x:v>
      </x:c>
      <x:c r="F139" t="n">
        <x:v>0</x:v>
      </x:c>
      <x:c r="G139" s="50" t="str">
        <x:f>IF(C139="","",IFERROR(D139/C139,0))</x:f>
      </x:c>
      <x:c r="H139" s="36" t="n">
        <x:v>55</x:v>
      </x:c>
      <x:c r="I139" t="n">
        <x:v>327</x:v>
      </x:c>
      <x:c r="J139" t="n">
        <x:v>112</x:v>
      </x:c>
      <x:c r="K139" t="n">
        <x:v>0</x:v>
      </x:c>
      <x:c r="L139" t="n">
        <x:v>2</x:v>
      </x:c>
      <x:c r="M139" t="n">
        <x:v>0</x:v>
      </x:c>
      <x:c r="N139" t="n">
        <x:v>2</x:v>
      </x:c>
      <x:c r="O139" t="n">
        <x:v>0</x:v>
      </x:c>
      <x:c r="P139" t="n">
        <x:v>1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1</x:v>
      </x:c>
      <x:c r="V139" t="n">
        <x:v>1</x:v>
      </x:c>
      <x:c r="W139" s="50" t="n">
        <x:f>IF(D139=0,"",H139/D139)</x:f>
        <x:v>0.10978043912175649</x:v>
      </x:c>
      <x:c r="X139" t="n">
        <x:f>MAX(I139:V139)</x:f>
        <x:v>327</x:v>
      </x:c>
      <x:c r="Y139" t="n">
        <x:f>H139-X139</x:f>
        <x:v>-272</x:v>
      </x:c>
      <x:c r="Z139" s="52" t="n">
        <x:f>IF(D139=0,"",(Y139)/D139)</x:f>
        <x:v>-0.5429141716566867</x:v>
      </x:c>
      <x:c r="AA139" t="str">
        <x:v>Dr. Mahesh Sharma</x:v>
      </x:c>
      <x:c r="AB139" t="n">
        <x:f>D139-E139-F139</x:f>
        <x:v>0</x:v>
      </x:c>
    </x:row>
    <x:row r="140">
      <x:c r="A140" t="n">
        <x:v>132</x:v>
      </x:c>
      <x:c r="B140" t="str">
        <x:v>2024 location: not supplied</x:v>
      </x:c>
      <x:c r="C140"/>
      <x:c r="D140" t="n">
        <x:v>733</x:v>
      </x:c>
      <x:c r="E140" t="n">
        <x:f>SUM(H140:V140)</x:f>
        <x:v>732</x:v>
      </x:c>
      <x:c r="F140" t="n">
        <x:v>1</x:v>
      </x:c>
      <x:c r="G140" s="50" t="str">
        <x:f>IF(C140="","",IFERROR(D140/C140,0))</x:f>
      </x:c>
      <x:c r="H140" s="36" t="n">
        <x:v>47</x:v>
      </x:c>
      <x:c r="I140" t="n">
        <x:v>423</x:v>
      </x:c>
      <x:c r="J140" t="n">
        <x:v>253</x:v>
      </x:c>
      <x:c r="K140" t="n">
        <x:v>0</x:v>
      </x:c>
      <x:c r="L140" t="n">
        <x:v>4</x:v>
      </x:c>
      <x:c r="M140" t="n">
        <x:v>0</x:v>
      </x:c>
      <x:c r="N140" t="n">
        <x:v>1</x:v>
      </x:c>
      <x:c r="O140" t="n">
        <x:v>0</x:v>
      </x:c>
      <x:c r="P140" t="n">
        <x:v>0</x:v>
      </x:c>
      <x:c r="Q140" t="n">
        <x:v>1</x:v>
      </x:c>
      <x:c r="R140" t="n">
        <x:v>0</x:v>
      </x:c>
      <x:c r="S140" t="n">
        <x:v>0</x:v>
      </x:c>
      <x:c r="T140" t="n">
        <x:v>0</x:v>
      </x:c>
      <x:c r="U140" t="n">
        <x:v>1</x:v>
      </x:c>
      <x:c r="V140" t="n">
        <x:v>2</x:v>
      </x:c>
      <x:c r="W140" s="50" t="n">
        <x:f>IF(D140=0,"",H140/D140)</x:f>
        <x:v>0.06412005457025921</x:v>
      </x:c>
      <x:c r="X140" t="n">
        <x:f>MAX(I140:V140)</x:f>
        <x:v>423</x:v>
      </x:c>
      <x:c r="Y140" t="n">
        <x:f>H140-X140</x:f>
        <x:v>-376</x:v>
      </x:c>
      <x:c r="Z140" s="52" t="n">
        <x:f>IF(D140=0,"",(Y140)/D140)</x:f>
        <x:v>-0.5129604365620737</x:v>
      </x:c>
      <x:c r="AA140" t="str">
        <x:v>Dr. Mahesh Sharma</x:v>
      </x:c>
      <x:c r="AB140" t="n">
        <x:f>D140-E140-F140</x:f>
        <x:v>0</x:v>
      </x:c>
    </x:row>
    <x:row r="141">
      <x:c r="A141" t="n">
        <x:v>133</x:v>
      </x:c>
      <x:c r="B141" t="str">
        <x:v>2024 location: not supplied</x:v>
      </x:c>
      <x:c r="C141"/>
      <x:c r="D141" t="n">
        <x:v>514</x:v>
      </x:c>
      <x:c r="E141" t="n">
        <x:f>SUM(H141:V141)</x:f>
        <x:v>513</x:v>
      </x:c>
      <x:c r="F141" t="n">
        <x:v>1</x:v>
      </x:c>
      <x:c r="G141" s="50" t="str">
        <x:f>IF(C141="","",IFERROR(D141/C141,0))</x:f>
      </x:c>
      <x:c r="H141" s="36" t="n">
        <x:v>5</x:v>
      </x:c>
      <x:c r="I141" t="n">
        <x:v>354</x:v>
      </x:c>
      <x:c r="J141" t="n">
        <x:v>147</x:v>
      </x:c>
      <x:c r="K141" t="n">
        <x:v>1</x:v>
      </x:c>
      <x:c r="L141" t="n">
        <x:v>0</x:v>
      </x:c>
      <x:c r="M141" t="n">
        <x:v>0</x:v>
      </x:c>
      <x:c r="N141" t="n">
        <x:v>2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3</x:v>
      </x:c>
      <x:c r="V141" t="n">
        <x:v>1</x:v>
      </x:c>
      <x:c r="W141" s="50" t="n">
        <x:f>IF(D141=0,"",H141/D141)</x:f>
        <x:v>0.009727626459143969</x:v>
      </x:c>
      <x:c r="X141" t="n">
        <x:f>MAX(I141:V141)</x:f>
        <x:v>354</x:v>
      </x:c>
      <x:c r="Y141" t="n">
        <x:f>H141-X141</x:f>
        <x:v>-349</x:v>
      </x:c>
      <x:c r="Z141" s="52" t="n">
        <x:f>IF(D141=0,"",(Y141)/D141)</x:f>
        <x:v>-0.6789883268482491</x:v>
      </x:c>
      <x:c r="AA141" t="str">
        <x:v>Dr. Mahesh Sharma</x:v>
      </x:c>
      <x:c r="AB141" t="n">
        <x:f>D141-E141-F141</x:f>
        <x:v>0</x:v>
      </x:c>
    </x:row>
    <x:row r="142">
      <x:c r="A142" t="n">
        <x:v>134</x:v>
      </x:c>
      <x:c r="B142" t="str">
        <x:v>2024 location: not supplied</x:v>
      </x:c>
      <x:c r="C142"/>
      <x:c r="D142" t="n">
        <x:v>609</x:v>
      </x:c>
      <x:c r="E142" t="n">
        <x:f>SUM(H142:V142)</x:f>
        <x:v>605</x:v>
      </x:c>
      <x:c r="F142" t="n">
        <x:v>4</x:v>
      </x:c>
      <x:c r="G142" s="50" t="str">
        <x:f>IF(C142="","",IFERROR(D142/C142,0))</x:f>
      </x:c>
      <x:c r="H142" s="36" t="n">
        <x:v>128</x:v>
      </x:c>
      <x:c r="I142" t="n">
        <x:v>107</x:v>
      </x:c>
      <x:c r="J142" t="n">
        <x:v>358</x:v>
      </x:c>
      <x:c r="K142" t="n">
        <x:v>0</x:v>
      </x:c>
      <x:c r="L142" t="n">
        <x:v>6</x:v>
      </x:c>
      <x:c r="M142" t="n">
        <x:v>0</x:v>
      </x:c>
      <x:c r="N142" t="n">
        <x:v>0</x:v>
      </x:c>
      <x:c r="O142" t="n">
        <x:v>1</x:v>
      </x:c>
      <x:c r="P142" t="n">
        <x:v>1</x:v>
      </x:c>
      <x:c r="Q142" t="n">
        <x:v>0</x:v>
      </x:c>
      <x:c r="R142" t="n">
        <x:v>1</x:v>
      </x:c>
      <x:c r="S142" t="n">
        <x:v>0</x:v>
      </x:c>
      <x:c r="T142" t="n">
        <x:v>0</x:v>
      </x:c>
      <x:c r="U142" t="n">
        <x:v>2</x:v>
      </x:c>
      <x:c r="V142" t="n">
        <x:v>1</x:v>
      </x:c>
      <x:c r="W142" s="50" t="n">
        <x:f>IF(D142=0,"",H142/D142)</x:f>
        <x:v>0.21018062397372742</x:v>
      </x:c>
      <x:c r="X142" t="n">
        <x:f>MAX(I142:V142)</x:f>
        <x:v>358</x:v>
      </x:c>
      <x:c r="Y142" t="n">
        <x:f>H142-X142</x:f>
        <x:v>-230</x:v>
      </x:c>
      <x:c r="Z142" s="52" t="n">
        <x:f>IF(D142=0,"",(Y142)/D142)</x:f>
        <x:v>-0.37766830870279144</x:v>
      </x:c>
      <x:c r="AA142" t="str">
        <x:v>Rajendra Singh Solanki</x:v>
      </x:c>
      <x:c r="AB142" t="n">
        <x:f>D142-E142-F142</x:f>
        <x:v>0</x:v>
      </x:c>
    </x:row>
    <x:row r="143">
      <x:c r="A143" t="n">
        <x:v>135</x:v>
      </x:c>
      <x:c r="B143" t="str">
        <x:v>2024 location: not supplied</x:v>
      </x:c>
      <x:c r="C143"/>
      <x:c r="D143" t="n">
        <x:v>808</x:v>
      </x:c>
      <x:c r="E143" t="n">
        <x:f>SUM(H143:V143)</x:f>
        <x:v>798</x:v>
      </x:c>
      <x:c r="F143" t="n">
        <x:v>10</x:v>
      </x:c>
      <x:c r="G143" s="50" t="str">
        <x:f>IF(C143="","",IFERROR(D143/C143,0))</x:f>
      </x:c>
      <x:c r="H143" s="36" t="n">
        <x:v>242</x:v>
      </x:c>
      <x:c r="I143" t="n">
        <x:v>79</x:v>
      </x:c>
      <x:c r="J143" t="n">
        <x:v>454</x:v>
      </x:c>
      <x:c r="K143" t="n">
        <x:v>2</x:v>
      </x:c>
      <x:c r="L143" t="n">
        <x:v>2</x:v>
      </x:c>
      <x:c r="M143" t="n">
        <x:v>1</x:v>
      </x:c>
      <x:c r="N143" t="n">
        <x:v>4</x:v>
      </x:c>
      <x:c r="O143" t="n">
        <x:v>1</x:v>
      </x:c>
      <x:c r="P143" t="n">
        <x:v>2</x:v>
      </x:c>
      <x:c r="Q143" t="n">
        <x:v>2</x:v>
      </x:c>
      <x:c r="R143" t="n">
        <x:v>1</x:v>
      </x:c>
      <x:c r="S143" t="n">
        <x:v>0</x:v>
      </x:c>
      <x:c r="T143" t="n">
        <x:v>0</x:v>
      </x:c>
      <x:c r="U143" t="n">
        <x:v>7</x:v>
      </x:c>
      <x:c r="V143" t="n">
        <x:v>1</x:v>
      </x:c>
      <x:c r="W143" s="50" t="n">
        <x:f>IF(D143=0,"",H143/D143)</x:f>
        <x:v>0.2995049504950495</x:v>
      </x:c>
      <x:c r="X143" t="n">
        <x:f>MAX(I143:V143)</x:f>
        <x:v>454</x:v>
      </x:c>
      <x:c r="Y143" t="n">
        <x:f>H143-X143</x:f>
        <x:v>-212</x:v>
      </x:c>
      <x:c r="Z143" s="52" t="n">
        <x:f>IF(D143=0,"",(Y143)/D143)</x:f>
        <x:v>-0.2623762376237624</x:v>
      </x:c>
      <x:c r="AA143" t="str">
        <x:v>Rajendra Singh Solanki</x:v>
      </x:c>
      <x:c r="AB143" t="n">
        <x:f>D143-E143-F143</x:f>
        <x:v>0</x:v>
      </x:c>
    </x:row>
    <x:row r="144">
      <x:c r="A144" t="n">
        <x:v>136</x:v>
      </x:c>
      <x:c r="B144" t="str">
        <x:v>2024 location: not supplied</x:v>
      </x:c>
      <x:c r="C144"/>
      <x:c r="D144" t="n">
        <x:v>596</x:v>
      </x:c>
      <x:c r="E144" t="n">
        <x:f>SUM(H144:V144)</x:f>
        <x:v>594</x:v>
      </x:c>
      <x:c r="F144" t="n">
        <x:v>2</x:v>
      </x:c>
      <x:c r="G144" s="50" t="str">
        <x:f>IF(C144="","",IFERROR(D144/C144,0))</x:f>
      </x:c>
      <x:c r="H144" s="36" t="n">
        <x:v>10</x:v>
      </x:c>
      <x:c r="I144" t="n">
        <x:v>378</x:v>
      </x:c>
      <x:c r="J144" t="n">
        <x:v>189</x:v>
      </x:c>
      <x:c r="K144" t="n">
        <x:v>0</x:v>
      </x:c>
      <x:c r="L144" t="n">
        <x:v>0</x:v>
      </x:c>
      <x:c r="M144" t="n">
        <x:v>0</x:v>
      </x:c>
      <x:c r="N144" t="n">
        <x:v>3</x:v>
      </x:c>
      <x:c r="O144" t="n">
        <x:v>2</x:v>
      </x:c>
      <x:c r="P144" t="n">
        <x:v>2</x:v>
      </x:c>
      <x:c r="Q144" t="n">
        <x:v>1</x:v>
      </x:c>
      <x:c r="R144" t="n">
        <x:v>0</x:v>
      </x:c>
      <x:c r="S144" t="n">
        <x:v>0</x:v>
      </x:c>
      <x:c r="T144" t="n">
        <x:v>1</x:v>
      </x:c>
      <x:c r="U144" t="n">
        <x:v>5</x:v>
      </x:c>
      <x:c r="V144" t="n">
        <x:v>3</x:v>
      </x:c>
      <x:c r="W144" s="50" t="n">
        <x:f>IF(D144=0,"",H144/D144)</x:f>
        <x:v>0.016778523489932886</x:v>
      </x:c>
      <x:c r="X144" t="n">
        <x:f>MAX(I144:V144)</x:f>
        <x:v>378</x:v>
      </x:c>
      <x:c r="Y144" t="n">
        <x:f>H144-X144</x:f>
        <x:v>-368</x:v>
      </x:c>
      <x:c r="Z144" s="52" t="n">
        <x:f>IF(D144=0,"",(Y144)/D144)</x:f>
        <x:v>-0.6174496644295302</x:v>
      </x:c>
      <x:c r="AA144" t="str">
        <x:v>Dr. Mahesh Sharma</x:v>
      </x:c>
      <x:c r="AB144" t="n">
        <x:f>D144-E144-F144</x:f>
        <x:v>0</x:v>
      </x:c>
    </x:row>
    <x:row r="145">
      <x:c r="A145" t="n">
        <x:v>137</x:v>
      </x:c>
      <x:c r="B145" t="str">
        <x:v>2024 location: not supplied</x:v>
      </x:c>
      <x:c r="C145"/>
      <x:c r="D145" t="n">
        <x:v>473</x:v>
      </x:c>
      <x:c r="E145" t="n">
        <x:f>SUM(H145:V145)</x:f>
        <x:v>471</x:v>
      </x:c>
      <x:c r="F145" t="n">
        <x:v>2</x:v>
      </x:c>
      <x:c r="G145" s="50" t="str">
        <x:f>IF(C145="","",IFERROR(D145/C145,0))</x:f>
      </x:c>
      <x:c r="H145" s="36" t="n">
        <x:v>17</x:v>
      </x:c>
      <x:c r="I145" t="n">
        <x:v>330</x:v>
      </x:c>
      <x:c r="J145" t="n">
        <x:v>121</x:v>
      </x:c>
      <x:c r="K145" t="n">
        <x:v>0</x:v>
      </x:c>
      <x:c r="L145" t="n">
        <x:v>1</x:v>
      </x:c>
      <x:c r="M145" t="n">
        <x:v>0</x:v>
      </x:c>
      <x:c r="N145" t="n">
        <x:v>1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1</x:v>
      </x:c>
      <x:c r="W145" s="50" t="n">
        <x:f>IF(D145=0,"",H145/D145)</x:f>
        <x:v>0.035940803382663845</x:v>
      </x:c>
      <x:c r="X145" t="n">
        <x:f>MAX(I145:V145)</x:f>
        <x:v>330</x:v>
      </x:c>
      <x:c r="Y145" t="n">
        <x:f>H145-X145</x:f>
        <x:v>-313</x:v>
      </x:c>
      <x:c r="Z145" s="52" t="n">
        <x:f>IF(D145=0,"",(Y145)/D145)</x:f>
        <x:v>-0.6617336152219874</x:v>
      </x:c>
      <x:c r="AA145" t="str">
        <x:v>Dr. Mahesh Sharma</x:v>
      </x:c>
      <x:c r="AB145" t="n">
        <x:f>D145-E145-F145</x:f>
        <x:v>0</x:v>
      </x:c>
    </x:row>
    <x:row r="146">
      <x:c r="A146" t="n">
        <x:v>138</x:v>
      </x:c>
      <x:c r="B146" t="str">
        <x:v>2024 location: not supplied</x:v>
      </x:c>
      <x:c r="C146"/>
      <x:c r="D146" t="n">
        <x:v>645</x:v>
      </x:c>
      <x:c r="E146" t="n">
        <x:f>SUM(H146:V146)</x:f>
        <x:v>644</x:v>
      </x:c>
      <x:c r="F146" t="n">
        <x:v>1</x:v>
      </x:c>
      <x:c r="G146" s="50" t="str">
        <x:f>IF(C146="","",IFERROR(D146/C146,0))</x:f>
      </x:c>
      <x:c r="H146" s="36" t="n">
        <x:v>51</x:v>
      </x:c>
      <x:c r="I146" t="n">
        <x:v>296</x:v>
      </x:c>
      <x:c r="J146" t="n">
        <x:v>290</x:v>
      </x:c>
      <x:c r="K146" t="n">
        <x:v>0</x:v>
      </x:c>
      <x:c r="L146" t="n">
        <x:v>2</x:v>
      </x:c>
      <x:c r="M146" t="n">
        <x:v>0</x:v>
      </x:c>
      <x:c r="N146" t="n">
        <x:v>0</x:v>
      </x:c>
      <x:c r="O146" t="n">
        <x:v>0</x:v>
      </x:c>
      <x:c r="P146" t="n">
        <x:v>2</x:v>
      </x:c>
      <x:c r="Q146" t="n">
        <x:v>2</x:v>
      </x:c>
      <x:c r="R146" t="n">
        <x:v>1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s="50" t="n">
        <x:f>IF(D146=0,"",H146/D146)</x:f>
        <x:v>0.07906976744186046</x:v>
      </x:c>
      <x:c r="X146" t="n">
        <x:f>MAX(I146:V146)</x:f>
        <x:v>296</x:v>
      </x:c>
      <x:c r="Y146" t="n">
        <x:f>H146-X146</x:f>
        <x:v>-245</x:v>
      </x:c>
      <x:c r="Z146" s="52" t="n">
        <x:f>IF(D146=0,"",(Y146)/D146)</x:f>
        <x:v>-0.3798449612403101</x:v>
      </x:c>
      <x:c r="AA146" t="str">
        <x:v>Dr. Mahesh Sharma</x:v>
      </x:c>
      <x:c r="AB146" t="n">
        <x:f>D146-E146-F146</x:f>
        <x:v>0</x:v>
      </x:c>
    </x:row>
    <x:row r="147">
      <x:c r="A147" t="n">
        <x:v>139</x:v>
      </x:c>
      <x:c r="B147" t="str">
        <x:v>2024 location: not supplied</x:v>
      </x:c>
      <x:c r="C147"/>
      <x:c r="D147" t="n">
        <x:v>576</x:v>
      </x:c>
      <x:c r="E147" t="n">
        <x:f>SUM(H147:V147)</x:f>
        <x:v>574</x:v>
      </x:c>
      <x:c r="F147" t="n">
        <x:v>2</x:v>
      </x:c>
      <x:c r="G147" s="50" t="str">
        <x:f>IF(C147="","",IFERROR(D147/C147,0))</x:f>
      </x:c>
      <x:c r="H147" s="36" t="n">
        <x:v>30</x:v>
      </x:c>
      <x:c r="I147" t="n">
        <x:v>325</x:v>
      </x:c>
      <x:c r="J147" t="n">
        <x:v>211</x:v>
      </x:c>
      <x:c r="K147" t="n">
        <x:v>0</x:v>
      </x:c>
      <x:c r="L147" t="n">
        <x:v>2</x:v>
      </x:c>
      <x:c r="M147" t="n">
        <x:v>1</x:v>
      </x:c>
      <x:c r="N147" t="n">
        <x:v>1</x:v>
      </x:c>
      <x:c r="O147" t="n">
        <x:v>0</x:v>
      </x:c>
      <x:c r="P147" t="n">
        <x:v>1</x:v>
      </x:c>
      <x:c r="Q147" t="n">
        <x:v>1</x:v>
      </x:c>
      <x:c r="R147" t="n">
        <x:v>1</x:v>
      </x:c>
      <x:c r="S147" t="n">
        <x:v>0</x:v>
      </x:c>
      <x:c r="T147" t="n">
        <x:v>0</x:v>
      </x:c>
      <x:c r="U147" t="n">
        <x:v>1</x:v>
      </x:c>
      <x:c r="V147" t="n">
        <x:v>0</x:v>
      </x:c>
      <x:c r="W147" s="50" t="n">
        <x:f>IF(D147=0,"",H147/D147)</x:f>
        <x:v>0.052083333333333336</x:v>
      </x:c>
      <x:c r="X147" t="n">
        <x:f>MAX(I147:V147)</x:f>
        <x:v>325</x:v>
      </x:c>
      <x:c r="Y147" t="n">
        <x:f>H147-X147</x:f>
        <x:v>-295</x:v>
      </x:c>
      <x:c r="Z147" s="52" t="n">
        <x:f>IF(D147=0,"",(Y147)/D147)</x:f>
        <x:v>-0.5121527777777778</x:v>
      </x:c>
      <x:c r="AA147" t="str">
        <x:v>Dr. Mahesh Sharma</x:v>
      </x:c>
      <x:c r="AB147" t="n">
        <x:f>D147-E147-F147</x:f>
        <x:v>0</x:v>
      </x:c>
    </x:row>
    <x:row r="148">
      <x:c r="A148" t="n">
        <x:v>140</x:v>
      </x:c>
      <x:c r="B148" t="str">
        <x:v>2024 location: not supplied</x:v>
      </x:c>
      <x:c r="C148"/>
      <x:c r="D148" t="n">
        <x:v>451</x:v>
      </x:c>
      <x:c r="E148" t="n">
        <x:f>SUM(H148:V148)</x:f>
        <x:v>450</x:v>
      </x:c>
      <x:c r="F148" t="n">
        <x:v>1</x:v>
      </x:c>
      <x:c r="G148" s="50" t="str">
        <x:f>IF(C148="","",IFERROR(D148/C148,0))</x:f>
      </x:c>
      <x:c r="H148" s="36" t="n">
        <x:v>6</x:v>
      </x:c>
      <x:c r="I148" t="n">
        <x:v>286</x:v>
      </x:c>
      <x:c r="J148" t="n">
        <x:v>151</x:v>
      </x:c>
      <x:c r="K148" t="n">
        <x:v>0</x:v>
      </x:c>
      <x:c r="L148" t="n">
        <x:v>1</x:v>
      </x:c>
      <x:c r="M148" t="n">
        <x:v>0</x:v>
      </x:c>
      <x:c r="N148" t="n">
        <x:v>1</x:v>
      </x:c>
      <x:c r="O148" t="n">
        <x:v>0</x:v>
      </x:c>
      <x:c r="P148" t="n">
        <x:v>1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4</x:v>
      </x:c>
      <x:c r="V148" t="n">
        <x:v>0</x:v>
      </x:c>
      <x:c r="W148" s="50" t="n">
        <x:f>IF(D148=0,"",H148/D148)</x:f>
        <x:v>0.013303769401330377</x:v>
      </x:c>
      <x:c r="X148" t="n">
        <x:f>MAX(I148:V148)</x:f>
        <x:v>286</x:v>
      </x:c>
      <x:c r="Y148" t="n">
        <x:f>H148-X148</x:f>
        <x:v>-280</x:v>
      </x:c>
      <x:c r="Z148" s="52" t="n">
        <x:f>IF(D148=0,"",(Y148)/D148)</x:f>
        <x:v>-0.6208425720620843</x:v>
      </x:c>
      <x:c r="AA148" t="str">
        <x:v>Dr. Mahesh Sharma</x:v>
      </x:c>
      <x:c r="AB148" t="n">
        <x:f>D148-E148-F148</x:f>
        <x:v>0</x:v>
      </x:c>
    </x:row>
    <x:row r="149">
      <x:c r="A149" t="n">
        <x:v>141</x:v>
      </x:c>
      <x:c r="B149" t="str">
        <x:v>2024 location: not supplied</x:v>
      </x:c>
      <x:c r="C149"/>
      <x:c r="D149" t="n">
        <x:v>433</x:v>
      </x:c>
      <x:c r="E149" t="n">
        <x:f>SUM(H149:V149)</x:f>
        <x:v>433</x:v>
      </x:c>
      <x:c r="F149" t="n">
        <x:v>0</x:v>
      </x:c>
      <x:c r="G149" s="50" t="str">
        <x:f>IF(C149="","",IFERROR(D149/C149,0))</x:f>
      </x:c>
      <x:c r="H149" s="36" t="n">
        <x:v>6</x:v>
      </x:c>
      <x:c r="I149" t="n">
        <x:v>280</x:v>
      </x:c>
      <x:c r="J149" t="n">
        <x:v>138</x:v>
      </x:c>
      <x:c r="K149" t="n">
        <x:v>1</x:v>
      </x:c>
      <x:c r="L149" t="n">
        <x:v>0</x:v>
      </x:c>
      <x:c r="M149" t="n">
        <x:v>0</x:v>
      </x:c>
      <x:c r="N149" t="n">
        <x:v>0</x:v>
      </x:c>
      <x:c r="O149" t="n">
        <x:v>3</x:v>
      </x:c>
      <x:c r="P149" t="n">
        <x:v>1</x:v>
      </x:c>
      <x:c r="Q149" t="n">
        <x:v>0</x:v>
      </x:c>
      <x:c r="R149" t="n">
        <x:v>0</x:v>
      </x:c>
      <x:c r="S149" t="n">
        <x:v>0</x:v>
      </x:c>
      <x:c r="T149" t="n">
        <x:v>1</x:v>
      </x:c>
      <x:c r="U149" t="n">
        <x:v>2</x:v>
      </x:c>
      <x:c r="V149" t="n">
        <x:v>1</x:v>
      </x:c>
      <x:c r="W149" s="50" t="n">
        <x:f>IF(D149=0,"",H149/D149)</x:f>
        <x:v>0.013856812933025405</x:v>
      </x:c>
      <x:c r="X149" t="n">
        <x:f>MAX(I149:V149)</x:f>
        <x:v>280</x:v>
      </x:c>
      <x:c r="Y149" t="n">
        <x:f>H149-X149</x:f>
        <x:v>-274</x:v>
      </x:c>
      <x:c r="Z149" s="52" t="n">
        <x:f>IF(D149=0,"",(Y149)/D149)</x:f>
        <x:v>-0.6327944572748267</x:v>
      </x:c>
      <x:c r="AA149" t="str">
        <x:v>Dr. Mahesh Sharma</x:v>
      </x:c>
      <x:c r="AB149" t="n">
        <x:f>D149-E149-F149</x:f>
        <x:v>0</x:v>
      </x:c>
    </x:row>
    <x:row r="150">
      <x:c r="A150" t="n">
        <x:v>142</x:v>
      </x:c>
      <x:c r="B150" t="str">
        <x:v>2024 location: not supplied</x:v>
      </x:c>
      <x:c r="C150"/>
      <x:c r="D150" t="n">
        <x:v>350</x:v>
      </x:c>
      <x:c r="E150" t="n">
        <x:f>SUM(H150:V150)</x:f>
        <x:v>350</x:v>
      </x:c>
      <x:c r="F150" t="n">
        <x:v>0</x:v>
      </x:c>
      <x:c r="G150" s="50" t="str">
        <x:f>IF(C150="","",IFERROR(D150/C150,0))</x:f>
      </x:c>
      <x:c r="H150" s="36" t="n">
        <x:v>10</x:v>
      </x:c>
      <x:c r="I150" t="n">
        <x:v>193</x:v>
      </x:c>
      <x:c r="J150" t="n">
        <x:v>139</x:v>
      </x:c>
      <x:c r="K150" t="n">
        <x:v>0</x:v>
      </x:c>
      <x:c r="L150" t="n">
        <x:v>1</x:v>
      </x:c>
      <x:c r="M150" t="n">
        <x:v>1</x:v>
      </x:c>
      <x:c r="N150" t="n">
        <x:v>3</x:v>
      </x:c>
      <x:c r="O150" t="n">
        <x:v>0</x:v>
      </x:c>
      <x:c r="P150" t="n">
        <x:v>1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1</x:v>
      </x:c>
      <x:c r="V150" t="n">
        <x:v>1</x:v>
      </x:c>
      <x:c r="W150" s="50" t="n">
        <x:f>IF(D150=0,"",H150/D150)</x:f>
        <x:v>0.02857142857142857</x:v>
      </x:c>
      <x:c r="X150" t="n">
        <x:f>MAX(I150:V150)</x:f>
        <x:v>193</x:v>
      </x:c>
      <x:c r="Y150" t="n">
        <x:f>H150-X150</x:f>
        <x:v>-183</x:v>
      </x:c>
      <x:c r="Z150" s="52" t="n">
        <x:f>IF(D150=0,"",(Y150)/D150)</x:f>
        <x:v>-0.5228571428571429</x:v>
      </x:c>
      <x:c r="AA150" t="str">
        <x:v>Dr. Mahesh Sharma</x:v>
      </x:c>
      <x:c r="AB150" t="n">
        <x:f>D150-E150-F150</x:f>
        <x:v>0</x:v>
      </x:c>
    </x:row>
    <x:row r="151">
      <x:c r="A151" t="n">
        <x:v>143</x:v>
      </x:c>
      <x:c r="B151" t="str">
        <x:v>2024 location: not supplied</x:v>
      </x:c>
      <x:c r="C151"/>
      <x:c r="D151" t="n">
        <x:v>608</x:v>
      </x:c>
      <x:c r="E151" t="n">
        <x:f>SUM(H151:V151)</x:f>
        <x:v>607</x:v>
      </x:c>
      <x:c r="F151" t="n">
        <x:v>1</x:v>
      </x:c>
      <x:c r="G151" s="50" t="str">
        <x:f>IF(C151="","",IFERROR(D151/C151,0))</x:f>
      </x:c>
      <x:c r="H151" s="36" t="n">
        <x:v>21</x:v>
      </x:c>
      <x:c r="I151" t="n">
        <x:v>174</x:v>
      </x:c>
      <x:c r="J151" t="n">
        <x:v>395</x:v>
      </x:c>
      <x:c r="K151" t="n">
        <x:v>0</x:v>
      </x:c>
      <x:c r="L151" t="n">
        <x:v>3</x:v>
      </x:c>
      <x:c r="M151" t="n">
        <x:v>1</x:v>
      </x:c>
      <x:c r="N151" t="n">
        <x:v>2</x:v>
      </x:c>
      <x:c r="O151" t="n">
        <x:v>0</x:v>
      </x:c>
      <x:c r="P151" t="n">
        <x:v>1</x:v>
      </x:c>
      <x:c r="Q151" t="n">
        <x:v>2</x:v>
      </x:c>
      <x:c r="R151" t="n">
        <x:v>1</x:v>
      </x:c>
      <x:c r="S151" t="n">
        <x:v>2</x:v>
      </x:c>
      <x:c r="T151" t="n">
        <x:v>1</x:v>
      </x:c>
      <x:c r="U151" t="n">
        <x:v>4</x:v>
      </x:c>
      <x:c r="V151" t="n">
        <x:v>0</x:v>
      </x:c>
      <x:c r="W151" s="50" t="n">
        <x:f>IF(D151=0,"",H151/D151)</x:f>
        <x:v>0.03453947368421053</x:v>
      </x:c>
      <x:c r="X151" t="n">
        <x:f>MAX(I151:V151)</x:f>
        <x:v>395</x:v>
      </x:c>
      <x:c r="Y151" t="n">
        <x:f>H151-X151</x:f>
        <x:v>-374</x:v>
      </x:c>
      <x:c r="Z151" s="52" t="n">
        <x:f>IF(D151=0,"",(Y151)/D151)</x:f>
        <x:v>-0.6151315789473685</x:v>
      </x:c>
      <x:c r="AA151" t="str">
        <x:v>Rajendra Singh Solanki</x:v>
      </x:c>
      <x:c r="AB151" t="n">
        <x:f>D151-E151-F151</x:f>
        <x:v>0</x:v>
      </x:c>
    </x:row>
    <x:row r="152">
      <x:c r="A152" t="n">
        <x:v>144</x:v>
      </x:c>
      <x:c r="B152" t="str">
        <x:v>2024 location: not supplied</x:v>
      </x:c>
      <x:c r="C152"/>
      <x:c r="D152" t="n">
        <x:v>598</x:v>
      </x:c>
      <x:c r="E152" t="n">
        <x:f>SUM(H152:V152)</x:f>
        <x:v>597</x:v>
      </x:c>
      <x:c r="F152" t="n">
        <x:v>1</x:v>
      </x:c>
      <x:c r="G152" s="50" t="str">
        <x:f>IF(C152="","",IFERROR(D152/C152,0))</x:f>
      </x:c>
      <x:c r="H152" s="36" t="n">
        <x:v>5</x:v>
      </x:c>
      <x:c r="I152" t="n">
        <x:v>311</x:v>
      </x:c>
      <x:c r="J152" t="n">
        <x:v>263</x:v>
      </x:c>
      <x:c r="K152" t="n">
        <x:v>0</x:v>
      </x:c>
      <x:c r="L152" t="n">
        <x:v>3</x:v>
      </x:c>
      <x:c r="M152" t="n">
        <x:v>1</x:v>
      </x:c>
      <x:c r="N152" t="n">
        <x:v>6</x:v>
      </x:c>
      <x:c r="O152" t="n">
        <x:v>1</x:v>
      </x:c>
      <x:c r="P152" t="n">
        <x:v>1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4</x:v>
      </x:c>
      <x:c r="V152" t="n">
        <x:v>2</x:v>
      </x:c>
      <x:c r="W152" s="50" t="n">
        <x:f>IF(D152=0,"",H152/D152)</x:f>
        <x:v>0.008361204013377926</x:v>
      </x:c>
      <x:c r="X152" t="n">
        <x:f>MAX(I152:V152)</x:f>
        <x:v>311</x:v>
      </x:c>
      <x:c r="Y152" t="n">
        <x:f>H152-X152</x:f>
        <x:v>-306</x:v>
      </x:c>
      <x:c r="Z152" s="52" t="n">
        <x:f>IF(D152=0,"",(Y152)/D152)</x:f>
        <x:v>-0.5117056856187291</x:v>
      </x:c>
      <x:c r="AA152" t="str">
        <x:v>Dr. Mahesh Sharma</x:v>
      </x:c>
      <x:c r="AB152" t="n">
        <x:f>D152-E152-F152</x:f>
        <x:v>0</x:v>
      </x:c>
    </x:row>
    <x:row r="153">
      <x:c r="A153" t="n">
        <x:v>145</x:v>
      </x:c>
      <x:c r="B153" t="str">
        <x:v>2024 location: not supplied</x:v>
      </x:c>
      <x:c r="C153"/>
      <x:c r="D153" t="n">
        <x:v>306</x:v>
      </x:c>
      <x:c r="E153" t="n">
        <x:f>SUM(H153:V153)</x:f>
        <x:v>306</x:v>
      </x:c>
      <x:c r="F153" t="n">
        <x:v>0</x:v>
      </x:c>
      <x:c r="G153" s="50" t="str">
        <x:f>IF(C153="","",IFERROR(D153/C153,0))</x:f>
      </x:c>
      <x:c r="H153" s="36" t="n">
        <x:v>2</x:v>
      </x:c>
      <x:c r="I153" t="n">
        <x:v>144</x:v>
      </x:c>
      <x:c r="J153" t="n">
        <x:v>152</x:v>
      </x:c>
      <x:c r="K153" t="n">
        <x:v>0</x:v>
      </x:c>
      <x:c r="L153" t="n">
        <x:v>1</x:v>
      </x:c>
      <x:c r="M153" t="n">
        <x:v>0</x:v>
      </x:c>
      <x:c r="N153" t="n">
        <x:v>2</x:v>
      </x:c>
      <x:c r="O153" t="n">
        <x:v>2</x:v>
      </x:c>
      <x:c r="P153" t="n">
        <x:v>0</x:v>
      </x:c>
      <x:c r="Q153" t="n">
        <x:v>0</x:v>
      </x:c>
      <x:c r="R153" t="n">
        <x:v>0</x:v>
      </x:c>
      <x:c r="S153" t="n">
        <x:v>1</x:v>
      </x:c>
      <x:c r="T153" t="n">
        <x:v>0</x:v>
      </x:c>
      <x:c r="U153" t="n">
        <x:v>1</x:v>
      </x:c>
      <x:c r="V153" t="n">
        <x:v>1</x:v>
      </x:c>
      <x:c r="W153" s="50" t="n">
        <x:f>IF(D153=0,"",H153/D153)</x:f>
        <x:v>0.006535947712418301</x:v>
      </x:c>
      <x:c r="X153" t="n">
        <x:f>MAX(I153:V153)</x:f>
        <x:v>152</x:v>
      </x:c>
      <x:c r="Y153" t="n">
        <x:f>H153-X153</x:f>
        <x:v>-150</x:v>
      </x:c>
      <x:c r="Z153" s="52" t="n">
        <x:f>IF(D153=0,"",(Y153)/D153)</x:f>
        <x:v>-0.49019607843137253</x:v>
      </x:c>
      <x:c r="AA153" t="str">
        <x:v>Rajendra Singh Solanki</x:v>
      </x:c>
      <x:c r="AB153" t="n">
        <x:f>D153-E153-F153</x:f>
        <x:v>0</x:v>
      </x:c>
    </x:row>
    <x:row r="154">
      <x:c r="A154" t="n">
        <x:v>146</x:v>
      </x:c>
      <x:c r="B154" t="str">
        <x:v>2024 location: not supplied</x:v>
      </x:c>
      <x:c r="C154"/>
      <x:c r="D154" t="n">
        <x:v>542</x:v>
      </x:c>
      <x:c r="E154" t="n">
        <x:f>SUM(H154:V154)</x:f>
        <x:v>541</x:v>
      </x:c>
      <x:c r="F154" t="n">
        <x:v>1</x:v>
      </x:c>
      <x:c r="G154" s="50" t="str">
        <x:f>IF(C154="","",IFERROR(D154/C154,0))</x:f>
      </x:c>
      <x:c r="H154" s="36" t="n">
        <x:v>13</x:v>
      </x:c>
      <x:c r="I154" t="n">
        <x:v>262</x:v>
      </x:c>
      <x:c r="J154" t="n">
        <x:v>255</x:v>
      </x:c>
      <x:c r="K154" t="n">
        <x:v>0</x:v>
      </x:c>
      <x:c r="L154" t="n">
        <x:v>1</x:v>
      </x:c>
      <x:c r="M154" t="n">
        <x:v>1</x:v>
      </x:c>
      <x:c r="N154" t="n">
        <x:v>3</x:v>
      </x:c>
      <x:c r="O154" t="n">
        <x:v>0</x:v>
      </x:c>
      <x:c r="P154" t="n">
        <x:v>1</x:v>
      </x:c>
      <x:c r="Q154" t="n">
        <x:v>0</x:v>
      </x:c>
      <x:c r="R154" t="n">
        <x:v>0</x:v>
      </x:c>
      <x:c r="S154" t="n">
        <x:v>2</x:v>
      </x:c>
      <x:c r="T154" t="n">
        <x:v>0</x:v>
      </x:c>
      <x:c r="U154" t="n">
        <x:v>1</x:v>
      </x:c>
      <x:c r="V154" t="n">
        <x:v>2</x:v>
      </x:c>
      <x:c r="W154" s="50" t="n">
        <x:f>IF(D154=0,"",H154/D154)</x:f>
        <x:v>0.023985239852398525</x:v>
      </x:c>
      <x:c r="X154" t="n">
        <x:f>MAX(I154:V154)</x:f>
        <x:v>262</x:v>
      </x:c>
      <x:c r="Y154" t="n">
        <x:f>H154-X154</x:f>
        <x:v>-249</x:v>
      </x:c>
      <x:c r="Z154" s="52" t="n">
        <x:f>IF(D154=0,"",(Y154)/D154)</x:f>
        <x:v>-0.45940959409594095</x:v>
      </x:c>
      <x:c r="AA154" t="str">
        <x:v>Dr. Mahesh Sharma</x:v>
      </x:c>
      <x:c r="AB154" t="n">
        <x:f>D154-E154-F154</x:f>
        <x:v>0</x:v>
      </x:c>
    </x:row>
    <x:row r="155">
      <x:c r="A155" t="n">
        <x:v>147</x:v>
      </x:c>
      <x:c r="B155" t="str">
        <x:v>2024 location: not supplied</x:v>
      </x:c>
      <x:c r="C155"/>
      <x:c r="D155" t="n">
        <x:v>426</x:v>
      </x:c>
      <x:c r="E155" t="n">
        <x:f>SUM(H155:V155)</x:f>
        <x:v>425</x:v>
      </x:c>
      <x:c r="F155" t="n">
        <x:v>1</x:v>
      </x:c>
      <x:c r="G155" s="50" t="str">
        <x:f>IF(C155="","",IFERROR(D155/C155,0))</x:f>
      </x:c>
      <x:c r="H155" s="36" t="n">
        <x:v>14</x:v>
      </x:c>
      <x:c r="I155" t="n">
        <x:v>267</x:v>
      </x:c>
      <x:c r="J155" t="n">
        <x:v>137</x:v>
      </x:c>
      <x:c r="K155" t="n">
        <x:v>0</x:v>
      </x:c>
      <x:c r="L155" t="n">
        <x:v>1</x:v>
      </x:c>
      <x:c r="M155" t="n">
        <x:v>0</x:v>
      </x:c>
      <x:c r="N155" t="n">
        <x:v>2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2</x:v>
      </x:c>
      <x:c r="V155" t="n">
        <x:v>2</x:v>
      </x:c>
      <x:c r="W155" s="50" t="n">
        <x:f>IF(D155=0,"",H155/D155)</x:f>
        <x:v>0.03286384976525822</x:v>
      </x:c>
      <x:c r="X155" t="n">
        <x:f>MAX(I155:V155)</x:f>
        <x:v>267</x:v>
      </x:c>
      <x:c r="Y155" t="n">
        <x:f>H155-X155</x:f>
        <x:v>-253</x:v>
      </x:c>
      <x:c r="Z155" s="52" t="n">
        <x:f>IF(D155=0,"",(Y155)/D155)</x:f>
        <x:v>-0.5938967136150235</x:v>
      </x:c>
      <x:c r="AA155" t="str">
        <x:v>Dr. Mahesh Sharma</x:v>
      </x:c>
      <x:c r="AB155" t="n">
        <x:f>D155-E155-F155</x:f>
        <x:v>0</x:v>
      </x:c>
    </x:row>
    <x:row r="156">
      <x:c r="A156" t="n">
        <x:v>148</x:v>
      </x:c>
      <x:c r="B156" t="str">
        <x:v>2024 location: not supplied</x:v>
      </x:c>
      <x:c r="C156"/>
      <x:c r="D156" t="n">
        <x:v>682</x:v>
      </x:c>
      <x:c r="E156" t="n">
        <x:f>SUM(H156:V156)</x:f>
        <x:v>682</x:v>
      </x:c>
      <x:c r="F156" t="n">
        <x:v>0</x:v>
      </x:c>
      <x:c r="G156" s="50" t="str">
        <x:f>IF(C156="","",IFERROR(D156/C156,0))</x:f>
      </x:c>
      <x:c r="H156" s="36" t="n">
        <x:v>13</x:v>
      </x:c>
      <x:c r="I156" t="n">
        <x:v>302</x:v>
      </x:c>
      <x:c r="J156" t="n">
        <x:v>346</x:v>
      </x:c>
      <x:c r="K156" t="n">
        <x:v>0</x:v>
      </x:c>
      <x:c r="L156" t="n">
        <x:v>2</x:v>
      </x:c>
      <x:c r="M156" t="n">
        <x:v>2</x:v>
      </x:c>
      <x:c r="N156" t="n">
        <x:v>3</x:v>
      </x:c>
      <x:c r="O156" t="n">
        <x:v>1</x:v>
      </x:c>
      <x:c r="P156" t="n">
        <x:v>2</x:v>
      </x:c>
      <x:c r="Q156" t="n">
        <x:v>0</x:v>
      </x:c>
      <x:c r="R156" t="n">
        <x:v>1</x:v>
      </x:c>
      <x:c r="S156" t="n">
        <x:v>0</x:v>
      </x:c>
      <x:c r="T156" t="n">
        <x:v>0</x:v>
      </x:c>
      <x:c r="U156" t="n">
        <x:v>8</x:v>
      </x:c>
      <x:c r="V156" t="n">
        <x:v>2</x:v>
      </x:c>
      <x:c r="W156" s="50" t="n">
        <x:f>IF(D156=0,"",H156/D156)</x:f>
        <x:v>0.01906158357771261</x:v>
      </x:c>
      <x:c r="X156" t="n">
        <x:f>MAX(I156:V156)</x:f>
        <x:v>346</x:v>
      </x:c>
      <x:c r="Y156" t="n">
        <x:f>H156-X156</x:f>
        <x:v>-333</x:v>
      </x:c>
      <x:c r="Z156" s="52" t="n">
        <x:f>IF(D156=0,"",(Y156)/D156)</x:f>
        <x:v>-0.48826979472140764</x:v>
      </x:c>
      <x:c r="AA156" t="str">
        <x:v>Rajendra Singh Solanki</x:v>
      </x:c>
      <x:c r="AB156" t="n">
        <x:f>D156-E156-F156</x:f>
        <x:v>0</x:v>
      </x:c>
    </x:row>
    <x:row r="157">
      <x:c r="A157" t="n">
        <x:v>149</x:v>
      </x:c>
      <x:c r="B157" t="str">
        <x:v>2024 location: not supplied</x:v>
      </x:c>
      <x:c r="C157"/>
      <x:c r="D157" t="n">
        <x:v>535</x:v>
      </x:c>
      <x:c r="E157" t="n">
        <x:f>SUM(H157:V157)</x:f>
        <x:v>533</x:v>
      </x:c>
      <x:c r="F157" t="n">
        <x:v>2</x:v>
      </x:c>
      <x:c r="G157" s="50" t="str">
        <x:f>IF(C157="","",IFERROR(D157/C157,0))</x:f>
      </x:c>
      <x:c r="H157" s="36" t="n">
        <x:v>1</x:v>
      </x:c>
      <x:c r="I157" t="n">
        <x:v>255</x:v>
      </x:c>
      <x:c r="J157" t="n">
        <x:v>266</x:v>
      </x:c>
      <x:c r="K157" t="n">
        <x:v>1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1</x:v>
      </x:c>
      <x:c r="R157" t="n">
        <x:v>1</x:v>
      </x:c>
      <x:c r="S157" t="n">
        <x:v>0</x:v>
      </x:c>
      <x:c r="T157" t="n">
        <x:v>3</x:v>
      </x:c>
      <x:c r="U157" t="n">
        <x:v>3</x:v>
      </x:c>
      <x:c r="V157" t="n">
        <x:v>2</x:v>
      </x:c>
      <x:c r="W157" s="50" t="n">
        <x:f>IF(D157=0,"",H157/D157)</x:f>
        <x:v>0.001869158878504673</x:v>
      </x:c>
      <x:c r="X157" t="n">
        <x:f>MAX(I157:V157)</x:f>
        <x:v>266</x:v>
      </x:c>
      <x:c r="Y157" t="n">
        <x:f>H157-X157</x:f>
        <x:v>-265</x:v>
      </x:c>
      <x:c r="Z157" s="52" t="n">
        <x:f>IF(D157=0,"",(Y157)/D157)</x:f>
        <x:v>-0.4953271028037383</x:v>
      </x:c>
      <x:c r="AA157" t="str">
        <x:v>Rajendra Singh Solanki</x:v>
      </x:c>
      <x:c r="AB157" t="n">
        <x:f>D157-E157-F157</x:f>
        <x:v>0</x:v>
      </x:c>
    </x:row>
    <x:row r="158">
      <x:c r="A158" t="n">
        <x:v>150</x:v>
      </x:c>
      <x:c r="B158" t="str">
        <x:v>2024 location: not supplied</x:v>
      </x:c>
      <x:c r="C158"/>
      <x:c r="D158" t="n">
        <x:v>658</x:v>
      </x:c>
      <x:c r="E158" t="n">
        <x:f>SUM(H158:V158)</x:f>
        <x:v>657</x:v>
      </x:c>
      <x:c r="F158" t="n">
        <x:v>1</x:v>
      </x:c>
      <x:c r="G158" s="50" t="str">
        <x:f>IF(C158="","",IFERROR(D158/C158,0))</x:f>
      </x:c>
      <x:c r="H158" s="36" t="n">
        <x:v>16</x:v>
      </x:c>
      <x:c r="I158" t="n">
        <x:v>399</x:v>
      </x:c>
      <x:c r="J158" t="n">
        <x:v>227</x:v>
      </x:c>
      <x:c r="K158" t="n">
        <x:v>1</x:v>
      </x:c>
      <x:c r="L158" t="n">
        <x:v>2</x:v>
      </x:c>
      <x:c r="M158" t="n">
        <x:v>1</x:v>
      </x:c>
      <x:c r="N158" t="n">
        <x:v>2</x:v>
      </x:c>
      <x:c r="O158" t="n">
        <x:v>1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1</x:v>
      </x:c>
      <x:c r="U158" t="n">
        <x:v>4</x:v>
      </x:c>
      <x:c r="V158" t="n">
        <x:v>3</x:v>
      </x:c>
      <x:c r="W158" s="50" t="n">
        <x:f>IF(D158=0,"",H158/D158)</x:f>
        <x:v>0.0243161094224924</x:v>
      </x:c>
      <x:c r="X158" t="n">
        <x:f>MAX(I158:V158)</x:f>
        <x:v>399</x:v>
      </x:c>
      <x:c r="Y158" t="n">
        <x:f>H158-X158</x:f>
        <x:v>-383</x:v>
      </x:c>
      <x:c r="Z158" s="52" t="n">
        <x:f>IF(D158=0,"",(Y158)/D158)</x:f>
        <x:v>-0.5820668693009119</x:v>
      </x:c>
      <x:c r="AA158" t="str">
        <x:v>Dr. Mahesh Sharma</x:v>
      </x:c>
      <x:c r="AB158" t="n">
        <x:f>D158-E158-F158</x:f>
        <x:v>0</x:v>
      </x:c>
    </x:row>
    <x:row r="159">
      <x:c r="A159" t="n">
        <x:v>151</x:v>
      </x:c>
      <x:c r="B159" t="str">
        <x:v>2024 location: not supplied</x:v>
      </x:c>
      <x:c r="C159"/>
      <x:c r="D159" t="n">
        <x:v>463</x:v>
      </x:c>
      <x:c r="E159" t="n">
        <x:f>SUM(H159:V159)</x:f>
        <x:v>463</x:v>
      </x:c>
      <x:c r="F159" t="n">
        <x:v>0</x:v>
      </x:c>
      <x:c r="G159" s="50" t="str">
        <x:f>IF(C159="","",IFERROR(D159/C159,0))</x:f>
      </x:c>
      <x:c r="H159" s="36" t="n">
        <x:v>105</x:v>
      </x:c>
      <x:c r="I159" t="n">
        <x:v>264</x:v>
      </x:c>
      <x:c r="J159" t="n">
        <x:v>86</x:v>
      </x:c>
      <x:c r="K159" t="n">
        <x:v>1</x:v>
      </x:c>
      <x:c r="L159" t="n">
        <x:v>0</x:v>
      </x:c>
      <x:c r="M159" t="n">
        <x:v>0</x:v>
      </x:c>
      <x:c r="N159" t="n">
        <x:v>1</x:v>
      </x:c>
      <x:c r="O159" t="n">
        <x:v>0</x:v>
      </x:c>
      <x:c r="P159" t="n">
        <x:v>1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2</x:v>
      </x:c>
      <x:c r="V159" t="n">
        <x:v>3</x:v>
      </x:c>
      <x:c r="W159" s="50" t="n">
        <x:f>IF(D159=0,"",H159/D159)</x:f>
        <x:v>0.2267818574514039</x:v>
      </x:c>
      <x:c r="X159" t="n">
        <x:f>MAX(I159:V159)</x:f>
        <x:v>264</x:v>
      </x:c>
      <x:c r="Y159" t="n">
        <x:f>H159-X159</x:f>
        <x:v>-159</x:v>
      </x:c>
      <x:c r="Z159" s="52" t="n">
        <x:f>IF(D159=0,"",(Y159)/D159)</x:f>
        <x:v>-0.3434125269978402</x:v>
      </x:c>
      <x:c r="AA159" t="str">
        <x:v>Dr. Mahesh Sharma</x:v>
      </x:c>
      <x:c r="AB159" t="n">
        <x:f>D159-E159-F159</x:f>
        <x:v>0</x:v>
      </x:c>
    </x:row>
    <x:row r="160">
      <x:c r="A160" t="n">
        <x:v>152</x:v>
      </x:c>
      <x:c r="B160" t="str">
        <x:v>2024 location: not supplied</x:v>
      </x:c>
      <x:c r="C160"/>
      <x:c r="D160" t="n">
        <x:v>580</x:v>
      </x:c>
      <x:c r="E160" t="n">
        <x:f>SUM(H160:V160)</x:f>
        <x:v>577</x:v>
      </x:c>
      <x:c r="F160" t="n">
        <x:v>3</x:v>
      </x:c>
      <x:c r="G160" s="50" t="str">
        <x:f>IF(C160="","",IFERROR(D160/C160,0))</x:f>
      </x:c>
      <x:c r="H160" s="36" t="n">
        <x:v>27</x:v>
      </x:c>
      <x:c r="I160" t="n">
        <x:v>291</x:v>
      </x:c>
      <x:c r="J160" t="n">
        <x:v>248</x:v>
      </x:c>
      <x:c r="K160" t="n">
        <x:v>0</x:v>
      </x:c>
      <x:c r="L160" t="n">
        <x:v>1</x:v>
      </x:c>
      <x:c r="M160" t="n">
        <x:v>1</x:v>
      </x:c>
      <x:c r="N160" t="n">
        <x:v>2</x:v>
      </x:c>
      <x:c r="O160" t="n">
        <x:v>1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3</x:v>
      </x:c>
      <x:c r="V160" t="n">
        <x:v>3</x:v>
      </x:c>
      <x:c r="W160" s="50" t="n">
        <x:f>IF(D160=0,"",H160/D160)</x:f>
        <x:v>0.04655172413793104</x:v>
      </x:c>
      <x:c r="X160" t="n">
        <x:f>MAX(I160:V160)</x:f>
        <x:v>291</x:v>
      </x:c>
      <x:c r="Y160" t="n">
        <x:f>H160-X160</x:f>
        <x:v>-264</x:v>
      </x:c>
      <x:c r="Z160" s="52" t="n">
        <x:f>IF(D160=0,"",(Y160)/D160)</x:f>
        <x:v>-0.45517241379310347</x:v>
      </x:c>
      <x:c r="AA160" t="str">
        <x:v>Dr. Mahesh Sharma</x:v>
      </x:c>
      <x:c r="AB160" t="n">
        <x:f>D160-E160-F160</x:f>
        <x:v>0</x:v>
      </x:c>
    </x:row>
    <x:row r="161">
      <x:c r="A161" t="n">
        <x:v>153</x:v>
      </x:c>
      <x:c r="B161" t="str">
        <x:v>2024 location: not supplied</x:v>
      </x:c>
      <x:c r="C161"/>
      <x:c r="D161" t="n">
        <x:v>495</x:v>
      </x:c>
      <x:c r="E161" t="n">
        <x:f>SUM(H161:V161)</x:f>
        <x:v>495</x:v>
      </x:c>
      <x:c r="F161" t="n">
        <x:v>0</x:v>
      </x:c>
      <x:c r="G161" s="50" t="str">
        <x:f>IF(C161="","",IFERROR(D161/C161,0))</x:f>
      </x:c>
      <x:c r="H161" s="36" t="n">
        <x:v>22</x:v>
      </x:c>
      <x:c r="I161" t="n">
        <x:v>33</x:v>
      </x:c>
      <x:c r="J161" t="n">
        <x:v>429</x:v>
      </x:c>
      <x:c r="K161" t="n">
        <x:v>0</x:v>
      </x:c>
      <x:c r="L161" t="n">
        <x:v>1</x:v>
      </x:c>
      <x:c r="M161" t="n">
        <x:v>1</x:v>
      </x:c>
      <x:c r="N161" t="n">
        <x:v>0</x:v>
      </x:c>
      <x:c r="O161" t="n">
        <x:v>0</x:v>
      </x:c>
      <x:c r="P161" t="n">
        <x:v>1</x:v>
      </x:c>
      <x:c r="Q161" t="n">
        <x:v>1</x:v>
      </x:c>
      <x:c r="R161" t="n">
        <x:v>0</x:v>
      </x:c>
      <x:c r="S161" t="n">
        <x:v>0</x:v>
      </x:c>
      <x:c r="T161" t="n">
        <x:v>0</x:v>
      </x:c>
      <x:c r="U161" t="n">
        <x:v>6</x:v>
      </x:c>
      <x:c r="V161" t="n">
        <x:v>1</x:v>
      </x:c>
      <x:c r="W161" s="50" t="n">
        <x:f>IF(D161=0,"",H161/D161)</x:f>
        <x:v>0.044444444444444446</x:v>
      </x:c>
      <x:c r="X161" t="n">
        <x:f>MAX(I161:V161)</x:f>
        <x:v>429</x:v>
      </x:c>
      <x:c r="Y161" t="n">
        <x:f>H161-X161</x:f>
        <x:v>-407</x:v>
      </x:c>
      <x:c r="Z161" s="52" t="n">
        <x:f>IF(D161=0,"",(Y161)/D161)</x:f>
        <x:v>-0.8222222222222222</x:v>
      </x:c>
      <x:c r="AA161" t="str">
        <x:v>Rajendra Singh Solanki</x:v>
      </x:c>
      <x:c r="AB161" t="n">
        <x:f>D161-E161-F161</x:f>
        <x:v>0</x:v>
      </x:c>
    </x:row>
    <x:row r="162">
      <x:c r="A162" t="n">
        <x:v>154</x:v>
      </x:c>
      <x:c r="B162" t="str">
        <x:v>2024 location: not supplied</x:v>
      </x:c>
      <x:c r="C162"/>
      <x:c r="D162" t="n">
        <x:v>540</x:v>
      </x:c>
      <x:c r="E162" t="n">
        <x:f>SUM(H162:V162)</x:f>
        <x:v>539</x:v>
      </x:c>
      <x:c r="F162" t="n">
        <x:v>1</x:v>
      </x:c>
      <x:c r="G162" s="50" t="str">
        <x:f>IF(C162="","",IFERROR(D162/C162,0))</x:f>
      </x:c>
      <x:c r="H162" s="36" t="n">
        <x:v>16</x:v>
      </x:c>
      <x:c r="I162" t="n">
        <x:v>84</x:v>
      </x:c>
      <x:c r="J162" t="n">
        <x:v>428</x:v>
      </x:c>
      <x:c r="K162" t="n">
        <x:v>0</x:v>
      </x:c>
      <x:c r="L162" t="n">
        <x:v>2</x:v>
      </x:c>
      <x:c r="M162" t="n">
        <x:v>1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1</x:v>
      </x:c>
      <x:c r="S162" t="n">
        <x:v>0</x:v>
      </x:c>
      <x:c r="T162" t="n">
        <x:v>1</x:v>
      </x:c>
      <x:c r="U162" t="n">
        <x:v>3</x:v>
      </x:c>
      <x:c r="V162" t="n">
        <x:v>3</x:v>
      </x:c>
      <x:c r="W162" s="50" t="n">
        <x:f>IF(D162=0,"",H162/D162)</x:f>
        <x:v>0.02962962962962963</x:v>
      </x:c>
      <x:c r="X162" t="n">
        <x:f>MAX(I162:V162)</x:f>
        <x:v>428</x:v>
      </x:c>
      <x:c r="Y162" t="n">
        <x:f>H162-X162</x:f>
        <x:v>-412</x:v>
      </x:c>
      <x:c r="Z162" s="52" t="n">
        <x:f>IF(D162=0,"",(Y162)/D162)</x:f>
        <x:v>-0.762962962962963</x:v>
      </x:c>
      <x:c r="AA162" t="str">
        <x:v>Rajendra Singh Solanki</x:v>
      </x:c>
      <x:c r="AB162" t="n">
        <x:f>D162-E162-F162</x:f>
        <x:v>0</x:v>
      </x:c>
    </x:row>
    <x:row r="163">
      <x:c r="A163" t="n">
        <x:v>155</x:v>
      </x:c>
      <x:c r="B163" t="str">
        <x:v>2024 location: not supplied</x:v>
      </x:c>
      <x:c r="C163"/>
      <x:c r="D163" t="n">
        <x:v>562</x:v>
      </x:c>
      <x:c r="E163" t="n">
        <x:f>SUM(H163:V163)</x:f>
        <x:v>559</x:v>
      </x:c>
      <x:c r="F163" t="n">
        <x:v>3</x:v>
      </x:c>
      <x:c r="G163" s="50" t="str">
        <x:f>IF(C163="","",IFERROR(D163/C163,0))</x:f>
      </x:c>
      <x:c r="H163" s="36" t="n">
        <x:v>172</x:v>
      </x:c>
      <x:c r="I163" t="n">
        <x:v>335</x:v>
      </x:c>
      <x:c r="J163" t="n">
        <x:v>50</x:v>
      </x:c>
      <x:c r="K163" t="n">
        <x:v>0</x:v>
      </x:c>
      <x:c r="L163" t="n">
        <x:v>0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1</x:v>
      </x:c>
      <x:c r="U163" t="n">
        <x:v>0</x:v>
      </x:c>
      <x:c r="V163" t="n">
        <x:v>0</x:v>
      </x:c>
      <x:c r="W163" s="50" t="n">
        <x:f>IF(D163=0,"",H163/D163)</x:f>
        <x:v>0.30604982206405695</x:v>
      </x:c>
      <x:c r="X163" t="n">
        <x:f>MAX(I163:V163)</x:f>
        <x:v>335</x:v>
      </x:c>
      <x:c r="Y163" t="n">
        <x:f>H163-X163</x:f>
        <x:v>-163</x:v>
      </x:c>
      <x:c r="Z163" s="52" t="n">
        <x:f>IF(D163=0,"",(Y163)/D163)</x:f>
        <x:v>-0.2900355871886121</x:v>
      </x:c>
      <x:c r="AA163" t="str">
        <x:v>Dr. Mahesh Sharma</x:v>
      </x:c>
      <x:c r="AB163" t="n">
        <x:f>D163-E163-F163</x:f>
        <x:v>0</x:v>
      </x:c>
    </x:row>
    <x:row r="164">
      <x:c r="A164" t="n">
        <x:v>156</x:v>
      </x:c>
      <x:c r="B164" t="str">
        <x:v>2024 location: not supplied</x:v>
      </x:c>
      <x:c r="C164"/>
      <x:c r="D164" t="n">
        <x:v>611</x:v>
      </x:c>
      <x:c r="E164" t="n">
        <x:f>SUM(H164:V164)</x:f>
        <x:v>605</x:v>
      </x:c>
      <x:c r="F164" t="n">
        <x:v>6</x:v>
      </x:c>
      <x:c r="G164" s="50" t="str">
        <x:f>IF(C164="","",IFERROR(D164/C164,0))</x:f>
      </x:c>
      <x:c r="H164" s="36" t="n">
        <x:v>96</x:v>
      </x:c>
      <x:c r="I164" t="n">
        <x:v>199</x:v>
      </x:c>
      <x:c r="J164" t="n">
        <x:v>298</x:v>
      </x:c>
      <x:c r="K164" t="n">
        <x:v>0</x:v>
      </x:c>
      <x:c r="L164" t="n">
        <x:v>1</x:v>
      </x:c>
      <x:c r="M164" t="n">
        <x:v>0</x:v>
      </x:c>
      <x:c r="N164" t="n">
        <x:v>3</x:v>
      </x:c>
      <x:c r="O164" t="n">
        <x:v>1</x:v>
      </x:c>
      <x:c r="P164" t="n">
        <x:v>0</x:v>
      </x:c>
      <x:c r="Q164" t="n">
        <x:v>0</x:v>
      </x:c>
      <x:c r="R164" t="n">
        <x:v>1</x:v>
      </x:c>
      <x:c r="S164" t="n">
        <x:v>1</x:v>
      </x:c>
      <x:c r="T164" t="n">
        <x:v>0</x:v>
      </x:c>
      <x:c r="U164" t="n">
        <x:v>3</x:v>
      </x:c>
      <x:c r="V164" t="n">
        <x:v>2</x:v>
      </x:c>
      <x:c r="W164" s="50" t="n">
        <x:f>IF(D164=0,"",H164/D164)</x:f>
        <x:v>0.15711947626841244</x:v>
      </x:c>
      <x:c r="X164" t="n">
        <x:f>MAX(I164:V164)</x:f>
        <x:v>298</x:v>
      </x:c>
      <x:c r="Y164" t="n">
        <x:f>H164-X164</x:f>
        <x:v>-202</x:v>
      </x:c>
      <x:c r="Z164" s="52" t="n">
        <x:f>IF(D164=0,"",(Y164)/D164)</x:f>
        <x:v>-0.33060556464811786</x:v>
      </x:c>
      <x:c r="AA164" t="str">
        <x:v>Rajendra Singh Solanki</x:v>
      </x:c>
      <x:c r="AB164" t="n">
        <x:f>D164-E164-F164</x:f>
        <x:v>0</x:v>
      </x:c>
    </x:row>
    <x:row r="165">
      <x:c r="A165" t="n">
        <x:v>157</x:v>
      </x:c>
      <x:c r="B165" t="str">
        <x:v>2024 location: not supplied</x:v>
      </x:c>
      <x:c r="C165"/>
      <x:c r="D165" t="n">
        <x:v>449</x:v>
      </x:c>
      <x:c r="E165" t="n">
        <x:f>SUM(H165:V165)</x:f>
        <x:v>447</x:v>
      </x:c>
      <x:c r="F165" t="n">
        <x:v>2</x:v>
      </x:c>
      <x:c r="G165" s="50" t="str">
        <x:f>IF(C165="","",IFERROR(D165/C165,0))</x:f>
      </x:c>
      <x:c r="H165" s="36" t="n">
        <x:v>99</x:v>
      </x:c>
      <x:c r="I165" t="n">
        <x:v>296</x:v>
      </x:c>
      <x:c r="J165" t="n">
        <x:v>43</x:v>
      </x:c>
      <x:c r="K165" t="n">
        <x:v>0</x:v>
      </x:c>
      <x:c r="L165" t="n">
        <x:v>0</x:v>
      </x:c>
      <x:c r="M165" t="n">
        <x:v>0</x:v>
      </x:c>
      <x:c r="N165" t="n">
        <x:v>1</x:v>
      </x:c>
      <x:c r="O165" t="n">
        <x:v>1</x:v>
      </x:c>
      <x:c r="P165" t="n">
        <x:v>0</x:v>
      </x:c>
      <x:c r="Q165" t="n">
        <x:v>0</x:v>
      </x:c>
      <x:c r="R165" t="n">
        <x:v>0</x:v>
      </x:c>
      <x:c r="S165" t="n">
        <x:v>2</x:v>
      </x:c>
      <x:c r="T165" t="n">
        <x:v>0</x:v>
      </x:c>
      <x:c r="U165" t="n">
        <x:v>0</x:v>
      </x:c>
      <x:c r="V165" t="n">
        <x:v>5</x:v>
      </x:c>
      <x:c r="W165" s="50" t="n">
        <x:f>IF(D165=0,"",H165/D165)</x:f>
        <x:v>0.22048997772828507</x:v>
      </x:c>
      <x:c r="X165" t="n">
        <x:f>MAX(I165:V165)</x:f>
        <x:v>296</x:v>
      </x:c>
      <x:c r="Y165" t="n">
        <x:f>H165-X165</x:f>
        <x:v>-197</x:v>
      </x:c>
      <x:c r="Z165" s="52" t="n">
        <x:f>IF(D165=0,"",(Y165)/D165)</x:f>
        <x:v>-0.43875278396436523</x:v>
      </x:c>
      <x:c r="AA165" t="str">
        <x:v>Dr. Mahesh Sharma</x:v>
      </x:c>
      <x:c r="AB165" t="n">
        <x:f>D165-E165-F165</x:f>
        <x:v>0</x:v>
      </x:c>
    </x:row>
    <x:row r="166">
      <x:c r="A166" t="n">
        <x:v>158</x:v>
      </x:c>
      <x:c r="B166" t="str">
        <x:v>2024 location: not supplied</x:v>
      </x:c>
      <x:c r="C166"/>
      <x:c r="D166" t="n">
        <x:v>433</x:v>
      </x:c>
      <x:c r="E166" t="n">
        <x:f>SUM(H166:V166)</x:f>
        <x:v>429</x:v>
      </x:c>
      <x:c r="F166" t="n">
        <x:v>4</x:v>
      </x:c>
      <x:c r="G166" s="50" t="str">
        <x:f>IF(C166="","",IFERROR(D166/C166,0))</x:f>
      </x:c>
      <x:c r="H166" s="36" t="n">
        <x:v>61</x:v>
      </x:c>
      <x:c r="I166" t="n">
        <x:v>243</x:v>
      </x:c>
      <x:c r="J166" t="n">
        <x:v>112</x:v>
      </x:c>
      <x:c r="K166" t="n">
        <x:v>0</x:v>
      </x:c>
      <x:c r="L166" t="n">
        <x:v>1</x:v>
      </x:c>
      <x:c r="M166" t="n">
        <x:v>2</x:v>
      </x:c>
      <x:c r="N166" t="n">
        <x:v>1</x:v>
      </x:c>
      <x:c r="O166" t="n">
        <x:v>1</x:v>
      </x:c>
      <x:c r="P166" t="n">
        <x:v>0</x:v>
      </x:c>
      <x:c r="Q166" t="n">
        <x:v>1</x:v>
      </x:c>
      <x:c r="R166" t="n">
        <x:v>1</x:v>
      </x:c>
      <x:c r="S166" t="n">
        <x:v>0</x:v>
      </x:c>
      <x:c r="T166" t="n">
        <x:v>1</x:v>
      </x:c>
      <x:c r="U166" t="n">
        <x:v>5</x:v>
      </x:c>
      <x:c r="V166" t="n">
        <x:v>0</x:v>
      </x:c>
      <x:c r="W166" s="50" t="n">
        <x:f>IF(D166=0,"",H166/D166)</x:f>
        <x:v>0.14087759815242495</x:v>
      </x:c>
      <x:c r="X166" t="n">
        <x:f>MAX(I166:V166)</x:f>
        <x:v>243</x:v>
      </x:c>
      <x:c r="Y166" t="n">
        <x:f>H166-X166</x:f>
        <x:v>-182</x:v>
      </x:c>
      <x:c r="Z166" s="52" t="n">
        <x:f>IF(D166=0,"",(Y166)/D166)</x:f>
        <x:v>-0.42032332563510394</x:v>
      </x:c>
      <x:c r="AA166" t="str">
        <x:v>Dr. Mahesh Sharma</x:v>
      </x:c>
      <x:c r="AB166" t="n">
        <x:f>D166-E166-F166</x:f>
        <x:v>0</x:v>
      </x:c>
    </x:row>
    <x:row r="167">
      <x:c r="A167" t="n">
        <x:v>159</x:v>
      </x:c>
      <x:c r="B167" t="str">
        <x:v>2024 location: not supplied</x:v>
      </x:c>
      <x:c r="C167"/>
      <x:c r="D167" t="n">
        <x:v>318</x:v>
      </x:c>
      <x:c r="E167" t="n">
        <x:f>SUM(H167:V167)</x:f>
        <x:v>316</x:v>
      </x:c>
      <x:c r="F167" t="n">
        <x:v>2</x:v>
      </x:c>
      <x:c r="G167" s="50" t="str">
        <x:f>IF(C167="","",IFERROR(D167/C167,0))</x:f>
      </x:c>
      <x:c r="H167" s="36" t="n">
        <x:v>30</x:v>
      </x:c>
      <x:c r="I167" t="n">
        <x:v>236</x:v>
      </x:c>
      <x:c r="J167" t="n">
        <x:v>47</x:v>
      </x:c>
      <x:c r="K167" t="n">
        <x:v>1</x:v>
      </x:c>
      <x:c r="L167" t="n">
        <x:v>0</x:v>
      </x:c>
      <x:c r="M167" t="n">
        <x:v>0</x:v>
      </x:c>
      <x:c r="N167" t="n">
        <x:v>1</x:v>
      </x:c>
      <x:c r="O167" t="n">
        <x:v>1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s="50" t="n">
        <x:f>IF(D167=0,"",H167/D167)</x:f>
        <x:v>0.09433962264150944</x:v>
      </x:c>
      <x:c r="X167" t="n">
        <x:f>MAX(I167:V167)</x:f>
        <x:v>236</x:v>
      </x:c>
      <x:c r="Y167" t="n">
        <x:f>H167-X167</x:f>
        <x:v>-206</x:v>
      </x:c>
      <x:c r="Z167" s="52" t="n">
        <x:f>IF(D167=0,"",(Y167)/D167)</x:f>
        <x:v>-0.6477987421383647</x:v>
      </x:c>
      <x:c r="AA167" t="str">
        <x:v>Dr. Mahesh Sharma</x:v>
      </x:c>
      <x:c r="AB167" t="n">
        <x:f>D167-E167-F167</x:f>
        <x:v>0</x:v>
      </x:c>
    </x:row>
    <x:row r="168">
      <x:c r="A168" t="n">
        <x:v>160</x:v>
      </x:c>
      <x:c r="B168" t="str">
        <x:v>2024 location: not supplied</x:v>
      </x:c>
      <x:c r="C168"/>
      <x:c r="D168" t="n">
        <x:v>474</x:v>
      </x:c>
      <x:c r="E168" t="n">
        <x:f>SUM(H168:V168)</x:f>
        <x:v>473</x:v>
      </x:c>
      <x:c r="F168" t="n">
        <x:v>1</x:v>
      </x:c>
      <x:c r="G168" s="50" t="str">
        <x:f>IF(C168="","",IFERROR(D168/C168,0))</x:f>
      </x:c>
      <x:c r="H168" s="36" t="n">
        <x:v>54</x:v>
      </x:c>
      <x:c r="I168" t="n">
        <x:v>226</x:v>
      </x:c>
      <x:c r="J168" t="n">
        <x:v>187</x:v>
      </x:c>
      <x:c r="K168" t="n">
        <x:v>0</x:v>
      </x:c>
      <x:c r="L168" t="n">
        <x:v>1</x:v>
      </x:c>
      <x:c r="M168" t="n">
        <x:v>0</x:v>
      </x:c>
      <x:c r="N168" t="n">
        <x:v>1</x:v>
      </x:c>
      <x:c r="O168" t="n">
        <x:v>1</x:v>
      </x:c>
      <x:c r="P168" t="n">
        <x:v>0</x:v>
      </x:c>
      <x:c r="Q168" t="n">
        <x:v>0</x:v>
      </x:c>
      <x:c r="R168" t="n">
        <x:v>0</x:v>
      </x:c>
      <x:c r="S168" t="n">
        <x:v>1</x:v>
      </x:c>
      <x:c r="T168" t="n">
        <x:v>1</x:v>
      </x:c>
      <x:c r="U168" t="n">
        <x:v>0</x:v>
      </x:c>
      <x:c r="V168" t="n">
        <x:v>1</x:v>
      </x:c>
      <x:c r="W168" s="50" t="n">
        <x:f>IF(D168=0,"",H168/D168)</x:f>
        <x:v>0.11392405063291139</x:v>
      </x:c>
      <x:c r="X168" t="n">
        <x:f>MAX(I168:V168)</x:f>
        <x:v>226</x:v>
      </x:c>
      <x:c r="Y168" t="n">
        <x:f>H168-X168</x:f>
        <x:v>-172</x:v>
      </x:c>
      <x:c r="Z168" s="52" t="n">
        <x:f>IF(D168=0,"",(Y168)/D168)</x:f>
        <x:v>-0.3628691983122363</x:v>
      </x:c>
      <x:c r="AA168" t="str">
        <x:v>Dr. Mahesh Sharma</x:v>
      </x:c>
      <x:c r="AB168" t="n">
        <x:f>D168-E168-F168</x:f>
        <x:v>0</x:v>
      </x:c>
    </x:row>
    <x:row r="169">
      <x:c r="A169" t="n">
        <x:v>161</x:v>
      </x:c>
      <x:c r="B169" t="str">
        <x:v>2024 location: not supplied</x:v>
      </x:c>
      <x:c r="C169"/>
      <x:c r="D169" t="n">
        <x:v>545</x:v>
      </x:c>
      <x:c r="E169" t="n">
        <x:f>SUM(H169:V169)</x:f>
        <x:v>543</x:v>
      </x:c>
      <x:c r="F169" t="n">
        <x:v>2</x:v>
      </x:c>
      <x:c r="G169" s="50" t="str">
        <x:f>IF(C169="","",IFERROR(D169/C169,0))</x:f>
      </x:c>
      <x:c r="H169" s="36" t="n">
        <x:v>50</x:v>
      </x:c>
      <x:c r="I169" t="n">
        <x:v>301</x:v>
      </x:c>
      <x:c r="J169" t="n">
        <x:v>187</x:v>
      </x:c>
      <x:c r="K169" t="n">
        <x:v>0</x:v>
      </x:c>
      <x:c r="L169" t="n">
        <x:v>1</x:v>
      </x:c>
      <x:c r="M169" t="n">
        <x:v>0</x:v>
      </x:c>
      <x:c r="N169" t="n">
        <x:v>2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2</x:v>
      </x:c>
      <x:c r="V169" t="n">
        <x:v>0</x:v>
      </x:c>
      <x:c r="W169" s="50" t="n">
        <x:f>IF(D169=0,"",H169/D169)</x:f>
        <x:v>0.09174311926605505</x:v>
      </x:c>
      <x:c r="X169" t="n">
        <x:f>MAX(I169:V169)</x:f>
        <x:v>301</x:v>
      </x:c>
      <x:c r="Y169" t="n">
        <x:f>H169-X169</x:f>
        <x:v>-251</x:v>
      </x:c>
      <x:c r="Z169" s="52" t="n">
        <x:f>IF(D169=0,"",(Y169)/D169)</x:f>
        <x:v>-0.46055045871559636</x:v>
      </x:c>
      <x:c r="AA169" t="str">
        <x:v>Dr. Mahesh Sharma</x:v>
      </x:c>
      <x:c r="AB169" t="n">
        <x:f>D169-E169-F169</x:f>
        <x:v>0</x:v>
      </x:c>
    </x:row>
    <x:row r="170">
      <x:c r="A170" t="n">
        <x:v>162</x:v>
      </x:c>
      <x:c r="B170" t="str">
        <x:v>2024 location: not supplied</x:v>
      </x:c>
      <x:c r="C170"/>
      <x:c r="D170" t="n">
        <x:v>400</x:v>
      </x:c>
      <x:c r="E170" t="n">
        <x:f>SUM(H170:V170)</x:f>
        <x:v>399</x:v>
      </x:c>
      <x:c r="F170" t="n">
        <x:v>1</x:v>
      </x:c>
      <x:c r="G170" s="50" t="str">
        <x:f>IF(C170="","",IFERROR(D170/C170,0))</x:f>
      </x:c>
      <x:c r="H170" s="36" t="n">
        <x:v>46</x:v>
      </x:c>
      <x:c r="I170" t="n">
        <x:v>166</x:v>
      </x:c>
      <x:c r="J170" t="n">
        <x:v>175</x:v>
      </x:c>
      <x:c r="K170" t="n">
        <x:v>0</x:v>
      </x:c>
      <x:c r="L170" t="n">
        <x:v>2</x:v>
      </x:c>
      <x:c r="M170" t="n">
        <x:v>0</x:v>
      </x:c>
      <x:c r="N170" t="n">
        <x:v>1</x:v>
      </x:c>
      <x:c r="O170" t="n">
        <x:v>2</x:v>
      </x:c>
      <x:c r="P170" t="n">
        <x:v>0</x:v>
      </x:c>
      <x:c r="Q170" t="n">
        <x:v>2</x:v>
      </x:c>
      <x:c r="R170" t="n">
        <x:v>0</x:v>
      </x:c>
      <x:c r="S170" t="n">
        <x:v>0</x:v>
      </x:c>
      <x:c r="T170" t="n">
        <x:v>1</x:v>
      </x:c>
      <x:c r="U170" t="n">
        <x:v>2</x:v>
      </x:c>
      <x:c r="V170" t="n">
        <x:v>2</x:v>
      </x:c>
      <x:c r="W170" s="50" t="n">
        <x:f>IF(D170=0,"",H170/D170)</x:f>
        <x:v>0.115</x:v>
      </x:c>
      <x:c r="X170" t="n">
        <x:f>MAX(I170:V170)</x:f>
        <x:v>175</x:v>
      </x:c>
      <x:c r="Y170" t="n">
        <x:f>H170-X170</x:f>
        <x:v>-129</x:v>
      </x:c>
      <x:c r="Z170" s="52" t="n">
        <x:f>IF(D170=0,"",(Y170)/D170)</x:f>
        <x:v>-0.3225</x:v>
      </x:c>
      <x:c r="AA170" t="str">
        <x:v>Rajendra Singh Solanki</x:v>
      </x:c>
      <x:c r="AB170" t="n">
        <x:f>D170-E170-F170</x:f>
        <x:v>0</x:v>
      </x:c>
    </x:row>
    <x:row r="171">
      <x:c r="A171" t="n">
        <x:v>163</x:v>
      </x:c>
      <x:c r="B171" t="str">
        <x:v>2024 location: not supplied</x:v>
      </x:c>
      <x:c r="C171"/>
      <x:c r="D171" t="n">
        <x:v>549</x:v>
      </x:c>
      <x:c r="E171" t="n">
        <x:f>SUM(H171:V171)</x:f>
        <x:v>545</x:v>
      </x:c>
      <x:c r="F171" t="n">
        <x:v>4</x:v>
      </x:c>
      <x:c r="G171" s="50" t="str">
        <x:f>IF(C171="","",IFERROR(D171/C171,0))</x:f>
      </x:c>
      <x:c r="H171" s="36" t="n">
        <x:v>43</x:v>
      </x:c>
      <x:c r="I171" t="n">
        <x:v>363</x:v>
      </x:c>
      <x:c r="J171" t="n">
        <x:v>134</x:v>
      </x:c>
      <x:c r="K171" t="n">
        <x:v>0</x:v>
      </x:c>
      <x:c r="L171" t="n">
        <x:v>0</x:v>
      </x:c>
      <x:c r="M171" t="n">
        <x:v>0</x:v>
      </x:c>
      <x:c r="N171" t="n">
        <x:v>4</x:v>
      </x:c>
      <x:c r="O171" t="n">
        <x:v>1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s="50" t="n">
        <x:f>IF(D171=0,"",H171/D171)</x:f>
        <x:v>0.07832422586520947</x:v>
      </x:c>
      <x:c r="X171" t="n">
        <x:f>MAX(I171:V171)</x:f>
        <x:v>363</x:v>
      </x:c>
      <x:c r="Y171" t="n">
        <x:f>H171-X171</x:f>
        <x:v>-320</x:v>
      </x:c>
      <x:c r="Z171" s="52" t="n">
        <x:f>IF(D171=0,"",(Y171)/D171)</x:f>
        <x:v>-0.5828779599271403</x:v>
      </x:c>
      <x:c r="AA171" t="str">
        <x:v>Dr. Mahesh Sharma</x:v>
      </x:c>
      <x:c r="AB171" t="n">
        <x:f>D171-E171-F171</x:f>
        <x:v>0</x:v>
      </x:c>
    </x:row>
    <x:row r="172">
      <x:c r="A172" t="n">
        <x:v>164</x:v>
      </x:c>
      <x:c r="B172" t="str">
        <x:v>2024 location: not supplied</x:v>
      </x:c>
      <x:c r="C172"/>
      <x:c r="D172" t="n">
        <x:v>478</x:v>
      </x:c>
      <x:c r="E172" t="n">
        <x:f>SUM(H172:V172)</x:f>
        <x:v>477</x:v>
      </x:c>
      <x:c r="F172" t="n">
        <x:v>1</x:v>
      </x:c>
      <x:c r="G172" s="50" t="str">
        <x:f>IF(C172="","",IFERROR(D172/C172,0))</x:f>
      </x:c>
      <x:c r="H172" s="36" t="n">
        <x:v>102</x:v>
      </x:c>
      <x:c r="I172" t="n">
        <x:v>196</x:v>
      </x:c>
      <x:c r="J172" t="n">
        <x:v>176</x:v>
      </x:c>
      <x:c r="K172" t="n">
        <x:v>0</x:v>
      </x:c>
      <x:c r="L172" t="n">
        <x:v>1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1</x:v>
      </x:c>
      <x:c r="S172" t="n">
        <x:v>0</x:v>
      </x:c>
      <x:c r="T172" t="n">
        <x:v>0</x:v>
      </x:c>
      <x:c r="U172" t="n">
        <x:v>1</x:v>
      </x:c>
      <x:c r="V172" t="n">
        <x:v>0</x:v>
      </x:c>
      <x:c r="W172" s="50" t="n">
        <x:f>IF(D172=0,"",H172/D172)</x:f>
        <x:v>0.21338912133891214</x:v>
      </x:c>
      <x:c r="X172" t="n">
        <x:f>MAX(I172:V172)</x:f>
        <x:v>196</x:v>
      </x:c>
      <x:c r="Y172" t="n">
        <x:f>H172-X172</x:f>
        <x:v>-94</x:v>
      </x:c>
      <x:c r="Z172" s="52" t="n">
        <x:f>IF(D172=0,"",(Y172)/D172)</x:f>
        <x:v>-0.19665271966527198</x:v>
      </x:c>
      <x:c r="AA172" t="str">
        <x:v>Dr. Mahesh Sharma</x:v>
      </x:c>
      <x:c r="AB172" t="n">
        <x:f>D172-E172-F172</x:f>
        <x:v>0</x:v>
      </x:c>
    </x:row>
    <x:row r="173">
      <x:c r="A173" t="n">
        <x:v>165</x:v>
      </x:c>
      <x:c r="B173" t="str">
        <x:v>2024 location: not supplied</x:v>
      </x:c>
      <x:c r="C173"/>
      <x:c r="D173" t="n">
        <x:v>574</x:v>
      </x:c>
      <x:c r="E173" t="n">
        <x:f>SUM(H173:V173)</x:f>
        <x:v>569</x:v>
      </x:c>
      <x:c r="F173" t="n">
        <x:v>5</x:v>
      </x:c>
      <x:c r="G173" s="50" t="str">
        <x:f>IF(C173="","",IFERROR(D173/C173,0))</x:f>
      </x:c>
      <x:c r="H173" s="36" t="n">
        <x:v>113</x:v>
      </x:c>
      <x:c r="I173" t="n">
        <x:v>254</x:v>
      </x:c>
      <x:c r="J173" t="n">
        <x:v>192</x:v>
      </x:c>
      <x:c r="K173" t="n">
        <x:v>0</x:v>
      </x:c>
      <x:c r="L173" t="n">
        <x:v>0</x:v>
      </x:c>
      <x:c r="M173" t="n">
        <x:v>0</x:v>
      </x:c>
      <x:c r="N173" t="n">
        <x:v>3</x:v>
      </x:c>
      <x:c r="O173" t="n">
        <x:v>0</x:v>
      </x:c>
      <x:c r="P173" t="n">
        <x:v>3</x:v>
      </x:c>
      <x:c r="Q173" t="n">
        <x:v>1</x:v>
      </x:c>
      <x:c r="R173" t="n">
        <x:v>2</x:v>
      </x:c>
      <x:c r="S173" t="n">
        <x:v>1</x:v>
      </x:c>
      <x:c r="T173" t="n">
        <x:v>0</x:v>
      </x:c>
      <x:c r="U173" t="n">
        <x:v>0</x:v>
      </x:c>
      <x:c r="V173" t="n">
        <x:v>0</x:v>
      </x:c>
      <x:c r="W173" s="50" t="n">
        <x:f>IF(D173=0,"",H173/D173)</x:f>
        <x:v>0.19686411149825783</x:v>
      </x:c>
      <x:c r="X173" t="n">
        <x:f>MAX(I173:V173)</x:f>
        <x:v>254</x:v>
      </x:c>
      <x:c r="Y173" t="n">
        <x:f>H173-X173</x:f>
        <x:v>-141</x:v>
      </x:c>
      <x:c r="Z173" s="52" t="n">
        <x:f>IF(D173=0,"",(Y173)/D173)</x:f>
        <x:v>-0.2456445993031359</x:v>
      </x:c>
      <x:c r="AA173" t="str">
        <x:v>Dr. Mahesh Sharma</x:v>
      </x:c>
      <x:c r="AB173" t="n">
        <x:f>D173-E173-F173</x:f>
        <x:v>0</x:v>
      </x:c>
    </x:row>
    <x:row r="174">
      <x:c r="A174" t="n">
        <x:v>166</x:v>
      </x:c>
      <x:c r="B174" t="str">
        <x:v>2024 location: not supplied</x:v>
      </x:c>
      <x:c r="C174"/>
      <x:c r="D174" t="n">
        <x:v>558</x:v>
      </x:c>
      <x:c r="E174" t="n">
        <x:f>SUM(H174:V174)</x:f>
        <x:v>558</x:v>
      </x:c>
      <x:c r="F174" t="n">
        <x:v>0</x:v>
      </x:c>
      <x:c r="G174" s="50" t="str">
        <x:f>IF(C174="","",IFERROR(D174/C174,0))</x:f>
      </x:c>
      <x:c r="H174" s="36" t="n">
        <x:v>14</x:v>
      </x:c>
      <x:c r="I174" t="n">
        <x:v>91</x:v>
      </x:c>
      <x:c r="J174" t="n">
        <x:v>447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2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1</x:v>
      </x:c>
      <x:c r="U174" t="n">
        <x:v>3</x:v>
      </x:c>
      <x:c r="V174" t="n">
        <x:v>0</x:v>
      </x:c>
      <x:c r="W174" s="50" t="n">
        <x:f>IF(D174=0,"",H174/D174)</x:f>
        <x:v>0.025089605734767026</x:v>
      </x:c>
      <x:c r="X174" t="n">
        <x:f>MAX(I174:V174)</x:f>
        <x:v>447</x:v>
      </x:c>
      <x:c r="Y174" t="n">
        <x:f>H174-X174</x:f>
        <x:v>-433</x:v>
      </x:c>
      <x:c r="Z174" s="52" t="n">
        <x:f>IF(D174=0,"",(Y174)/D174)</x:f>
        <x:v>-0.7759856630824373</x:v>
      </x:c>
      <x:c r="AA174" t="str">
        <x:v>Rajendra Singh Solanki</x:v>
      </x:c>
      <x:c r="AB174" t="n">
        <x:f>D174-E174-F174</x:f>
        <x:v>0</x:v>
      </x:c>
    </x:row>
    <x:row r="175">
      <x:c r="A175" t="n">
        <x:v>167</x:v>
      </x:c>
      <x:c r="B175" t="str">
        <x:v>2024 location: not supplied</x:v>
      </x:c>
      <x:c r="C175"/>
      <x:c r="D175" t="n">
        <x:v>238</x:v>
      </x:c>
      <x:c r="E175" t="n">
        <x:f>SUM(H175:V175)</x:f>
        <x:v>235</x:v>
      </x:c>
      <x:c r="F175" t="n">
        <x:v>3</x:v>
      </x:c>
      <x:c r="G175" s="50" t="str">
        <x:f>IF(C175="","",IFERROR(D175/C175,0))</x:f>
      </x:c>
      <x:c r="H175" s="36" t="n">
        <x:v>14</x:v>
      </x:c>
      <x:c r="I175" t="n">
        <x:v>161</x:v>
      </x:c>
      <x:c r="J175" t="n">
        <x:v>58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1</x:v>
      </x:c>
      <x:c r="T175" t="n">
        <x:v>0</x:v>
      </x:c>
      <x:c r="U175" t="n">
        <x:v>1</x:v>
      </x:c>
      <x:c r="V175" t="n">
        <x:v>0</x:v>
      </x:c>
      <x:c r="W175" s="50" t="n">
        <x:f>IF(D175=0,"",H175/D175)</x:f>
        <x:v>0.058823529411764705</x:v>
      </x:c>
      <x:c r="X175" t="n">
        <x:f>MAX(I175:V175)</x:f>
        <x:v>161</x:v>
      </x:c>
      <x:c r="Y175" t="n">
        <x:f>H175-X175</x:f>
        <x:v>-147</x:v>
      </x:c>
      <x:c r="Z175" s="52" t="n">
        <x:f>IF(D175=0,"",(Y175)/D175)</x:f>
        <x:v>-0.6176470588235294</x:v>
      </x:c>
      <x:c r="AA175" t="str">
        <x:v>Dr. Mahesh Sharma</x:v>
      </x:c>
      <x:c r="AB175" t="n">
        <x:f>D175-E175-F175</x:f>
        <x:v>0</x:v>
      </x:c>
    </x:row>
    <x:row r="176">
      <x:c r="A176" t="n">
        <x:v>168</x:v>
      </x:c>
      <x:c r="B176" t="str">
        <x:v>2024 location: not supplied</x:v>
      </x:c>
      <x:c r="C176"/>
      <x:c r="D176" t="n">
        <x:v>507</x:v>
      </x:c>
      <x:c r="E176" t="n">
        <x:f>SUM(H176:V176)</x:f>
        <x:v>503</x:v>
      </x:c>
      <x:c r="F176" t="n">
        <x:v>4</x:v>
      </x:c>
      <x:c r="G176" s="50" t="str">
        <x:f>IF(C176="","",IFERROR(D176/C176,0))</x:f>
      </x:c>
      <x:c r="H176" s="36" t="n">
        <x:v>72</x:v>
      </x:c>
      <x:c r="I176" t="n">
        <x:v>293</x:v>
      </x:c>
      <x:c r="J176" t="n">
        <x:v>130</x:v>
      </x:c>
      <x:c r="K176" t="n">
        <x:v>1</x:v>
      </x:c>
      <x:c r="L176" t="n">
        <x:v>0</x:v>
      </x:c>
      <x:c r="M176" t="n">
        <x:v>0</x:v>
      </x:c>
      <x:c r="N176" t="n">
        <x:v>4</x:v>
      </x:c>
      <x:c r="O176" t="n">
        <x:v>0</x:v>
      </x:c>
      <x:c r="P176" t="n">
        <x:v>0</x:v>
      </x:c>
      <x:c r="Q176" t="n">
        <x:v>1</x:v>
      </x:c>
      <x:c r="R176" t="n">
        <x:v>0</x:v>
      </x:c>
      <x:c r="S176" t="n">
        <x:v>1</x:v>
      </x:c>
      <x:c r="T176" t="n">
        <x:v>0</x:v>
      </x:c>
      <x:c r="U176" t="n">
        <x:v>1</x:v>
      </x:c>
      <x:c r="V176" t="n">
        <x:v>0</x:v>
      </x:c>
      <x:c r="W176" s="50" t="n">
        <x:f>IF(D176=0,"",H176/D176)</x:f>
        <x:v>0.14201183431952663</x:v>
      </x:c>
      <x:c r="X176" t="n">
        <x:f>MAX(I176:V176)</x:f>
        <x:v>293</x:v>
      </x:c>
      <x:c r="Y176" t="n">
        <x:f>H176-X176</x:f>
        <x:v>-221</x:v>
      </x:c>
      <x:c r="Z176" s="52" t="n">
        <x:f>IF(D176=0,"",(Y176)/D176)</x:f>
        <x:v>-0.4358974358974359</x:v>
      </x:c>
      <x:c r="AA176" t="str">
        <x:v>Dr. Mahesh Sharma</x:v>
      </x:c>
      <x:c r="AB176" t="n">
        <x:f>D176-E176-F176</x:f>
        <x:v>0</x:v>
      </x:c>
    </x:row>
    <x:row r="177">
      <x:c r="A177" t="n">
        <x:v>169</x:v>
      </x:c>
      <x:c r="B177" t="str">
        <x:v>2024 location: not supplied</x:v>
      </x:c>
      <x:c r="C177"/>
      <x:c r="D177" t="n">
        <x:v>634</x:v>
      </x:c>
      <x:c r="E177" t="n">
        <x:f>SUM(H177:V177)</x:f>
        <x:v>628</x:v>
      </x:c>
      <x:c r="F177" t="n">
        <x:v>6</x:v>
      </x:c>
      <x:c r="G177" s="50" t="str">
        <x:f>IF(C177="","",IFERROR(D177/C177,0))</x:f>
      </x:c>
      <x:c r="H177" s="36" t="n">
        <x:v>123</x:v>
      </x:c>
      <x:c r="I177" t="n">
        <x:v>457</x:v>
      </x:c>
      <x:c r="J177" t="n">
        <x:v>40</x:v>
      </x:c>
      <x:c r="K177" t="n">
        <x:v>0</x:v>
      </x:c>
      <x:c r="L177" t="n">
        <x:v>1</x:v>
      </x:c>
      <x:c r="M177" t="n">
        <x:v>1</x:v>
      </x:c>
      <x:c r="N177" t="n">
        <x:v>2</x:v>
      </x:c>
      <x:c r="O177" t="n">
        <x:v>0</x:v>
      </x:c>
      <x:c r="P177" t="n">
        <x:v>1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3</x:v>
      </x:c>
      <x:c r="V177" t="n">
        <x:v>0</x:v>
      </x:c>
      <x:c r="W177" s="50" t="n">
        <x:f>IF(D177=0,"",H177/D177)</x:f>
        <x:v>0.19400630914826497</x:v>
      </x:c>
      <x:c r="X177" t="n">
        <x:f>MAX(I177:V177)</x:f>
        <x:v>457</x:v>
      </x:c>
      <x:c r="Y177" t="n">
        <x:f>H177-X177</x:f>
        <x:v>-334</x:v>
      </x:c>
      <x:c r="Z177" s="52" t="n">
        <x:f>IF(D177=0,"",(Y177)/D177)</x:f>
        <x:v>-0.526813880126183</x:v>
      </x:c>
      <x:c r="AA177" t="str">
        <x:v>Dr. Mahesh Sharma</x:v>
      </x:c>
      <x:c r="AB177" t="n">
        <x:f>D177-E177-F177</x:f>
        <x:v>0</x:v>
      </x:c>
    </x:row>
    <x:row r="178">
      <x:c r="A178" t="n">
        <x:v>170</x:v>
      </x:c>
      <x:c r="B178" t="str">
        <x:v>2024 location: not supplied</x:v>
      </x:c>
      <x:c r="C178"/>
      <x:c r="D178" t="n">
        <x:v>566</x:v>
      </x:c>
      <x:c r="E178" t="n">
        <x:f>SUM(H178:V178)</x:f>
        <x:v>557</x:v>
      </x:c>
      <x:c r="F178" t="n">
        <x:v>9</x:v>
      </x:c>
      <x:c r="G178" s="50" t="str">
        <x:f>IF(C178="","",IFERROR(D178/C178,0))</x:f>
      </x:c>
      <x:c r="H178" s="36" t="n">
        <x:v>162</x:v>
      </x:c>
      <x:c r="I178" t="n">
        <x:v>256</x:v>
      </x:c>
      <x:c r="J178" t="n">
        <x:v>127</x:v>
      </x:c>
      <x:c r="K178" t="n">
        <x:v>0</x:v>
      </x:c>
      <x:c r="L178" t="n">
        <x:v>0</x:v>
      </x:c>
      <x:c r="M178" t="n">
        <x:v>2</x:v>
      </x:c>
      <x:c r="N178" t="n">
        <x:v>2</x:v>
      </x:c>
      <x:c r="O178" t="n">
        <x:v>0</x:v>
      </x:c>
      <x:c r="P178" t="n">
        <x:v>0</x:v>
      </x:c>
      <x:c r="Q178" t="n">
        <x:v>0</x:v>
      </x:c>
      <x:c r="R178" t="n">
        <x:v>2</x:v>
      </x:c>
      <x:c r="S178" t="n">
        <x:v>0</x:v>
      </x:c>
      <x:c r="T178" t="n">
        <x:v>0</x:v>
      </x:c>
      <x:c r="U178" t="n">
        <x:v>2</x:v>
      </x:c>
      <x:c r="V178" t="n">
        <x:v>4</x:v>
      </x:c>
      <x:c r="W178" s="50" t="n">
        <x:f>IF(D178=0,"",H178/D178)</x:f>
        <x:v>0.2862190812720848</x:v>
      </x:c>
      <x:c r="X178" t="n">
        <x:f>MAX(I178:V178)</x:f>
        <x:v>256</x:v>
      </x:c>
      <x:c r="Y178" t="n">
        <x:f>H178-X178</x:f>
        <x:v>-94</x:v>
      </x:c>
      <x:c r="Z178" s="52" t="n">
        <x:f>IF(D178=0,"",(Y178)/D178)</x:f>
        <x:v>-0.16607773851590105</x:v>
      </x:c>
      <x:c r="AA178" t="str">
        <x:v>Dr. Mahesh Sharma</x:v>
      </x:c>
      <x:c r="AB178" t="n">
        <x:f>D178-E178-F178</x:f>
        <x:v>0</x:v>
      </x:c>
    </x:row>
    <x:row r="179">
      <x:c r="A179" t="n">
        <x:v>171</x:v>
      </x:c>
      <x:c r="B179" t="str">
        <x:v>2024 location: not supplied</x:v>
      </x:c>
      <x:c r="C179"/>
      <x:c r="D179" t="n">
        <x:v>667</x:v>
      </x:c>
      <x:c r="E179" t="n">
        <x:f>SUM(H179:V179)</x:f>
        <x:v>659</x:v>
      </x:c>
      <x:c r="F179" t="n">
        <x:v>8</x:v>
      </x:c>
      <x:c r="G179" s="50" t="str">
        <x:f>IF(C179="","",IFERROR(D179/C179,0))</x:f>
      </x:c>
      <x:c r="H179" s="36" t="n">
        <x:v>60</x:v>
      </x:c>
      <x:c r="I179" t="n">
        <x:v>515</x:v>
      </x:c>
      <x:c r="J179" t="n">
        <x:v>65</x:v>
      </x:c>
      <x:c r="K179" t="n">
        <x:v>3</x:v>
      </x:c>
      <x:c r="L179" t="n">
        <x:v>1</x:v>
      </x:c>
      <x:c r="M179" t="n">
        <x:v>0</x:v>
      </x:c>
      <x:c r="N179" t="n">
        <x:v>2</x:v>
      </x:c>
      <x:c r="O179" t="n">
        <x:v>2</x:v>
      </x:c>
      <x:c r="P179" t="n">
        <x:v>0</x:v>
      </x:c>
      <x:c r="Q179" t="n">
        <x:v>1</x:v>
      </x:c>
      <x:c r="R179" t="n">
        <x:v>0</x:v>
      </x:c>
      <x:c r="S179" t="n">
        <x:v>1</x:v>
      </x:c>
      <x:c r="T179" t="n">
        <x:v>2</x:v>
      </x:c>
      <x:c r="U179" t="n">
        <x:v>4</x:v>
      </x:c>
      <x:c r="V179" t="n">
        <x:v>3</x:v>
      </x:c>
      <x:c r="W179" s="50" t="n">
        <x:f>IF(D179=0,"",H179/D179)</x:f>
        <x:v>0.08995502248875563</x:v>
      </x:c>
      <x:c r="X179" t="n">
        <x:f>MAX(I179:V179)</x:f>
        <x:v>515</x:v>
      </x:c>
      <x:c r="Y179" t="n">
        <x:f>H179-X179</x:f>
        <x:v>-455</x:v>
      </x:c>
      <x:c r="Z179" s="52" t="n">
        <x:f>IF(D179=0,"",(Y179)/D179)</x:f>
        <x:v>-0.6821589205397302</x:v>
      </x:c>
      <x:c r="AA179" t="str">
        <x:v>Dr. Mahesh Sharma</x:v>
      </x:c>
      <x:c r="AB179" t="n">
        <x:f>D179-E179-F179</x:f>
        <x:v>0</x:v>
      </x:c>
    </x:row>
    <x:row r="180">
      <x:c r="A180" t="n">
        <x:v>172</x:v>
      </x:c>
      <x:c r="B180" t="str">
        <x:v>2024 location: not supplied</x:v>
      </x:c>
      <x:c r="C180"/>
      <x:c r="D180" t="n">
        <x:v>392</x:v>
      </x:c>
      <x:c r="E180" t="n">
        <x:f>SUM(H180:V180)</x:f>
        <x:v>385</x:v>
      </x:c>
      <x:c r="F180" t="n">
        <x:v>7</x:v>
      </x:c>
      <x:c r="G180" s="50" t="str">
        <x:f>IF(C180="","",IFERROR(D180/C180,0))</x:f>
      </x:c>
      <x:c r="H180" s="36" t="n">
        <x:v>106</x:v>
      </x:c>
      <x:c r="I180" t="n">
        <x:v>142</x:v>
      </x:c>
      <x:c r="J180" t="n">
        <x:v>129</x:v>
      </x:c>
      <x:c r="K180" t="n">
        <x:v>1</x:v>
      </x:c>
      <x:c r="L180" t="n">
        <x:v>0</x:v>
      </x:c>
      <x:c r="M180" t="n">
        <x:v>1</x:v>
      </x:c>
      <x:c r="N180" t="n">
        <x:v>1</x:v>
      </x:c>
      <x:c r="O180" t="n">
        <x:v>0</x:v>
      </x:c>
      <x:c r="P180" t="n">
        <x:v>1</x:v>
      </x:c>
      <x:c r="Q180" t="n">
        <x:v>1</x:v>
      </x:c>
      <x:c r="R180" t="n">
        <x:v>0</x:v>
      </x:c>
      <x:c r="S180" t="n">
        <x:v>0</x:v>
      </x:c>
      <x:c r="T180" t="n">
        <x:v>0</x:v>
      </x:c>
      <x:c r="U180" t="n">
        <x:v>1</x:v>
      </x:c>
      <x:c r="V180" t="n">
        <x:v>2</x:v>
      </x:c>
      <x:c r="W180" s="50" t="n">
        <x:f>IF(D180=0,"",H180/D180)</x:f>
        <x:v>0.27040816326530615</x:v>
      </x:c>
      <x:c r="X180" t="n">
        <x:f>MAX(I180:V180)</x:f>
        <x:v>142</x:v>
      </x:c>
      <x:c r="Y180" t="n">
        <x:f>H180-X180</x:f>
        <x:v>-36</x:v>
      </x:c>
      <x:c r="Z180" s="52" t="n">
        <x:f>IF(D180=0,"",(Y180)/D180)</x:f>
        <x:v>-0.09183673469387756</x:v>
      </x:c>
      <x:c r="AA180" t="str">
        <x:v>Dr. Mahesh Sharma</x:v>
      </x:c>
      <x:c r="AB180" t="n">
        <x:f>D180-E180-F180</x:f>
        <x:v>0</x:v>
      </x:c>
    </x:row>
    <x:row r="181">
      <x:c r="A181" t="n">
        <x:v>173</x:v>
      </x:c>
      <x:c r="B181" t="str">
        <x:v>2024 location: not supplied</x:v>
      </x:c>
      <x:c r="C181"/>
      <x:c r="D181" t="n">
        <x:v>394</x:v>
      </x:c>
      <x:c r="E181" t="n">
        <x:f>SUM(H181:V181)</x:f>
        <x:v>394</x:v>
      </x:c>
      <x:c r="F181" t="n">
        <x:v>0</x:v>
      </x:c>
      <x:c r="G181" s="50" t="str">
        <x:f>IF(C181="","",IFERROR(D181/C181,0))</x:f>
      </x:c>
      <x:c r="H181" s="36" t="n">
        <x:v>227</x:v>
      </x:c>
      <x:c r="I181" t="n">
        <x:v>142</x:v>
      </x:c>
      <x:c r="J181" t="n">
        <x:v>22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1</x:v>
      </x:c>
      <x:c r="T181" t="n">
        <x:v>0</x:v>
      </x:c>
      <x:c r="U181" t="n">
        <x:v>1</x:v>
      </x:c>
      <x:c r="V181" t="n">
        <x:v>1</x:v>
      </x:c>
      <x:c r="W181" s="50" t="n">
        <x:f>IF(D181=0,"",H181/D181)</x:f>
        <x:v>0.5761421319796954</x:v>
      </x:c>
      <x:c r="X181" t="n">
        <x:f>MAX(I181:V181)</x:f>
        <x:v>142</x:v>
      </x:c>
      <x:c r="Y181" t="n">
        <x:f>H181-X181</x:f>
        <x:v>85</x:v>
      </x:c>
      <x:c r="Z181" s="52" t="n">
        <x:f>IF(D181=0,"",(Y181)/D181)</x:f>
        <x:v>0.21573604060913706</x:v>
      </x:c>
      <x:c r="AA181" t="str">
        <x:v>Dr. Mahendra Singh Nagar</x:v>
      </x:c>
      <x:c r="AB181" t="n">
        <x:f>D181-E181-F181</x:f>
        <x:v>0</x:v>
      </x:c>
    </x:row>
    <x:row r="182">
      <x:c r="A182" t="n">
        <x:v>174</x:v>
      </x:c>
      <x:c r="B182" t="str">
        <x:v>2024 location: not supplied</x:v>
      </x:c>
      <x:c r="C182"/>
      <x:c r="D182" t="n">
        <x:v>321</x:v>
      </x:c>
      <x:c r="E182" t="n">
        <x:f>SUM(H182:V182)</x:f>
        <x:v>317</x:v>
      </x:c>
      <x:c r="F182" t="n">
        <x:v>4</x:v>
      </x:c>
      <x:c r="G182" s="50" t="str">
        <x:f>IF(C182="","",IFERROR(D182/C182,0))</x:f>
      </x:c>
      <x:c r="H182" s="36" t="n">
        <x:v>77</x:v>
      </x:c>
      <x:c r="I182" t="n">
        <x:v>179</x:v>
      </x:c>
      <x:c r="J182" t="n">
        <x:v>20</x:v>
      </x:c>
      <x:c r="K182" t="n">
        <x:v>4</x:v>
      </x:c>
      <x:c r="L182" t="n">
        <x:v>4</x:v>
      </x:c>
      <x:c r="M182" t="n">
        <x:v>4</x:v>
      </x:c>
      <x:c r="N182" t="n">
        <x:v>4</x:v>
      </x:c>
      <x:c r="O182" t="n">
        <x:v>3</x:v>
      </x:c>
      <x:c r="P182" t="n">
        <x:v>3</x:v>
      </x:c>
      <x:c r="Q182" t="n">
        <x:v>3</x:v>
      </x:c>
      <x:c r="R182" t="n">
        <x:v>3</x:v>
      </x:c>
      <x:c r="S182" t="n">
        <x:v>3</x:v>
      </x:c>
      <x:c r="T182" t="n">
        <x:v>3</x:v>
      </x:c>
      <x:c r="U182" t="n">
        <x:v>3</x:v>
      </x:c>
      <x:c r="V182" t="n">
        <x:v>4</x:v>
      </x:c>
      <x:c r="W182" s="50" t="n">
        <x:f>IF(D182=0,"",H182/D182)</x:f>
        <x:v>0.2398753894080997</x:v>
      </x:c>
      <x:c r="X182" t="n">
        <x:f>MAX(I182:V182)</x:f>
        <x:v>179</x:v>
      </x:c>
      <x:c r="Y182" t="n">
        <x:f>H182-X182</x:f>
        <x:v>-102</x:v>
      </x:c>
      <x:c r="Z182" s="52" t="n">
        <x:f>IF(D182=0,"",(Y182)/D182)</x:f>
        <x:v>-0.3177570093457944</x:v>
      </x:c>
      <x:c r="AA182" t="str">
        <x:v>Dr. Mahesh Sharma</x:v>
      </x:c>
      <x:c r="AB182" t="n">
        <x:f>D182-E182-F182</x:f>
        <x:v>0</x:v>
      </x:c>
    </x:row>
    <x:row r="183">
      <x:c r="A183" t="n">
        <x:v>175</x:v>
      </x:c>
      <x:c r="B183" t="str">
        <x:v>2024 location: not supplied</x:v>
      </x:c>
      <x:c r="C183"/>
      <x:c r="D183" t="n">
        <x:v>451</x:v>
      </x:c>
      <x:c r="E183" t="n">
        <x:f>SUM(H183:V183)</x:f>
        <x:v>443</x:v>
      </x:c>
      <x:c r="F183" t="n">
        <x:v>8</x:v>
      </x:c>
      <x:c r="G183" s="50" t="str">
        <x:f>IF(C183="","",IFERROR(D183/C183,0))</x:f>
      </x:c>
      <x:c r="H183" s="36" t="n">
        <x:v>138</x:v>
      </x:c>
      <x:c r="I183" t="n">
        <x:v>242</x:v>
      </x:c>
      <x:c r="J183" t="n">
        <x:v>40</x:v>
      </x:c>
      <x:c r="K183" t="n">
        <x:v>0</x:v>
      </x:c>
      <x:c r="L183" t="n">
        <x:v>1</x:v>
      </x:c>
      <x:c r="M183" t="n">
        <x:v>0</x:v>
      </x:c>
      <x:c r="N183" t="n">
        <x:v>4</x:v>
      </x:c>
      <x:c r="O183" t="n">
        <x:v>1</x:v>
      </x:c>
      <x:c r="P183" t="n">
        <x:v>1</x:v>
      </x:c>
      <x:c r="Q183" t="n">
        <x:v>1</x:v>
      </x:c>
      <x:c r="R183" t="n">
        <x:v>2</x:v>
      </x:c>
      <x:c r="S183" t="n">
        <x:v>1</x:v>
      </x:c>
      <x:c r="T183" t="n">
        <x:v>3</x:v>
      </x:c>
      <x:c r="U183" t="n">
        <x:v>2</x:v>
      </x:c>
      <x:c r="V183" t="n">
        <x:v>7</x:v>
      </x:c>
      <x:c r="W183" s="50" t="n">
        <x:f>IF(D183=0,"",H183/D183)</x:f>
        <x:v>0.30598669623059865</x:v>
      </x:c>
      <x:c r="X183" t="n">
        <x:f>MAX(I183:V183)</x:f>
        <x:v>242</x:v>
      </x:c>
      <x:c r="Y183" t="n">
        <x:f>H183-X183</x:f>
        <x:v>-104</x:v>
      </x:c>
      <x:c r="Z183" s="52" t="n">
        <x:f>IF(D183=0,"",(Y183)/D183)</x:f>
        <x:v>-0.23059866962305986</x:v>
      </x:c>
      <x:c r="AA183" t="str">
        <x:v>Dr. Mahesh Sharma</x:v>
      </x:c>
      <x:c r="AB183" t="n">
        <x:f>D183-E183-F183</x:f>
        <x:v>0</x:v>
      </x:c>
    </x:row>
    <x:row r="184">
      <x:c r="A184" t="n">
        <x:v>176</x:v>
      </x:c>
      <x:c r="B184" t="str">
        <x:v>2024 location: not supplied</x:v>
      </x:c>
      <x:c r="C184"/>
      <x:c r="D184" t="n">
        <x:v>446</x:v>
      </x:c>
      <x:c r="E184" t="n">
        <x:f>SUM(H184:V184)</x:f>
        <x:v>443</x:v>
      </x:c>
      <x:c r="F184" t="n">
        <x:v>3</x:v>
      </x:c>
      <x:c r="G184" s="50" t="str">
        <x:f>IF(C184="","",IFERROR(D184/C184,0))</x:f>
      </x:c>
      <x:c r="H184" s="36" t="n">
        <x:v>35</x:v>
      </x:c>
      <x:c r="I184" t="n">
        <x:v>136</x:v>
      </x:c>
      <x:c r="J184" t="n">
        <x:v>256</x:v>
      </x:c>
      <x:c r="K184" t="n">
        <x:v>1</x:v>
      </x:c>
      <x:c r="L184" t="n">
        <x:v>1</x:v>
      </x:c>
      <x:c r="M184" t="n">
        <x:v>0</x:v>
      </x:c>
      <x:c r="N184" t="n">
        <x:v>2</x:v>
      </x:c>
      <x:c r="O184" t="n">
        <x:v>1</x:v>
      </x:c>
      <x:c r="P184" t="n">
        <x:v>0</x:v>
      </x:c>
      <x:c r="Q184" t="n">
        <x:v>1</x:v>
      </x:c>
      <x:c r="R184" t="n">
        <x:v>0</x:v>
      </x:c>
      <x:c r="S184" t="n">
        <x:v>1</x:v>
      </x:c>
      <x:c r="T184" t="n">
        <x:v>1</x:v>
      </x:c>
      <x:c r="U184" t="n">
        <x:v>7</x:v>
      </x:c>
      <x:c r="V184" t="n">
        <x:v>1</x:v>
      </x:c>
      <x:c r="W184" s="50" t="n">
        <x:f>IF(D184=0,"",H184/D184)</x:f>
        <x:v>0.07847533632286996</x:v>
      </x:c>
      <x:c r="X184" t="n">
        <x:f>MAX(I184:V184)</x:f>
        <x:v>256</x:v>
      </x:c>
      <x:c r="Y184" t="n">
        <x:f>H184-X184</x:f>
        <x:v>-221</x:v>
      </x:c>
      <x:c r="Z184" s="52" t="n">
        <x:f>IF(D184=0,"",(Y184)/D184)</x:f>
        <x:v>-0.49551569506726456</x:v>
      </x:c>
      <x:c r="AA184" t="str">
        <x:v>Rajendra Singh Solanki</x:v>
      </x:c>
      <x:c r="AB184" t="n">
        <x:f>D184-E184-F184</x:f>
        <x:v>0</x:v>
      </x:c>
    </x:row>
    <x:row r="185">
      <x:c r="A185" t="n">
        <x:v>177</x:v>
      </x:c>
      <x:c r="B185" t="str">
        <x:v>2024 location: not supplied</x:v>
      </x:c>
      <x:c r="C185"/>
      <x:c r="D185" t="n">
        <x:v>540</x:v>
      </x:c>
      <x:c r="E185" t="n">
        <x:f>SUM(H185:V185)</x:f>
        <x:v>537</x:v>
      </x:c>
      <x:c r="F185" t="n">
        <x:v>3</x:v>
      </x:c>
      <x:c r="G185" s="50" t="str">
        <x:f>IF(C185="","",IFERROR(D185/C185,0))</x:f>
      </x:c>
      <x:c r="H185" s="36" t="n">
        <x:v>78</x:v>
      </x:c>
      <x:c r="I185" t="n">
        <x:v>212</x:v>
      </x:c>
      <x:c r="J185" t="n">
        <x:v>232</x:v>
      </x:c>
      <x:c r="K185" t="n">
        <x:v>0</x:v>
      </x:c>
      <x:c r="L185" t="n">
        <x:v>1</x:v>
      </x:c>
      <x:c r="M185" t="n">
        <x:v>0</x:v>
      </x:c>
      <x:c r="N185" t="n">
        <x:v>1</x:v>
      </x:c>
      <x:c r="O185" t="n">
        <x:v>3</x:v>
      </x:c>
      <x:c r="P185" t="n">
        <x:v>0</x:v>
      </x:c>
      <x:c r="Q185" t="n">
        <x:v>0</x:v>
      </x:c>
      <x:c r="R185" t="n">
        <x:v>3</x:v>
      </x:c>
      <x:c r="S185" t="n">
        <x:v>0</x:v>
      </x:c>
      <x:c r="T185" t="n">
        <x:v>2</x:v>
      </x:c>
      <x:c r="U185" t="n">
        <x:v>4</x:v>
      </x:c>
      <x:c r="V185" t="n">
        <x:v>1</x:v>
      </x:c>
      <x:c r="W185" s="50" t="n">
        <x:f>IF(D185=0,"",H185/D185)</x:f>
        <x:v>0.14444444444444443</x:v>
      </x:c>
      <x:c r="X185" t="n">
        <x:f>MAX(I185:V185)</x:f>
        <x:v>232</x:v>
      </x:c>
      <x:c r="Y185" t="n">
        <x:f>H185-X185</x:f>
        <x:v>-154</x:v>
      </x:c>
      <x:c r="Z185" s="52" t="n">
        <x:f>IF(D185=0,"",(Y185)/D185)</x:f>
        <x:v>-0.2851851851851852</x:v>
      </x:c>
      <x:c r="AA185" t="str">
        <x:v>Rajendra Singh Solanki</x:v>
      </x:c>
      <x:c r="AB185" t="n">
        <x:f>D185-E185-F185</x:f>
        <x:v>0</x:v>
      </x:c>
    </x:row>
    <x:row r="186">
      <x:c r="A186" t="n">
        <x:v>178</x:v>
      </x:c>
      <x:c r="B186" t="str">
        <x:v>2024 location: not supplied</x:v>
      </x:c>
      <x:c r="C186"/>
      <x:c r="D186" t="n">
        <x:v>430</x:v>
      </x:c>
      <x:c r="E186" t="n">
        <x:f>SUM(H186:V186)</x:f>
        <x:v>428</x:v>
      </x:c>
      <x:c r="F186" t="n">
        <x:v>2</x:v>
      </x:c>
      <x:c r="G186" s="50" t="str">
        <x:f>IF(C186="","",IFERROR(D186/C186,0))</x:f>
      </x:c>
      <x:c r="H186" s="36" t="n">
        <x:v>97</x:v>
      </x:c>
      <x:c r="I186" t="n">
        <x:v>233</x:v>
      </x:c>
      <x:c r="J186" t="n">
        <x:v>95</x:v>
      </x:c>
      <x:c r="K186" t="n">
        <x:v>0</x:v>
      </x:c>
      <x:c r="L186" t="n">
        <x:v>0</x:v>
      </x:c>
      <x:c r="M186" t="n">
        <x:v>0</x:v>
      </x:c>
      <x:c r="N186" t="n">
        <x:v>1</x:v>
      </x:c>
      <x:c r="O186" t="n">
        <x:v>0</x:v>
      </x:c>
      <x:c r="P186" t="n">
        <x:v>1</x:v>
      </x:c>
      <x:c r="Q186" t="n">
        <x:v>0</x:v>
      </x:c>
      <x:c r="R186" t="n">
        <x:v>0</x:v>
      </x:c>
      <x:c r="S186" t="n">
        <x:v>1</x:v>
      </x:c>
      <x:c r="T186" t="n">
        <x:v>0</x:v>
      </x:c>
      <x:c r="U186" t="n">
        <x:v>0</x:v>
      </x:c>
      <x:c r="V186" t="n">
        <x:v>0</x:v>
      </x:c>
      <x:c r="W186" s="50" t="n">
        <x:f>IF(D186=0,"",H186/D186)</x:f>
        <x:v>0.2255813953488372</x:v>
      </x:c>
      <x:c r="X186" t="n">
        <x:f>MAX(I186:V186)</x:f>
        <x:v>233</x:v>
      </x:c>
      <x:c r="Y186" t="n">
        <x:f>H186-X186</x:f>
        <x:v>-136</x:v>
      </x:c>
      <x:c r="Z186" s="52" t="n">
        <x:f>IF(D186=0,"",(Y186)/D186)</x:f>
        <x:v>-0.31627906976744186</x:v>
      </x:c>
      <x:c r="AA186" t="str">
        <x:v>Dr. Mahesh Sharma</x:v>
      </x:c>
      <x:c r="AB186" t="n">
        <x:f>D186-E186-F186</x:f>
        <x:v>0</x:v>
      </x:c>
    </x:row>
    <x:row r="187">
      <x:c r="A187" t="n">
        <x:v>179</x:v>
      </x:c>
      <x:c r="B187" t="str">
        <x:v>2024 location: not supplied</x:v>
      </x:c>
      <x:c r="C187"/>
      <x:c r="D187" t="n">
        <x:v>599</x:v>
      </x:c>
      <x:c r="E187" t="n">
        <x:f>SUM(H187:V187)</x:f>
        <x:v>597</x:v>
      </x:c>
      <x:c r="F187" t="n">
        <x:v>2</x:v>
      </x:c>
      <x:c r="G187" s="50" t="str">
        <x:f>IF(C187="","",IFERROR(D187/C187,0))</x:f>
      </x:c>
      <x:c r="H187" s="36" t="n">
        <x:v>225</x:v>
      </x:c>
      <x:c r="I187" t="n">
        <x:v>223</x:v>
      </x:c>
      <x:c r="J187" t="n">
        <x:v>137</x:v>
      </x:c>
      <x:c r="K187" t="n">
        <x:v>0</x:v>
      </x:c>
      <x:c r="L187" t="n">
        <x:v>2</x:v>
      </x:c>
      <x:c r="M187" t="n">
        <x:v>0</x:v>
      </x:c>
      <x:c r="N187" t="n">
        <x:v>1</x:v>
      </x:c>
      <x:c r="O187" t="n">
        <x:v>1</x:v>
      </x:c>
      <x:c r="P187" t="n">
        <x:v>1</x:v>
      </x:c>
      <x:c r="Q187" t="n">
        <x:v>0</x:v>
      </x:c>
      <x:c r="R187" t="n">
        <x:v>1</x:v>
      </x:c>
      <x:c r="S187" t="n">
        <x:v>0</x:v>
      </x:c>
      <x:c r="T187" t="n">
        <x:v>1</x:v>
      </x:c>
      <x:c r="U187" t="n">
        <x:v>2</x:v>
      </x:c>
      <x:c r="V187" t="n">
        <x:v>3</x:v>
      </x:c>
      <x:c r="W187" s="50" t="n">
        <x:f>IF(D187=0,"",H187/D187)</x:f>
        <x:v>0.3756260434056761</x:v>
      </x:c>
      <x:c r="X187" t="n">
        <x:f>MAX(I187:V187)</x:f>
        <x:v>223</x:v>
      </x:c>
      <x:c r="Y187" t="n">
        <x:f>H187-X187</x:f>
        <x:v>2</x:v>
      </x:c>
      <x:c r="Z187" s="52" t="n">
        <x:f>IF(D187=0,"",(Y187)/D187)</x:f>
        <x:v>0.00333889816360601</x:v>
      </x:c>
      <x:c r="AA187" t="str">
        <x:v>Dr. Mahendra Singh Nagar</x:v>
      </x:c>
      <x:c r="AB187" t="n">
        <x:f>D187-E187-F187</x:f>
        <x:v>0</x:v>
      </x:c>
    </x:row>
    <x:row r="188">
      <x:c r="A188" t="n">
        <x:v>180</x:v>
      </x:c>
      <x:c r="B188" t="str">
        <x:v>2024 location: not supplied</x:v>
      </x:c>
      <x:c r="C188"/>
      <x:c r="D188" t="n">
        <x:v>800</x:v>
      </x:c>
      <x:c r="E188" t="n">
        <x:f>SUM(H188:V188)</x:f>
        <x:v>797</x:v>
      </x:c>
      <x:c r="F188" t="n">
        <x:v>3</x:v>
      </x:c>
      <x:c r="G188" s="50" t="str">
        <x:f>IF(C188="","",IFERROR(D188/C188,0))</x:f>
      </x:c>
      <x:c r="H188" s="36" t="n">
        <x:v>151</x:v>
      </x:c>
      <x:c r="I188" t="n">
        <x:v>112</x:v>
      </x:c>
      <x:c r="J188" t="n">
        <x:v>516</x:v>
      </x:c>
      <x:c r="K188" t="n">
        <x:v>0</x:v>
      </x:c>
      <x:c r="L188" t="n">
        <x:v>3</x:v>
      </x:c>
      <x:c r="M188" t="n">
        <x:v>1</x:v>
      </x:c>
      <x:c r="N188" t="n">
        <x:v>2</x:v>
      </x:c>
      <x:c r="O188" t="n">
        <x:v>0</x:v>
      </x:c>
      <x:c r="P188" t="n">
        <x:v>1</x:v>
      </x:c>
      <x:c r="Q188" t="n">
        <x:v>2</x:v>
      </x:c>
      <x:c r="R188" t="n">
        <x:v>1</x:v>
      </x:c>
      <x:c r="S188" t="n">
        <x:v>1</x:v>
      </x:c>
      <x:c r="T188" t="n">
        <x:v>1</x:v>
      </x:c>
      <x:c r="U188" t="n">
        <x:v>5</x:v>
      </x:c>
      <x:c r="V188" t="n">
        <x:v>1</x:v>
      </x:c>
      <x:c r="W188" s="50" t="n">
        <x:f>IF(D188=0,"",H188/D188)</x:f>
        <x:v>0.18875</x:v>
      </x:c>
      <x:c r="X188" t="n">
        <x:f>MAX(I188:V188)</x:f>
        <x:v>516</x:v>
      </x:c>
      <x:c r="Y188" t="n">
        <x:f>H188-X188</x:f>
        <x:v>-365</x:v>
      </x:c>
      <x:c r="Z188" s="52" t="n">
        <x:f>IF(D188=0,"",(Y188)/D188)</x:f>
        <x:v>-0.45625</x:v>
      </x:c>
      <x:c r="AA188" t="str">
        <x:v>Rajendra Singh Solanki</x:v>
      </x:c>
      <x:c r="AB188" t="n">
        <x:f>D188-E188-F188</x:f>
        <x:v>0</x:v>
      </x:c>
    </x:row>
    <x:row r="189">
      <x:c r="A189" t="n">
        <x:v>181</x:v>
      </x:c>
      <x:c r="B189" t="str">
        <x:v>2024 location: not supplied</x:v>
      </x:c>
      <x:c r="C189"/>
      <x:c r="D189" t="n">
        <x:v>690</x:v>
      </x:c>
      <x:c r="E189" t="n">
        <x:f>SUM(H189:V189)</x:f>
        <x:v>687</x:v>
      </x:c>
      <x:c r="F189" t="n">
        <x:v>3</x:v>
      </x:c>
      <x:c r="G189" s="50" t="str">
        <x:f>IF(C189="","",IFERROR(D189/C189,0))</x:f>
      </x:c>
      <x:c r="H189" s="36" t="n">
        <x:v>132</x:v>
      </x:c>
      <x:c r="I189" t="n">
        <x:v>140</x:v>
      </x:c>
      <x:c r="J189" t="n">
        <x:v>394</x:v>
      </x:c>
      <x:c r="K189" t="n">
        <x:v>1</x:v>
      </x:c>
      <x:c r="L189" t="n">
        <x:v>2</x:v>
      </x:c>
      <x:c r="M189" t="n">
        <x:v>1</x:v>
      </x:c>
      <x:c r="N189" t="n">
        <x:v>1</x:v>
      </x:c>
      <x:c r="O189" t="n">
        <x:v>0</x:v>
      </x:c>
      <x:c r="P189" t="n">
        <x:v>4</x:v>
      </x:c>
      <x:c r="Q189" t="n">
        <x:v>1</x:v>
      </x:c>
      <x:c r="R189" t="n">
        <x:v>1</x:v>
      </x:c>
      <x:c r="S189" t="n">
        <x:v>0</x:v>
      </x:c>
      <x:c r="T189" t="n">
        <x:v>1</x:v>
      </x:c>
      <x:c r="U189" t="n">
        <x:v>7</x:v>
      </x:c>
      <x:c r="V189" t="n">
        <x:v>2</x:v>
      </x:c>
      <x:c r="W189" s="50" t="n">
        <x:f>IF(D189=0,"",H189/D189)</x:f>
        <x:v>0.19130434782608696</x:v>
      </x:c>
      <x:c r="X189" t="n">
        <x:f>MAX(I189:V189)</x:f>
        <x:v>394</x:v>
      </x:c>
      <x:c r="Y189" t="n">
        <x:f>H189-X189</x:f>
        <x:v>-262</x:v>
      </x:c>
      <x:c r="Z189" s="52" t="n">
        <x:f>IF(D189=0,"",(Y189)/D189)</x:f>
        <x:v>-0.37971014492753624</x:v>
      </x:c>
      <x:c r="AA189" t="str">
        <x:v>Rajendra Singh Solanki</x:v>
      </x:c>
      <x:c r="AB189" t="n">
        <x:f>D189-E189-F189</x:f>
        <x:v>0</x:v>
      </x:c>
    </x:row>
    <x:row r="190">
      <x:c r="A190" t="n">
        <x:v>182</x:v>
      </x:c>
      <x:c r="B190" t="str">
        <x:v>2024 location: not supplied</x:v>
      </x:c>
      <x:c r="C190"/>
      <x:c r="D190" t="n">
        <x:v>516</x:v>
      </x:c>
      <x:c r="E190" t="n">
        <x:f>SUM(H190:V190)</x:f>
        <x:v>513</x:v>
      </x:c>
      <x:c r="F190" t="n">
        <x:v>3</x:v>
      </x:c>
      <x:c r="G190" s="50" t="str">
        <x:f>IF(C190="","",IFERROR(D190/C190,0))</x:f>
      </x:c>
      <x:c r="H190" s="36" t="n">
        <x:v>40</x:v>
      </x:c>
      <x:c r="I190" t="n">
        <x:v>149</x:v>
      </x:c>
      <x:c r="J190" t="n">
        <x:v>314</x:v>
      </x:c>
      <x:c r="K190" t="n">
        <x:v>0</x:v>
      </x:c>
      <x:c r="L190" t="n">
        <x:v>2</x:v>
      </x:c>
      <x:c r="M190" t="n">
        <x:v>2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1</x:v>
      </x:c>
      <x:c r="S190" t="n">
        <x:v>0</x:v>
      </x:c>
      <x:c r="T190" t="n">
        <x:v>1</x:v>
      </x:c>
      <x:c r="U190" t="n">
        <x:v>3</x:v>
      </x:c>
      <x:c r="V190" t="n">
        <x:v>1</x:v>
      </x:c>
      <x:c r="W190" s="50" t="n">
        <x:f>IF(D190=0,"",H190/D190)</x:f>
        <x:v>0.07751937984496124</x:v>
      </x:c>
      <x:c r="X190" t="n">
        <x:f>MAX(I190:V190)</x:f>
        <x:v>314</x:v>
      </x:c>
      <x:c r="Y190" t="n">
        <x:f>H190-X190</x:f>
        <x:v>-274</x:v>
      </x:c>
      <x:c r="Z190" s="52" t="n">
        <x:f>IF(D190=0,"",(Y190)/D190)</x:f>
        <x:v>-0.5310077519379846</x:v>
      </x:c>
      <x:c r="AA190" t="str">
        <x:v>Rajendra Singh Solanki</x:v>
      </x:c>
      <x:c r="AB190" t="n">
        <x:f>D190-E190-F190</x:f>
        <x:v>0</x:v>
      </x:c>
    </x:row>
    <x:row r="191">
      <x:c r="A191" t="n">
        <x:v>183</x:v>
      </x:c>
      <x:c r="B191" t="str">
        <x:v>2024 location: not supplied</x:v>
      </x:c>
      <x:c r="C191"/>
      <x:c r="D191" t="n">
        <x:v>404</x:v>
      </x:c>
      <x:c r="E191" t="n">
        <x:f>SUM(H191:V191)</x:f>
        <x:v>402</x:v>
      </x:c>
      <x:c r="F191" t="n">
        <x:v>2</x:v>
      </x:c>
      <x:c r="G191" s="50" t="str">
        <x:f>IF(C191="","",IFERROR(D191/C191,0))</x:f>
      </x:c>
      <x:c r="H191" s="36" t="n">
        <x:v>73</x:v>
      </x:c>
      <x:c r="I191" t="n">
        <x:v>180</x:v>
      </x:c>
      <x:c r="J191" t="n">
        <x:v>144</x:v>
      </x:c>
      <x:c r="K191" t="n">
        <x:v>0</x:v>
      </x:c>
      <x:c r="L191" t="n">
        <x:v>0</x:v>
      </x:c>
      <x:c r="M191" t="n">
        <x:v>0</x:v>
      </x:c>
      <x:c r="N191" t="n">
        <x:v>3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1</x:v>
      </x:c>
      <x:c r="V191" t="n">
        <x:v>1</x:v>
      </x:c>
      <x:c r="W191" s="50" t="n">
        <x:f>IF(D191=0,"",H191/D191)</x:f>
        <x:v>0.1806930693069307</x:v>
      </x:c>
      <x:c r="X191" t="n">
        <x:f>MAX(I191:V191)</x:f>
        <x:v>180</x:v>
      </x:c>
      <x:c r="Y191" t="n">
        <x:f>H191-X191</x:f>
        <x:v>-107</x:v>
      </x:c>
      <x:c r="Z191" s="52" t="n">
        <x:f>IF(D191=0,"",(Y191)/D191)</x:f>
        <x:v>-0.26485148514851486</x:v>
      </x:c>
      <x:c r="AA191" t="str">
        <x:v>Dr. Mahesh Sharma</x:v>
      </x:c>
      <x:c r="AB191" t="n">
        <x:f>D191-E191-F191</x:f>
        <x:v>0</x:v>
      </x:c>
    </x:row>
    <x:row r="192">
      <x:c r="A192" t="n">
        <x:v>184</x:v>
      </x:c>
      <x:c r="B192" t="str">
        <x:v>2024 location: not supplied</x:v>
      </x:c>
      <x:c r="C192"/>
      <x:c r="D192" t="n">
        <x:v>673</x:v>
      </x:c>
      <x:c r="E192" t="n">
        <x:f>SUM(H192:V192)</x:f>
        <x:v>666</x:v>
      </x:c>
      <x:c r="F192" t="n">
        <x:v>7</x:v>
      </x:c>
      <x:c r="G192" s="50" t="str">
        <x:f>IF(C192="","",IFERROR(D192/C192,0))</x:f>
      </x:c>
      <x:c r="H192" s="36" t="n">
        <x:v>72</x:v>
      </x:c>
      <x:c r="I192" t="n">
        <x:v>418</x:v>
      </x:c>
      <x:c r="J192" t="n">
        <x:v>148</x:v>
      </x:c>
      <x:c r="K192" t="n">
        <x:v>0</x:v>
      </x:c>
      <x:c r="L192" t="n">
        <x:v>0</x:v>
      </x:c>
      <x:c r="M192" t="n">
        <x:v>0</x:v>
      </x:c>
      <x:c r="N192" t="n">
        <x:v>2</x:v>
      </x:c>
      <x:c r="O192" t="n">
        <x:v>2</x:v>
      </x:c>
      <x:c r="P192" t="n">
        <x:v>2</x:v>
      </x:c>
      <x:c r="Q192" t="n">
        <x:v>2</x:v>
      </x:c>
      <x:c r="R192" t="n">
        <x:v>1</x:v>
      </x:c>
      <x:c r="S192" t="n">
        <x:v>1</x:v>
      </x:c>
      <x:c r="T192" t="n">
        <x:v>2</x:v>
      </x:c>
      <x:c r="U192" t="n">
        <x:v>6</x:v>
      </x:c>
      <x:c r="V192" t="n">
        <x:v>10</x:v>
      </x:c>
      <x:c r="W192" s="50" t="n">
        <x:f>IF(D192=0,"",H192/D192)</x:f>
        <x:v>0.10698365527488855</x:v>
      </x:c>
      <x:c r="X192" t="n">
        <x:f>MAX(I192:V192)</x:f>
        <x:v>418</x:v>
      </x:c>
      <x:c r="Y192" t="n">
        <x:f>H192-X192</x:f>
        <x:v>-346</x:v>
      </x:c>
      <x:c r="Z192" s="52" t="n">
        <x:f>IF(D192=0,"",(Y192)/D192)</x:f>
        <x:v>-0.5141158989598811</x:v>
      </x:c>
      <x:c r="AA192" t="str">
        <x:v>Dr. Mahesh Sharma</x:v>
      </x:c>
      <x:c r="AB192" t="n">
        <x:f>D192-E192-F192</x:f>
        <x:v>0</x:v>
      </x:c>
    </x:row>
    <x:row r="193">
      <x:c r="A193" t="n">
        <x:v>185</x:v>
      </x:c>
      <x:c r="B193" t="str">
        <x:v>2024 location: not supplied</x:v>
      </x:c>
      <x:c r="C193"/>
      <x:c r="D193" t="n">
        <x:v>769</x:v>
      </x:c>
      <x:c r="E193" t="n">
        <x:f>SUM(H193:V193)</x:f>
        <x:v>766</x:v>
      </x:c>
      <x:c r="F193" t="n">
        <x:v>3</x:v>
      </x:c>
      <x:c r="G193" s="50" t="str">
        <x:f>IF(C193="","",IFERROR(D193/C193,0))</x:f>
      </x:c>
      <x:c r="H193" s="36" t="n">
        <x:v>10</x:v>
      </x:c>
      <x:c r="I193" t="n">
        <x:v>22</x:v>
      </x:c>
      <x:c r="J193" t="n">
        <x:v>712</x:v>
      </x:c>
      <x:c r="K193" t="n">
        <x:v>0</x:v>
      </x:c>
      <x:c r="L193" t="n">
        <x:v>3</x:v>
      </x:c>
      <x:c r="M193" t="n">
        <x:v>0</x:v>
      </x:c>
      <x:c r="N193" t="n">
        <x:v>1</x:v>
      </x:c>
      <x:c r="O193" t="n">
        <x:v>2</x:v>
      </x:c>
      <x:c r="P193" t="n">
        <x:v>2</x:v>
      </x:c>
      <x:c r="Q193" t="n">
        <x:v>1</x:v>
      </x:c>
      <x:c r="R193" t="n">
        <x:v>1</x:v>
      </x:c>
      <x:c r="S193" t="n">
        <x:v>4</x:v>
      </x:c>
      <x:c r="T193" t="n">
        <x:v>2</x:v>
      </x:c>
      <x:c r="U193" t="n">
        <x:v>5</x:v>
      </x:c>
      <x:c r="V193" t="n">
        <x:v>1</x:v>
      </x:c>
      <x:c r="W193" s="50" t="n">
        <x:f>IF(D193=0,"",H193/D193)</x:f>
        <x:v>0.013003901170351105</x:v>
      </x:c>
      <x:c r="X193" t="n">
        <x:f>MAX(I193:V193)</x:f>
        <x:v>712</x:v>
      </x:c>
      <x:c r="Y193" t="n">
        <x:f>H193-X193</x:f>
        <x:v>-702</x:v>
      </x:c>
      <x:c r="Z193" s="52" t="n">
        <x:f>IF(D193=0,"",(Y193)/D193)</x:f>
        <x:v>-0.9128738621586476</x:v>
      </x:c>
      <x:c r="AA193" t="str">
        <x:v>Rajendra Singh Solanki</x:v>
      </x:c>
      <x:c r="AB193" t="n">
        <x:f>D193-E193-F193</x:f>
        <x:v>0</x:v>
      </x:c>
    </x:row>
    <x:row r="194">
      <x:c r="A194" t="n">
        <x:v>186</x:v>
      </x:c>
      <x:c r="B194" t="str">
        <x:v>2024 location: not supplied</x:v>
      </x:c>
      <x:c r="C194"/>
      <x:c r="D194" t="n">
        <x:v>492</x:v>
      </x:c>
      <x:c r="E194" t="n">
        <x:f>SUM(H194:V194)</x:f>
        <x:v>491</x:v>
      </x:c>
      <x:c r="F194" t="n">
        <x:v>1</x:v>
      </x:c>
      <x:c r="G194" s="50" t="str">
        <x:f>IF(C194="","",IFERROR(D194/C194,0))</x:f>
      </x:c>
      <x:c r="H194" s="36" t="n">
        <x:v>99</x:v>
      </x:c>
      <x:c r="I194" t="n">
        <x:v>69</x:v>
      </x:c>
      <x:c r="J194" t="n">
        <x:v>304</x:v>
      </x:c>
      <x:c r="K194" t="n">
        <x:v>0</x:v>
      </x:c>
      <x:c r="L194" t="n">
        <x:v>2</x:v>
      </x:c>
      <x:c r="M194" t="n">
        <x:v>0</x:v>
      </x:c>
      <x:c r="N194" t="n">
        <x:v>1</x:v>
      </x:c>
      <x:c r="O194" t="n">
        <x:v>2</x:v>
      </x:c>
      <x:c r="P194" t="n">
        <x:v>2</x:v>
      </x:c>
      <x:c r="Q194" t="n">
        <x:v>0</x:v>
      </x:c>
      <x:c r="R194" t="n">
        <x:v>0</x:v>
      </x:c>
      <x:c r="S194" t="n">
        <x:v>0</x:v>
      </x:c>
      <x:c r="T194" t="n">
        <x:v>1</x:v>
      </x:c>
      <x:c r="U194" t="n">
        <x:v>7</x:v>
      </x:c>
      <x:c r="V194" t="n">
        <x:v>4</x:v>
      </x:c>
      <x:c r="W194" s="50" t="n">
        <x:f>IF(D194=0,"",H194/D194)</x:f>
        <x:v>0.20121951219512196</x:v>
      </x:c>
      <x:c r="X194" t="n">
        <x:f>MAX(I194:V194)</x:f>
        <x:v>304</x:v>
      </x:c>
      <x:c r="Y194" t="n">
        <x:f>H194-X194</x:f>
        <x:v>-205</x:v>
      </x:c>
      <x:c r="Z194" s="52" t="n">
        <x:f>IF(D194=0,"",(Y194)/D194)</x:f>
        <x:v>-0.4166666666666667</x:v>
      </x:c>
      <x:c r="AA194" t="str">
        <x:v>Rajendra Singh Solanki</x:v>
      </x:c>
      <x:c r="AB194" t="n">
        <x:f>D194-E194-F194</x:f>
        <x:v>0</x:v>
      </x:c>
    </x:row>
    <x:row r="195">
      <x:c r="A195" t="n">
        <x:v>187</x:v>
      </x:c>
      <x:c r="B195" t="str">
        <x:v>2024 location: not supplied</x:v>
      </x:c>
      <x:c r="C195"/>
      <x:c r="D195" t="n">
        <x:v>752</x:v>
      </x:c>
      <x:c r="E195" t="n">
        <x:f>SUM(H195:V195)</x:f>
        <x:v>748</x:v>
      </x:c>
      <x:c r="F195" t="n">
        <x:v>4</x:v>
      </x:c>
      <x:c r="G195" s="50" t="str">
        <x:f>IF(C195="","",IFERROR(D195/C195,0))</x:f>
      </x:c>
      <x:c r="H195" s="36" t="n">
        <x:v>42</x:v>
      </x:c>
      <x:c r="I195" t="n">
        <x:v>234</x:v>
      </x:c>
      <x:c r="J195" t="n">
        <x:v>457</x:v>
      </x:c>
      <x:c r="K195" t="n">
        <x:v>0</x:v>
      </x:c>
      <x:c r="L195" t="n">
        <x:v>3</x:v>
      </x:c>
      <x:c r="M195" t="n">
        <x:v>2</x:v>
      </x:c>
      <x:c r="N195" t="n">
        <x:v>1</x:v>
      </x:c>
      <x:c r="O195" t="n">
        <x:v>3</x:v>
      </x:c>
      <x:c r="P195" t="n">
        <x:v>1</x:v>
      </x:c>
      <x:c r="Q195" t="n">
        <x:v>0</x:v>
      </x:c>
      <x:c r="R195" t="n">
        <x:v>0</x:v>
      </x:c>
      <x:c r="S195" t="n">
        <x:v>1</x:v>
      </x:c>
      <x:c r="T195" t="n">
        <x:v>0</x:v>
      </x:c>
      <x:c r="U195" t="n">
        <x:v>3</x:v>
      </x:c>
      <x:c r="V195" t="n">
        <x:v>1</x:v>
      </x:c>
      <x:c r="W195" s="50" t="n">
        <x:f>IF(D195=0,"",H195/D195)</x:f>
        <x:v>0.05585106382978723</x:v>
      </x:c>
      <x:c r="X195" t="n">
        <x:f>MAX(I195:V195)</x:f>
        <x:v>457</x:v>
      </x:c>
      <x:c r="Y195" t="n">
        <x:f>H195-X195</x:f>
        <x:v>-415</x:v>
      </x:c>
      <x:c r="Z195" s="52" t="n">
        <x:f>IF(D195=0,"",(Y195)/D195)</x:f>
        <x:v>-0.5518617021276596</x:v>
      </x:c>
      <x:c r="AA195" t="str">
        <x:v>Rajendra Singh Solanki</x:v>
      </x:c>
      <x:c r="AB195" t="n">
        <x:f>D195-E195-F195</x:f>
        <x:v>0</x:v>
      </x:c>
    </x:row>
    <x:row r="196">
      <x:c r="A196" t="n">
        <x:v>188</x:v>
      </x:c>
      <x:c r="B196" t="str">
        <x:v>2024 location: not supplied</x:v>
      </x:c>
      <x:c r="C196"/>
      <x:c r="D196" t="n">
        <x:v>649</x:v>
      </x:c>
      <x:c r="E196" t="n">
        <x:f>SUM(H196:V196)</x:f>
        <x:v>644</x:v>
      </x:c>
      <x:c r="F196" t="n">
        <x:v>5</x:v>
      </x:c>
      <x:c r="G196" s="50" t="str">
        <x:f>IF(C196="","",IFERROR(D196/C196,0))</x:f>
      </x:c>
      <x:c r="H196" s="36" t="n">
        <x:v>50</x:v>
      </x:c>
      <x:c r="I196" t="n">
        <x:v>306</x:v>
      </x:c>
      <x:c r="J196" t="n">
        <x:v>276</x:v>
      </x:c>
      <x:c r="K196" t="n">
        <x:v>0</x:v>
      </x:c>
      <x:c r="L196" t="n">
        <x:v>1</x:v>
      </x:c>
      <x:c r="M196" t="n">
        <x:v>0</x:v>
      </x:c>
      <x:c r="N196" t="n">
        <x:v>2</x:v>
      </x:c>
      <x:c r="O196" t="n">
        <x:v>2</x:v>
      </x:c>
      <x:c r="P196" t="n">
        <x:v>2</x:v>
      </x:c>
      <x:c r="Q196" t="n">
        <x:v>1</x:v>
      </x:c>
      <x:c r="R196" t="n">
        <x:v>0</x:v>
      </x:c>
      <x:c r="S196" t="n">
        <x:v>2</x:v>
      </x:c>
      <x:c r="T196" t="n">
        <x:v>0</x:v>
      </x:c>
      <x:c r="U196" t="n">
        <x:v>1</x:v>
      </x:c>
      <x:c r="V196" t="n">
        <x:v>1</x:v>
      </x:c>
      <x:c r="W196" s="50" t="n">
        <x:f>IF(D196=0,"",H196/D196)</x:f>
        <x:v>0.07704160246533127</x:v>
      </x:c>
      <x:c r="X196" t="n">
        <x:f>MAX(I196:V196)</x:f>
        <x:v>306</x:v>
      </x:c>
      <x:c r="Y196" t="n">
        <x:f>H196-X196</x:f>
        <x:v>-256</x:v>
      </x:c>
      <x:c r="Z196" s="52" t="n">
        <x:f>IF(D196=0,"",(Y196)/D196)</x:f>
        <x:v>-0.39445300462249616</x:v>
      </x:c>
      <x:c r="AA196" t="str">
        <x:v>Dr. Mahesh Sharma</x:v>
      </x:c>
      <x:c r="AB196" t="n">
        <x:f>D196-E196-F196</x:f>
        <x:v>0</x:v>
      </x:c>
    </x:row>
    <x:row r="197">
      <x:c r="A197" t="n">
        <x:v>189</x:v>
      </x:c>
      <x:c r="B197" t="str">
        <x:v>2024 location: not supplied</x:v>
      </x:c>
      <x:c r="C197"/>
      <x:c r="D197" t="n">
        <x:v>708</x:v>
      </x:c>
      <x:c r="E197" t="n">
        <x:f>SUM(H197:V197)</x:f>
        <x:v>705</x:v>
      </x:c>
      <x:c r="F197" t="n">
        <x:v>3</x:v>
      </x:c>
      <x:c r="G197" s="50" t="str">
        <x:f>IF(C197="","",IFERROR(D197/C197,0))</x:f>
      </x:c>
      <x:c r="H197" s="36" t="n">
        <x:v>13</x:v>
      </x:c>
      <x:c r="I197" t="n">
        <x:v>264</x:v>
      </x:c>
      <x:c r="J197" t="n">
        <x:v>416</x:v>
      </x:c>
      <x:c r="K197" t="n">
        <x:v>0</x:v>
      </x:c>
      <x:c r="L197" t="n">
        <x:v>1</x:v>
      </x:c>
      <x:c r="M197" t="n">
        <x:v>1</x:v>
      </x:c>
      <x:c r="N197" t="n">
        <x:v>2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6</x:v>
      </x:c>
      <x:c r="V197" t="n">
        <x:v>2</x:v>
      </x:c>
      <x:c r="W197" s="50" t="n">
        <x:f>IF(D197=0,"",H197/D197)</x:f>
        <x:v>0.018361581920903956</x:v>
      </x:c>
      <x:c r="X197" t="n">
        <x:f>MAX(I197:V197)</x:f>
        <x:v>416</x:v>
      </x:c>
      <x:c r="Y197" t="n">
        <x:f>H197-X197</x:f>
        <x:v>-403</x:v>
      </x:c>
      <x:c r="Z197" s="52" t="n">
        <x:f>IF(D197=0,"",(Y197)/D197)</x:f>
        <x:v>-0.5692090395480226</x:v>
      </x:c>
      <x:c r="AA197" t="str">
        <x:v>Rajendra Singh Solanki</x:v>
      </x:c>
      <x:c r="AB197" t="n">
        <x:f>D197-E197-F197</x:f>
        <x:v>0</x:v>
      </x:c>
    </x:row>
    <x:row r="198">
      <x:c r="A198" t="n">
        <x:v>190</x:v>
      </x:c>
      <x:c r="B198" t="str">
        <x:v>2024 location: not supplied</x:v>
      </x:c>
      <x:c r="C198"/>
      <x:c r="D198" t="n">
        <x:v>752</x:v>
      </x:c>
      <x:c r="E198" t="n">
        <x:f>SUM(H198:V198)</x:f>
        <x:v>749</x:v>
      </x:c>
      <x:c r="F198" t="n">
        <x:v>3</x:v>
      </x:c>
      <x:c r="G198" s="50" t="str">
        <x:f>IF(C198="","",IFERROR(D198/C198,0))</x:f>
      </x:c>
      <x:c r="H198" s="36" t="n">
        <x:v>86</x:v>
      </x:c>
      <x:c r="I198" t="n">
        <x:v>174</x:v>
      </x:c>
      <x:c r="J198" t="n">
        <x:v>470</x:v>
      </x:c>
      <x:c r="K198" t="n">
        <x:v>1</x:v>
      </x:c>
      <x:c r="L198" t="n">
        <x:v>1</x:v>
      </x:c>
      <x:c r="M198" t="n">
        <x:v>1</x:v>
      </x:c>
      <x:c r="N198" t="n">
        <x:v>6</x:v>
      </x:c>
      <x:c r="O198" t="n">
        <x:v>2</x:v>
      </x:c>
      <x:c r="P198" t="n">
        <x:v>2</x:v>
      </x:c>
      <x:c r="Q198" t="n">
        <x:v>0</x:v>
      </x:c>
      <x:c r="R198" t="n">
        <x:v>0</x:v>
      </x:c>
      <x:c r="S198" t="n">
        <x:v>1</x:v>
      </x:c>
      <x:c r="T198" t="n">
        <x:v>1</x:v>
      </x:c>
      <x:c r="U198" t="n">
        <x:v>2</x:v>
      </x:c>
      <x:c r="V198" t="n">
        <x:v>2</x:v>
      </x:c>
      <x:c r="W198" s="50" t="n">
        <x:f>IF(D198=0,"",H198/D198)</x:f>
        <x:v>0.11436170212765957</x:v>
      </x:c>
      <x:c r="X198" t="n">
        <x:f>MAX(I198:V198)</x:f>
        <x:v>470</x:v>
      </x:c>
      <x:c r="Y198" t="n">
        <x:f>H198-X198</x:f>
        <x:v>-384</x:v>
      </x:c>
      <x:c r="Z198" s="52" t="n">
        <x:f>IF(D198=0,"",(Y198)/D198)</x:f>
        <x:v>-0.5106382978723404</x:v>
      </x:c>
      <x:c r="AA198" t="str">
        <x:v>Rajendra Singh Solanki</x:v>
      </x:c>
      <x:c r="AB198" t="n">
        <x:f>D198-E198-F198</x:f>
        <x:v>0</x:v>
      </x:c>
    </x:row>
    <x:row r="199">
      <x:c r="A199" t="n">
        <x:v>191</x:v>
      </x:c>
      <x:c r="B199" t="str">
        <x:v>2024 location: not supplied</x:v>
      </x:c>
      <x:c r="C199"/>
      <x:c r="D199" t="n">
        <x:v>595</x:v>
      </x:c>
      <x:c r="E199" t="n">
        <x:f>SUM(H199:V199)</x:f>
        <x:v>590</x:v>
      </x:c>
      <x:c r="F199" t="n">
        <x:v>5</x:v>
      </x:c>
      <x:c r="G199" s="50" t="str">
        <x:f>IF(C199="","",IFERROR(D199/C199,0))</x:f>
      </x:c>
      <x:c r="H199" s="36" t="n">
        <x:v>49</x:v>
      </x:c>
      <x:c r="I199" t="n">
        <x:v>133</x:v>
      </x:c>
      <x:c r="J199" t="n">
        <x:v>393</x:v>
      </x:c>
      <x:c r="K199" t="n">
        <x:v>1</x:v>
      </x:c>
      <x:c r="L199" t="n">
        <x:v>2</x:v>
      </x:c>
      <x:c r="M199" t="n">
        <x:v>1</x:v>
      </x:c>
      <x:c r="N199" t="n">
        <x:v>1</x:v>
      </x:c>
      <x:c r="O199" t="n">
        <x:v>0</x:v>
      </x:c>
      <x:c r="P199" t="n">
        <x:v>1</x:v>
      </x:c>
      <x:c r="Q199" t="n">
        <x:v>0</x:v>
      </x:c>
      <x:c r="R199" t="n">
        <x:v>1</x:v>
      </x:c>
      <x:c r="S199" t="n">
        <x:v>1</x:v>
      </x:c>
      <x:c r="T199" t="n">
        <x:v>3</x:v>
      </x:c>
      <x:c r="U199" t="n">
        <x:v>2</x:v>
      </x:c>
      <x:c r="V199" t="n">
        <x:v>2</x:v>
      </x:c>
      <x:c r="W199" s="50" t="n">
        <x:f>IF(D199=0,"",H199/D199)</x:f>
        <x:v>0.08235294117647059</x:v>
      </x:c>
      <x:c r="X199" t="n">
        <x:f>MAX(I199:V199)</x:f>
        <x:v>393</x:v>
      </x:c>
      <x:c r="Y199" t="n">
        <x:f>H199-X199</x:f>
        <x:v>-344</x:v>
      </x:c>
      <x:c r="Z199" s="52" t="n">
        <x:f>IF(D199=0,"",(Y199)/D199)</x:f>
        <x:v>-0.5781512605042017</x:v>
      </x:c>
      <x:c r="AA199" t="str">
        <x:v>Rajendra Singh Solanki</x:v>
      </x:c>
      <x:c r="AB199" t="n">
        <x:f>D199-E199-F199</x:f>
        <x:v>0</x:v>
      </x:c>
    </x:row>
    <x:row r="200">
      <x:c r="A200" t="n">
        <x:v>192</x:v>
      </x:c>
      <x:c r="B200" t="str">
        <x:v>2024 location: not supplied</x:v>
      </x:c>
      <x:c r="C200"/>
      <x:c r="D200" t="n">
        <x:v>692</x:v>
      </x:c>
      <x:c r="E200" t="n">
        <x:f>SUM(H200:V200)</x:f>
        <x:v>691</x:v>
      </x:c>
      <x:c r="F200" t="n">
        <x:v>1</x:v>
      </x:c>
      <x:c r="G200" s="50" t="str">
        <x:f>IF(C200="","",IFERROR(D200/C200,0))</x:f>
      </x:c>
      <x:c r="H200" s="36" t="n">
        <x:v>5</x:v>
      </x:c>
      <x:c r="I200" t="n">
        <x:v>304</x:v>
      </x:c>
      <x:c r="J200" t="n">
        <x:v>359</x:v>
      </x:c>
      <x:c r="K200" t="n">
        <x:v>0</x:v>
      </x:c>
      <x:c r="L200" t="n">
        <x:v>1</x:v>
      </x:c>
      <x:c r="M200" t="n">
        <x:v>2</x:v>
      </x:c>
      <x:c r="N200" t="n">
        <x:v>4</x:v>
      </x:c>
      <x:c r="O200" t="n">
        <x:v>3</x:v>
      </x:c>
      <x:c r="P200" t="n">
        <x:v>1</x:v>
      </x:c>
      <x:c r="Q200" t="n">
        <x:v>0</x:v>
      </x:c>
      <x:c r="R200" t="n">
        <x:v>0</x:v>
      </x:c>
      <x:c r="S200" t="n">
        <x:v>2</x:v>
      </x:c>
      <x:c r="T200" t="n">
        <x:v>1</x:v>
      </x:c>
      <x:c r="U200" t="n">
        <x:v>6</x:v>
      </x:c>
      <x:c r="V200" t="n">
        <x:v>3</x:v>
      </x:c>
      <x:c r="W200" s="50" t="n">
        <x:f>IF(D200=0,"",H200/D200)</x:f>
        <x:v>0.0072254335260115606</x:v>
      </x:c>
      <x:c r="X200" t="n">
        <x:f>MAX(I200:V200)</x:f>
        <x:v>359</x:v>
      </x:c>
      <x:c r="Y200" t="n">
        <x:f>H200-X200</x:f>
        <x:v>-354</x:v>
      </x:c>
      <x:c r="Z200" s="52" t="n">
        <x:f>IF(D200=0,"",(Y200)/D200)</x:f>
        <x:v>-0.5115606936416185</x:v>
      </x:c>
      <x:c r="AA200" t="str">
        <x:v>Rajendra Singh Solanki</x:v>
      </x:c>
      <x:c r="AB200" t="n">
        <x:f>D200-E200-F200</x:f>
        <x:v>0</x:v>
      </x:c>
    </x:row>
    <x:row r="201">
      <x:c r="A201" t="n">
        <x:v>193</x:v>
      </x:c>
      <x:c r="B201" t="str">
        <x:v>2024 location: not supplied</x:v>
      </x:c>
      <x:c r="C201"/>
      <x:c r="D201" t="n">
        <x:v>792</x:v>
      </x:c>
      <x:c r="E201" t="n">
        <x:f>SUM(H201:V201)</x:f>
        <x:v>790</x:v>
      </x:c>
      <x:c r="F201" t="n">
        <x:v>2</x:v>
      </x:c>
      <x:c r="G201" s="50" t="str">
        <x:f>IF(C201="","",IFERROR(D201/C201,0))</x:f>
      </x:c>
      <x:c r="H201" s="36" t="n">
        <x:v>6</x:v>
      </x:c>
      <x:c r="I201" t="n">
        <x:v>413</x:v>
      </x:c>
      <x:c r="J201" t="n">
        <x:v>353</x:v>
      </x:c>
      <x:c r="K201" t="n">
        <x:v>2</x:v>
      </x:c>
      <x:c r="L201" t="n">
        <x:v>2</x:v>
      </x:c>
      <x:c r="M201" t="n">
        <x:v>0</x:v>
      </x:c>
      <x:c r="N201" t="n">
        <x:v>4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1</x:v>
      </x:c>
      <x:c r="T201" t="n">
        <x:v>2</x:v>
      </x:c>
      <x:c r="U201" t="n">
        <x:v>5</x:v>
      </x:c>
      <x:c r="V201" t="n">
        <x:v>2</x:v>
      </x:c>
      <x:c r="W201" s="50" t="n">
        <x:f>IF(D201=0,"",H201/D201)</x:f>
        <x:v>0.007575757575757576</x:v>
      </x:c>
      <x:c r="X201" t="n">
        <x:f>MAX(I201:V201)</x:f>
        <x:v>413</x:v>
      </x:c>
      <x:c r="Y201" t="n">
        <x:f>H201-X201</x:f>
        <x:v>-407</x:v>
      </x:c>
      <x:c r="Z201" s="52" t="n">
        <x:f>IF(D201=0,"",(Y201)/D201)</x:f>
        <x:v>-0.5138888888888888</x:v>
      </x:c>
      <x:c r="AA201" t="str">
        <x:v>Dr. Mahesh Sharma</x:v>
      </x:c>
      <x:c r="AB201" t="n">
        <x:f>D201-E201-F201</x:f>
        <x:v>0</x:v>
      </x:c>
    </x:row>
    <x:row r="202">
      <x:c r="A202" t="n">
        <x:v>194</x:v>
      </x:c>
      <x:c r="B202" t="str">
        <x:v>2024 location: not supplied</x:v>
      </x:c>
      <x:c r="C202"/>
      <x:c r="D202" t="n">
        <x:v>520</x:v>
      </x:c>
      <x:c r="E202" t="n">
        <x:f>SUM(H202:V202)</x:f>
        <x:v>520</x:v>
      </x:c>
      <x:c r="F202" t="n">
        <x:v>0</x:v>
      </x:c>
      <x:c r="G202" s="50" t="str">
        <x:f>IF(C202="","",IFERROR(D202/C202,0))</x:f>
      </x:c>
      <x:c r="H202" s="36" t="n">
        <x:v>5</x:v>
      </x:c>
      <x:c r="I202" t="n">
        <x:v>280</x:v>
      </x:c>
      <x:c r="J202" t="n">
        <x:v>223</x:v>
      </x:c>
      <x:c r="K202" t="n">
        <x:v>1</x:v>
      </x:c>
      <x:c r="L202" t="n">
        <x:v>0</x:v>
      </x:c>
      <x:c r="M202" t="n">
        <x:v>1</x:v>
      </x:c>
      <x:c r="N202" t="n">
        <x:v>2</x:v>
      </x:c>
      <x:c r="O202" t="n">
        <x:v>0</x:v>
      </x:c>
      <x:c r="P202" t="n">
        <x:v>0</x:v>
      </x:c>
      <x:c r="Q202" t="n">
        <x:v>0</x:v>
      </x:c>
      <x:c r="R202" t="n">
        <x:v>1</x:v>
      </x:c>
      <x:c r="S202" t="n">
        <x:v>1</x:v>
      </x:c>
      <x:c r="T202" t="n">
        <x:v>0</x:v>
      </x:c>
      <x:c r="U202" t="n">
        <x:v>6</x:v>
      </x:c>
      <x:c r="V202" t="n">
        <x:v>0</x:v>
      </x:c>
      <x:c r="W202" s="50" t="n">
        <x:f>IF(D202=0,"",H202/D202)</x:f>
        <x:v>0.009615384615384616</x:v>
      </x:c>
      <x:c r="X202" t="n">
        <x:f>MAX(I202:V202)</x:f>
        <x:v>280</x:v>
      </x:c>
      <x:c r="Y202" t="n">
        <x:f>H202-X202</x:f>
        <x:v>-275</x:v>
      </x:c>
      <x:c r="Z202" s="52" t="n">
        <x:f>IF(D202=0,"",(Y202)/D202)</x:f>
        <x:v>-0.5288461538461539</x:v>
      </x:c>
      <x:c r="AA202" t="str">
        <x:v>Dr. Mahesh Sharma</x:v>
      </x:c>
      <x:c r="AB202" t="n">
        <x:f>D202-E202-F202</x:f>
        <x:v>0</x:v>
      </x:c>
    </x:row>
    <x:row r="203">
      <x:c r="A203" t="n">
        <x:v>195</x:v>
      </x:c>
      <x:c r="B203" t="str">
        <x:v>2024 location: not supplied</x:v>
      </x:c>
      <x:c r="C203"/>
      <x:c r="D203" t="n">
        <x:v>623</x:v>
      </x:c>
      <x:c r="E203" t="n">
        <x:f>SUM(H203:V203)</x:f>
        <x:v>618</x:v>
      </x:c>
      <x:c r="F203" t="n">
        <x:v>5</x:v>
      </x:c>
      <x:c r="G203" s="50" t="str">
        <x:f>IF(C203="","",IFERROR(D203/C203,0))</x:f>
      </x:c>
      <x:c r="H203" s="36" t="n">
        <x:v>1</x:v>
      </x:c>
      <x:c r="I203" t="n">
        <x:v>433</x:v>
      </x:c>
      <x:c r="J203" t="n">
        <x:v>174</x:v>
      </x:c>
      <x:c r="K203" t="n">
        <x:v>0</x:v>
      </x:c>
      <x:c r="L203" t="n">
        <x:v>1</x:v>
      </x:c>
      <x:c r="M203" t="n">
        <x:v>0</x:v>
      </x:c>
      <x:c r="N203" t="n">
        <x:v>3</x:v>
      </x:c>
      <x:c r="O203" t="n">
        <x:v>0</x:v>
      </x:c>
      <x:c r="P203" t="n">
        <x:v>0</x:v>
      </x:c>
      <x:c r="Q203" t="n">
        <x:v>0</x:v>
      </x:c>
      <x:c r="R203" t="n">
        <x:v>1</x:v>
      </x:c>
      <x:c r="S203" t="n">
        <x:v>1</x:v>
      </x:c>
      <x:c r="T203" t="n">
        <x:v>0</x:v>
      </x:c>
      <x:c r="U203" t="n">
        <x:v>2</x:v>
      </x:c>
      <x:c r="V203" t="n">
        <x:v>2</x:v>
      </x:c>
      <x:c r="W203" s="50" t="n">
        <x:f>IF(D203=0,"",H203/D203)</x:f>
        <x:v>0.0016051364365971107</x:v>
      </x:c>
      <x:c r="X203" t="n">
        <x:f>MAX(I203:V203)</x:f>
        <x:v>433</x:v>
      </x:c>
      <x:c r="Y203" t="n">
        <x:f>H203-X203</x:f>
        <x:v>-432</x:v>
      </x:c>
      <x:c r="Z203" s="52" t="n">
        <x:f>IF(D203=0,"",(Y203)/D203)</x:f>
        <x:v>-0.6934189406099518</x:v>
      </x:c>
      <x:c r="AA203" t="str">
        <x:v>Dr. Mahesh Sharma</x:v>
      </x:c>
      <x:c r="AB203" t="n">
        <x:f>D203-E203-F203</x:f>
        <x:v>0</x:v>
      </x:c>
    </x:row>
    <x:row r="204">
      <x:c r="A204" t="n">
        <x:v>196</x:v>
      </x:c>
      <x:c r="B204" t="str">
        <x:v>2024 location: not supplied</x:v>
      </x:c>
      <x:c r="C204"/>
      <x:c r="D204" t="n">
        <x:v>560</x:v>
      </x:c>
      <x:c r="E204" t="n">
        <x:f>SUM(H204:V204)</x:f>
        <x:v>557</x:v>
      </x:c>
      <x:c r="F204" t="n">
        <x:v>3</x:v>
      </x:c>
      <x:c r="G204" s="50" t="str">
        <x:f>IF(C204="","",IFERROR(D204/C204,0))</x:f>
      </x:c>
      <x:c r="H204" s="36" t="n">
        <x:v>8</x:v>
      </x:c>
      <x:c r="I204" t="n">
        <x:v>377</x:v>
      </x:c>
      <x:c r="J204" t="n">
        <x:v>154</x:v>
      </x:c>
      <x:c r="K204" t="n">
        <x:v>0</x:v>
      </x:c>
      <x:c r="L204" t="n">
        <x:v>1</x:v>
      </x:c>
      <x:c r="M204" t="n">
        <x:v>1</x:v>
      </x:c>
      <x:c r="N204" t="n">
        <x:v>6</x:v>
      </x:c>
      <x:c r="O204" t="n">
        <x:v>1</x:v>
      </x:c>
      <x:c r="P204" t="n">
        <x:v>0</x:v>
      </x:c>
      <x:c r="Q204" t="n">
        <x:v>2</x:v>
      </x:c>
      <x:c r="R204" t="n">
        <x:v>1</x:v>
      </x:c>
      <x:c r="S204" t="n">
        <x:v>0</x:v>
      </x:c>
      <x:c r="T204" t="n">
        <x:v>2</x:v>
      </x:c>
      <x:c r="U204" t="n">
        <x:v>3</x:v>
      </x:c>
      <x:c r="V204" t="n">
        <x:v>1</x:v>
      </x:c>
      <x:c r="W204" s="50" t="n">
        <x:f>IF(D204=0,"",H204/D204)</x:f>
        <x:v>0.014285714285714285</x:v>
      </x:c>
      <x:c r="X204" t="n">
        <x:f>MAX(I204:V204)</x:f>
        <x:v>377</x:v>
      </x:c>
      <x:c r="Y204" t="n">
        <x:f>H204-X204</x:f>
        <x:v>-369</x:v>
      </x:c>
      <x:c r="Z204" s="52" t="n">
        <x:f>IF(D204=0,"",(Y204)/D204)</x:f>
        <x:v>-0.6589285714285714</x:v>
      </x:c>
      <x:c r="AA204" t="str">
        <x:v>Dr. Mahesh Sharma</x:v>
      </x:c>
      <x:c r="AB204" t="n">
        <x:f>D204-E204-F204</x:f>
        <x:v>0</x:v>
      </x:c>
    </x:row>
    <x:row r="205">
      <x:c r="A205" t="n">
        <x:v>197</x:v>
      </x:c>
      <x:c r="B205" t="str">
        <x:v>2024 location: not supplied</x:v>
      </x:c>
      <x:c r="C205"/>
      <x:c r="D205" t="n">
        <x:v>241</x:v>
      </x:c>
      <x:c r="E205" t="n">
        <x:f>SUM(H205:V205)</x:f>
        <x:v>241</x:v>
      </x:c>
      <x:c r="F205" t="n">
        <x:v>0</x:v>
      </x:c>
      <x:c r="G205" s="50" t="str">
        <x:f>IF(C205="","",IFERROR(D205/C205,0))</x:f>
      </x:c>
      <x:c r="H205" s="36" t="n">
        <x:v>2</x:v>
      </x:c>
      <x:c r="I205" t="n">
        <x:v>226</x:v>
      </x:c>
      <x:c r="J205" t="n">
        <x:v>7</x:v>
      </x:c>
      <x:c r="K205" t="n">
        <x:v>0</x:v>
      </x:c>
      <x:c r="L205" t="n">
        <x:v>1</x:v>
      </x:c>
      <x:c r="M205" t="n">
        <x:v>0</x:v>
      </x:c>
      <x:c r="N205" t="n">
        <x:v>1</x:v>
      </x:c>
      <x:c r="O205" t="n">
        <x:v>0</x:v>
      </x:c>
      <x:c r="P205" t="n">
        <x:v>0</x:v>
      </x:c>
      <x:c r="Q205" t="n">
        <x:v>0</x:v>
      </x:c>
      <x:c r="R205" t="n">
        <x:v>1</x:v>
      </x:c>
      <x:c r="S205" t="n">
        <x:v>1</x:v>
      </x:c>
      <x:c r="T205" t="n">
        <x:v>0</x:v>
      </x:c>
      <x:c r="U205" t="n">
        <x:v>1</x:v>
      </x:c>
      <x:c r="V205" t="n">
        <x:v>1</x:v>
      </x:c>
      <x:c r="W205" s="50" t="n">
        <x:f>IF(D205=0,"",H205/D205)</x:f>
        <x:v>0.008298755186721992</x:v>
      </x:c>
      <x:c r="X205" t="n">
        <x:f>MAX(I205:V205)</x:f>
        <x:v>226</x:v>
      </x:c>
      <x:c r="Y205" t="n">
        <x:f>H205-X205</x:f>
        <x:v>-224</x:v>
      </x:c>
      <x:c r="Z205" s="52" t="n">
        <x:f>IF(D205=0,"",(Y205)/D205)</x:f>
        <x:v>-0.9294605809128631</x:v>
      </x:c>
      <x:c r="AA205" t="str">
        <x:v>Dr. Mahesh Sharma</x:v>
      </x:c>
      <x:c r="AB205" t="n">
        <x:f>D205-E205-F205</x:f>
        <x:v>0</x:v>
      </x:c>
    </x:row>
    <x:row r="206">
      <x:c r="A206" t="n">
        <x:v>198</x:v>
      </x:c>
      <x:c r="B206" t="str">
        <x:v>2024 location: not supplied</x:v>
      </x:c>
      <x:c r="C206"/>
      <x:c r="D206" t="n">
        <x:v>554</x:v>
      </x:c>
      <x:c r="E206" t="n">
        <x:f>SUM(H206:V206)</x:f>
        <x:v>552</x:v>
      </x:c>
      <x:c r="F206" t="n">
        <x:v>2</x:v>
      </x:c>
      <x:c r="G206" s="50" t="str">
        <x:f>IF(C206="","",IFERROR(D206/C206,0))</x:f>
      </x:c>
      <x:c r="H206" s="36" t="n">
        <x:v>27</x:v>
      </x:c>
      <x:c r="I206" t="n">
        <x:v>111</x:v>
      </x:c>
      <x:c r="J206" t="n">
        <x:v>399</x:v>
      </x:c>
      <x:c r="K206" t="n">
        <x:v>1</x:v>
      </x:c>
      <x:c r="L206" t="n">
        <x:v>2</x:v>
      </x:c>
      <x:c r="M206" t="n">
        <x:v>1</x:v>
      </x:c>
      <x:c r="N206" t="n">
        <x:v>2</x:v>
      </x:c>
      <x:c r="O206" t="n">
        <x:v>4</x:v>
      </x:c>
      <x:c r="P206" t="n">
        <x:v>1</x:v>
      </x:c>
      <x:c r="Q206" t="n">
        <x:v>0</x:v>
      </x:c>
      <x:c r="R206" t="n">
        <x:v>1</x:v>
      </x:c>
      <x:c r="S206" t="n">
        <x:v>1</x:v>
      </x:c>
      <x:c r="T206" t="n">
        <x:v>0</x:v>
      </x:c>
      <x:c r="U206" t="n">
        <x:v>1</x:v>
      </x:c>
      <x:c r="V206" t="n">
        <x:v>1</x:v>
      </x:c>
      <x:c r="W206" s="50" t="n">
        <x:f>IF(D206=0,"",H206/D206)</x:f>
        <x:v>0.048736462093862815</x:v>
      </x:c>
      <x:c r="X206" t="n">
        <x:f>MAX(I206:V206)</x:f>
        <x:v>399</x:v>
      </x:c>
      <x:c r="Y206" t="n">
        <x:f>H206-X206</x:f>
        <x:v>-372</x:v>
      </x:c>
      <x:c r="Z206" s="52" t="n">
        <x:f>IF(D206=0,"",(Y206)/D206)</x:f>
        <x:v>-0.6714801444043321</x:v>
      </x:c>
      <x:c r="AA206" t="str">
        <x:v>Rajendra Singh Solanki</x:v>
      </x:c>
      <x:c r="AB206" t="n">
        <x:f>D206-E206-F206</x:f>
        <x:v>0</x:v>
      </x:c>
    </x:row>
    <x:row r="207">
      <x:c r="A207" t="n">
        <x:v>199</x:v>
      </x:c>
      <x:c r="B207" t="str">
        <x:v>2024 location: not supplied</x:v>
      </x:c>
      <x:c r="C207"/>
      <x:c r="D207" t="n">
        <x:v>642</x:v>
      </x:c>
      <x:c r="E207" t="n">
        <x:f>SUM(H207:V207)</x:f>
        <x:v>639</x:v>
      </x:c>
      <x:c r="F207" t="n">
        <x:v>3</x:v>
      </x:c>
      <x:c r="G207" s="50" t="str">
        <x:f>IF(C207="","",IFERROR(D207/C207,0))</x:f>
      </x:c>
      <x:c r="H207" s="36" t="n">
        <x:v>6</x:v>
      </x:c>
      <x:c r="I207" t="n">
        <x:v>374</x:v>
      </x:c>
      <x:c r="J207" t="n">
        <x:v>243</x:v>
      </x:c>
      <x:c r="K207" t="n">
        <x:v>0</x:v>
      </x:c>
      <x:c r="L207" t="n">
        <x:v>1</x:v>
      </x:c>
      <x:c r="M207" t="n">
        <x:v>0</x:v>
      </x:c>
      <x:c r="N207" t="n">
        <x:v>4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2</x:v>
      </x:c>
      <x:c r="U207" t="n">
        <x:v>4</x:v>
      </x:c>
      <x:c r="V207" t="n">
        <x:v>5</x:v>
      </x:c>
      <x:c r="W207" s="50" t="n">
        <x:f>IF(D207=0,"",H207/D207)</x:f>
        <x:v>0.009345794392523364</x:v>
      </x:c>
      <x:c r="X207" t="n">
        <x:f>MAX(I207:V207)</x:f>
        <x:v>374</x:v>
      </x:c>
      <x:c r="Y207" t="n">
        <x:f>H207-X207</x:f>
        <x:v>-368</x:v>
      </x:c>
      <x:c r="Z207" s="52" t="n">
        <x:f>IF(D207=0,"",(Y207)/D207)</x:f>
        <x:v>-0.573208722741433</x:v>
      </x:c>
      <x:c r="AA207" t="str">
        <x:v>Dr. Mahesh Sharma</x:v>
      </x:c>
      <x:c r="AB207" t="n">
        <x:f>D207-E207-F207</x:f>
        <x:v>0</x:v>
      </x:c>
    </x:row>
    <x:row r="208">
      <x:c r="A208" t="n">
        <x:v>200</x:v>
      </x:c>
      <x:c r="B208" t="str">
        <x:v>2024 location: not supplied</x:v>
      </x:c>
      <x:c r="C208"/>
      <x:c r="D208" t="n">
        <x:v>438</x:v>
      </x:c>
      <x:c r="E208" t="n">
        <x:f>SUM(H208:V208)</x:f>
        <x:v>438</x:v>
      </x:c>
      <x:c r="F208" t="n">
        <x:v>0</x:v>
      </x:c>
      <x:c r="G208" s="50" t="str">
        <x:f>IF(C208="","",IFERROR(D208/C208,0))</x:f>
      </x:c>
      <x:c r="H208" s="36" t="n">
        <x:v>14</x:v>
      </x:c>
      <x:c r="I208" t="n">
        <x:v>285</x:v>
      </x:c>
      <x:c r="J208" t="n">
        <x:v>125</x:v>
      </x:c>
      <x:c r="K208" t="n">
        <x:v>0</x:v>
      </x:c>
      <x:c r="L208" t="n">
        <x:v>3</x:v>
      </x:c>
      <x:c r="M208" t="n">
        <x:v>0</x:v>
      </x:c>
      <x:c r="N208" t="n">
        <x:v>2</x:v>
      </x:c>
      <x:c r="O208" t="n">
        <x:v>0</x:v>
      </x:c>
      <x:c r="P208" t="n">
        <x:v>1</x:v>
      </x:c>
      <x:c r="Q208" t="n">
        <x:v>0</x:v>
      </x:c>
      <x:c r="R208" t="n">
        <x:v>0</x:v>
      </x:c>
      <x:c r="S208" t="n">
        <x:v>2</x:v>
      </x:c>
      <x:c r="T208" t="n">
        <x:v>0</x:v>
      </x:c>
      <x:c r="U208" t="n">
        <x:v>3</x:v>
      </x:c>
      <x:c r="V208" t="n">
        <x:v>3</x:v>
      </x:c>
      <x:c r="W208" s="50" t="n">
        <x:f>IF(D208=0,"",H208/D208)</x:f>
        <x:v>0.0319634703196347</x:v>
      </x:c>
      <x:c r="X208" t="n">
        <x:f>MAX(I208:V208)</x:f>
        <x:v>285</x:v>
      </x:c>
      <x:c r="Y208" t="n">
        <x:f>H208-X208</x:f>
        <x:v>-271</x:v>
      </x:c>
      <x:c r="Z208" s="52" t="n">
        <x:f>IF(D208=0,"",(Y208)/D208)</x:f>
        <x:v>-0.6187214611872146</x:v>
      </x:c>
      <x:c r="AA208" t="str">
        <x:v>Dr. Mahesh Sharma</x:v>
      </x:c>
      <x:c r="AB208" t="n">
        <x:f>D208-E208-F208</x:f>
        <x:v>0</x:v>
      </x:c>
    </x:row>
    <x:row r="209">
      <x:c r="A209" t="n">
        <x:v>201</x:v>
      </x:c>
      <x:c r="B209" t="str">
        <x:v>2024 location: not supplied</x:v>
      </x:c>
      <x:c r="C209"/>
      <x:c r="D209" t="n">
        <x:v>648</x:v>
      </x:c>
      <x:c r="E209" t="n">
        <x:f>SUM(H209:V209)</x:f>
        <x:v>647</x:v>
      </x:c>
      <x:c r="F209" t="n">
        <x:v>1</x:v>
      </x:c>
      <x:c r="G209" s="50" t="str">
        <x:f>IF(C209="","",IFERROR(D209/C209,0))</x:f>
      </x:c>
      <x:c r="H209" s="36" t="n">
        <x:v>2</x:v>
      </x:c>
      <x:c r="I209" t="n">
        <x:v>208</x:v>
      </x:c>
      <x:c r="J209" t="n">
        <x:v>429</x:v>
      </x:c>
      <x:c r="K209" t="n">
        <x:v>0</x:v>
      </x:c>
      <x:c r="L209" t="n">
        <x:v>2</x:v>
      </x:c>
      <x:c r="M209" t="n">
        <x:v>0</x:v>
      </x:c>
      <x:c r="N209" t="n">
        <x:v>0</x:v>
      </x:c>
      <x:c r="O209" t="n">
        <x:v>2</x:v>
      </x:c>
      <x:c r="P209" t="n">
        <x:v>0</x:v>
      </x:c>
      <x:c r="Q209" t="n">
        <x:v>0</x:v>
      </x:c>
      <x:c r="R209" t="n">
        <x:v>0</x:v>
      </x:c>
      <x:c r="S209" t="n">
        <x:v>1</x:v>
      </x:c>
      <x:c r="T209" t="n">
        <x:v>1</x:v>
      </x:c>
      <x:c r="U209" t="n">
        <x:v>1</x:v>
      </x:c>
      <x:c r="V209" t="n">
        <x:v>1</x:v>
      </x:c>
      <x:c r="W209" s="50" t="n">
        <x:f>IF(D209=0,"",H209/D209)</x:f>
        <x:v>0.0030864197530864196</x:v>
      </x:c>
      <x:c r="X209" t="n">
        <x:f>MAX(I209:V209)</x:f>
        <x:v>429</x:v>
      </x:c>
      <x:c r="Y209" t="n">
        <x:f>H209-X209</x:f>
        <x:v>-427</x:v>
      </x:c>
      <x:c r="Z209" s="52" t="n">
        <x:f>IF(D209=0,"",(Y209)/D209)</x:f>
        <x:v>-0.6589506172839507</x:v>
      </x:c>
      <x:c r="AA209" t="str">
        <x:v>Rajendra Singh Solanki</x:v>
      </x:c>
      <x:c r="AB209" t="n">
        <x:f>D209-E209-F209</x:f>
        <x:v>0</x:v>
      </x:c>
    </x:row>
    <x:row r="210">
      <x:c r="A210" t="n">
        <x:v>202</x:v>
      </x:c>
      <x:c r="B210" t="str">
        <x:v>2024 location: not supplied</x:v>
      </x:c>
      <x:c r="C210"/>
      <x:c r="D210" t="n">
        <x:v>580</x:v>
      </x:c>
      <x:c r="E210" t="n">
        <x:f>SUM(H210:V210)</x:f>
        <x:v>579</x:v>
      </x:c>
      <x:c r="F210" t="n">
        <x:v>1</x:v>
      </x:c>
      <x:c r="G210" s="50" t="str">
        <x:f>IF(C210="","",IFERROR(D210/C210,0))</x:f>
      </x:c>
      <x:c r="H210" s="36" t="n">
        <x:v>4</x:v>
      </x:c>
      <x:c r="I210" t="n">
        <x:v>264</x:v>
      </x:c>
      <x:c r="J210" t="n">
        <x:v>304</x:v>
      </x:c>
      <x:c r="K210" t="n">
        <x:v>0</x:v>
      </x:c>
      <x:c r="L210" t="n">
        <x:v>1</x:v>
      </x:c>
      <x:c r="M210" t="n">
        <x:v>0</x:v>
      </x:c>
      <x:c r="N210" t="n">
        <x:v>1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1</x:v>
      </x:c>
      <x:c r="T210" t="n">
        <x:v>0</x:v>
      </x:c>
      <x:c r="U210" t="n">
        <x:v>3</x:v>
      </x:c>
      <x:c r="V210" t="n">
        <x:v>1</x:v>
      </x:c>
      <x:c r="W210" s="50" t="n">
        <x:f>IF(D210=0,"",H210/D210)</x:f>
        <x:v>0.006896551724137931</x:v>
      </x:c>
      <x:c r="X210" t="n">
        <x:f>MAX(I210:V210)</x:f>
        <x:v>304</x:v>
      </x:c>
      <x:c r="Y210" t="n">
        <x:f>H210-X210</x:f>
        <x:v>-300</x:v>
      </x:c>
      <x:c r="Z210" s="52" t="n">
        <x:f>IF(D210=0,"",(Y210)/D210)</x:f>
        <x:v>-0.5172413793103449</x:v>
      </x:c>
      <x:c r="AA210" t="str">
        <x:v>Rajendra Singh Solanki</x:v>
      </x:c>
      <x:c r="AB210" t="n">
        <x:f>D210-E210-F210</x:f>
        <x:v>0</x:v>
      </x:c>
    </x:row>
    <x:row r="211">
      <x:c r="A211" t="n">
        <x:v>203</x:v>
      </x:c>
      <x:c r="B211" t="str">
        <x:v>2024 location: not supplied</x:v>
      </x:c>
      <x:c r="C211"/>
      <x:c r="D211" t="n">
        <x:v>267</x:v>
      </x:c>
      <x:c r="E211" t="n">
        <x:f>SUM(H211:V211)</x:f>
        <x:v>266</x:v>
      </x:c>
      <x:c r="F211" t="n">
        <x:v>1</x:v>
      </x:c>
      <x:c r="G211" s="50" t="str">
        <x:f>IF(C211="","",IFERROR(D211/C211,0))</x:f>
      </x:c>
      <x:c r="H211" s="36" t="n">
        <x:v>2</x:v>
      </x:c>
      <x:c r="I211" t="n">
        <x:v>12</x:v>
      </x:c>
      <x:c r="J211" t="n">
        <x:v>248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2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2</x:v>
      </x:c>
      <x:c r="V211" t="n">
        <x:v>0</x:v>
      </x:c>
      <x:c r="W211" s="50" t="n">
        <x:f>IF(D211=0,"",H211/D211)</x:f>
        <x:v>0.00749063670411985</x:v>
      </x:c>
      <x:c r="X211" t="n">
        <x:f>MAX(I211:V211)</x:f>
        <x:v>248</x:v>
      </x:c>
      <x:c r="Y211" t="n">
        <x:f>H211-X211</x:f>
        <x:v>-246</x:v>
      </x:c>
      <x:c r="Z211" s="52" t="n">
        <x:f>IF(D211=0,"",(Y211)/D211)</x:f>
        <x:v>-0.9213483146067416</x:v>
      </x:c>
      <x:c r="AA211" t="str">
        <x:v>Rajendra Singh Solanki</x:v>
      </x:c>
      <x:c r="AB211" t="n">
        <x:f>D211-E211-F211</x:f>
        <x:v>0</x:v>
      </x:c>
    </x:row>
    <x:row r="212">
      <x:c r="A212" t="n">
        <x:v>204</x:v>
      </x:c>
      <x:c r="B212" t="str">
        <x:v>2024 location: not supplied</x:v>
      </x:c>
      <x:c r="C212"/>
      <x:c r="D212" t="n">
        <x:v>486</x:v>
      </x:c>
      <x:c r="E212" t="n">
        <x:f>SUM(H212:V212)</x:f>
        <x:v>486</x:v>
      </x:c>
      <x:c r="F212" t="n">
        <x:v>0</x:v>
      </x:c>
      <x:c r="G212" s="50" t="str">
        <x:f>IF(C212="","",IFERROR(D212/C212,0))</x:f>
      </x:c>
      <x:c r="H212" s="36" t="n">
        <x:v>7</x:v>
      </x:c>
      <x:c r="I212" t="n">
        <x:v>9</x:v>
      </x:c>
      <x:c r="J212" t="n">
        <x:v>460</x:v>
      </x:c>
      <x:c r="K212" t="n">
        <x:v>0</x:v>
      </x:c>
      <x:c r="L212" t="n">
        <x:v>3</x:v>
      </x:c>
      <x:c r="M212" t="n">
        <x:v>0</x:v>
      </x:c>
      <x:c r="N212" t="n">
        <x:v>0</x:v>
      </x:c>
      <x:c r="O212" t="n">
        <x:v>3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4</x:v>
      </x:c>
      <x:c r="V212" t="n">
        <x:v>0</x:v>
      </x:c>
      <x:c r="W212" s="50" t="n">
        <x:f>IF(D212=0,"",H212/D212)</x:f>
        <x:v>0.01440329218106996</x:v>
      </x:c>
      <x:c r="X212" t="n">
        <x:f>MAX(I212:V212)</x:f>
        <x:v>460</x:v>
      </x:c>
      <x:c r="Y212" t="n">
        <x:f>H212-X212</x:f>
        <x:v>-453</x:v>
      </x:c>
      <x:c r="Z212" s="52" t="n">
        <x:f>IF(D212=0,"",(Y212)/D212)</x:f>
        <x:v>-0.9320987654320988</x:v>
      </x:c>
      <x:c r="AA212" t="str">
        <x:v>Rajendra Singh Solanki</x:v>
      </x:c>
      <x:c r="AB212" t="n">
        <x:f>D212-E212-F212</x:f>
        <x:v>0</x:v>
      </x:c>
    </x:row>
    <x:row r="213">
      <x:c r="A213" t="n">
        <x:v>205</x:v>
      </x:c>
      <x:c r="B213" t="str">
        <x:v>2024 location: not supplied</x:v>
      </x:c>
      <x:c r="C213"/>
      <x:c r="D213" t="n">
        <x:v>500</x:v>
      </x:c>
      <x:c r="E213" t="n">
        <x:f>SUM(H213:V213)</x:f>
        <x:v>497</x:v>
      </x:c>
      <x:c r="F213" t="n">
        <x:v>3</x:v>
      </x:c>
      <x:c r="G213" s="50" t="str">
        <x:f>IF(C213="","",IFERROR(D213/C213,0))</x:f>
      </x:c>
      <x:c r="H213" s="36" t="n">
        <x:v>8</x:v>
      </x:c>
      <x:c r="I213" t="n">
        <x:v>79</x:v>
      </x:c>
      <x:c r="J213" t="n">
        <x:v>398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1</x:v>
      </x:c>
      <x:c r="Q213" t="n">
        <x:v>0</x:v>
      </x:c>
      <x:c r="R213" t="n">
        <x:v>1</x:v>
      </x:c>
      <x:c r="S213" t="n">
        <x:v>2</x:v>
      </x:c>
      <x:c r="T213" t="n">
        <x:v>2</x:v>
      </x:c>
      <x:c r="U213" t="n">
        <x:v>4</x:v>
      </x:c>
      <x:c r="V213" t="n">
        <x:v>2</x:v>
      </x:c>
      <x:c r="W213" s="50" t="n">
        <x:f>IF(D213=0,"",H213/D213)</x:f>
        <x:v>0.016</x:v>
      </x:c>
      <x:c r="X213" t="n">
        <x:f>MAX(I213:V213)</x:f>
        <x:v>398</x:v>
      </x:c>
      <x:c r="Y213" t="n">
        <x:f>H213-X213</x:f>
        <x:v>-390</x:v>
      </x:c>
      <x:c r="Z213" s="52" t="n">
        <x:f>IF(D213=0,"",(Y213)/D213)</x:f>
        <x:v>-0.78</x:v>
      </x:c>
      <x:c r="AA213" t="str">
        <x:v>Rajendra Singh Solanki</x:v>
      </x:c>
      <x:c r="AB213" t="n">
        <x:f>D213-E213-F213</x:f>
        <x:v>0</x:v>
      </x:c>
    </x:row>
    <x:row r="214">
      <x:c r="A214" t="n">
        <x:v>206</x:v>
      </x:c>
      <x:c r="B214" t="str">
        <x:v>2024 location: not supplied</x:v>
      </x:c>
      <x:c r="C214"/>
      <x:c r="D214" t="n">
        <x:v>443</x:v>
      </x:c>
      <x:c r="E214" t="n">
        <x:f>SUM(H214:V214)</x:f>
        <x:v>442</x:v>
      </x:c>
      <x:c r="F214" t="n">
        <x:v>1</x:v>
      </x:c>
      <x:c r="G214" s="50" t="str">
        <x:f>IF(C214="","",IFERROR(D214/C214,0))</x:f>
      </x:c>
      <x:c r="H214" s="36" t="n">
        <x:v>7</x:v>
      </x:c>
      <x:c r="I214" t="n">
        <x:v>269</x:v>
      </x:c>
      <x:c r="J214" t="n">
        <x:v>157</x:v>
      </x:c>
      <x:c r="K214" t="n">
        <x:v>0</x:v>
      </x:c>
      <x:c r="L214" t="n">
        <x:v>0</x:v>
      </x:c>
      <x:c r="M214" t="n">
        <x:v>1</x:v>
      </x:c>
      <x:c r="N214" t="n">
        <x:v>1</x:v>
      </x:c>
      <x:c r="O214" t="n">
        <x:v>0</x:v>
      </x:c>
      <x:c r="P214" t="n">
        <x:v>1</x:v>
      </x:c>
      <x:c r="Q214" t="n">
        <x:v>0</x:v>
      </x:c>
      <x:c r="R214" t="n">
        <x:v>0</x:v>
      </x:c>
      <x:c r="S214" t="n">
        <x:v>0</x:v>
      </x:c>
      <x:c r="T214" t="n">
        <x:v>1</x:v>
      </x:c>
      <x:c r="U214" t="n">
        <x:v>3</x:v>
      </x:c>
      <x:c r="V214" t="n">
        <x:v>2</x:v>
      </x:c>
      <x:c r="W214" s="50" t="n">
        <x:f>IF(D214=0,"",H214/D214)</x:f>
        <x:v>0.01580135440180587</x:v>
      </x:c>
      <x:c r="X214" t="n">
        <x:f>MAX(I214:V214)</x:f>
        <x:v>269</x:v>
      </x:c>
      <x:c r="Y214" t="n">
        <x:f>H214-X214</x:f>
        <x:v>-262</x:v>
      </x:c>
      <x:c r="Z214" s="52" t="n">
        <x:f>IF(D214=0,"",(Y214)/D214)</x:f>
        <x:v>-0.5914221218961625</x:v>
      </x:c>
      <x:c r="AA214" t="str">
        <x:v>Dr. Mahesh Sharma</x:v>
      </x:c>
      <x:c r="AB214" t="n">
        <x:f>D214-E214-F214</x:f>
        <x:v>0</x:v>
      </x:c>
    </x:row>
    <x:row r="215">
      <x:c r="A215" t="n">
        <x:v>207</x:v>
      </x:c>
      <x:c r="B215" t="str">
        <x:v>2024 location: not supplied</x:v>
      </x:c>
      <x:c r="C215"/>
      <x:c r="D215" t="n">
        <x:v>856</x:v>
      </x:c>
      <x:c r="E215" t="n">
        <x:f>SUM(H215:V215)</x:f>
        <x:v>852</x:v>
      </x:c>
      <x:c r="F215" t="n">
        <x:v>4</x:v>
      </x:c>
      <x:c r="G215" s="50" t="str">
        <x:f>IF(C215="","",IFERROR(D215/C215,0))</x:f>
      </x:c>
      <x:c r="H215" s="36" t="n">
        <x:v>112</x:v>
      </x:c>
      <x:c r="I215" t="n">
        <x:v>250</x:v>
      </x:c>
      <x:c r="J215" t="n">
        <x:v>469</x:v>
      </x:c>
      <x:c r="K215" t="n">
        <x:v>0</x:v>
      </x:c>
      <x:c r="L215" t="n">
        <x:v>4</x:v>
      </x:c>
      <x:c r="M215" t="n">
        <x:v>2</x:v>
      </x:c>
      <x:c r="N215" t="n">
        <x:v>0</x:v>
      </x:c>
      <x:c r="O215" t="n">
        <x:v>4</x:v>
      </x:c>
      <x:c r="P215" t="n">
        <x:v>0</x:v>
      </x:c>
      <x:c r="Q215" t="n">
        <x:v>1</x:v>
      </x:c>
      <x:c r="R215" t="n">
        <x:v>0</x:v>
      </x:c>
      <x:c r="S215" t="n">
        <x:v>1</x:v>
      </x:c>
      <x:c r="T215" t="n">
        <x:v>2</x:v>
      </x:c>
      <x:c r="U215" t="n">
        <x:v>6</x:v>
      </x:c>
      <x:c r="V215" t="n">
        <x:v>1</x:v>
      </x:c>
      <x:c r="W215" s="50" t="n">
        <x:f>IF(D215=0,"",H215/D215)</x:f>
        <x:v>0.1308411214953271</x:v>
      </x:c>
      <x:c r="X215" t="n">
        <x:f>MAX(I215:V215)</x:f>
        <x:v>469</x:v>
      </x:c>
      <x:c r="Y215" t="n">
        <x:f>H215-X215</x:f>
        <x:v>-357</x:v>
      </x:c>
      <x:c r="Z215" s="52" t="n">
        <x:f>IF(D215=0,"",(Y215)/D215)</x:f>
        <x:v>-0.41705607476635514</x:v>
      </x:c>
      <x:c r="AA215" t="str">
        <x:v>Rajendra Singh Solanki</x:v>
      </x:c>
      <x:c r="AB215" t="n">
        <x:f>D215-E215-F215</x:f>
        <x:v>0</x:v>
      </x:c>
    </x:row>
    <x:row r="216">
      <x:c r="A216" t="n">
        <x:v>208</x:v>
      </x:c>
      <x:c r="B216" t="str">
        <x:v>2024 location: not supplied</x:v>
      </x:c>
      <x:c r="C216"/>
      <x:c r="D216" t="n">
        <x:v>114</x:v>
      </x:c>
      <x:c r="E216" t="n">
        <x:f>SUM(H216:V216)</x:f>
        <x:v>114</x:v>
      </x:c>
      <x:c r="F216" t="n">
        <x:v>0</x:v>
      </x:c>
      <x:c r="G216" s="50" t="str">
        <x:f>IF(C216="","",IFERROR(D216/C216,0))</x:f>
      </x:c>
      <x:c r="H216" s="36" t="n">
        <x:v>2</x:v>
      </x:c>
      <x:c r="I216" t="n">
        <x:v>94</x:v>
      </x:c>
      <x:c r="J216" t="n">
        <x:v>13</x:v>
      </x:c>
      <x:c r="K216" t="n">
        <x:v>0</x:v>
      </x:c>
      <x:c r="L216" t="n">
        <x:v>1</x:v>
      </x:c>
      <x:c r="M216" t="n">
        <x:v>0</x:v>
      </x:c>
      <x:c r="N216" t="n">
        <x:v>2</x:v>
      </x:c>
      <x:c r="O216" t="n">
        <x:v>0</x:v>
      </x:c>
      <x:c r="P216" t="n">
        <x:v>0</x:v>
      </x:c>
      <x:c r="Q216" t="n">
        <x:v>1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1</x:v>
      </x:c>
      <x:c r="W216" s="50" t="n">
        <x:f>IF(D216=0,"",H216/D216)</x:f>
        <x:v>0.017543859649122806</x:v>
      </x:c>
      <x:c r="X216" t="n">
        <x:f>MAX(I216:V216)</x:f>
        <x:v>94</x:v>
      </x:c>
      <x:c r="Y216" t="n">
        <x:f>H216-X216</x:f>
        <x:v>-92</x:v>
      </x:c>
      <x:c r="Z216" s="52" t="n">
        <x:f>IF(D216=0,"",(Y216)/D216)</x:f>
        <x:v>-0.8070175438596491</x:v>
      </x:c>
      <x:c r="AA216" t="str">
        <x:v>Dr. Mahesh Sharma</x:v>
      </x:c>
      <x:c r="AB216" t="n">
        <x:f>D216-E216-F216</x:f>
        <x:v>0</x:v>
      </x:c>
    </x:row>
    <x:row r="217">
      <x:c r="A217" t="n">
        <x:v>209</x:v>
      </x:c>
      <x:c r="B217" t="str">
        <x:v>2024 location: not supplied</x:v>
      </x:c>
      <x:c r="C217"/>
      <x:c r="D217" t="n">
        <x:v>675</x:v>
      </x:c>
      <x:c r="E217" t="n">
        <x:f>SUM(H217:V217)</x:f>
        <x:v>672</x:v>
      </x:c>
      <x:c r="F217" t="n">
        <x:v>3</x:v>
      </x:c>
      <x:c r="G217" s="50" t="str">
        <x:f>IF(C217="","",IFERROR(D217/C217,0))</x:f>
      </x:c>
      <x:c r="H217" s="36" t="n">
        <x:v>15</x:v>
      </x:c>
      <x:c r="I217" t="n">
        <x:v>109</x:v>
      </x:c>
      <x:c r="J217" t="n">
        <x:v>533</x:v>
      </x:c>
      <x:c r="K217" t="n">
        <x:v>0</x:v>
      </x:c>
      <x:c r="L217" t="n">
        <x:v>2</x:v>
      </x:c>
      <x:c r="M217" t="n">
        <x:v>0</x:v>
      </x:c>
      <x:c r="N217" t="n">
        <x:v>0</x:v>
      </x:c>
      <x:c r="O217" t="n">
        <x:v>2</x:v>
      </x:c>
      <x:c r="P217" t="n">
        <x:v>0</x:v>
      </x:c>
      <x:c r="Q217" t="n">
        <x:v>1</x:v>
      </x:c>
      <x:c r="R217" t="n">
        <x:v>1</x:v>
      </x:c>
      <x:c r="S217" t="n">
        <x:v>0</x:v>
      </x:c>
      <x:c r="T217" t="n">
        <x:v>2</x:v>
      </x:c>
      <x:c r="U217" t="n">
        <x:v>5</x:v>
      </x:c>
      <x:c r="V217" t="n">
        <x:v>2</x:v>
      </x:c>
      <x:c r="W217" s="50" t="n">
        <x:f>IF(D217=0,"",H217/D217)</x:f>
        <x:v>0.022222222222222223</x:v>
      </x:c>
      <x:c r="X217" t="n">
        <x:f>MAX(I217:V217)</x:f>
        <x:v>533</x:v>
      </x:c>
      <x:c r="Y217" t="n">
        <x:f>H217-X217</x:f>
        <x:v>-518</x:v>
      </x:c>
      <x:c r="Z217" s="52" t="n">
        <x:f>IF(D217=0,"",(Y217)/D217)</x:f>
        <x:v>-0.7674074074074074</x:v>
      </x:c>
      <x:c r="AA217" t="str">
        <x:v>Rajendra Singh Solanki</x:v>
      </x:c>
      <x:c r="AB217" t="n">
        <x:f>D217-E217-F217</x:f>
        <x:v>0</x:v>
      </x:c>
    </x:row>
    <x:row r="218">
      <x:c r="A218" t="n">
        <x:v>210</x:v>
      </x:c>
      <x:c r="B218" t="str">
        <x:v>2024 location: not supplied</x:v>
      </x:c>
      <x:c r="C218"/>
      <x:c r="D218" t="n">
        <x:v>321</x:v>
      </x:c>
      <x:c r="E218" t="n">
        <x:f>SUM(H218:V218)</x:f>
        <x:v>321</x:v>
      </x:c>
      <x:c r="F218" t="n">
        <x:v>0</x:v>
      </x:c>
      <x:c r="G218" s="50" t="str">
        <x:f>IF(C218="","",IFERROR(D218/C218,0))</x:f>
      </x:c>
      <x:c r="H218" s="36" t="n">
        <x:v>0</x:v>
      </x:c>
      <x:c r="I218" t="n">
        <x:v>257</x:v>
      </x:c>
      <x:c r="J218" t="n">
        <x:v>60</x:v>
      </x:c>
      <x:c r="K218" t="n">
        <x:v>0</x:v>
      </x:c>
      <x:c r="L218" t="n">
        <x:v>0</x:v>
      </x:c>
      <x:c r="M218" t="n">
        <x:v>0</x:v>
      </x:c>
      <x:c r="N218" t="n">
        <x:v>2</x:v>
      </x:c>
      <x:c r="O218" t="n">
        <x:v>2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s="50" t="n">
        <x:f>IF(D218=0,"",H218/D218)</x:f>
        <x:v>0</x:v>
      </x:c>
      <x:c r="X218" t="n">
        <x:f>MAX(I218:V218)</x:f>
        <x:v>257</x:v>
      </x:c>
      <x:c r="Y218" t="n">
        <x:f>H218-X218</x:f>
        <x:v>-257</x:v>
      </x:c>
      <x:c r="Z218" s="52" t="n">
        <x:f>IF(D218=0,"",(Y218)/D218)</x:f>
        <x:v>-0.8006230529595015</x:v>
      </x:c>
      <x:c r="AA218" t="str">
        <x:v>Dr. Mahesh Sharma</x:v>
      </x:c>
      <x:c r="AB218" t="n">
        <x:f>D218-E218-F218</x:f>
        <x:v>0</x:v>
      </x:c>
    </x:row>
    <x:row r="219">
      <x:c r="A219" t="n">
        <x:v>211</x:v>
      </x:c>
      <x:c r="B219" t="str">
        <x:v>2024 location: not supplied</x:v>
      </x:c>
      <x:c r="C219"/>
      <x:c r="D219" t="n">
        <x:v>547</x:v>
      </x:c>
      <x:c r="E219" t="n">
        <x:f>SUM(H219:V219)</x:f>
        <x:v>547</x:v>
      </x:c>
      <x:c r="F219" t="n">
        <x:v>0</x:v>
      </x:c>
      <x:c r="G219" s="50" t="str">
        <x:f>IF(C219="","",IFERROR(D219/C219,0))</x:f>
      </x:c>
      <x:c r="H219" s="36" t="n">
        <x:v>1</x:v>
      </x:c>
      <x:c r="I219" t="n">
        <x:v>240</x:v>
      </x:c>
      <x:c r="J219" t="n">
        <x:v>292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2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1</x:v>
      </x:c>
      <x:c r="U219" t="n">
        <x:v>8</x:v>
      </x:c>
      <x:c r="V219" t="n">
        <x:v>3</x:v>
      </x:c>
      <x:c r="W219" s="50" t="n">
        <x:f>IF(D219=0,"",H219/D219)</x:f>
        <x:v>0.0018281535648994515</x:v>
      </x:c>
      <x:c r="X219" t="n">
        <x:f>MAX(I219:V219)</x:f>
        <x:v>292</x:v>
      </x:c>
      <x:c r="Y219" t="n">
        <x:f>H219-X219</x:f>
        <x:v>-291</x:v>
      </x:c>
      <x:c r="Z219" s="52" t="n">
        <x:f>IF(D219=0,"",(Y219)/D219)</x:f>
        <x:v>-0.5319926873857403</x:v>
      </x:c>
      <x:c r="AA219" t="str">
        <x:v>Rajendra Singh Solanki</x:v>
      </x:c>
      <x:c r="AB219" t="n">
        <x:f>D219-E219-F219</x:f>
        <x:v>0</x:v>
      </x:c>
    </x:row>
    <x:row r="220">
      <x:c r="A220" t="n">
        <x:v>212</x:v>
      </x:c>
      <x:c r="B220" t="str">
        <x:v>2024 location: not supplied</x:v>
      </x:c>
      <x:c r="C220"/>
      <x:c r="D220" t="n">
        <x:v>227</x:v>
      </x:c>
      <x:c r="E220" t="n">
        <x:f>SUM(H220:V220)</x:f>
        <x:v>227</x:v>
      </x:c>
      <x:c r="F220" t="n">
        <x:v>0</x:v>
      </x:c>
      <x:c r="G220" s="50" t="str">
        <x:f>IF(C220="","",IFERROR(D220/C220,0))</x:f>
      </x:c>
      <x:c r="H220" s="36" t="n">
        <x:v>1</x:v>
      </x:c>
      <x:c r="I220" t="n">
        <x:v>107</x:v>
      </x:c>
      <x:c r="J220" t="n">
        <x:v>116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1</x:v>
      </x:c>
      <x:c r="Q220" t="n">
        <x:v>0</x:v>
      </x:c>
      <x:c r="R220" t="n">
        <x:v>0</x:v>
      </x:c>
      <x:c r="S220" t="n">
        <x:v>0</x:v>
      </x:c>
      <x:c r="T220" t="n">
        <x:v>1</x:v>
      </x:c>
      <x:c r="U220" t="n">
        <x:v>0</x:v>
      </x:c>
      <x:c r="V220" t="n">
        <x:v>1</x:v>
      </x:c>
      <x:c r="W220" s="50" t="n">
        <x:f>IF(D220=0,"",H220/D220)</x:f>
        <x:v>0.004405286343612335</x:v>
      </x:c>
      <x:c r="X220" t="n">
        <x:f>MAX(I220:V220)</x:f>
        <x:v>116</x:v>
      </x:c>
      <x:c r="Y220" t="n">
        <x:f>H220-X220</x:f>
        <x:v>-115</x:v>
      </x:c>
      <x:c r="Z220" s="52" t="n">
        <x:f>IF(D220=0,"",(Y220)/D220)</x:f>
        <x:v>-0.5066079295154186</x:v>
      </x:c>
      <x:c r="AA220" t="str">
        <x:v>Rajendra Singh Solanki</x:v>
      </x:c>
      <x:c r="AB220" t="n">
        <x:f>D220-E220-F220</x:f>
        <x:v>0</x:v>
      </x:c>
    </x:row>
    <x:row r="221">
      <x:c r="A221" t="n">
        <x:v>213</x:v>
      </x:c>
      <x:c r="B221" t="str">
        <x:v>2024 location: not supplied</x:v>
      </x:c>
      <x:c r="C221"/>
      <x:c r="D221" t="n">
        <x:v>502</x:v>
      </x:c>
      <x:c r="E221" t="n">
        <x:f>SUM(H221:V221)</x:f>
        <x:v>501</x:v>
      </x:c>
      <x:c r="F221" t="n">
        <x:v>1</x:v>
      </x:c>
      <x:c r="G221" s="50" t="str">
        <x:f>IF(C221="","",IFERROR(D221/C221,0))</x:f>
      </x:c>
      <x:c r="H221" s="36" t="n">
        <x:v>59</x:v>
      </x:c>
      <x:c r="I221" t="n">
        <x:v>227</x:v>
      </x:c>
      <x:c r="J221" t="n">
        <x:v>201</x:v>
      </x:c>
      <x:c r="K221" t="n">
        <x:v>0</x:v>
      </x:c>
      <x:c r="L221" t="n">
        <x:v>1</x:v>
      </x:c>
      <x:c r="M221" t="n">
        <x:v>0</x:v>
      </x:c>
      <x:c r="N221" t="n">
        <x:v>1</x:v>
      </x:c>
      <x:c r="O221" t="n">
        <x:v>3</x:v>
      </x:c>
      <x:c r="P221" t="n">
        <x:v>3</x:v>
      </x:c>
      <x:c r="Q221" t="n">
        <x:v>0</x:v>
      </x:c>
      <x:c r="R221" t="n">
        <x:v>0</x:v>
      </x:c>
      <x:c r="S221" t="n">
        <x:v>1</x:v>
      </x:c>
      <x:c r="T221" t="n">
        <x:v>0</x:v>
      </x:c>
      <x:c r="U221" t="n">
        <x:v>4</x:v>
      </x:c>
      <x:c r="V221" t="n">
        <x:v>1</x:v>
      </x:c>
      <x:c r="W221" s="50" t="n">
        <x:f>IF(D221=0,"",H221/D221)</x:f>
        <x:v>0.11752988047808766</x:v>
      </x:c>
      <x:c r="X221" t="n">
        <x:f>MAX(I221:V221)</x:f>
        <x:v>227</x:v>
      </x:c>
      <x:c r="Y221" t="n">
        <x:f>H221-X221</x:f>
        <x:v>-168</x:v>
      </x:c>
      <x:c r="Z221" s="52" t="n">
        <x:f>IF(D221=0,"",(Y221)/D221)</x:f>
        <x:v>-0.3346613545816733</x:v>
      </x:c>
      <x:c r="AA221" t="str">
        <x:v>Dr. Mahesh Sharma</x:v>
      </x:c>
      <x:c r="AB221" t="n">
        <x:f>D221-E221-F221</x:f>
        <x:v>0</x:v>
      </x:c>
    </x:row>
    <x:row r="222">
      <x:c r="A222" t="n">
        <x:v>214</x:v>
      </x:c>
      <x:c r="B222" t="str">
        <x:v>2024 location: not supplied</x:v>
      </x:c>
      <x:c r="C222"/>
      <x:c r="D222" t="n">
        <x:v>327</x:v>
      </x:c>
      <x:c r="E222" t="n">
        <x:f>SUM(H222:V222)</x:f>
        <x:v>327</x:v>
      </x:c>
      <x:c r="F222" t="n">
        <x:v>0</x:v>
      </x:c>
      <x:c r="G222" s="50" t="str">
        <x:f>IF(C222="","",IFERROR(D222/C222,0))</x:f>
      </x:c>
      <x:c r="H222" s="36" t="n">
        <x:v>7</x:v>
      </x:c>
      <x:c r="I222" t="n">
        <x:v>76</x:v>
      </x:c>
      <x:c r="J222" t="n">
        <x:v>232</x:v>
      </x:c>
      <x:c r="K222" t="n">
        <x:v>0</x:v>
      </x:c>
      <x:c r="L222" t="n">
        <x:v>1</x:v>
      </x:c>
      <x:c r="M222" t="n">
        <x:v>1</x:v>
      </x:c>
      <x:c r="N222" t="n">
        <x:v>1</x:v>
      </x:c>
      <x:c r="O222" t="n">
        <x:v>4</x:v>
      </x:c>
      <x:c r="P222" t="n">
        <x:v>1</x:v>
      </x:c>
      <x:c r="Q222" t="n">
        <x:v>0</x:v>
      </x:c>
      <x:c r="R222" t="n">
        <x:v>0</x:v>
      </x:c>
      <x:c r="S222" t="n">
        <x:v>0</x:v>
      </x:c>
      <x:c r="T222" t="n">
        <x:v>1</x:v>
      </x:c>
      <x:c r="U222" t="n">
        <x:v>3</x:v>
      </x:c>
      <x:c r="V222" t="n">
        <x:v>0</x:v>
      </x:c>
      <x:c r="W222" s="50" t="n">
        <x:f>IF(D222=0,"",H222/D222)</x:f>
        <x:v>0.021406727828746176</x:v>
      </x:c>
      <x:c r="X222" t="n">
        <x:f>MAX(I222:V222)</x:f>
        <x:v>232</x:v>
      </x:c>
      <x:c r="Y222" t="n">
        <x:f>H222-X222</x:f>
        <x:v>-225</x:v>
      </x:c>
      <x:c r="Z222" s="52" t="n">
        <x:f>IF(D222=0,"",(Y222)/D222)</x:f>
        <x:v>-0.6880733944954128</x:v>
      </x:c>
      <x:c r="AA222" t="str">
        <x:v>Rajendra Singh Solanki</x:v>
      </x:c>
      <x:c r="AB222" t="n">
        <x:f>D222-E222-F222</x:f>
        <x:v>0</x:v>
      </x:c>
    </x:row>
    <x:row r="223">
      <x:c r="A223" t="n">
        <x:v>215</x:v>
      </x:c>
      <x:c r="B223" t="str">
        <x:v>2024 location: not supplied</x:v>
      </x:c>
      <x:c r="C223"/>
      <x:c r="D223" t="n">
        <x:v>368</x:v>
      </x:c>
      <x:c r="E223" t="n">
        <x:f>SUM(H223:V223)</x:f>
        <x:v>367</x:v>
      </x:c>
      <x:c r="F223" t="n">
        <x:v>1</x:v>
      </x:c>
      <x:c r="G223" s="50" t="str">
        <x:f>IF(C223="","",IFERROR(D223/C223,0))</x:f>
      </x:c>
      <x:c r="H223" s="36" t="n">
        <x:v>6</x:v>
      </x:c>
      <x:c r="I223" t="n">
        <x:v>22</x:v>
      </x:c>
      <x:c r="J223" t="n">
        <x:v>325</x:v>
      </x:c>
      <x:c r="K223" t="n">
        <x:v>0</x:v>
      </x:c>
      <x:c r="L223" t="n">
        <x:v>2</x:v>
      </x:c>
      <x:c r="M223" t="n">
        <x:v>1</x:v>
      </x:c>
      <x:c r="N223" t="n">
        <x:v>0</x:v>
      </x:c>
      <x:c r="O223" t="n">
        <x:v>2</x:v>
      </x:c>
      <x:c r="P223" t="n">
        <x:v>0</x:v>
      </x:c>
      <x:c r="Q223" t="n">
        <x:v>1</x:v>
      </x:c>
      <x:c r="R223" t="n">
        <x:v>0</x:v>
      </x:c>
      <x:c r="S223" t="n">
        <x:v>1</x:v>
      </x:c>
      <x:c r="T223" t="n">
        <x:v>1</x:v>
      </x:c>
      <x:c r="U223" t="n">
        <x:v>5</x:v>
      </x:c>
      <x:c r="V223" t="n">
        <x:v>1</x:v>
      </x:c>
      <x:c r="W223" s="50" t="n">
        <x:f>IF(D223=0,"",H223/D223)</x:f>
        <x:v>0.016304347826086956</x:v>
      </x:c>
      <x:c r="X223" t="n">
        <x:f>MAX(I223:V223)</x:f>
        <x:v>325</x:v>
      </x:c>
      <x:c r="Y223" t="n">
        <x:f>H223-X223</x:f>
        <x:v>-319</x:v>
      </x:c>
      <x:c r="Z223" s="52" t="n">
        <x:f>IF(D223=0,"",(Y223)/D223)</x:f>
        <x:v>-0.8668478260869565</x:v>
      </x:c>
      <x:c r="AA223" t="str">
        <x:v>Rajendra Singh Solanki</x:v>
      </x:c>
      <x:c r="AB223" t="n">
        <x:f>D223-E223-F223</x:f>
        <x:v>0</x:v>
      </x:c>
    </x:row>
    <x:row r="224">
      <x:c r="A224" t="n">
        <x:v>216</x:v>
      </x:c>
      <x:c r="B224" t="str">
        <x:v>2024 location: not supplied</x:v>
      </x:c>
      <x:c r="C224"/>
      <x:c r="D224" t="n">
        <x:v>476</x:v>
      </x:c>
      <x:c r="E224" t="n">
        <x:f>SUM(H224:V224)</x:f>
        <x:v>473</x:v>
      </x:c>
      <x:c r="F224" t="n">
        <x:v>3</x:v>
      </x:c>
      <x:c r="G224" s="50" t="str">
        <x:f>IF(C224="","",IFERROR(D224/C224,0))</x:f>
      </x:c>
      <x:c r="H224" s="36" t="n">
        <x:v>72</x:v>
      </x:c>
      <x:c r="I224" t="n">
        <x:v>280</x:v>
      </x:c>
      <x:c r="J224" t="n">
        <x:v>107</x:v>
      </x:c>
      <x:c r="K224" t="n">
        <x:v>0</x:v>
      </x:c>
      <x:c r="L224" t="n">
        <x:v>2</x:v>
      </x:c>
      <x:c r="M224" t="n">
        <x:v>0</x:v>
      </x:c>
      <x:c r="N224" t="n">
        <x:v>3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1</x:v>
      </x:c>
      <x:c r="T224" t="n">
        <x:v>0</x:v>
      </x:c>
      <x:c r="U224" t="n">
        <x:v>1</x:v>
      </x:c>
      <x:c r="V224" t="n">
        <x:v>7</x:v>
      </x:c>
      <x:c r="W224" s="50" t="n">
        <x:f>IF(D224=0,"",H224/D224)</x:f>
        <x:v>0.15126050420168066</x:v>
      </x:c>
      <x:c r="X224" t="n">
        <x:f>MAX(I224:V224)</x:f>
        <x:v>280</x:v>
      </x:c>
      <x:c r="Y224" t="n">
        <x:f>H224-X224</x:f>
        <x:v>-208</x:v>
      </x:c>
      <x:c r="Z224" s="52" t="n">
        <x:f>IF(D224=0,"",(Y224)/D224)</x:f>
        <x:v>-0.4369747899159664</x:v>
      </x:c>
      <x:c r="AA224" t="str">
        <x:v>Dr. Mahesh Sharma</x:v>
      </x:c>
      <x:c r="AB224" t="n">
        <x:f>D224-E224-F224</x:f>
        <x:v>0</x:v>
      </x:c>
    </x:row>
    <x:row r="225">
      <x:c r="A225" t="n">
        <x:v>217</x:v>
      </x:c>
      <x:c r="B225" t="str">
        <x:v>2024 location: not supplied</x:v>
      </x:c>
      <x:c r="C225"/>
      <x:c r="D225" t="n">
        <x:v>303</x:v>
      </x:c>
      <x:c r="E225" t="n">
        <x:f>SUM(H225:V225)</x:f>
        <x:v>302</x:v>
      </x:c>
      <x:c r="F225" t="n">
        <x:v>1</x:v>
      </x:c>
      <x:c r="G225" s="50" t="str">
        <x:f>IF(C225="","",IFERROR(D225/C225,0))</x:f>
      </x:c>
      <x:c r="H225" s="36" t="n">
        <x:v>17</x:v>
      </x:c>
      <x:c r="I225" t="n">
        <x:v>249</x:v>
      </x:c>
      <x:c r="J225" t="n">
        <x:v>32</x:v>
      </x:c>
      <x:c r="K225" t="n">
        <x:v>0</x:v>
      </x:c>
      <x:c r="L225" t="n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1</x:v>
      </x:c>
      <x:c r="V225" t="n">
        <x:v>2</x:v>
      </x:c>
      <x:c r="W225" s="50" t="n">
        <x:f>IF(D225=0,"",H225/D225)</x:f>
        <x:v>0.056105610561056105</x:v>
      </x:c>
      <x:c r="X225" t="n">
        <x:f>MAX(I225:V225)</x:f>
        <x:v>249</x:v>
      </x:c>
      <x:c r="Y225" t="n">
        <x:f>H225-X225</x:f>
        <x:v>-232</x:v>
      </x:c>
      <x:c r="Z225" s="52" t="n">
        <x:f>IF(D225=0,"",(Y225)/D225)</x:f>
        <x:v>-0.7656765676567657</x:v>
      </x:c>
      <x:c r="AA225" t="str">
        <x:v>Dr. Mahesh Sharma</x:v>
      </x:c>
      <x:c r="AB225" t="n">
        <x:f>D225-E225-F225</x:f>
        <x:v>0</x:v>
      </x:c>
    </x:row>
    <x:row r="226">
      <x:c r="A226" t="n">
        <x:v>218</x:v>
      </x:c>
      <x:c r="B226" t="str">
        <x:v>2024 location: not supplied</x:v>
      </x:c>
      <x:c r="C226"/>
      <x:c r="D226" t="n">
        <x:v>322</x:v>
      </x:c>
      <x:c r="E226" t="n">
        <x:f>SUM(H226:V226)</x:f>
        <x:v>321</x:v>
      </x:c>
      <x:c r="F226" t="n">
        <x:v>1</x:v>
      </x:c>
      <x:c r="G226" s="50" t="str">
        <x:f>IF(C226="","",IFERROR(D226/C226,0))</x:f>
      </x:c>
      <x:c r="H226" s="36" t="n">
        <x:v>32</x:v>
      </x:c>
      <x:c r="I226" t="n">
        <x:v>225</x:v>
      </x:c>
      <x:c r="J226" t="n">
        <x:v>59</x:v>
      </x:c>
      <x:c r="K226" t="n">
        <x:v>0</x:v>
      </x:c>
      <x:c r="L226" t="n">
        <x:v>0</x:v>
      </x:c>
      <x:c r="M226" t="n">
        <x:v>0</x:v>
      </x:c>
      <x:c r="N226" t="n">
        <x:v>1</x:v>
      </x:c>
      <x:c r="O226" t="n">
        <x:v>1</x:v>
      </x:c>
      <x:c r="P226" t="n">
        <x:v>0</x:v>
      </x:c>
      <x:c r="Q226" t="n">
        <x:v>0</x:v>
      </x:c>
      <x:c r="R226" t="n">
        <x:v>0</x:v>
      </x:c>
      <x:c r="S226" t="n">
        <x:v>2</x:v>
      </x:c>
      <x:c r="T226" t="n">
        <x:v>0</x:v>
      </x:c>
      <x:c r="U226" t="n">
        <x:v>0</x:v>
      </x:c>
      <x:c r="V226" t="n">
        <x:v>1</x:v>
      </x:c>
      <x:c r="W226" s="50" t="n">
        <x:f>IF(D226=0,"",H226/D226)</x:f>
        <x:v>0.09937888198757763</x:v>
      </x:c>
      <x:c r="X226" t="n">
        <x:f>MAX(I226:V226)</x:f>
        <x:v>225</x:v>
      </x:c>
      <x:c r="Y226" t="n">
        <x:f>H226-X226</x:f>
        <x:v>-193</x:v>
      </x:c>
      <x:c r="Z226" s="52" t="n">
        <x:f>IF(D226=0,"",(Y226)/D226)</x:f>
        <x:v>-0.5993788819875776</x:v>
      </x:c>
      <x:c r="AA226" t="str">
        <x:v>Dr. Mahesh Sharma</x:v>
      </x:c>
      <x:c r="AB226" t="n">
        <x:f>D226-E226-F226</x:f>
        <x:v>0</x:v>
      </x:c>
    </x:row>
    <x:row r="227">
      <x:c r="A227" t="n">
        <x:v>219</x:v>
      </x:c>
      <x:c r="B227" t="str">
        <x:v>2024 location: not supplied</x:v>
      </x:c>
      <x:c r="C227"/>
      <x:c r="D227" t="n">
        <x:v>444</x:v>
      </x:c>
      <x:c r="E227" t="n">
        <x:f>SUM(H227:V227)</x:f>
        <x:v>431</x:v>
      </x:c>
      <x:c r="F227" t="n">
        <x:v>13</x:v>
      </x:c>
      <x:c r="G227" s="50" t="str">
        <x:f>IF(C227="","",IFERROR(D227/C227,0))</x:f>
      </x:c>
      <x:c r="H227" s="36" t="n">
        <x:v>57</x:v>
      </x:c>
      <x:c r="I227" t="n">
        <x:v>264</x:v>
      </x:c>
      <x:c r="J227" t="n">
        <x:v>80</x:v>
      </x:c>
      <x:c r="K227" t="n">
        <x:v>0</x:v>
      </x:c>
      <x:c r="L227" t="n">
        <x:v>1</x:v>
      </x:c>
      <x:c r="M227" t="n">
        <x:v>0</x:v>
      </x:c>
      <x:c r="N227" t="n">
        <x:v>5</x:v>
      </x:c>
      <x:c r="O227" t="n">
        <x:v>1</x:v>
      </x:c>
      <x:c r="P227" t="n">
        <x:v>1</x:v>
      </x:c>
      <x:c r="Q227" t="n">
        <x:v>2</x:v>
      </x:c>
      <x:c r="R227" t="n">
        <x:v>2</x:v>
      </x:c>
      <x:c r="S227" t="n">
        <x:v>0</x:v>
      </x:c>
      <x:c r="T227" t="n">
        <x:v>5</x:v>
      </x:c>
      <x:c r="U227" t="n">
        <x:v>5</x:v>
      </x:c>
      <x:c r="V227" t="n">
        <x:v>8</x:v>
      </x:c>
      <x:c r="W227" s="50" t="n">
        <x:f>IF(D227=0,"",H227/D227)</x:f>
        <x:v>0.12837837837837837</x:v>
      </x:c>
      <x:c r="X227" t="n">
        <x:f>MAX(I227:V227)</x:f>
        <x:v>264</x:v>
      </x:c>
      <x:c r="Y227" t="n">
        <x:f>H227-X227</x:f>
        <x:v>-207</x:v>
      </x:c>
      <x:c r="Z227" s="52" t="n">
        <x:f>IF(D227=0,"",(Y227)/D227)</x:f>
        <x:v>-0.46621621621621623</x:v>
      </x:c>
      <x:c r="AA227" t="str">
        <x:v>Dr. Mahesh Sharma</x:v>
      </x:c>
      <x:c r="AB227" t="n">
        <x:f>D227-E227-F227</x:f>
        <x:v>0</x:v>
      </x:c>
    </x:row>
    <x:row r="228">
      <x:c r="A228" t="n">
        <x:v>220</x:v>
      </x:c>
      <x:c r="B228" t="str">
        <x:v>2024 location: not supplied</x:v>
      </x:c>
      <x:c r="C228"/>
      <x:c r="D228" t="n">
        <x:v>421</x:v>
      </x:c>
      <x:c r="E228" t="n">
        <x:f>SUM(H228:V228)</x:f>
        <x:v>415</x:v>
      </x:c>
      <x:c r="F228" t="n">
        <x:v>6</x:v>
      </x:c>
      <x:c r="G228" s="50" t="str">
        <x:f>IF(C228="","",IFERROR(D228/C228,0))</x:f>
      </x:c>
      <x:c r="H228" s="36" t="n">
        <x:v>17</x:v>
      </x:c>
      <x:c r="I228" t="n">
        <x:v>333</x:v>
      </x:c>
      <x:c r="J228" t="n">
        <x:v>32</x:v>
      </x:c>
      <x:c r="K228" t="n">
        <x:v>0</x:v>
      </x:c>
      <x:c r="L228" t="n">
        <x:v>1</x:v>
      </x:c>
      <x:c r="M228" t="n">
        <x:v>2</x:v>
      </x:c>
      <x:c r="N228" t="n">
        <x:v>5</x:v>
      </x:c>
      <x:c r="O228" t="n">
        <x:v>0</x:v>
      </x:c>
      <x:c r="P228" t="n">
        <x:v>1</x:v>
      </x:c>
      <x:c r="Q228" t="n">
        <x:v>0</x:v>
      </x:c>
      <x:c r="R228" t="n">
        <x:v>1</x:v>
      </x:c>
      <x:c r="S228" t="n">
        <x:v>1</x:v>
      </x:c>
      <x:c r="T228" t="n">
        <x:v>4</x:v>
      </x:c>
      <x:c r="U228" t="n">
        <x:v>7</x:v>
      </x:c>
      <x:c r="V228" t="n">
        <x:v>11</x:v>
      </x:c>
      <x:c r="W228" s="50" t="n">
        <x:f>IF(D228=0,"",H228/D228)</x:f>
        <x:v>0.040380047505938245</x:v>
      </x:c>
      <x:c r="X228" t="n">
        <x:f>MAX(I228:V228)</x:f>
        <x:v>333</x:v>
      </x:c>
      <x:c r="Y228" t="n">
        <x:f>H228-X228</x:f>
        <x:v>-316</x:v>
      </x:c>
      <x:c r="Z228" s="52" t="n">
        <x:f>IF(D228=0,"",(Y228)/D228)</x:f>
        <x:v>-0.7505938242280285</x:v>
      </x:c>
      <x:c r="AA228" t="str">
        <x:v>Dr. Mahesh Sharma</x:v>
      </x:c>
      <x:c r="AB228" t="n">
        <x:f>D228-E228-F228</x:f>
        <x:v>0</x:v>
      </x:c>
    </x:row>
    <x:row r="229">
      <x:c r="A229" t="n">
        <x:v>221</x:v>
      </x:c>
      <x:c r="B229" t="str">
        <x:v>2024 location: not supplied</x:v>
      </x:c>
      <x:c r="C229"/>
      <x:c r="D229" t="n">
        <x:v>372</x:v>
      </x:c>
      <x:c r="E229" t="n">
        <x:f>SUM(H229:V229)</x:f>
        <x:v>371</x:v>
      </x:c>
      <x:c r="F229" t="n">
        <x:v>1</x:v>
      </x:c>
      <x:c r="G229" s="50" t="str">
        <x:f>IF(C229="","",IFERROR(D229/C229,0))</x:f>
      </x:c>
      <x:c r="H229" s="36" t="n">
        <x:v>38</x:v>
      </x:c>
      <x:c r="I229" t="n">
        <x:v>231</x:v>
      </x:c>
      <x:c r="J229" t="n">
        <x:v>88</x:v>
      </x:c>
      <x:c r="K229" t="n">
        <x:v>1</x:v>
      </x:c>
      <x:c r="L229" t="n">
        <x:v>0</x:v>
      </x:c>
      <x:c r="M229" t="n">
        <x:v>1</x:v>
      </x:c>
      <x:c r="N229" t="n">
        <x:v>3</x:v>
      </x:c>
      <x:c r="O229" t="n">
        <x:v>0</x:v>
      </x:c>
      <x:c r="P229" t="n">
        <x:v>1</x:v>
      </x:c>
      <x:c r="Q229" t="n">
        <x:v>0</x:v>
      </x:c>
      <x:c r="R229" t="n">
        <x:v>0</x:v>
      </x:c>
      <x:c r="S229" t="n">
        <x:v>1</x:v>
      </x:c>
      <x:c r="T229" t="n">
        <x:v>3</x:v>
      </x:c>
      <x:c r="U229" t="n">
        <x:v>1</x:v>
      </x:c>
      <x:c r="V229" t="n">
        <x:v>3</x:v>
      </x:c>
      <x:c r="W229" s="50" t="n">
        <x:f>IF(D229=0,"",H229/D229)</x:f>
        <x:v>0.10215053763440861</x:v>
      </x:c>
      <x:c r="X229" t="n">
        <x:f>MAX(I229:V229)</x:f>
        <x:v>231</x:v>
      </x:c>
      <x:c r="Y229" t="n">
        <x:f>H229-X229</x:f>
        <x:v>-193</x:v>
      </x:c>
      <x:c r="Z229" s="52" t="n">
        <x:f>IF(D229=0,"",(Y229)/D229)</x:f>
        <x:v>-0.5188172043010753</x:v>
      </x:c>
      <x:c r="AA229" t="str">
        <x:v>Dr. Mahesh Sharma</x:v>
      </x:c>
      <x:c r="AB229" t="n">
        <x:f>D229-E229-F229</x:f>
        <x:v>0</x:v>
      </x:c>
    </x:row>
    <x:row r="230">
      <x:c r="A230" t="n">
        <x:v>222</x:v>
      </x:c>
      <x:c r="B230" t="str">
        <x:v>2024 location: not supplied</x:v>
      </x:c>
      <x:c r="C230"/>
      <x:c r="D230" t="n">
        <x:v>331</x:v>
      </x:c>
      <x:c r="E230" t="n">
        <x:f>SUM(H230:V230)</x:f>
        <x:v>327</x:v>
      </x:c>
      <x:c r="F230" t="n">
        <x:v>4</x:v>
      </x:c>
      <x:c r="G230" s="50" t="str">
        <x:f>IF(C230="","",IFERROR(D230/C230,0))</x:f>
      </x:c>
      <x:c r="H230" s="36" t="n">
        <x:v>40</x:v>
      </x:c>
      <x:c r="I230" t="n">
        <x:v>158</x:v>
      </x:c>
      <x:c r="J230" t="n">
        <x:v>117</x:v>
      </x:c>
      <x:c r="K230" t="n">
        <x:v>0</x:v>
      </x:c>
      <x:c r="L230" t="n">
        <x:v>1</x:v>
      </x:c>
      <x:c r="M230" t="n">
        <x:v>0</x:v>
      </x:c>
      <x:c r="N230" t="n">
        <x:v>1</x:v>
      </x:c>
      <x:c r="O230" t="n">
        <x:v>1</x:v>
      </x:c>
      <x:c r="P230" t="n">
        <x:v>1</x:v>
      </x:c>
      <x:c r="Q230" t="n">
        <x:v>1</x:v>
      </x:c>
      <x:c r="R230" t="n">
        <x:v>2</x:v>
      </x:c>
      <x:c r="S230" t="n">
        <x:v>0</x:v>
      </x:c>
      <x:c r="T230" t="n">
        <x:v>1</x:v>
      </x:c>
      <x:c r="U230" t="n">
        <x:v>2</x:v>
      </x:c>
      <x:c r="V230" t="n">
        <x:v>2</x:v>
      </x:c>
      <x:c r="W230" s="50" t="n">
        <x:f>IF(D230=0,"",H230/D230)</x:f>
        <x:v>0.12084592145015106</x:v>
      </x:c>
      <x:c r="X230" t="n">
        <x:f>MAX(I230:V230)</x:f>
        <x:v>158</x:v>
      </x:c>
      <x:c r="Y230" t="n">
        <x:f>H230-X230</x:f>
        <x:v>-118</x:v>
      </x:c>
      <x:c r="Z230" s="52" t="n">
        <x:f>IF(D230=0,"",(Y230)/D230)</x:f>
        <x:v>-0.3564954682779456</x:v>
      </x:c>
      <x:c r="AA230" t="str">
        <x:v>Dr. Mahesh Sharma</x:v>
      </x:c>
      <x:c r="AB230" t="n">
        <x:f>D230-E230-F230</x:f>
        <x:v>0</x:v>
      </x:c>
    </x:row>
    <x:row r="231">
      <x:c r="A231" t="n">
        <x:v>223</x:v>
      </x:c>
      <x:c r="B231" t="str">
        <x:v>2024 location: not supplied</x:v>
      </x:c>
      <x:c r="C231"/>
      <x:c r="D231" t="n">
        <x:v>412</x:v>
      </x:c>
      <x:c r="E231" t="n">
        <x:f>SUM(H231:V231)</x:f>
        <x:v>411</x:v>
      </x:c>
      <x:c r="F231" t="n">
        <x:v>1</x:v>
      </x:c>
      <x:c r="G231" s="50" t="str">
        <x:f>IF(C231="","",IFERROR(D231/C231,0))</x:f>
      </x:c>
      <x:c r="H231" s="36" t="n">
        <x:v>58</x:v>
      </x:c>
      <x:c r="I231" t="n">
        <x:v>272</x:v>
      </x:c>
      <x:c r="J231" t="n">
        <x:v>76</x:v>
      </x:c>
      <x:c r="K231" t="n">
        <x:v>0</x:v>
      </x:c>
      <x:c r="L231" t="n">
        <x:v>0</x:v>
      </x:c>
      <x:c r="M231" t="n">
        <x:v>0</x:v>
      </x:c>
      <x:c r="N231" t="n">
        <x:v>1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1</x:v>
      </x:c>
      <x:c r="U231" t="n">
        <x:v>1</x:v>
      </x:c>
      <x:c r="V231" t="n">
        <x:v>2</x:v>
      </x:c>
      <x:c r="W231" s="50" t="n">
        <x:f>IF(D231=0,"",H231/D231)</x:f>
        <x:v>0.1407766990291262</x:v>
      </x:c>
      <x:c r="X231" t="n">
        <x:f>MAX(I231:V231)</x:f>
        <x:v>272</x:v>
      </x:c>
      <x:c r="Y231" t="n">
        <x:f>H231-X231</x:f>
        <x:v>-214</x:v>
      </x:c>
      <x:c r="Z231" s="52" t="n">
        <x:f>IF(D231=0,"",(Y231)/D231)</x:f>
        <x:v>-0.5194174757281553</x:v>
      </x:c>
      <x:c r="AA231" t="str">
        <x:v>Dr. Mahesh Sharma</x:v>
      </x:c>
      <x:c r="AB231" t="n">
        <x:f>D231-E231-F231</x:f>
        <x:v>0</x:v>
      </x:c>
    </x:row>
    <x:row r="232">
      <x:c r="A232" t="n">
        <x:v>224</x:v>
      </x:c>
      <x:c r="B232" t="str">
        <x:v>2024 location: not supplied</x:v>
      </x:c>
      <x:c r="C232"/>
      <x:c r="D232" t="n">
        <x:v>432</x:v>
      </x:c>
      <x:c r="E232" t="n">
        <x:f>SUM(H232:V232)</x:f>
        <x:v>430</x:v>
      </x:c>
      <x:c r="F232" t="n">
        <x:v>2</x:v>
      </x:c>
      <x:c r="G232" s="50" t="str">
        <x:f>IF(C232="","",IFERROR(D232/C232,0))</x:f>
      </x:c>
      <x:c r="H232" s="36" t="n">
        <x:v>61</x:v>
      </x:c>
      <x:c r="I232" t="n">
        <x:v>277</x:v>
      </x:c>
      <x:c r="J232" t="n">
        <x:v>79</x:v>
      </x:c>
      <x:c r="K232" t="n">
        <x:v>0</x:v>
      </x:c>
      <x:c r="L232" t="n">
        <x:v>1</x:v>
      </x:c>
      <x:c r="M232" t="n">
        <x:v>1</x:v>
      </x:c>
      <x:c r="N232" t="n">
        <x:v>1</x:v>
      </x:c>
      <x:c r="O232" t="n">
        <x:v>0</x:v>
      </x:c>
      <x:c r="P232" t="n">
        <x:v>1</x:v>
      </x:c>
      <x:c r="Q232" t="n">
        <x:v>0</x:v>
      </x:c>
      <x:c r="R232" t="n">
        <x:v>0</x:v>
      </x:c>
      <x:c r="S232" t="n">
        <x:v>0</x:v>
      </x:c>
      <x:c r="T232" t="n">
        <x:v>2</x:v>
      </x:c>
      <x:c r="U232" t="n">
        <x:v>2</x:v>
      </x:c>
      <x:c r="V232" t="n">
        <x:v>5</x:v>
      </x:c>
      <x:c r="W232" s="50" t="n">
        <x:f>IF(D232=0,"",H232/D232)</x:f>
        <x:v>0.1412037037037037</x:v>
      </x:c>
      <x:c r="X232" t="n">
        <x:f>MAX(I232:V232)</x:f>
        <x:v>277</x:v>
      </x:c>
      <x:c r="Y232" t="n">
        <x:f>H232-X232</x:f>
        <x:v>-216</x:v>
      </x:c>
      <x:c r="Z232" s="52" t="n">
        <x:f>IF(D232=0,"",(Y232)/D232)</x:f>
        <x:v>-0.5</x:v>
      </x:c>
      <x:c r="AA232" t="str">
        <x:v>Dr. Mahesh Sharma</x:v>
      </x:c>
      <x:c r="AB232" t="n">
        <x:f>D232-E232-F232</x:f>
        <x:v>0</x:v>
      </x:c>
    </x:row>
    <x:row r="233">
      <x:c r="A233" t="n">
        <x:v>225</x:v>
      </x:c>
      <x:c r="B233" t="str">
        <x:v>2024 location: not supplied</x:v>
      </x:c>
      <x:c r="C233"/>
      <x:c r="D233" t="n">
        <x:v>429</x:v>
      </x:c>
      <x:c r="E233" t="n">
        <x:f>SUM(H233:V233)</x:f>
        <x:v>428</x:v>
      </x:c>
      <x:c r="F233" t="n">
        <x:v>1</x:v>
      </x:c>
      <x:c r="G233" s="50" t="str">
        <x:f>IF(C233="","",IFERROR(D233/C233,0))</x:f>
      </x:c>
      <x:c r="H233" s="36" t="n">
        <x:v>21</x:v>
      </x:c>
      <x:c r="I233" t="n">
        <x:v>354</x:v>
      </x:c>
      <x:c r="J233" t="n">
        <x:v>44</x:v>
      </x:c>
      <x:c r="K233" t="n">
        <x:v>0</x:v>
      </x:c>
      <x:c r="L233" t="n">
        <x:v>1</x:v>
      </x:c>
      <x:c r="M233" t="n">
        <x:v>0</x:v>
      </x:c>
      <x:c r="N233" t="n">
        <x:v>1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1</x:v>
      </x:c>
      <x:c r="U233" t="n">
        <x:v>1</x:v>
      </x:c>
      <x:c r="V233" t="n">
        <x:v>5</x:v>
      </x:c>
      <x:c r="W233" s="50" t="n">
        <x:f>IF(D233=0,"",H233/D233)</x:f>
        <x:v>0.04895104895104895</x:v>
      </x:c>
      <x:c r="X233" t="n">
        <x:f>MAX(I233:V233)</x:f>
        <x:v>354</x:v>
      </x:c>
      <x:c r="Y233" t="n">
        <x:f>H233-X233</x:f>
        <x:v>-333</x:v>
      </x:c>
      <x:c r="Z233" s="52" t="n">
        <x:f>IF(D233=0,"",(Y233)/D233)</x:f>
        <x:v>-0.7762237762237763</x:v>
      </x:c>
      <x:c r="AA233" t="str">
        <x:v>Dr. Mahesh Sharma</x:v>
      </x:c>
      <x:c r="AB233" t="n">
        <x:f>D233-E233-F233</x:f>
        <x:v>0</x:v>
      </x:c>
    </x:row>
    <x:row r="234">
      <x:c r="A234" t="n">
        <x:v>226</x:v>
      </x:c>
      <x:c r="B234" t="str">
        <x:v>2024 location: not supplied</x:v>
      </x:c>
      <x:c r="C234"/>
      <x:c r="D234" t="n">
        <x:v>456</x:v>
      </x:c>
      <x:c r="E234" t="n">
        <x:f>SUM(H234:V234)</x:f>
        <x:v>456</x:v>
      </x:c>
      <x:c r="F234" t="n">
        <x:v>0</x:v>
      </x:c>
      <x:c r="G234" s="50" t="str">
        <x:f>IF(C234="","",IFERROR(D234/C234,0))</x:f>
      </x:c>
      <x:c r="H234" s="36" t="n">
        <x:v>50</x:v>
      </x:c>
      <x:c r="I234" t="n">
        <x:v>276</x:v>
      </x:c>
      <x:c r="J234" t="n">
        <x:v>122</x:v>
      </x:c>
      <x:c r="K234" t="n">
        <x:v>0</x:v>
      </x:c>
      <x:c r="L234" t="n">
        <x:v>1</x:v>
      </x:c>
      <x:c r="M234" t="n">
        <x:v>0</x:v>
      </x:c>
      <x:c r="N234" t="n">
        <x:v>0</x:v>
      </x:c>
      <x:c r="O234" t="n">
        <x:v>1</x:v>
      </x:c>
      <x:c r="P234" t="n">
        <x:v>1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t="n">
        <x:v>2</x:v>
      </x:c>
      <x:c r="V234" t="n">
        <x:v>2</x:v>
      </x:c>
      <x:c r="W234" s="50" t="n">
        <x:f>IF(D234=0,"",H234/D234)</x:f>
        <x:v>0.10964912280701754</x:v>
      </x:c>
      <x:c r="X234" t="n">
        <x:f>MAX(I234:V234)</x:f>
        <x:v>276</x:v>
      </x:c>
      <x:c r="Y234" t="n">
        <x:f>H234-X234</x:f>
        <x:v>-226</x:v>
      </x:c>
      <x:c r="Z234" s="52" t="n">
        <x:f>IF(D234=0,"",(Y234)/D234)</x:f>
        <x:v>-0.4956140350877193</x:v>
      </x:c>
      <x:c r="AA234" t="str">
        <x:v>Dr. Mahesh Sharma</x:v>
      </x:c>
      <x:c r="AB234" t="n">
        <x:f>D234-E234-F234</x:f>
        <x:v>0</x:v>
      </x:c>
    </x:row>
    <x:row r="235">
      <x:c r="A235" t="n">
        <x:v>227</x:v>
      </x:c>
      <x:c r="B235" t="str">
        <x:v>2024 location: not supplied</x:v>
      </x:c>
      <x:c r="C235"/>
      <x:c r="D235" t="n">
        <x:v>512</x:v>
      </x:c>
      <x:c r="E235" t="n">
        <x:f>SUM(H235:V235)</x:f>
        <x:v>511</x:v>
      </x:c>
      <x:c r="F235" t="n">
        <x:v>1</x:v>
      </x:c>
      <x:c r="G235" s="50" t="str">
        <x:f>IF(C235="","",IFERROR(D235/C235,0))</x:f>
      </x:c>
      <x:c r="H235" s="36" t="n">
        <x:v>133</x:v>
      </x:c>
      <x:c r="I235" t="n">
        <x:v>230</x:v>
      </x:c>
      <x:c r="J235" t="n">
        <x:v>132</x:v>
      </x:c>
      <x:c r="K235" t="n">
        <x:v>1</x:v>
      </x:c>
      <x:c r="L235" t="n">
        <x:v>2</x:v>
      </x:c>
      <x:c r="M235" t="n">
        <x:v>0</x:v>
      </x:c>
      <x:c r="N235" t="n">
        <x:v>1</x:v>
      </x:c>
      <x:c r="O235" t="n">
        <x:v>3</x:v>
      </x:c>
      <x:c r="P235" t="n">
        <x:v>0</x:v>
      </x:c>
      <x:c r="Q235" t="n">
        <x:v>0</x:v>
      </x:c>
      <x:c r="R235" t="n">
        <x:v>1</x:v>
      </x:c>
      <x:c r="S235" t="n">
        <x:v>2</x:v>
      </x:c>
      <x:c r="T235" t="n">
        <x:v>1</x:v>
      </x:c>
      <x:c r="U235" t="n">
        <x:v>4</x:v>
      </x:c>
      <x:c r="V235" t="n">
        <x:v>1</x:v>
      </x:c>
      <x:c r="W235" s="50" t="n">
        <x:f>IF(D235=0,"",H235/D235)</x:f>
        <x:v>0.259765625</x:v>
      </x:c>
      <x:c r="X235" t="n">
        <x:f>MAX(I235:V235)</x:f>
        <x:v>230</x:v>
      </x:c>
      <x:c r="Y235" t="n">
        <x:f>H235-X235</x:f>
        <x:v>-97</x:v>
      </x:c>
      <x:c r="Z235" s="52" t="n">
        <x:f>IF(D235=0,"",(Y235)/D235)</x:f>
        <x:v>-0.189453125</x:v>
      </x:c>
      <x:c r="AA235" t="str">
        <x:v>Dr. Mahesh Sharma</x:v>
      </x:c>
      <x:c r="AB235" t="n">
        <x:f>D235-E235-F235</x:f>
        <x:v>0</x:v>
      </x:c>
    </x:row>
    <x:row r="236">
      <x:c r="A236" t="n">
        <x:v>228</x:v>
      </x:c>
      <x:c r="B236" t="str">
        <x:v>2024 location: not supplied</x:v>
      </x:c>
      <x:c r="C236"/>
      <x:c r="D236" t="n">
        <x:v>718</x:v>
      </x:c>
      <x:c r="E236" t="n">
        <x:f>SUM(H236:V236)</x:f>
        <x:v>717</x:v>
      </x:c>
      <x:c r="F236" t="n">
        <x:v>1</x:v>
      </x:c>
      <x:c r="G236" s="50" t="str">
        <x:f>IF(C236="","",IFERROR(D236/C236,0))</x:f>
      </x:c>
      <x:c r="H236" s="36" t="n">
        <x:v>13</x:v>
      </x:c>
      <x:c r="I236" t="n">
        <x:v>686</x:v>
      </x:c>
      <x:c r="J236" t="n">
        <x:v>14</x:v>
      </x:c>
      <x:c r="K236" t="n">
        <x:v>0</x:v>
      </x:c>
      <x:c r="L236" t="n">
        <x:v>0</x:v>
      </x:c>
      <x:c r="M236" t="n">
        <x:v>0</x:v>
      </x:c>
      <x:c r="N236" t="n">
        <x:v>2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1</x:v>
      </x:c>
      <x:c r="U236" t="n">
        <x:v>0</x:v>
      </x:c>
      <x:c r="V236" t="n">
        <x:v>1</x:v>
      </x:c>
      <x:c r="W236" s="50" t="n">
        <x:f>IF(D236=0,"",H236/D236)</x:f>
        <x:v>0.018105849582172703</x:v>
      </x:c>
      <x:c r="X236" t="n">
        <x:f>MAX(I236:V236)</x:f>
        <x:v>686</x:v>
      </x:c>
      <x:c r="Y236" t="n">
        <x:f>H236-X236</x:f>
        <x:v>-673</x:v>
      </x:c>
      <x:c r="Z236" s="52" t="n">
        <x:f>IF(D236=0,"",(Y236)/D236)</x:f>
        <x:v>-0.9373259052924791</x:v>
      </x:c>
      <x:c r="AA236" t="str">
        <x:v>Dr. Mahesh Sharma</x:v>
      </x:c>
      <x:c r="AB236" t="n">
        <x:f>D236-E236-F236</x:f>
        <x:v>0</x:v>
      </x:c>
    </x:row>
    <x:row r="237">
      <x:c r="A237" t="n">
        <x:v>229</x:v>
      </x:c>
      <x:c r="B237" t="str">
        <x:v>2024 location: not supplied</x:v>
      </x:c>
      <x:c r="C237"/>
      <x:c r="D237" t="n">
        <x:v>692</x:v>
      </x:c>
      <x:c r="E237" t="n">
        <x:f>SUM(H237:V237)</x:f>
        <x:v>692</x:v>
      </x:c>
      <x:c r="F237" t="n">
        <x:v>0</x:v>
      </x:c>
      <x:c r="G237" s="50" t="str">
        <x:f>IF(C237="","",IFERROR(D237/C237,0))</x:f>
      </x:c>
      <x:c r="H237" s="36" t="n">
        <x:v>16</x:v>
      </x:c>
      <x:c r="I237" t="n">
        <x:v>525</x:v>
      </x:c>
      <x:c r="J237" t="n">
        <x:v>139</x:v>
      </x:c>
      <x:c r="K237" t="n">
        <x:v>0</x:v>
      </x:c>
      <x:c r="L237" t="n">
        <x:v>1</x:v>
      </x:c>
      <x:c r="M237" t="n">
        <x:v>1</x:v>
      </x:c>
      <x:c r="N237" t="n">
        <x:v>0</x:v>
      </x:c>
      <x:c r="O237" t="n">
        <x:v>0</x:v>
      </x:c>
      <x:c r="P237" t="n">
        <x:v>1</x:v>
      </x:c>
      <x:c r="Q237" t="n">
        <x:v>0</x:v>
      </x:c>
      <x:c r="R237" t="n">
        <x:v>1</x:v>
      </x:c>
      <x:c r="S237" t="n">
        <x:v>0</x:v>
      </x:c>
      <x:c r="T237" t="n">
        <x:v>1</x:v>
      </x:c>
      <x:c r="U237" t="n">
        <x:v>1</x:v>
      </x:c>
      <x:c r="V237" t="n">
        <x:v>6</x:v>
      </x:c>
      <x:c r="W237" s="50" t="n">
        <x:f>IF(D237=0,"",H237/D237)</x:f>
        <x:v>0.023121387283236993</x:v>
      </x:c>
      <x:c r="X237" t="n">
        <x:f>MAX(I237:V237)</x:f>
        <x:v>525</x:v>
      </x:c>
      <x:c r="Y237" t="n">
        <x:f>H237-X237</x:f>
        <x:v>-509</x:v>
      </x:c>
      <x:c r="Z237" s="52" t="n">
        <x:f>IF(D237=0,"",(Y237)/D237)</x:f>
        <x:v>-0.7355491329479769</x:v>
      </x:c>
      <x:c r="AA237" t="str">
        <x:v>Dr. Mahesh Sharma</x:v>
      </x:c>
      <x:c r="AB237" t="n">
        <x:f>D237-E237-F237</x:f>
        <x:v>0</x:v>
      </x:c>
    </x:row>
    <x:row r="238">
      <x:c r="A238" t="n">
        <x:v>230</x:v>
      </x:c>
      <x:c r="B238" t="str">
        <x:v>2024 location: not supplied</x:v>
      </x:c>
      <x:c r="C238"/>
      <x:c r="D238" t="n">
        <x:v>649</x:v>
      </x:c>
      <x:c r="E238" t="n">
        <x:f>SUM(H238:V238)</x:f>
        <x:v>647</x:v>
      </x:c>
      <x:c r="F238" t="n">
        <x:v>2</x:v>
      </x:c>
      <x:c r="G238" s="50" t="str">
        <x:f>IF(C238="","",IFERROR(D238/C238,0))</x:f>
      </x:c>
      <x:c r="H238" s="36" t="n">
        <x:v>291</x:v>
      </x:c>
      <x:c r="I238" t="n">
        <x:v>90</x:v>
      </x:c>
      <x:c r="J238" t="n">
        <x:v>242</x:v>
      </x:c>
      <x:c r="K238" t="n">
        <x:v>0</x:v>
      </x:c>
      <x:c r="L238" t="n">
        <x:v>1</x:v>
      </x:c>
      <x:c r="M238" t="n">
        <x:v>1</x:v>
      </x:c>
      <x:c r="N238" t="n">
        <x:v>2</x:v>
      </x:c>
      <x:c r="O238" t="n">
        <x:v>3</x:v>
      </x:c>
      <x:c r="P238" t="n">
        <x:v>1</x:v>
      </x:c>
      <x:c r="Q238" t="n">
        <x:v>4</x:v>
      </x:c>
      <x:c r="R238" t="n">
        <x:v>1</x:v>
      </x:c>
      <x:c r="S238" t="n">
        <x:v>1</x:v>
      </x:c>
      <x:c r="T238" t="n">
        <x:v>2</x:v>
      </x:c>
      <x:c r="U238" t="n">
        <x:v>4</x:v>
      </x:c>
      <x:c r="V238" t="n">
        <x:v>4</x:v>
      </x:c>
      <x:c r="W238" s="50" t="n">
        <x:f>IF(D238=0,"",H238/D238)</x:f>
        <x:v>0.44838212634822805</x:v>
      </x:c>
      <x:c r="X238" t="n">
        <x:f>MAX(I238:V238)</x:f>
        <x:v>242</x:v>
      </x:c>
      <x:c r="Y238" t="n">
        <x:f>H238-X238</x:f>
        <x:v>49</x:v>
      </x:c>
      <x:c r="Z238" s="52" t="n">
        <x:f>IF(D238=0,"",(Y238)/D238)</x:f>
        <x:v>0.07550077041602465</x:v>
      </x:c>
      <x:c r="AA238" t="str">
        <x:v>Dr. Mahendra Singh Nagar</x:v>
      </x:c>
      <x:c r="AB238" t="n">
        <x:f>D238-E238-F238</x:f>
        <x:v>0</x:v>
      </x:c>
    </x:row>
    <x:row r="239">
      <x:c r="A239" t="n">
        <x:v>231</x:v>
      </x:c>
      <x:c r="B239" t="str">
        <x:v>2024 location: not supplied</x:v>
      </x:c>
      <x:c r="C239"/>
      <x:c r="D239" t="n">
        <x:v>595</x:v>
      </x:c>
      <x:c r="E239" t="n">
        <x:f>SUM(H239:V239)</x:f>
        <x:v>595</x:v>
      </x:c>
      <x:c r="F239" t="n">
        <x:v>0</x:v>
      </x:c>
      <x:c r="G239" s="50" t="str">
        <x:f>IF(C239="","",IFERROR(D239/C239,0))</x:f>
      </x:c>
      <x:c r="H239" s="36" t="n">
        <x:v>237</x:v>
      </x:c>
      <x:c r="I239" t="n">
        <x:v>150</x:v>
      </x:c>
      <x:c r="J239" t="n">
        <x:v>189</x:v>
      </x:c>
      <x:c r="K239" t="n">
        <x:v>0</x:v>
      </x:c>
      <x:c r="L239" t="n">
        <x:v>2</x:v>
      </x:c>
      <x:c r="M239" t="n">
        <x:v>1</x:v>
      </x:c>
      <x:c r="N239" t="n">
        <x:v>6</x:v>
      </x:c>
      <x:c r="O239" t="n">
        <x:v>0</x:v>
      </x:c>
      <x:c r="P239" t="n">
        <x:v>2</x:v>
      </x:c>
      <x:c r="Q239" t="n">
        <x:v>0</x:v>
      </x:c>
      <x:c r="R239" t="n">
        <x:v>1</x:v>
      </x:c>
      <x:c r="S239" t="n">
        <x:v>0</x:v>
      </x:c>
      <x:c r="T239" t="n">
        <x:v>1</x:v>
      </x:c>
      <x:c r="U239" t="n">
        <x:v>5</x:v>
      </x:c>
      <x:c r="V239" t="n">
        <x:v>1</x:v>
      </x:c>
      <x:c r="W239" s="50" t="n">
        <x:f>IF(D239=0,"",H239/D239)</x:f>
        <x:v>0.3983193277310924</x:v>
      </x:c>
      <x:c r="X239" t="n">
        <x:f>MAX(I239:V239)</x:f>
        <x:v>189</x:v>
      </x:c>
      <x:c r="Y239" t="n">
        <x:f>H239-X239</x:f>
        <x:v>48</x:v>
      </x:c>
      <x:c r="Z239" s="52" t="n">
        <x:f>IF(D239=0,"",(Y239)/D239)</x:f>
        <x:v>0.08067226890756303</x:v>
      </x:c>
      <x:c r="AA239" t="str">
        <x:v>Dr. Mahendra Singh Nagar</x:v>
      </x:c>
      <x:c r="AB239" t="n">
        <x:f>D239-E239-F239</x:f>
        <x:v>0</x:v>
      </x:c>
    </x:row>
    <x:row r="240">
      <x:c r="A240" t="n">
        <x:v>232</x:v>
      </x:c>
      <x:c r="B240" t="str">
        <x:v>2024 location: not supplied</x:v>
      </x:c>
      <x:c r="C240"/>
      <x:c r="D240" t="n">
        <x:v>500</x:v>
      </x:c>
      <x:c r="E240" t="n">
        <x:f>SUM(H240:V240)</x:f>
        <x:v>496</x:v>
      </x:c>
      <x:c r="F240" t="n">
        <x:v>4</x:v>
      </x:c>
      <x:c r="G240" s="50" t="str">
        <x:f>IF(C240="","",IFERROR(D240/C240,0))</x:f>
      </x:c>
      <x:c r="H240" s="36" t="n">
        <x:v>209</x:v>
      </x:c>
      <x:c r="I240" t="n">
        <x:v>151</x:v>
      </x:c>
      <x:c r="J240" t="n">
        <x:v>119</x:v>
      </x:c>
      <x:c r="K240" t="n">
        <x:v>4</x:v>
      </x:c>
      <x:c r="L240" t="n">
        <x:v>0</x:v>
      </x:c>
      <x:c r="M240" t="n">
        <x:v>1</x:v>
      </x:c>
      <x:c r="N240" t="n">
        <x:v>1</x:v>
      </x:c>
      <x:c r="O240" t="n">
        <x:v>3</x:v>
      </x:c>
      <x:c r="P240" t="n">
        <x:v>0</x:v>
      </x:c>
      <x:c r="Q240" t="n">
        <x:v>0</x:v>
      </x:c>
      <x:c r="R240" t="n">
        <x:v>2</x:v>
      </x:c>
      <x:c r="S240" t="n">
        <x:v>1</x:v>
      </x:c>
      <x:c r="T240" t="n">
        <x:v>2</x:v>
      </x:c>
      <x:c r="U240" t="n">
        <x:v>2</x:v>
      </x:c>
      <x:c r="V240" t="n">
        <x:v>1</x:v>
      </x:c>
      <x:c r="W240" s="50" t="n">
        <x:f>IF(D240=0,"",H240/D240)</x:f>
        <x:v>0.418</x:v>
      </x:c>
      <x:c r="X240" t="n">
        <x:f>MAX(I240:V240)</x:f>
        <x:v>151</x:v>
      </x:c>
      <x:c r="Y240" t="n">
        <x:f>H240-X240</x:f>
        <x:v>58</x:v>
      </x:c>
      <x:c r="Z240" s="52" t="n">
        <x:f>IF(D240=0,"",(Y240)/D240)</x:f>
        <x:v>0.116</x:v>
      </x:c>
      <x:c r="AA240" t="str">
        <x:v>Dr. Mahendra Singh Nagar</x:v>
      </x:c>
      <x:c r="AB240" t="n">
        <x:f>D240-E240-F240</x:f>
        <x:v>0</x:v>
      </x:c>
    </x:row>
    <x:row r="241">
      <x:c r="A241" t="n">
        <x:v>233</x:v>
      </x:c>
      <x:c r="B241" t="str">
        <x:v>2024 location: not supplied</x:v>
      </x:c>
      <x:c r="C241"/>
      <x:c r="D241" t="n">
        <x:v>418</x:v>
      </x:c>
      <x:c r="E241" t="n">
        <x:f>SUM(H241:V241)</x:f>
        <x:v>416</x:v>
      </x:c>
      <x:c r="F241" t="n">
        <x:v>2</x:v>
      </x:c>
      <x:c r="G241" s="50" t="str">
        <x:f>IF(C241="","",IFERROR(D241/C241,0))</x:f>
      </x:c>
      <x:c r="H241" s="36" t="n">
        <x:v>101</x:v>
      </x:c>
      <x:c r="I241" t="n">
        <x:v>227</x:v>
      </x:c>
      <x:c r="J241" t="n">
        <x:v>81</x:v>
      </x:c>
      <x:c r="K241" t="n">
        <x:v>0</x:v>
      </x:c>
      <x:c r="L241" t="n">
        <x:v>1</x:v>
      </x:c>
      <x:c r="M241" t="n">
        <x:v>0</x:v>
      </x:c>
      <x:c r="N241" t="n">
        <x:v>1</x:v>
      </x:c>
      <x:c r="O241" t="n">
        <x:v>0</x:v>
      </x:c>
      <x:c r="P241" t="n">
        <x:v>1</x:v>
      </x:c>
      <x:c r="Q241" t="n">
        <x:v>0</x:v>
      </x:c>
      <x:c r="R241" t="n">
        <x:v>0</x:v>
      </x:c>
      <x:c r="S241" t="n">
        <x:v>1</x:v>
      </x:c>
      <x:c r="T241" t="n">
        <x:v>1</x:v>
      </x:c>
      <x:c r="U241" t="n">
        <x:v>0</x:v>
      </x:c>
      <x:c r="V241" t="n">
        <x:v>2</x:v>
      </x:c>
      <x:c r="W241" s="50" t="n">
        <x:f>IF(D241=0,"",H241/D241)</x:f>
        <x:v>0.24162679425837322</x:v>
      </x:c>
      <x:c r="X241" t="n">
        <x:f>MAX(I241:V241)</x:f>
        <x:v>227</x:v>
      </x:c>
      <x:c r="Y241" t="n">
        <x:f>H241-X241</x:f>
        <x:v>-126</x:v>
      </x:c>
      <x:c r="Z241" s="52" t="n">
        <x:f>IF(D241=0,"",(Y241)/D241)</x:f>
        <x:v>-0.3014354066985646</x:v>
      </x:c>
      <x:c r="AA241" t="str">
        <x:v>Dr. Mahesh Sharma</x:v>
      </x:c>
      <x:c r="AB241" t="n">
        <x:f>D241-E241-F241</x:f>
        <x:v>0</x:v>
      </x:c>
    </x:row>
    <x:row r="242">
      <x:c r="A242" t="n">
        <x:v>234</x:v>
      </x:c>
      <x:c r="B242" t="str">
        <x:v>2024 location: not supplied</x:v>
      </x:c>
      <x:c r="C242"/>
      <x:c r="D242" t="n">
        <x:v>398</x:v>
      </x:c>
      <x:c r="E242" t="n">
        <x:f>SUM(H242:V242)</x:f>
        <x:v>398</x:v>
      </x:c>
      <x:c r="F242" t="n">
        <x:v>0</x:v>
      </x:c>
      <x:c r="G242" s="50" t="str">
        <x:f>IF(C242="","",IFERROR(D242/C242,0))</x:f>
      </x:c>
      <x:c r="H242" s="36" t="n">
        <x:v>51</x:v>
      </x:c>
      <x:c r="I242" t="n">
        <x:v>218</x:v>
      </x:c>
      <x:c r="J242" t="n">
        <x:v>116</x:v>
      </x:c>
      <x:c r="K242" t="n">
        <x:v>0</x:v>
      </x:c>
      <x:c r="L242" t="n">
        <x:v>1</x:v>
      </x:c>
      <x:c r="M242" t="n">
        <x:v>1</x:v>
      </x:c>
      <x:c r="N242" t="n">
        <x:v>0</x:v>
      </x:c>
      <x:c r="O242" t="n">
        <x:v>0</x:v>
      </x:c>
      <x:c r="P242" t="n">
        <x:v>1</x:v>
      </x:c>
      <x:c r="Q242" t="n">
        <x:v>2</x:v>
      </x:c>
      <x:c r="R242" t="n">
        <x:v>0</x:v>
      </x:c>
      <x:c r="S242" t="n">
        <x:v>1</x:v>
      </x:c>
      <x:c r="T242" t="n">
        <x:v>0</x:v>
      </x:c>
      <x:c r="U242" t="n">
        <x:v>3</x:v>
      </x:c>
      <x:c r="V242" t="n">
        <x:v>4</x:v>
      </x:c>
      <x:c r="W242" s="50" t="n">
        <x:f>IF(D242=0,"",H242/D242)</x:f>
        <x:v>0.12814070351758794</x:v>
      </x:c>
      <x:c r="X242" t="n">
        <x:f>MAX(I242:V242)</x:f>
        <x:v>218</x:v>
      </x:c>
      <x:c r="Y242" t="n">
        <x:f>H242-X242</x:f>
        <x:v>-167</x:v>
      </x:c>
      <x:c r="Z242" s="52" t="n">
        <x:f>IF(D242=0,"",(Y242)/D242)</x:f>
        <x:v>-0.41959798994974873</x:v>
      </x:c>
      <x:c r="AA242" t="str">
        <x:v>Dr. Mahesh Sharma</x:v>
      </x:c>
      <x:c r="AB242" t="n">
        <x:f>D242-E242-F242</x:f>
        <x:v>0</x:v>
      </x:c>
    </x:row>
    <x:row r="243">
      <x:c r="A243" t="n">
        <x:v>235</x:v>
      </x:c>
      <x:c r="B243" t="str">
        <x:v>2024 location: not supplied</x:v>
      </x:c>
      <x:c r="C243"/>
      <x:c r="D243" t="n">
        <x:v>259</x:v>
      </x:c>
      <x:c r="E243" t="n">
        <x:f>SUM(H243:V243)</x:f>
        <x:v>255</x:v>
      </x:c>
      <x:c r="F243" t="n">
        <x:v>4</x:v>
      </x:c>
      <x:c r="G243" s="50" t="str">
        <x:f>IF(C243="","",IFERROR(D243/C243,0))</x:f>
      </x:c>
      <x:c r="H243" s="36" t="n">
        <x:v>98</x:v>
      </x:c>
      <x:c r="I243" t="n">
        <x:v>118</x:v>
      </x:c>
      <x:c r="J243" t="n">
        <x:v>24</x:v>
      </x:c>
      <x:c r="K243" t="n">
        <x:v>0</x:v>
      </x:c>
      <x:c r="L243" t="n">
        <x:v>0</x:v>
      </x:c>
      <x:c r="M243" t="n">
        <x:v>1</x:v>
      </x:c>
      <x:c r="N243" t="n">
        <x:v>4</x:v>
      </x:c>
      <x:c r="O243" t="n">
        <x:v>0</x:v>
      </x:c>
      <x:c r="P243" t="n">
        <x:v>1</x:v>
      </x:c>
      <x:c r="Q243" t="n">
        <x:v>0</x:v>
      </x:c>
      <x:c r="R243" t="n">
        <x:v>2</x:v>
      </x:c>
      <x:c r="S243" t="n">
        <x:v>0</x:v>
      </x:c>
      <x:c r="T243" t="n">
        <x:v>1</x:v>
      </x:c>
      <x:c r="U243" t="n">
        <x:v>2</x:v>
      </x:c>
      <x:c r="V243" t="n">
        <x:v>4</x:v>
      </x:c>
      <x:c r="W243" s="50" t="n">
        <x:f>IF(D243=0,"",H243/D243)</x:f>
        <x:v>0.3783783783783784</x:v>
      </x:c>
      <x:c r="X243" t="n">
        <x:f>MAX(I243:V243)</x:f>
        <x:v>118</x:v>
      </x:c>
      <x:c r="Y243" t="n">
        <x:f>H243-X243</x:f>
        <x:v>-20</x:v>
      </x:c>
      <x:c r="Z243" s="52" t="n">
        <x:f>IF(D243=0,"",(Y243)/D243)</x:f>
        <x:v>-0.07722007722007722</x:v>
      </x:c>
      <x:c r="AA243" t="str">
        <x:v>Dr. Mahesh Sharma</x:v>
      </x:c>
      <x:c r="AB243" t="n">
        <x:f>D243-E243-F243</x:f>
        <x:v>0</x:v>
      </x:c>
    </x:row>
    <x:row r="244">
      <x:c r="A244" t="n">
        <x:v>236</x:v>
      </x:c>
      <x:c r="B244" t="str">
        <x:v>2024 location: not supplied</x:v>
      </x:c>
      <x:c r="C244"/>
      <x:c r="D244" t="n">
        <x:v>466</x:v>
      </x:c>
      <x:c r="E244" t="n">
        <x:f>SUM(H244:V244)</x:f>
        <x:v>464</x:v>
      </x:c>
      <x:c r="F244" t="n">
        <x:v>2</x:v>
      </x:c>
      <x:c r="G244" s="50" t="str">
        <x:f>IF(C244="","",IFERROR(D244/C244,0))</x:f>
      </x:c>
      <x:c r="H244" s="36" t="n">
        <x:v>98</x:v>
      </x:c>
      <x:c r="I244" t="n">
        <x:v>205</x:v>
      </x:c>
      <x:c r="J244" t="n">
        <x:v>152</x:v>
      </x:c>
      <x:c r="K244" t="n">
        <x:v>0</x:v>
      </x:c>
      <x:c r="L244" t="n">
        <x:v>1</x:v>
      </x:c>
      <x:c r="M244" t="n">
        <x:v>0</x:v>
      </x:c>
      <x:c r="N244" t="n">
        <x:v>2</x:v>
      </x:c>
      <x:c r="O244" t="n">
        <x:v>0</x:v>
      </x:c>
      <x:c r="P244" t="n">
        <x:v>0</x:v>
      </x:c>
      <x:c r="Q244" t="n">
        <x:v>0</x:v>
      </x:c>
      <x:c r="R244" t="n">
        <x:v>1</x:v>
      </x:c>
      <x:c r="S244" t="n">
        <x:v>0</x:v>
      </x:c>
      <x:c r="T244" t="n">
        <x:v>2</x:v>
      </x:c>
      <x:c r="U244" t="n">
        <x:v>0</x:v>
      </x:c>
      <x:c r="V244" t="n">
        <x:v>3</x:v>
      </x:c>
      <x:c r="W244" s="50" t="n">
        <x:f>IF(D244=0,"",H244/D244)</x:f>
        <x:v>0.21030042918454936</x:v>
      </x:c>
      <x:c r="X244" t="n">
        <x:f>MAX(I244:V244)</x:f>
        <x:v>205</x:v>
      </x:c>
      <x:c r="Y244" t="n">
        <x:f>H244-X244</x:f>
        <x:v>-107</x:v>
      </x:c>
      <x:c r="Z244" s="52" t="n">
        <x:f>IF(D244=0,"",(Y244)/D244)</x:f>
        <x:v>-0.2296137339055794</x:v>
      </x:c>
      <x:c r="AA244" t="str">
        <x:v>Dr. Mahesh Sharma</x:v>
      </x:c>
      <x:c r="AB244" t="n">
        <x:f>D244-E244-F244</x:f>
        <x:v>0</x:v>
      </x:c>
    </x:row>
    <x:row r="245">
      <x:c r="A245" t="n">
        <x:v>237</x:v>
      </x:c>
      <x:c r="B245" t="str">
        <x:v>2024 location: not supplied</x:v>
      </x:c>
      <x:c r="C245"/>
      <x:c r="D245" t="n">
        <x:v>502</x:v>
      </x:c>
      <x:c r="E245" t="n">
        <x:f>SUM(H245:V245)</x:f>
        <x:v>500</x:v>
      </x:c>
      <x:c r="F245" t="n">
        <x:v>2</x:v>
      </x:c>
      <x:c r="G245" s="50" t="str">
        <x:f>IF(C245="","",IFERROR(D245/C245,0))</x:f>
      </x:c>
      <x:c r="H245" s="36" t="n">
        <x:v>104</x:v>
      </x:c>
      <x:c r="I245" t="n">
        <x:v>107</x:v>
      </x:c>
      <x:c r="J245" t="n">
        <x:v>278</x:v>
      </x:c>
      <x:c r="K245" t="n">
        <x:v>0</x:v>
      </x:c>
      <x:c r="L245" t="n">
        <x:v>4</x:v>
      </x:c>
      <x:c r="M245" t="n">
        <x:v>0</x:v>
      </x:c>
      <x:c r="N245" t="n">
        <x:v>1</x:v>
      </x:c>
      <x:c r="O245" t="n">
        <x:v>1</x:v>
      </x:c>
      <x:c r="P245" t="n">
        <x:v>0</x:v>
      </x:c>
      <x:c r="Q245" t="n">
        <x:v>0</x:v>
      </x:c>
      <x:c r="R245" t="n">
        <x:v>0</x:v>
      </x:c>
      <x:c r="S245" t="n">
        <x:v>1</x:v>
      </x:c>
      <x:c r="T245" t="n">
        <x:v>1</x:v>
      </x:c>
      <x:c r="U245" t="n">
        <x:v>2</x:v>
      </x:c>
      <x:c r="V245" t="n">
        <x:v>1</x:v>
      </x:c>
      <x:c r="W245" s="50" t="n">
        <x:f>IF(D245=0,"",H245/D245)</x:f>
        <x:v>0.20717131474103587</x:v>
      </x:c>
      <x:c r="X245" t="n">
        <x:f>MAX(I245:V245)</x:f>
        <x:v>278</x:v>
      </x:c>
      <x:c r="Y245" t="n">
        <x:f>H245-X245</x:f>
        <x:v>-174</x:v>
      </x:c>
      <x:c r="Z245" s="52" t="n">
        <x:f>IF(D245=0,"",(Y245)/D245)</x:f>
        <x:v>-0.3466135458167331</x:v>
      </x:c>
      <x:c r="AA245" t="str">
        <x:v>Rajendra Singh Solanki</x:v>
      </x:c>
      <x:c r="AB245" t="n">
        <x:f>D245-E245-F245</x:f>
        <x:v>0</x:v>
      </x:c>
    </x:row>
    <x:row r="246">
      <x:c r="A246" t="n">
        <x:v>238</x:v>
      </x:c>
      <x:c r="B246" t="str">
        <x:v>2024 location: not supplied</x:v>
      </x:c>
      <x:c r="C246"/>
      <x:c r="D246" t="n">
        <x:v>516</x:v>
      </x:c>
      <x:c r="E246" t="n">
        <x:f>SUM(H246:V246)</x:f>
        <x:v>510</x:v>
      </x:c>
      <x:c r="F246" t="n">
        <x:v>6</x:v>
      </x:c>
      <x:c r="G246" s="50" t="str">
        <x:f>IF(C246="","",IFERROR(D246/C246,0))</x:f>
      </x:c>
      <x:c r="H246" s="36" t="n">
        <x:v>90</x:v>
      </x:c>
      <x:c r="I246" t="n">
        <x:v>71</x:v>
      </x:c>
      <x:c r="J246" t="n">
        <x:v>334</x:v>
      </x:c>
      <x:c r="K246" t="n">
        <x:v>1</x:v>
      </x:c>
      <x:c r="L246" t="n">
        <x:v>0</x:v>
      </x:c>
      <x:c r="M246" t="n">
        <x:v>2</x:v>
      </x:c>
      <x:c r="N246" t="n">
        <x:v>2</x:v>
      </x:c>
      <x:c r="O246" t="n">
        <x:v>1</x:v>
      </x:c>
      <x:c r="P246" t="n">
        <x:v>0</x:v>
      </x:c>
      <x:c r="Q246" t="n">
        <x:v>0</x:v>
      </x:c>
      <x:c r="R246" t="n">
        <x:v>1</x:v>
      </x:c>
      <x:c r="S246" t="n">
        <x:v>1</x:v>
      </x:c>
      <x:c r="T246" t="n">
        <x:v>0</x:v>
      </x:c>
      <x:c r="U246" t="n">
        <x:v>6</x:v>
      </x:c>
      <x:c r="V246" t="n">
        <x:v>1</x:v>
      </x:c>
      <x:c r="W246" s="50" t="n">
        <x:f>IF(D246=0,"",H246/D246)</x:f>
        <x:v>0.1744186046511628</x:v>
      </x:c>
      <x:c r="X246" t="n">
        <x:f>MAX(I246:V246)</x:f>
        <x:v>334</x:v>
      </x:c>
      <x:c r="Y246" t="n">
        <x:f>H246-X246</x:f>
        <x:v>-244</x:v>
      </x:c>
      <x:c r="Z246" s="52" t="n">
        <x:f>IF(D246=0,"",(Y246)/D246)</x:f>
        <x:v>-0.4728682170542636</x:v>
      </x:c>
      <x:c r="AA246" t="str">
        <x:v>Rajendra Singh Solanki</x:v>
      </x:c>
      <x:c r="AB246" t="n">
        <x:f>D246-E246-F246</x:f>
        <x:v>0</x:v>
      </x:c>
    </x:row>
    <x:row r="247">
      <x:c r="A247" t="n">
        <x:v>239</x:v>
      </x:c>
      <x:c r="B247" t="str">
        <x:v>2024 location: not supplied</x:v>
      </x:c>
      <x:c r="C247"/>
      <x:c r="D247" t="n">
        <x:v>477</x:v>
      </x:c>
      <x:c r="E247" t="n">
        <x:f>SUM(H247:V247)</x:f>
        <x:v>475</x:v>
      </x:c>
      <x:c r="F247" t="n">
        <x:v>2</x:v>
      </x:c>
      <x:c r="G247" s="50" t="str">
        <x:f>IF(C247="","",IFERROR(D247/C247,0))</x:f>
      </x:c>
      <x:c r="H247" s="36" t="n">
        <x:v>4</x:v>
      </x:c>
      <x:c r="I247" t="n">
        <x:v>91</x:v>
      </x:c>
      <x:c r="J247" t="n">
        <x:v>375</x:v>
      </x:c>
      <x:c r="K247" t="n">
        <x:v>1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1</x:v>
      </x:c>
      <x:c r="T247" t="n">
        <x:v>1</x:v>
      </x:c>
      <x:c r="U247" t="n">
        <x:v>1</x:v>
      </x:c>
      <x:c r="V247" t="n">
        <x:v>1</x:v>
      </x:c>
      <x:c r="W247" s="50" t="n">
        <x:f>IF(D247=0,"",H247/D247)</x:f>
        <x:v>0.008385744234800839</x:v>
      </x:c>
      <x:c r="X247" t="n">
        <x:f>MAX(I247:V247)</x:f>
        <x:v>375</x:v>
      </x:c>
      <x:c r="Y247" t="n">
        <x:f>H247-X247</x:f>
        <x:v>-371</x:v>
      </x:c>
      <x:c r="Z247" s="52" t="n">
        <x:f>IF(D247=0,"",(Y247)/D247)</x:f>
        <x:v>-0.7777777777777778</x:v>
      </x:c>
      <x:c r="AA247" t="str">
        <x:v>Rajendra Singh Solanki</x:v>
      </x:c>
      <x:c r="AB247" t="n">
        <x:f>D247-E247-F247</x:f>
        <x:v>0</x:v>
      </x:c>
    </x:row>
    <x:row r="248">
      <x:c r="A248" t="n">
        <x:v>240</x:v>
      </x:c>
      <x:c r="B248" t="str">
        <x:v>2024 location: not supplied</x:v>
      </x:c>
      <x:c r="C248"/>
      <x:c r="D248" t="n">
        <x:v>421</x:v>
      </x:c>
      <x:c r="E248" t="n">
        <x:f>SUM(H248:V248)</x:f>
        <x:v>417</x:v>
      </x:c>
      <x:c r="F248" t="n">
        <x:v>4</x:v>
      </x:c>
      <x:c r="G248" s="50" t="str">
        <x:f>IF(C248="","",IFERROR(D248/C248,0))</x:f>
      </x:c>
      <x:c r="H248" s="36" t="n">
        <x:v>28</x:v>
      </x:c>
      <x:c r="I248" t="n">
        <x:v>353</x:v>
      </x:c>
      <x:c r="J248" t="n">
        <x:v>25</x:v>
      </x:c>
      <x:c r="K248" t="n">
        <x:v>0</x:v>
      </x:c>
      <x:c r="L248" t="n">
        <x:v>1</x:v>
      </x:c>
      <x:c r="M248" t="n">
        <x:v>0</x:v>
      </x:c>
      <x:c r="N248" t="n">
        <x:v>3</x:v>
      </x:c>
      <x:c r="O248" t="n">
        <x:v>0</x:v>
      </x:c>
      <x:c r="P248" t="n">
        <x:v>0</x:v>
      </x:c>
      <x:c r="Q248" t="n">
        <x:v>1</x:v>
      </x:c>
      <x:c r="R248" t="n">
        <x:v>2</x:v>
      </x:c>
      <x:c r="S248" t="n">
        <x:v>0</x:v>
      </x:c>
      <x:c r="T248" t="n">
        <x:v>1</x:v>
      </x:c>
      <x:c r="U248" t="n">
        <x:v>1</x:v>
      </x:c>
      <x:c r="V248" t="n">
        <x:v>2</x:v>
      </x:c>
      <x:c r="W248" s="50" t="n">
        <x:f>IF(D248=0,"",H248/D248)</x:f>
        <x:v>0.0665083135391924</x:v>
      </x:c>
      <x:c r="X248" t="n">
        <x:f>MAX(I248:V248)</x:f>
        <x:v>353</x:v>
      </x:c>
      <x:c r="Y248" t="n">
        <x:f>H248-X248</x:f>
        <x:v>-325</x:v>
      </x:c>
      <x:c r="Z248" s="52" t="n">
        <x:f>IF(D248=0,"",(Y248)/D248)</x:f>
        <x:v>-0.7719714964370546</x:v>
      </x:c>
      <x:c r="AA248" t="str">
        <x:v>Dr. Mahesh Sharma</x:v>
      </x:c>
      <x:c r="AB248" t="n">
        <x:f>D248-E248-F248</x:f>
        <x:v>0</x:v>
      </x:c>
    </x:row>
    <x:row r="249">
      <x:c r="A249" t="n">
        <x:v>241</x:v>
      </x:c>
      <x:c r="B249" t="str">
        <x:v>2024 location: not supplied</x:v>
      </x:c>
      <x:c r="C249"/>
      <x:c r="D249" t="n">
        <x:v>376</x:v>
      </x:c>
      <x:c r="E249" t="n">
        <x:f>SUM(H249:V249)</x:f>
        <x:v>372</x:v>
      </x:c>
      <x:c r="F249" t="n">
        <x:v>4</x:v>
      </x:c>
      <x:c r="G249" s="50" t="str">
        <x:f>IF(C249="","",IFERROR(D249/C249,0))</x:f>
      </x:c>
      <x:c r="H249" s="36" t="n">
        <x:v>5</x:v>
      </x:c>
      <x:c r="I249" t="n">
        <x:v>118</x:v>
      </x:c>
      <x:c r="J249" t="n">
        <x:v>239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1</x:v>
      </x:c>
      <x:c r="R249" t="n">
        <x:v>0</x:v>
      </x:c>
      <x:c r="S249" t="n">
        <x:v>1</x:v>
      </x:c>
      <x:c r="T249" t="n">
        <x:v>2</x:v>
      </x:c>
      <x:c r="U249" t="n">
        <x:v>4</x:v>
      </x:c>
      <x:c r="V249" t="n">
        <x:v>2</x:v>
      </x:c>
      <x:c r="W249" s="50" t="n">
        <x:f>IF(D249=0,"",H249/D249)</x:f>
        <x:v>0.013297872340425532</x:v>
      </x:c>
      <x:c r="X249" t="n">
        <x:f>MAX(I249:V249)</x:f>
        <x:v>239</x:v>
      </x:c>
      <x:c r="Y249" t="n">
        <x:f>H249-X249</x:f>
        <x:v>-234</x:v>
      </x:c>
      <x:c r="Z249" s="52" t="n">
        <x:f>IF(D249=0,"",(Y249)/D249)</x:f>
        <x:v>-0.6223404255319149</x:v>
      </x:c>
      <x:c r="AA249" t="str">
        <x:v>Rajendra Singh Solanki</x:v>
      </x:c>
      <x:c r="AB249" t="n">
        <x:f>D249-E249-F249</x:f>
        <x:v>0</x:v>
      </x:c>
    </x:row>
    <x:row r="250">
      <x:c r="A250" t="n">
        <x:v>242</x:v>
      </x:c>
      <x:c r="B250" t="str">
        <x:v>2024 location: not supplied</x:v>
      </x:c>
      <x:c r="C250"/>
      <x:c r="D250" t="n">
        <x:v>296</x:v>
      </x:c>
      <x:c r="E250" t="n">
        <x:f>SUM(H250:V250)</x:f>
        <x:v>290</x:v>
      </x:c>
      <x:c r="F250" t="n">
        <x:v>6</x:v>
      </x:c>
      <x:c r="G250" s="50" t="str">
        <x:f>IF(C250="","",IFERROR(D250/C250,0))</x:f>
      </x:c>
      <x:c r="H250" s="36" t="n">
        <x:v>24</x:v>
      </x:c>
      <x:c r="I250" t="n">
        <x:v>162</x:v>
      </x:c>
      <x:c r="J250" t="n">
        <x:v>96</x:v>
      </x:c>
      <x:c r="K250" t="n">
        <x:v>1</x:v>
      </x:c>
      <x:c r="L250" t="n">
        <x:v>2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1</x:v>
      </x:c>
      <x:c r="T250" t="n">
        <x:v>1</x:v>
      </x:c>
      <x:c r="U250" t="n">
        <x:v>1</x:v>
      </x:c>
      <x:c r="V250" t="n">
        <x:v>2</x:v>
      </x:c>
      <x:c r="W250" s="50" t="n">
        <x:f>IF(D250=0,"",H250/D250)</x:f>
        <x:v>0.08108108108108109</x:v>
      </x:c>
      <x:c r="X250" t="n">
        <x:f>MAX(I250:V250)</x:f>
        <x:v>162</x:v>
      </x:c>
      <x:c r="Y250" t="n">
        <x:f>H250-X250</x:f>
        <x:v>-138</x:v>
      </x:c>
      <x:c r="Z250" s="52" t="n">
        <x:f>IF(D250=0,"",(Y250)/D250)</x:f>
        <x:v>-0.46621621621621623</x:v>
      </x:c>
      <x:c r="AA250" t="str">
        <x:v>Dr. Mahesh Sharma</x:v>
      </x:c>
      <x:c r="AB250" t="n">
        <x:f>D250-E250-F250</x:f>
        <x:v>0</x:v>
      </x:c>
    </x:row>
    <x:row r="251">
      <x:c r="A251" t="n">
        <x:v>243</x:v>
      </x:c>
      <x:c r="B251" t="str">
        <x:v>2024 location: not supplied</x:v>
      </x:c>
      <x:c r="C251"/>
      <x:c r="D251" t="n">
        <x:v>672</x:v>
      </x:c>
      <x:c r="E251" t="n">
        <x:f>SUM(H251:V251)</x:f>
        <x:v>671</x:v>
      </x:c>
      <x:c r="F251" t="n">
        <x:v>1</x:v>
      </x:c>
      <x:c r="G251" s="50" t="str">
        <x:f>IF(C251="","",IFERROR(D251/C251,0))</x:f>
      </x:c>
      <x:c r="H251" s="36" t="n">
        <x:v>15</x:v>
      </x:c>
      <x:c r="I251" t="n">
        <x:v>419</x:v>
      </x:c>
      <x:c r="J251" t="n">
        <x:v>220</x:v>
      </x:c>
      <x:c r="K251" t="n">
        <x:v>1</x:v>
      </x:c>
      <x:c r="L251" t="n">
        <x:v>3</x:v>
      </x:c>
      <x:c r="M251" t="n">
        <x:v>0</x:v>
      </x:c>
      <x:c r="N251" t="n">
        <x:v>2</x:v>
      </x:c>
      <x:c r="O251" t="n">
        <x:v>1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4</x:v>
      </x:c>
      <x:c r="V251" t="n">
        <x:v>6</x:v>
      </x:c>
      <x:c r="W251" s="50" t="n">
        <x:f>IF(D251=0,"",H251/D251)</x:f>
        <x:v>0.022321428571428572</x:v>
      </x:c>
      <x:c r="X251" t="n">
        <x:f>MAX(I251:V251)</x:f>
        <x:v>419</x:v>
      </x:c>
      <x:c r="Y251" t="n">
        <x:f>H251-X251</x:f>
        <x:v>-404</x:v>
      </x:c>
      <x:c r="Z251" s="52" t="n">
        <x:f>IF(D251=0,"",(Y251)/D251)</x:f>
        <x:v>-0.6011904761904762</x:v>
      </x:c>
      <x:c r="AA251" t="str">
        <x:v>Dr. Mahesh Sharma</x:v>
      </x:c>
      <x:c r="AB251" t="n">
        <x:f>D251-E251-F251</x:f>
        <x:v>0</x:v>
      </x:c>
    </x:row>
    <x:row r="252">
      <x:c r="A252" t="n">
        <x:v>244</x:v>
      </x:c>
      <x:c r="B252" t="str">
        <x:v>2024 location: not supplied</x:v>
      </x:c>
      <x:c r="C252"/>
      <x:c r="D252" t="n">
        <x:v>679</x:v>
      </x:c>
      <x:c r="E252" t="n">
        <x:f>SUM(H252:V252)</x:f>
        <x:v>676</x:v>
      </x:c>
      <x:c r="F252" t="n">
        <x:v>3</x:v>
      </x:c>
      <x:c r="G252" s="50" t="str">
        <x:f>IF(C252="","",IFERROR(D252/C252,0))</x:f>
      </x:c>
      <x:c r="H252" s="36" t="n">
        <x:v>26</x:v>
      </x:c>
      <x:c r="I252" t="n">
        <x:v>611</x:v>
      </x:c>
      <x:c r="J252" t="n">
        <x:v>29</x:v>
      </x:c>
      <x:c r="K252" t="n">
        <x:v>0</x:v>
      </x:c>
      <x:c r="L252" t="n">
        <x:v>1</x:v>
      </x:c>
      <x:c r="M252" t="n">
        <x:v>0</x:v>
      </x:c>
      <x:c r="N252" t="n">
        <x:v>2</x:v>
      </x:c>
      <x:c r="O252" t="n">
        <x:v>1</x:v>
      </x:c>
      <x:c r="P252" t="n">
        <x:v>0</x:v>
      </x:c>
      <x:c r="Q252" t="n">
        <x:v>1</x:v>
      </x:c>
      <x:c r="R252" t="n">
        <x:v>2</x:v>
      </x:c>
      <x:c r="S252" t="n">
        <x:v>0</x:v>
      </x:c>
      <x:c r="T252" t="n">
        <x:v>1</x:v>
      </x:c>
      <x:c r="U252" t="n">
        <x:v>0</x:v>
      </x:c>
      <x:c r="V252" t="n">
        <x:v>2</x:v>
      </x:c>
      <x:c r="W252" s="50" t="n">
        <x:f>IF(D252=0,"",H252/D252)</x:f>
        <x:v>0.03829160530191458</x:v>
      </x:c>
      <x:c r="X252" t="n">
        <x:f>MAX(I252:V252)</x:f>
        <x:v>611</x:v>
      </x:c>
      <x:c r="Y252" t="n">
        <x:f>H252-X252</x:f>
        <x:v>-585</x:v>
      </x:c>
      <x:c r="Z252" s="52" t="n">
        <x:f>IF(D252=0,"",(Y252)/D252)</x:f>
        <x:v>-0.8615611192930781</x:v>
      </x:c>
      <x:c r="AA252" t="str">
        <x:v>Dr. Mahesh Sharma</x:v>
      </x:c>
      <x:c r="AB252" t="n">
        <x:f>D252-E252-F252</x:f>
        <x:v>0</x:v>
      </x:c>
    </x:row>
    <x:row r="253">
      <x:c r="A253" t="n">
        <x:v>245</x:v>
      </x:c>
      <x:c r="B253" t="str">
        <x:v>2024 location: not supplied</x:v>
      </x:c>
      <x:c r="C253"/>
      <x:c r="D253" t="n">
        <x:v>694</x:v>
      </x:c>
      <x:c r="E253" t="n">
        <x:f>SUM(H253:V253)</x:f>
        <x:v>691</x:v>
      </x:c>
      <x:c r="F253" t="n">
        <x:v>3</x:v>
      </x:c>
      <x:c r="G253" s="50" t="str">
        <x:f>IF(C253="","",IFERROR(D253/C253,0))</x:f>
      </x:c>
      <x:c r="H253" s="36" t="n">
        <x:v>51</x:v>
      </x:c>
      <x:c r="I253" t="n">
        <x:v>406</x:v>
      </x:c>
      <x:c r="J253" t="n">
        <x:v>217</x:v>
      </x:c>
      <x:c r="K253" t="n">
        <x:v>1</x:v>
      </x:c>
      <x:c r="L253" t="n">
        <x:v>0</x:v>
      </x:c>
      <x:c r="M253" t="n">
        <x:v>0</x:v>
      </x:c>
      <x:c r="N253" t="n">
        <x:v>1</x:v>
      </x:c>
      <x:c r="O253" t="n">
        <x:v>2</x:v>
      </x:c>
      <x:c r="P253" t="n">
        <x:v>2</x:v>
      </x:c>
      <x:c r="Q253" t="n">
        <x:v>0</x:v>
      </x:c>
      <x:c r="R253" t="n">
        <x:v>1</x:v>
      </x:c>
      <x:c r="S253" t="n">
        <x:v>1</x:v>
      </x:c>
      <x:c r="T253" t="n">
        <x:v>0</x:v>
      </x:c>
      <x:c r="U253" t="n">
        <x:v>4</x:v>
      </x:c>
      <x:c r="V253" t="n">
        <x:v>5</x:v>
      </x:c>
      <x:c r="W253" s="50" t="n">
        <x:f>IF(D253=0,"",H253/D253)</x:f>
        <x:v>0.07348703170028818</x:v>
      </x:c>
      <x:c r="X253" t="n">
        <x:f>MAX(I253:V253)</x:f>
        <x:v>406</x:v>
      </x:c>
      <x:c r="Y253" t="n">
        <x:f>H253-X253</x:f>
        <x:v>-355</x:v>
      </x:c>
      <x:c r="Z253" s="52" t="n">
        <x:f>IF(D253=0,"",(Y253)/D253)</x:f>
        <x:v>-0.5115273775216138</x:v>
      </x:c>
      <x:c r="AA253" t="str">
        <x:v>Dr. Mahesh Sharma</x:v>
      </x:c>
      <x:c r="AB253" t="n">
        <x:f>D253-E253-F253</x:f>
        <x:v>0</x:v>
      </x:c>
    </x:row>
    <x:row r="254">
      <x:c r="A254" t="n">
        <x:v>246</x:v>
      </x:c>
      <x:c r="B254" t="str">
        <x:v>2024 location: not supplied</x:v>
      </x:c>
      <x:c r="C254"/>
      <x:c r="D254" t="n">
        <x:v>604</x:v>
      </x:c>
      <x:c r="E254" t="n">
        <x:f>SUM(H254:V254)</x:f>
        <x:v>600</x:v>
      </x:c>
      <x:c r="F254" t="n">
        <x:v>4</x:v>
      </x:c>
      <x:c r="G254" s="50" t="str">
        <x:f>IF(C254="","",IFERROR(D254/C254,0))</x:f>
      </x:c>
      <x:c r="H254" s="36" t="n">
        <x:v>44</x:v>
      </x:c>
      <x:c r="I254" t="n">
        <x:v>289</x:v>
      </x:c>
      <x:c r="J254" t="n">
        <x:v>252</x:v>
      </x:c>
      <x:c r="K254" t="n">
        <x:v>0</x:v>
      </x:c>
      <x:c r="L254" t="n">
        <x:v>4</x:v>
      </x:c>
      <x:c r="M254" t="n">
        <x:v>1</x:v>
      </x:c>
      <x:c r="N254" t="n">
        <x:v>1</x:v>
      </x:c>
      <x:c r="O254" t="n">
        <x:v>2</x:v>
      </x:c>
      <x:c r="P254" t="n">
        <x:v>1</x:v>
      </x:c>
      <x:c r="Q254" t="n">
        <x:v>1</x:v>
      </x:c>
      <x:c r="R254" t="n">
        <x:v>1</x:v>
      </x:c>
      <x:c r="S254" t="n">
        <x:v>1</x:v>
      </x:c>
      <x:c r="T254" t="n">
        <x:v>1</x:v>
      </x:c>
      <x:c r="U254" t="n">
        <x:v>1</x:v>
      </x:c>
      <x:c r="V254" t="n">
        <x:v>1</x:v>
      </x:c>
      <x:c r="W254" s="50" t="n">
        <x:f>IF(D254=0,"",H254/D254)</x:f>
        <x:v>0.0728476821192053</x:v>
      </x:c>
      <x:c r="X254" t="n">
        <x:f>MAX(I254:V254)</x:f>
        <x:v>289</x:v>
      </x:c>
      <x:c r="Y254" t="n">
        <x:f>H254-X254</x:f>
        <x:v>-245</x:v>
      </x:c>
      <x:c r="Z254" s="52" t="n">
        <x:f>IF(D254=0,"",(Y254)/D254)</x:f>
        <x:v>-0.4056291390728477</x:v>
      </x:c>
      <x:c r="AA254" t="str">
        <x:v>Dr. Mahesh Sharma</x:v>
      </x:c>
      <x:c r="AB254" t="n">
        <x:f>D254-E254-F254</x:f>
        <x:v>0</x:v>
      </x:c>
    </x:row>
    <x:row r="255">
      <x:c r="A255" t="n">
        <x:v>247</x:v>
      </x:c>
      <x:c r="B255" t="str">
        <x:v>2024 location: not supplied</x:v>
      </x:c>
      <x:c r="C255"/>
      <x:c r="D255" t="n">
        <x:v>645</x:v>
      </x:c>
      <x:c r="E255" t="n">
        <x:f>SUM(H255:V255)</x:f>
        <x:v>645</x:v>
      </x:c>
      <x:c r="F255" t="n">
        <x:v>0</x:v>
      </x:c>
      <x:c r="G255" s="50" t="str">
        <x:f>IF(C255="","",IFERROR(D255/C255,0))</x:f>
      </x:c>
      <x:c r="H255" s="36" t="n">
        <x:v>21</x:v>
      </x:c>
      <x:c r="I255" t="n">
        <x:v>119</x:v>
      </x:c>
      <x:c r="J255" t="n">
        <x:v>492</x:v>
      </x:c>
      <x:c r="K255" t="n">
        <x:v>0</x:v>
      </x:c>
      <x:c r="L255" t="n">
        <x:v>3</x:v>
      </x:c>
      <x:c r="M255" t="n">
        <x:v>0</x:v>
      </x:c>
      <x:c r="N255" t="n">
        <x:v>1</x:v>
      </x:c>
      <x:c r="O255" t="n">
        <x:v>2</x:v>
      </x:c>
      <x:c r="P255" t="n">
        <x:v>0</x:v>
      </x:c>
      <x:c r="Q255" t="n">
        <x:v>1</x:v>
      </x:c>
      <x:c r="R255" t="n">
        <x:v>1</x:v>
      </x:c>
      <x:c r="S255" t="n">
        <x:v>0</x:v>
      </x:c>
      <x:c r="T255" t="n">
        <x:v>0</x:v>
      </x:c>
      <x:c r="U255" t="n">
        <x:v>5</x:v>
      </x:c>
      <x:c r="V255" t="n">
        <x:v>0</x:v>
      </x:c>
      <x:c r="W255" s="50" t="n">
        <x:f>IF(D255=0,"",H255/D255)</x:f>
        <x:v>0.03255813953488372</x:v>
      </x:c>
      <x:c r="X255" t="n">
        <x:f>MAX(I255:V255)</x:f>
        <x:v>492</x:v>
      </x:c>
      <x:c r="Y255" t="n">
        <x:f>H255-X255</x:f>
        <x:v>-471</x:v>
      </x:c>
      <x:c r="Z255" s="52" t="n">
        <x:f>IF(D255=0,"",(Y255)/D255)</x:f>
        <x:v>-0.7302325581395349</x:v>
      </x:c>
      <x:c r="AA255" t="str">
        <x:v>Rajendra Singh Solanki</x:v>
      </x:c>
      <x:c r="AB255" t="n">
        <x:f>D255-E255-F255</x:f>
        <x:v>0</x:v>
      </x:c>
    </x:row>
    <x:row r="256">
      <x:c r="A256" t="n">
        <x:v>248</x:v>
      </x:c>
      <x:c r="B256" t="str">
        <x:v>2024 location: not supplied</x:v>
      </x:c>
      <x:c r="C256"/>
      <x:c r="D256" t="n">
        <x:v>511</x:v>
      </x:c>
      <x:c r="E256" t="n">
        <x:f>SUM(H256:V256)</x:f>
        <x:v>511</x:v>
      </x:c>
      <x:c r="F256" t="n">
        <x:v>0</x:v>
      </x:c>
      <x:c r="G256" s="50" t="str">
        <x:f>IF(C256="","",IFERROR(D256/C256,0))</x:f>
      </x:c>
      <x:c r="H256" s="36" t="n">
        <x:v>4</x:v>
      </x:c>
      <x:c r="I256" t="n">
        <x:v>258</x:v>
      </x:c>
      <x:c r="J256" t="n">
        <x:v>245</x:v>
      </x:c>
      <x:c r="K256" t="n">
        <x:v>0</x:v>
      </x:c>
      <x:c r="L256" t="n">
        <x:v>0</x:v>
      </x:c>
      <x:c r="M256" t="n">
        <x:v>1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3</x:v>
      </x:c>
      <x:c r="V256" t="n">
        <x:v>0</x:v>
      </x:c>
      <x:c r="W256" s="50" t="n">
        <x:f>IF(D256=0,"",H256/D256)</x:f>
        <x:v>0.007827788649706457</x:v>
      </x:c>
      <x:c r="X256" t="n">
        <x:f>MAX(I256:V256)</x:f>
        <x:v>258</x:v>
      </x:c>
      <x:c r="Y256" t="n">
        <x:f>H256-X256</x:f>
        <x:v>-254</x:v>
      </x:c>
      <x:c r="Z256" s="52" t="n">
        <x:f>IF(D256=0,"",(Y256)/D256)</x:f>
        <x:v>-0.49706457925636005</x:v>
      </x:c>
      <x:c r="AA256" t="str">
        <x:v>Dr. Mahesh Sharma</x:v>
      </x:c>
      <x:c r="AB256" t="n">
        <x:f>D256-E256-F256</x:f>
        <x:v>0</x:v>
      </x:c>
    </x:row>
    <x:row r="257">
      <x:c r="A257" t="n">
        <x:v>249</x:v>
      </x:c>
      <x:c r="B257" t="str">
        <x:v>2024 location: not supplied</x:v>
      </x:c>
      <x:c r="C257"/>
      <x:c r="D257" t="n">
        <x:v>354</x:v>
      </x:c>
      <x:c r="E257" t="n">
        <x:f>SUM(H257:V257)</x:f>
        <x:v>354</x:v>
      </x:c>
      <x:c r="F257" t="n">
        <x:v>0</x:v>
      </x:c>
      <x:c r="G257" s="50" t="str">
        <x:f>IF(C257="","",IFERROR(D257/C257,0))</x:f>
      </x:c>
      <x:c r="H257" s="36" t="n">
        <x:v>7</x:v>
      </x:c>
      <x:c r="I257" t="n">
        <x:v>319</x:v>
      </x:c>
      <x:c r="J257" t="n">
        <x:v>28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s="50" t="n">
        <x:f>IF(D257=0,"",H257/D257)</x:f>
        <x:v>0.01977401129943503</x:v>
      </x:c>
      <x:c r="X257" t="n">
        <x:f>MAX(I257:V257)</x:f>
        <x:v>319</x:v>
      </x:c>
      <x:c r="Y257" t="n">
        <x:f>H257-X257</x:f>
        <x:v>-312</x:v>
      </x:c>
      <x:c r="Z257" s="52" t="n">
        <x:f>IF(D257=0,"",(Y257)/D257)</x:f>
        <x:v>-0.8813559322033898</x:v>
      </x:c>
      <x:c r="AA257" t="str">
        <x:v>Dr. Mahesh Sharma</x:v>
      </x:c>
      <x:c r="AB257" t="n">
        <x:f>D257-E257-F257</x:f>
        <x:v>0</x:v>
      </x:c>
    </x:row>
    <x:row r="258">
      <x:c r="A258" t="n">
        <x:v>250</x:v>
      </x:c>
      <x:c r="B258" t="str">
        <x:v>2024 location: not supplied</x:v>
      </x:c>
      <x:c r="C258"/>
      <x:c r="D258" t="n">
        <x:v>611</x:v>
      </x:c>
      <x:c r="E258" t="n">
        <x:f>SUM(H258:V258)</x:f>
        <x:v>609</x:v>
      </x:c>
      <x:c r="F258" t="n">
        <x:v>2</x:v>
      </x:c>
      <x:c r="G258" s="50" t="str">
        <x:f>IF(C258="","",IFERROR(D258/C258,0))</x:f>
      </x:c>
      <x:c r="H258" s="36" t="n">
        <x:v>12</x:v>
      </x:c>
      <x:c r="I258" t="n">
        <x:v>282</x:v>
      </x:c>
      <x:c r="J258" t="n">
        <x:v>300</x:v>
      </x:c>
      <x:c r="K258" t="n">
        <x:v>1</x:v>
      </x:c>
      <x:c r="L258" t="n">
        <x:v>0</x:v>
      </x:c>
      <x:c r="M258" t="n">
        <x:v>1</x:v>
      </x:c>
      <x:c r="N258" t="n">
        <x:v>1</x:v>
      </x:c>
      <x:c r="O258" t="n">
        <x:v>1</x:v>
      </x:c>
      <x:c r="P258" t="n">
        <x:v>0</x:v>
      </x:c>
      <x:c r="Q258" t="n">
        <x:v>0</x:v>
      </x:c>
      <x:c r="R258" t="n">
        <x:v>1</x:v>
      </x:c>
      <x:c r="S258" t="n">
        <x:v>0</x:v>
      </x:c>
      <x:c r="T258" t="n">
        <x:v>1</x:v>
      </x:c>
      <x:c r="U258" t="n">
        <x:v>6</x:v>
      </x:c>
      <x:c r="V258" t="n">
        <x:v>3</x:v>
      </x:c>
      <x:c r="W258" s="50" t="n">
        <x:f>IF(D258=0,"",H258/D258)</x:f>
        <x:v>0.019639934533551555</x:v>
      </x:c>
      <x:c r="X258" t="n">
        <x:f>MAX(I258:V258)</x:f>
        <x:v>300</x:v>
      </x:c>
      <x:c r="Y258" t="n">
        <x:f>H258-X258</x:f>
        <x:v>-288</x:v>
      </x:c>
      <x:c r="Z258" s="52" t="n">
        <x:f>IF(D258=0,"",(Y258)/D258)</x:f>
        <x:v>-0.4713584288052373</x:v>
      </x:c>
      <x:c r="AA258" t="str">
        <x:v>Rajendra Singh Solanki</x:v>
      </x:c>
      <x:c r="AB258" t="n">
        <x:f>D258-E258-F258</x:f>
        <x:v>0</x:v>
      </x:c>
    </x:row>
    <x:row r="259">
      <x:c r="A259" t="n">
        <x:v>251</x:v>
      </x:c>
      <x:c r="B259" t="str">
        <x:v>2024 location: not supplied</x:v>
      </x:c>
      <x:c r="C259"/>
      <x:c r="D259" t="n">
        <x:v>423</x:v>
      </x:c>
      <x:c r="E259" t="n">
        <x:f>SUM(H259:V259)</x:f>
        <x:v>423</x:v>
      </x:c>
      <x:c r="F259" t="n">
        <x:v>0</x:v>
      </x:c>
      <x:c r="G259" s="50" t="str">
        <x:f>IF(C259="","",IFERROR(D259/C259,0))</x:f>
      </x:c>
      <x:c r="H259" s="36" t="n">
        <x:v>3</x:v>
      </x:c>
      <x:c r="I259" t="n">
        <x:v>271</x:v>
      </x:c>
      <x:c r="J259" t="n">
        <x:v>137</x:v>
      </x:c>
      <x:c r="K259" t="n">
        <x:v>0</x:v>
      </x:c>
      <x:c r="L259" t="n">
        <x:v>2</x:v>
      </x:c>
      <x:c r="M259" t="n">
        <x:v>0</x:v>
      </x:c>
      <x:c r="N259" t="n">
        <x:v>2</x:v>
      </x:c>
      <x:c r="O259" t="n">
        <x:v>0</x:v>
      </x:c>
      <x:c r="P259" t="n">
        <x:v>1</x:v>
      </x:c>
      <x:c r="Q259" t="n">
        <x:v>0</x:v>
      </x:c>
      <x:c r="R259" t="n">
        <x:v>0</x:v>
      </x:c>
      <x:c r="S259" t="n">
        <x:v>0</x:v>
      </x:c>
      <x:c r="T259" t="n">
        <x:v>1</x:v>
      </x:c>
      <x:c r="U259" t="n">
        <x:v>4</x:v>
      </x:c>
      <x:c r="V259" t="n">
        <x:v>2</x:v>
      </x:c>
      <x:c r="W259" s="50" t="n">
        <x:f>IF(D259=0,"",H259/D259)</x:f>
        <x:v>0.0070921985815602835</x:v>
      </x:c>
      <x:c r="X259" t="n">
        <x:f>MAX(I259:V259)</x:f>
        <x:v>271</x:v>
      </x:c>
      <x:c r="Y259" t="n">
        <x:f>H259-X259</x:f>
        <x:v>-268</x:v>
      </x:c>
      <x:c r="Z259" s="52" t="n">
        <x:f>IF(D259=0,"",(Y259)/D259)</x:f>
        <x:v>-0.6335697399527187</x:v>
      </x:c>
      <x:c r="AA259" t="str">
        <x:v>Dr. Mahesh Sharma</x:v>
      </x:c>
      <x:c r="AB259" t="n">
        <x:f>D259-E259-F259</x:f>
        <x:v>0</x:v>
      </x:c>
    </x:row>
    <x:row r="260">
      <x:c r="A260" t="n">
        <x:v>252</x:v>
      </x:c>
      <x:c r="B260" t="str">
        <x:v>2024 location: not supplied</x:v>
      </x:c>
      <x:c r="C260"/>
      <x:c r="D260" t="n">
        <x:v>410</x:v>
      </x:c>
      <x:c r="E260" t="n">
        <x:f>SUM(H260:V260)</x:f>
        <x:v>409</x:v>
      </x:c>
      <x:c r="F260" t="n">
        <x:v>1</x:v>
      </x:c>
      <x:c r="G260" s="50" t="str">
        <x:f>IF(C260="","",IFERROR(D260/C260,0))</x:f>
      </x:c>
      <x:c r="H260" s="36" t="n">
        <x:v>3</x:v>
      </x:c>
      <x:c r="I260" t="n">
        <x:v>152</x:v>
      </x:c>
      <x:c r="J260" t="n">
        <x:v>244</x:v>
      </x:c>
      <x:c r="K260" t="n">
        <x:v>1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2</x:v>
      </x:c>
      <x:c r="T260" t="n">
        <x:v>0</x:v>
      </x:c>
      <x:c r="U260" t="n">
        <x:v>4</x:v>
      </x:c>
      <x:c r="V260" t="n">
        <x:v>3</x:v>
      </x:c>
      <x:c r="W260" s="50" t="n">
        <x:f>IF(D260=0,"",H260/D260)</x:f>
        <x:v>0.007317073170731708</x:v>
      </x:c>
      <x:c r="X260" t="n">
        <x:f>MAX(I260:V260)</x:f>
        <x:v>244</x:v>
      </x:c>
      <x:c r="Y260" t="n">
        <x:f>H260-X260</x:f>
        <x:v>-241</x:v>
      </x:c>
      <x:c r="Z260" s="52" t="n">
        <x:f>IF(D260=0,"",(Y260)/D260)</x:f>
        <x:v>-0.5878048780487805</x:v>
      </x:c>
      <x:c r="AA260" t="str">
        <x:v>Rajendra Singh Solanki</x:v>
      </x:c>
      <x:c r="AB260" t="n">
        <x:f>D260-E260-F260</x:f>
        <x:v>0</x:v>
      </x:c>
    </x:row>
    <x:row r="261">
      <x:c r="A261" t="n">
        <x:v>253</x:v>
      </x:c>
      <x:c r="B261" t="str">
        <x:v>2024 location: not supplied</x:v>
      </x:c>
      <x:c r="C261"/>
      <x:c r="D261" t="n">
        <x:v>350</x:v>
      </x:c>
      <x:c r="E261" t="n">
        <x:f>SUM(H261:V261)</x:f>
        <x:v>347</x:v>
      </x:c>
      <x:c r="F261" t="n">
        <x:v>3</x:v>
      </x:c>
      <x:c r="G261" s="50" t="str">
        <x:f>IF(C261="","",IFERROR(D261/C261,0))</x:f>
      </x:c>
      <x:c r="H261" s="36" t="n">
        <x:v>125</x:v>
      </x:c>
      <x:c r="I261" t="n">
        <x:v>73</x:v>
      </x:c>
      <x:c r="J261" t="n">
        <x:v>132</x:v>
      </x:c>
      <x:c r="K261" t="n">
        <x:v>0</x:v>
      </x:c>
      <x:c r="L261" t="n">
        <x:v>1</x:v>
      </x:c>
      <x:c r="M261" t="n">
        <x:v>0</x:v>
      </x:c>
      <x:c r="N261" t="n">
        <x:v>0</x:v>
      </x:c>
      <x:c r="O261" t="n">
        <x:v>10</x:v>
      </x:c>
      <x:c r="P261" t="n">
        <x:v>1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5</x:v>
      </x:c>
      <x:c r="V261" t="n">
        <x:v>0</x:v>
      </x:c>
      <x:c r="W261" s="50" t="n">
        <x:f>IF(D261=0,"",H261/D261)</x:f>
        <x:v>0.35714285714285715</x:v>
      </x:c>
      <x:c r="X261" t="n">
        <x:f>MAX(I261:V261)</x:f>
        <x:v>132</x:v>
      </x:c>
      <x:c r="Y261" t="n">
        <x:f>H261-X261</x:f>
        <x:v>-7</x:v>
      </x:c>
      <x:c r="Z261" s="52" t="n">
        <x:f>IF(D261=0,"",(Y261)/D261)</x:f>
        <x:v>-0.02</x:v>
      </x:c>
      <x:c r="AA261" t="str">
        <x:v>Rajendra Singh Solanki</x:v>
      </x:c>
      <x:c r="AB261" t="n">
        <x:f>D261-E261-F261</x:f>
        <x:v>0</x:v>
      </x:c>
    </x:row>
    <x:row r="262">
      <x:c r="A262" t="n">
        <x:v>254</x:v>
      </x:c>
      <x:c r="B262" t="str">
        <x:v>2024 location: not supplied</x:v>
      </x:c>
      <x:c r="C262"/>
      <x:c r="D262" t="n">
        <x:v>491</x:v>
      </x:c>
      <x:c r="E262" t="n">
        <x:f>SUM(H262:V262)</x:f>
        <x:v>489</x:v>
      </x:c>
      <x:c r="F262" t="n">
        <x:v>2</x:v>
      </x:c>
      <x:c r="G262" s="50" t="str">
        <x:f>IF(C262="","",IFERROR(D262/C262,0))</x:f>
      </x:c>
      <x:c r="H262" s="36" t="n">
        <x:v>12</x:v>
      </x:c>
      <x:c r="I262" t="n">
        <x:v>363</x:v>
      </x:c>
      <x:c r="J262" t="n">
        <x:v>109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1</x:v>
      </x:c>
      <x:c r="P262" t="n">
        <x:v>1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2</x:v>
      </x:c>
      <x:c r="V262" t="n">
        <x:v>1</x:v>
      </x:c>
      <x:c r="W262" s="50" t="n">
        <x:f>IF(D262=0,"",H262/D262)</x:f>
        <x:v>0.024439918533604887</x:v>
      </x:c>
      <x:c r="X262" t="n">
        <x:f>MAX(I262:V262)</x:f>
        <x:v>363</x:v>
      </x:c>
      <x:c r="Y262" t="n">
        <x:f>H262-X262</x:f>
        <x:v>-351</x:v>
      </x:c>
      <x:c r="Z262" s="52" t="n">
        <x:f>IF(D262=0,"",(Y262)/D262)</x:f>
        <x:v>-0.714867617107943</x:v>
      </x:c>
      <x:c r="AA262" t="str">
        <x:v>Dr. Mahesh Sharma</x:v>
      </x:c>
      <x:c r="AB262" t="n">
        <x:f>D262-E262-F262</x:f>
        <x:v>0</x:v>
      </x:c>
    </x:row>
    <x:row r="263">
      <x:c r="A263" t="n">
        <x:v>255</x:v>
      </x:c>
      <x:c r="B263" t="str">
        <x:v>2024 location: not supplied</x:v>
      </x:c>
      <x:c r="C263"/>
      <x:c r="D263" t="n">
        <x:v>280</x:v>
      </x:c>
      <x:c r="E263" t="n">
        <x:f>SUM(H263:V263)</x:f>
        <x:v>280</x:v>
      </x:c>
      <x:c r="F263" t="n">
        <x:v>0</x:v>
      </x:c>
      <x:c r="G263" s="50" t="str">
        <x:f>IF(C263="","",IFERROR(D263/C263,0))</x:f>
      </x:c>
      <x:c r="H263" s="36" t="n">
        <x:v>4</x:v>
      </x:c>
      <x:c r="I263" t="n">
        <x:v>217</x:v>
      </x:c>
      <x:c r="J263" t="n">
        <x:v>51</x:v>
      </x:c>
      <x:c r="K263" t="n">
        <x:v>0</x:v>
      </x:c>
      <x:c r="L263" t="n">
        <x:v>1</x:v>
      </x:c>
      <x:c r="M263" t="n">
        <x:v>0</x:v>
      </x:c>
      <x:c r="N263" t="n">
        <x:v>1</x:v>
      </x:c>
      <x:c r="O263" t="n">
        <x:v>1</x:v>
      </x:c>
      <x:c r="P263" t="n">
        <x:v>0</x:v>
      </x:c>
      <x:c r="Q263" t="n">
        <x:v>0</x:v>
      </x:c>
      <x:c r="R263" t="n">
        <x:v>1</x:v>
      </x:c>
      <x:c r="S263" t="n">
        <x:v>0</x:v>
      </x:c>
      <x:c r="T263" t="n">
        <x:v>0</x:v>
      </x:c>
      <x:c r="U263" t="n">
        <x:v>2</x:v>
      </x:c>
      <x:c r="V263" t="n">
        <x:v>2</x:v>
      </x:c>
      <x:c r="W263" s="50" t="n">
        <x:f>IF(D263=0,"",H263/D263)</x:f>
        <x:v>0.014285714285714285</x:v>
      </x:c>
      <x:c r="X263" t="n">
        <x:f>MAX(I263:V263)</x:f>
        <x:v>217</x:v>
      </x:c>
      <x:c r="Y263" t="n">
        <x:f>H263-X263</x:f>
        <x:v>-213</x:v>
      </x:c>
      <x:c r="Z263" s="52" t="n">
        <x:f>IF(D263=0,"",(Y263)/D263)</x:f>
        <x:v>-0.7607142857142857</x:v>
      </x:c>
      <x:c r="AA263" t="str">
        <x:v>Dr. Mahesh Sharma</x:v>
      </x:c>
      <x:c r="AB263" t="n">
        <x:f>D263-E263-F263</x:f>
        <x:v>0</x:v>
      </x:c>
    </x:row>
    <x:row r="264">
      <x:c r="A264" t="n">
        <x:v>256</x:v>
      </x:c>
      <x:c r="B264" t="str">
        <x:v>2024 location: not supplied</x:v>
      </x:c>
      <x:c r="C264"/>
      <x:c r="D264" t="n">
        <x:v>435</x:v>
      </x:c>
      <x:c r="E264" t="n">
        <x:f>SUM(H264:V264)</x:f>
        <x:v>433</x:v>
      </x:c>
      <x:c r="F264" t="n">
        <x:v>2</x:v>
      </x:c>
      <x:c r="G264" s="50" t="str">
        <x:f>IF(C264="","",IFERROR(D264/C264,0))</x:f>
      </x:c>
      <x:c r="H264" s="36" t="n">
        <x:v>5</x:v>
      </x:c>
      <x:c r="I264" t="n">
        <x:v>390</x:v>
      </x:c>
      <x:c r="J264" t="n">
        <x:v>33</x:v>
      </x:c>
      <x:c r="K264" t="n">
        <x:v>0</x:v>
      </x:c>
      <x:c r="L264" t="n">
        <x:v>1</x:v>
      </x:c>
      <x:c r="M264" t="n">
        <x:v>0</x:v>
      </x:c>
      <x:c r="N264" t="n">
        <x:v>1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3</x:v>
      </x:c>
      <x:c r="W264" s="50" t="n">
        <x:f>IF(D264=0,"",H264/D264)</x:f>
        <x:v>0.011494252873563218</x:v>
      </x:c>
      <x:c r="X264" t="n">
        <x:f>MAX(I264:V264)</x:f>
        <x:v>390</x:v>
      </x:c>
      <x:c r="Y264" t="n">
        <x:f>H264-X264</x:f>
        <x:v>-385</x:v>
      </x:c>
      <x:c r="Z264" s="52" t="n">
        <x:f>IF(D264=0,"",(Y264)/D264)</x:f>
        <x:v>-0.8850574712643678</x:v>
      </x:c>
      <x:c r="AA264" t="str">
        <x:v>Dr. Mahesh Sharma</x:v>
      </x:c>
      <x:c r="AB264" t="n">
        <x:f>D264-E264-F264</x:f>
        <x:v>0</x:v>
      </x:c>
    </x:row>
    <x:row r="265">
      <x:c r="A265" t="n">
        <x:v>257</x:v>
      </x:c>
      <x:c r="B265" t="str">
        <x:v>2024 location: not supplied</x:v>
      </x:c>
      <x:c r="C265"/>
      <x:c r="D265" t="n">
        <x:v>451</x:v>
      </x:c>
      <x:c r="E265" t="n">
        <x:f>SUM(H265:V265)</x:f>
        <x:v>451</x:v>
      </x:c>
      <x:c r="F265" t="n">
        <x:v>0</x:v>
      </x:c>
      <x:c r="G265" s="50" t="str">
        <x:f>IF(C265="","",IFERROR(D265/C265,0))</x:f>
      </x:c>
      <x:c r="H265" s="36" t="n">
        <x:v>12</x:v>
      </x:c>
      <x:c r="I265" t="n">
        <x:v>133</x:v>
      </x:c>
      <x:c r="J265" t="n">
        <x:v>295</x:v>
      </x:c>
      <x:c r="K265" t="n">
        <x:v>2</x:v>
      </x:c>
      <x:c r="L265" t="n">
        <x:v>2</x:v>
      </x:c>
      <x:c r="M265" t="n">
        <x:v>0</x:v>
      </x:c>
      <x:c r="N265" t="n">
        <x:v>1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4</x:v>
      </x:c>
      <x:c r="V265" t="n">
        <x:v>2</x:v>
      </x:c>
      <x:c r="W265" s="50" t="n">
        <x:f>IF(D265=0,"",H265/D265)</x:f>
        <x:v>0.026607538802660754</x:v>
      </x:c>
      <x:c r="X265" t="n">
        <x:f>MAX(I265:V265)</x:f>
        <x:v>295</x:v>
      </x:c>
      <x:c r="Y265" t="n">
        <x:f>H265-X265</x:f>
        <x:v>-283</x:v>
      </x:c>
      <x:c r="Z265" s="52" t="n">
        <x:f>IF(D265=0,"",(Y265)/D265)</x:f>
        <x:v>-0.6274944567627494</x:v>
      </x:c>
      <x:c r="AA265" t="str">
        <x:v>Rajendra Singh Solanki</x:v>
      </x:c>
      <x:c r="AB265" t="n">
        <x:f>D265-E265-F265</x:f>
        <x:v>0</x:v>
      </x:c>
    </x:row>
    <x:row r="266">
      <x:c r="A266" t="n">
        <x:v>258</x:v>
      </x:c>
      <x:c r="B266" t="str">
        <x:v>2024 location: not supplied</x:v>
      </x:c>
      <x:c r="C266"/>
      <x:c r="D266" t="n">
        <x:v>534</x:v>
      </x:c>
      <x:c r="E266" t="n">
        <x:f>SUM(H266:V266)</x:f>
        <x:v>533</x:v>
      </x:c>
      <x:c r="F266" t="n">
        <x:v>1</x:v>
      </x:c>
      <x:c r="G266" s="50" t="str">
        <x:f>IF(C266="","",IFERROR(D266/C266,0))</x:f>
      </x:c>
      <x:c r="H266" s="36" t="n">
        <x:v>7</x:v>
      </x:c>
      <x:c r="I266" t="n">
        <x:v>320</x:v>
      </x:c>
      <x:c r="J266" t="n">
        <x:v>193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1</x:v>
      </x:c>
      <x:c r="P266" t="n">
        <x:v>1</x:v>
      </x:c>
      <x:c r="Q266" t="n">
        <x:v>0</x:v>
      </x:c>
      <x:c r="R266" t="n">
        <x:v>0</x:v>
      </x:c>
      <x:c r="S266" t="n">
        <x:v>2</x:v>
      </x:c>
      <x:c r="T266" t="n">
        <x:v>2</x:v>
      </x:c>
      <x:c r="U266" t="n">
        <x:v>5</x:v>
      </x:c>
      <x:c r="V266" t="n">
        <x:v>2</x:v>
      </x:c>
      <x:c r="W266" s="50" t="n">
        <x:f>IF(D266=0,"",H266/D266)</x:f>
        <x:v>0.013108614232209739</x:v>
      </x:c>
      <x:c r="X266" t="n">
        <x:f>MAX(I266:V266)</x:f>
        <x:v>320</x:v>
      </x:c>
      <x:c r="Y266" t="n">
        <x:f>H266-X266</x:f>
        <x:v>-313</x:v>
      </x:c>
      <x:c r="Z266" s="52" t="n">
        <x:f>IF(D266=0,"",(Y266)/D266)</x:f>
        <x:v>-0.5861423220973783</x:v>
      </x:c>
      <x:c r="AA266" t="str">
        <x:v>Dr. Mahesh Sharma</x:v>
      </x:c>
      <x:c r="AB266" t="n">
        <x:f>D266-E266-F266</x:f>
        <x:v>0</x:v>
      </x:c>
    </x:row>
    <x:row r="267">
      <x:c r="A267" t="n">
        <x:v>259</x:v>
      </x:c>
      <x:c r="B267" t="str">
        <x:v>2024 location: not supplied</x:v>
      </x:c>
      <x:c r="C267"/>
      <x:c r="D267" t="n">
        <x:v>628</x:v>
      </x:c>
      <x:c r="E267" t="n">
        <x:f>SUM(H267:V267)</x:f>
        <x:v>626</x:v>
      </x:c>
      <x:c r="F267" t="n">
        <x:v>2</x:v>
      </x:c>
      <x:c r="G267" s="50" t="str">
        <x:f>IF(C267="","",IFERROR(D267/C267,0))</x:f>
      </x:c>
      <x:c r="H267" s="36" t="n">
        <x:v>44</x:v>
      </x:c>
      <x:c r="I267" t="n">
        <x:v>229</x:v>
      </x:c>
      <x:c r="J267" t="n">
        <x:v>342</x:v>
      </x:c>
      <x:c r="K267" t="n">
        <x:v>0</x:v>
      </x:c>
      <x:c r="L267" t="n">
        <x:v>1</x:v>
      </x:c>
      <x:c r="M267" t="n">
        <x:v>0</x:v>
      </x:c>
      <x:c r="N267" t="n">
        <x:v>1</x:v>
      </x:c>
      <x:c r="O267" t="n">
        <x:v>1</x:v>
      </x:c>
      <x:c r="P267" t="n">
        <x:v>1</x:v>
      </x:c>
      <x:c r="Q267" t="n">
        <x:v>0</x:v>
      </x:c>
      <x:c r="R267" t="n">
        <x:v>0</x:v>
      </x:c>
      <x:c r="S267" t="n">
        <x:v>1</x:v>
      </x:c>
      <x:c r="T267" t="n">
        <x:v>0</x:v>
      </x:c>
      <x:c r="U267" t="n">
        <x:v>5</x:v>
      </x:c>
      <x:c r="V267" t="n">
        <x:v>1</x:v>
      </x:c>
      <x:c r="W267" s="50" t="n">
        <x:f>IF(D267=0,"",H267/D267)</x:f>
        <x:v>0.07006369426751592</x:v>
      </x:c>
      <x:c r="X267" t="n">
        <x:f>MAX(I267:V267)</x:f>
        <x:v>342</x:v>
      </x:c>
      <x:c r="Y267" t="n">
        <x:f>H267-X267</x:f>
        <x:v>-298</x:v>
      </x:c>
      <x:c r="Z267" s="52" t="n">
        <x:f>IF(D267=0,"",(Y267)/D267)</x:f>
        <x:v>-0.4745222929936306</x:v>
      </x:c>
      <x:c r="AA267" t="str">
        <x:v>Rajendra Singh Solanki</x:v>
      </x:c>
      <x:c r="AB267" t="n">
        <x:f>D267-E267-F267</x:f>
        <x:v>0</x:v>
      </x:c>
    </x:row>
    <x:row r="268">
      <x:c r="A268" t="n">
        <x:v>260</x:v>
      </x:c>
      <x:c r="B268" t="str">
        <x:v>2024 location: not supplied</x:v>
      </x:c>
      <x:c r="C268"/>
      <x:c r="D268" t="n">
        <x:v>556</x:v>
      </x:c>
      <x:c r="E268" t="n">
        <x:f>SUM(H268:V268)</x:f>
        <x:v>555</x:v>
      </x:c>
      <x:c r="F268" t="n">
        <x:v>1</x:v>
      </x:c>
      <x:c r="G268" s="50" t="str">
        <x:f>IF(C268="","",IFERROR(D268/C268,0))</x:f>
      </x:c>
      <x:c r="H268" s="36" t="n">
        <x:v>22</x:v>
      </x:c>
      <x:c r="I268" t="n">
        <x:v>330</x:v>
      </x:c>
      <x:c r="J268" t="n">
        <x:v>198</x:v>
      </x:c>
      <x:c r="K268" t="n">
        <x:v>1</x:v>
      </x:c>
      <x:c r="L268" t="n">
        <x:v>0</x:v>
      </x:c>
      <x:c r="M268" t="n">
        <x:v>1</x:v>
      </x:c>
      <x:c r="N268" t="n">
        <x:v>0</x:v>
      </x:c>
      <x:c r="O268" t="n">
        <x:v>0</x:v>
      </x:c>
      <x:c r="P268" t="n">
        <x:v>1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2</x:v>
      </x:c>
      <x:c r="W268" s="50" t="n">
        <x:f>IF(D268=0,"",H268/D268)</x:f>
        <x:v>0.039568345323741004</x:v>
      </x:c>
      <x:c r="X268" t="n">
        <x:f>MAX(I268:V268)</x:f>
        <x:v>330</x:v>
      </x:c>
      <x:c r="Y268" t="n">
        <x:f>H268-X268</x:f>
        <x:v>-308</x:v>
      </x:c>
      <x:c r="Z268" s="52" t="n">
        <x:f>IF(D268=0,"",(Y268)/D268)</x:f>
        <x:v>-0.5539568345323741</x:v>
      </x:c>
      <x:c r="AA268" t="str">
        <x:v>Dr. Mahesh Sharma</x:v>
      </x:c>
      <x:c r="AB268" t="n">
        <x:f>D268-E268-F268</x:f>
        <x:v>0</x:v>
      </x:c>
    </x:row>
    <x:row r="269">
      <x:c r="A269" t="n">
        <x:v>261</x:v>
      </x:c>
      <x:c r="B269" t="str">
        <x:v>2024 location: not supplied</x:v>
      </x:c>
      <x:c r="C269"/>
      <x:c r="D269" t="n">
        <x:v>717</x:v>
      </x:c>
      <x:c r="E269" t="n">
        <x:f>SUM(H269:V269)</x:f>
        <x:v>717</x:v>
      </x:c>
      <x:c r="F269" t="n">
        <x:v>0</x:v>
      </x:c>
      <x:c r="G269" s="50" t="str">
        <x:f>IF(C269="","",IFERROR(D269/C269,0))</x:f>
      </x:c>
      <x:c r="H269" s="36" t="n">
        <x:v>14</x:v>
      </x:c>
      <x:c r="I269" t="n">
        <x:v>404</x:v>
      </x:c>
      <x:c r="J269" t="n">
        <x:v>284</x:v>
      </x:c>
      <x:c r="K269" t="n">
        <x:v>0</x:v>
      </x:c>
      <x:c r="L269" t="n">
        <x:v>1</x:v>
      </x:c>
      <x:c r="M269" t="n">
        <x:v>0</x:v>
      </x:c>
      <x:c r="N269" t="n">
        <x:v>4</x:v>
      </x:c>
      <x:c r="O269" t="n">
        <x:v>1</x:v>
      </x:c>
      <x:c r="P269" t="n">
        <x:v>1</x:v>
      </x:c>
      <x:c r="Q269" t="n">
        <x:v>0</x:v>
      </x:c>
      <x:c r="R269" t="n">
        <x:v>1</x:v>
      </x:c>
      <x:c r="S269" t="n">
        <x:v>0</x:v>
      </x:c>
      <x:c r="T269" t="n">
        <x:v>2</x:v>
      </x:c>
      <x:c r="U269" t="n">
        <x:v>2</x:v>
      </x:c>
      <x:c r="V269" t="n">
        <x:v>3</x:v>
      </x:c>
      <x:c r="W269" s="50" t="n">
        <x:f>IF(D269=0,"",H269/D269)</x:f>
        <x:v>0.019525801952580194</x:v>
      </x:c>
      <x:c r="X269" t="n">
        <x:f>MAX(I269:V269)</x:f>
        <x:v>404</x:v>
      </x:c>
      <x:c r="Y269" t="n">
        <x:f>H269-X269</x:f>
        <x:v>-390</x:v>
      </x:c>
      <x:c r="Z269" s="52" t="n">
        <x:f>IF(D269=0,"",(Y269)/D269)</x:f>
        <x:v>-0.5439330543933054</x:v>
      </x:c>
      <x:c r="AA269" t="str">
        <x:v>Dr. Mahesh Sharma</x:v>
      </x:c>
      <x:c r="AB269" t="n">
        <x:f>D269-E269-F269</x:f>
        <x:v>0</x:v>
      </x:c>
    </x:row>
    <x:row r="270">
      <x:c r="A270" t="n">
        <x:v>262</x:v>
      </x:c>
      <x:c r="B270" t="str">
        <x:v>2024 location: not supplied</x:v>
      </x:c>
      <x:c r="C270"/>
      <x:c r="D270" t="n">
        <x:v>685</x:v>
      </x:c>
      <x:c r="E270" t="n">
        <x:f>SUM(H270:V270)</x:f>
        <x:v>683</x:v>
      </x:c>
      <x:c r="F270" t="n">
        <x:v>2</x:v>
      </x:c>
      <x:c r="G270" s="50" t="str">
        <x:f>IF(C270="","",IFERROR(D270/C270,0))</x:f>
      </x:c>
      <x:c r="H270" s="36" t="n">
        <x:v>3</x:v>
      </x:c>
      <x:c r="I270" t="n">
        <x:v>330</x:v>
      </x:c>
      <x:c r="J270" t="n">
        <x:v>327</x:v>
      </x:c>
      <x:c r="K270" t="n">
        <x:v>0</x:v>
      </x:c>
      <x:c r="L270" t="n">
        <x:v>1</x:v>
      </x:c>
      <x:c r="M270" t="n">
        <x:v>0</x:v>
      </x:c>
      <x:c r="N270" t="n">
        <x:v>3</x:v>
      </x:c>
      <x:c r="O270" t="n">
        <x:v>1</x:v>
      </x:c>
      <x:c r="P270" t="n">
        <x:v>0</x:v>
      </x:c>
      <x:c r="Q270" t="n">
        <x:v>1</x:v>
      </x:c>
      <x:c r="R270" t="n">
        <x:v>0</x:v>
      </x:c>
      <x:c r="S270" t="n">
        <x:v>1</x:v>
      </x:c>
      <x:c r="T270" t="n">
        <x:v>3</x:v>
      </x:c>
      <x:c r="U270" t="n">
        <x:v>4</x:v>
      </x:c>
      <x:c r="V270" t="n">
        <x:v>9</x:v>
      </x:c>
      <x:c r="W270" s="50" t="n">
        <x:f>IF(D270=0,"",H270/D270)</x:f>
        <x:v>0.004379562043795621</x:v>
      </x:c>
      <x:c r="X270" t="n">
        <x:f>MAX(I270:V270)</x:f>
        <x:v>330</x:v>
      </x:c>
      <x:c r="Y270" t="n">
        <x:f>H270-X270</x:f>
        <x:v>-327</x:v>
      </x:c>
      <x:c r="Z270" s="52" t="n">
        <x:f>IF(D270=0,"",(Y270)/D270)</x:f>
        <x:v>-0.47737226277372263</x:v>
      </x:c>
      <x:c r="AA270" t="str">
        <x:v>Dr. Mahesh Sharma</x:v>
      </x:c>
      <x:c r="AB270" t="n">
        <x:f>D270-E270-F270</x:f>
        <x:v>0</x:v>
      </x:c>
    </x:row>
    <x:row r="271">
      <x:c r="A271" t="n">
        <x:v>263</x:v>
      </x:c>
      <x:c r="B271" t="str">
        <x:v>2024 location: not supplied</x:v>
      </x:c>
      <x:c r="C271"/>
      <x:c r="D271" t="n">
        <x:v>511</x:v>
      </x:c>
      <x:c r="E271" t="n">
        <x:f>SUM(H271:V271)</x:f>
        <x:v>509</x:v>
      </x:c>
      <x:c r="F271" t="n">
        <x:v>2</x:v>
      </x:c>
      <x:c r="G271" s="50" t="str">
        <x:f>IF(C271="","",IFERROR(D271/C271,0))</x:f>
      </x:c>
      <x:c r="H271" s="36" t="n">
        <x:v>35</x:v>
      </x:c>
      <x:c r="I271" t="n">
        <x:v>341</x:v>
      </x:c>
      <x:c r="J271" t="n">
        <x:v>127</x:v>
      </x:c>
      <x:c r="K271" t="n">
        <x:v>0</x:v>
      </x:c>
      <x:c r="L271" t="n">
        <x:v>1</x:v>
      </x:c>
      <x:c r="M271" t="n">
        <x:v>0</x:v>
      </x:c>
      <x:c r="N271" t="n">
        <x:v>1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1</x:v>
      </x:c>
      <x:c r="U271" t="n">
        <x:v>3</x:v>
      </x:c>
      <x:c r="V271" t="n">
        <x:v>0</x:v>
      </x:c>
      <x:c r="W271" s="50" t="n">
        <x:f>IF(D271=0,"",H271/D271)</x:f>
        <x:v>0.0684931506849315</x:v>
      </x:c>
      <x:c r="X271" t="n">
        <x:f>MAX(I271:V271)</x:f>
        <x:v>341</x:v>
      </x:c>
      <x:c r="Y271" t="n">
        <x:f>H271-X271</x:f>
        <x:v>-306</x:v>
      </x:c>
      <x:c r="Z271" s="52" t="n">
        <x:f>IF(D271=0,"",(Y271)/D271)</x:f>
        <x:v>-0.598825831702544</x:v>
      </x:c>
      <x:c r="AA271" t="str">
        <x:v>Dr. Mahesh Sharma</x:v>
      </x:c>
      <x:c r="AB271" t="n">
        <x:f>D271-E271-F271</x:f>
        <x:v>0</x:v>
      </x:c>
    </x:row>
    <x:row r="272">
      <x:c r="A272" t="n">
        <x:v>264</x:v>
      </x:c>
      <x:c r="B272" t="str">
        <x:v>2024 location: not supplied</x:v>
      </x:c>
      <x:c r="C272"/>
      <x:c r="D272" t="n">
        <x:v>542</x:v>
      </x:c>
      <x:c r="E272" t="n">
        <x:f>SUM(H272:V272)</x:f>
        <x:v>537</x:v>
      </x:c>
      <x:c r="F272" t="n">
        <x:v>5</x:v>
      </x:c>
      <x:c r="G272" s="50" t="str">
        <x:f>IF(C272="","",IFERROR(D272/C272,0))</x:f>
      </x:c>
      <x:c r="H272" s="36" t="n">
        <x:v>16</x:v>
      </x:c>
      <x:c r="I272" t="n">
        <x:v>350</x:v>
      </x:c>
      <x:c r="J272" t="n">
        <x:v>158</x:v>
      </x:c>
      <x:c r="K272" t="n">
        <x:v>2</x:v>
      </x:c>
      <x:c r="L272" t="n">
        <x:v>0</x:v>
      </x:c>
      <x:c r="M272" t="n">
        <x:v>1</x:v>
      </x:c>
      <x:c r="N272" t="n">
        <x:v>0</x:v>
      </x:c>
      <x:c r="O272" t="n">
        <x:v>0</x:v>
      </x:c>
      <x:c r="P272" t="n">
        <x:v>0</x:v>
      </x:c>
      <x:c r="Q272" t="n">
        <x:v>1</x:v>
      </x:c>
      <x:c r="R272" t="n">
        <x:v>2</x:v>
      </x:c>
      <x:c r="S272" t="n">
        <x:v>1</x:v>
      </x:c>
      <x:c r="T272" t="n">
        <x:v>3</x:v>
      </x:c>
      <x:c r="U272" t="n">
        <x:v>0</x:v>
      </x:c>
      <x:c r="V272" t="n">
        <x:v>3</x:v>
      </x:c>
      <x:c r="W272" s="50" t="n">
        <x:f>IF(D272=0,"",H272/D272)</x:f>
        <x:v>0.02952029520295203</x:v>
      </x:c>
      <x:c r="X272" t="n">
        <x:f>MAX(I272:V272)</x:f>
        <x:v>350</x:v>
      </x:c>
      <x:c r="Y272" t="n">
        <x:f>H272-X272</x:f>
        <x:v>-334</x:v>
      </x:c>
      <x:c r="Z272" s="52" t="n">
        <x:f>IF(D272=0,"",(Y272)/D272)</x:f>
        <x:v>-0.6162361623616236</x:v>
      </x:c>
      <x:c r="AA272" t="str">
        <x:v>Dr. Mahesh Sharma</x:v>
      </x:c>
      <x:c r="AB272" t="n">
        <x:f>D272-E272-F272</x:f>
        <x:v>0</x:v>
      </x:c>
    </x:row>
    <x:row r="273">
      <x:c r="A273" t="n">
        <x:v>265</x:v>
      </x:c>
      <x:c r="B273" t="str">
        <x:v>2024 location: not supplied</x:v>
      </x:c>
      <x:c r="C273"/>
      <x:c r="D273" t="n">
        <x:v>515</x:v>
      </x:c>
      <x:c r="E273" t="n">
        <x:f>SUM(H273:V273)</x:f>
        <x:v>513</x:v>
      </x:c>
      <x:c r="F273" t="n">
        <x:v>2</x:v>
      </x:c>
      <x:c r="G273" s="50" t="str">
        <x:f>IF(C273="","",IFERROR(D273/C273,0))</x:f>
      </x:c>
      <x:c r="H273" s="36" t="n">
        <x:v>19</x:v>
      </x:c>
      <x:c r="I273" t="n">
        <x:v>96</x:v>
      </x:c>
      <x:c r="J273" t="n">
        <x:v>382</x:v>
      </x:c>
      <x:c r="K273" t="n">
        <x:v>0</x:v>
      </x:c>
      <x:c r="L273" t="n">
        <x:v>3</x:v>
      </x:c>
      <x:c r="M273" t="n">
        <x:v>2</x:v>
      </x:c>
      <x:c r="N273" t="n">
        <x:v>3</x:v>
      </x:c>
      <x:c r="O273" t="n">
        <x:v>1</x:v>
      </x:c>
      <x:c r="P273" t="n">
        <x:v>1</x:v>
      </x:c>
      <x:c r="Q273" t="n">
        <x:v>0</x:v>
      </x:c>
      <x:c r="R273" t="n">
        <x:v>0</x:v>
      </x:c>
      <x:c r="S273" t="n">
        <x:v>0</x:v>
      </x:c>
      <x:c r="T273" t="n">
        <x:v>1</x:v>
      </x:c>
      <x:c r="U273" t="n">
        <x:v>4</x:v>
      </x:c>
      <x:c r="V273" t="n">
        <x:v>1</x:v>
      </x:c>
      <x:c r="W273" s="50" t="n">
        <x:f>IF(D273=0,"",H273/D273)</x:f>
        <x:v>0.036893203883495145</x:v>
      </x:c>
      <x:c r="X273" t="n">
        <x:f>MAX(I273:V273)</x:f>
        <x:v>382</x:v>
      </x:c>
      <x:c r="Y273" t="n">
        <x:f>H273-X273</x:f>
        <x:v>-363</x:v>
      </x:c>
      <x:c r="Z273" s="52" t="n">
        <x:f>IF(D273=0,"",(Y273)/D273)</x:f>
        <x:v>-0.7048543689320388</x:v>
      </x:c>
      <x:c r="AA273" t="str">
        <x:v>Rajendra Singh Solanki</x:v>
      </x:c>
      <x:c r="AB273" t="n">
        <x:f>D273-E273-F273</x:f>
        <x:v>0</x:v>
      </x:c>
    </x:row>
    <x:row r="274">
      <x:c r="A274" t="n">
        <x:v>266</x:v>
      </x:c>
      <x:c r="B274" t="str">
        <x:v>2024 location: not supplied</x:v>
      </x:c>
      <x:c r="C274"/>
      <x:c r="D274" t="n">
        <x:v>622</x:v>
      </x:c>
      <x:c r="E274" t="n">
        <x:f>SUM(H274:V274)</x:f>
        <x:v>621</x:v>
      </x:c>
      <x:c r="F274" t="n">
        <x:v>1</x:v>
      </x:c>
      <x:c r="G274" s="50" t="str">
        <x:f>IF(C274="","",IFERROR(D274/C274,0))</x:f>
      </x:c>
      <x:c r="H274" s="36" t="n">
        <x:v>8</x:v>
      </x:c>
      <x:c r="I274" t="n">
        <x:v>380</x:v>
      </x:c>
      <x:c r="J274" t="n">
        <x:v>227</x:v>
      </x:c>
      <x:c r="K274" t="n">
        <x:v>0</x:v>
      </x:c>
      <x:c r="L274" t="n">
        <x:v>2</x:v>
      </x:c>
      <x:c r="M274" t="n">
        <x:v>0</x:v>
      </x:c>
      <x:c r="N274" t="n">
        <x:v>1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1</x:v>
      </x:c>
      <x:c r="V274" t="n">
        <x:v>2</x:v>
      </x:c>
      <x:c r="W274" s="50" t="n">
        <x:f>IF(D274=0,"",H274/D274)</x:f>
        <x:v>0.012861736334405145</x:v>
      </x:c>
      <x:c r="X274" t="n">
        <x:f>MAX(I274:V274)</x:f>
        <x:v>380</x:v>
      </x:c>
      <x:c r="Y274" t="n">
        <x:f>H274-X274</x:f>
        <x:v>-372</x:v>
      </x:c>
      <x:c r="Z274" s="52" t="n">
        <x:f>IF(D274=0,"",(Y274)/D274)</x:f>
        <x:v>-0.5980707395498392</x:v>
      </x:c>
      <x:c r="AA274" t="str">
        <x:v>Dr. Mahesh Sharma</x:v>
      </x:c>
      <x:c r="AB274" t="n">
        <x:f>D274-E274-F274</x:f>
        <x:v>0</x:v>
      </x:c>
    </x:row>
    <x:row r="275">
      <x:c r="A275" t="n">
        <x:v>267</x:v>
      </x:c>
      <x:c r="B275" t="str">
        <x:v>2024 location: not supplied</x:v>
      </x:c>
      <x:c r="C275"/>
      <x:c r="D275" t="n">
        <x:v>420</x:v>
      </x:c>
      <x:c r="E275" t="n">
        <x:f>SUM(H275:V275)</x:f>
        <x:v>420</x:v>
      </x:c>
      <x:c r="F275" t="n">
        <x:v>0</x:v>
      </x:c>
      <x:c r="G275" s="50" t="str">
        <x:f>IF(C275="","",IFERROR(D275/C275,0))</x:f>
      </x:c>
      <x:c r="H275" s="36" t="n">
        <x:v>16</x:v>
      </x:c>
      <x:c r="I275" t="n">
        <x:v>249</x:v>
      </x:c>
      <x:c r="J275" t="n">
        <x:v>148</x:v>
      </x:c>
      <x:c r="K275" t="n">
        <x:v>0</x:v>
      </x:c>
      <x:c r="L275" t="n">
        <x:v>1</x:v>
      </x:c>
      <x:c r="M275" t="n">
        <x:v>0</x:v>
      </x:c>
      <x:c r="N275" t="n">
        <x:v>3</x:v>
      </x:c>
      <x:c r="O275" t="n">
        <x:v>1</x:v>
      </x:c>
      <x:c r="P275" t="n">
        <x:v>0</x:v>
      </x:c>
      <x:c r="Q275" t="n">
        <x:v>0</x:v>
      </x:c>
      <x:c r="R275" t="n">
        <x:v>1</x:v>
      </x:c>
      <x:c r="S275" t="n">
        <x:v>0</x:v>
      </x:c>
      <x:c r="T275" t="n">
        <x:v>0</x:v>
      </x:c>
      <x:c r="U275" t="n">
        <x:v>1</x:v>
      </x:c>
      <x:c r="V275" t="n">
        <x:v>0</x:v>
      </x:c>
      <x:c r="W275" s="50" t="n">
        <x:f>IF(D275=0,"",H275/D275)</x:f>
        <x:v>0.0380952380952381</x:v>
      </x:c>
      <x:c r="X275" t="n">
        <x:f>MAX(I275:V275)</x:f>
        <x:v>249</x:v>
      </x:c>
      <x:c r="Y275" t="n">
        <x:f>H275-X275</x:f>
        <x:v>-233</x:v>
      </x:c>
      <x:c r="Z275" s="52" t="n">
        <x:f>IF(D275=0,"",(Y275)/D275)</x:f>
        <x:v>-0.5547619047619048</x:v>
      </x:c>
      <x:c r="AA275" t="str">
        <x:v>Dr. Mahesh Sharma</x:v>
      </x:c>
      <x:c r="AB275" t="n">
        <x:f>D275-E275-F275</x:f>
        <x:v>0</x:v>
      </x:c>
    </x:row>
    <x:row r="276">
      <x:c r="A276" t="n">
        <x:v>268</x:v>
      </x:c>
      <x:c r="B276" t="str">
        <x:v>2024 location: not supplied</x:v>
      </x:c>
      <x:c r="C276"/>
      <x:c r="D276" t="n">
        <x:v>715</x:v>
      </x:c>
      <x:c r="E276" t="n">
        <x:f>SUM(H276:V276)</x:f>
        <x:v>715</x:v>
      </x:c>
      <x:c r="F276" t="n">
        <x:v>0</x:v>
      </x:c>
      <x:c r="G276" s="50" t="str">
        <x:f>IF(C276="","",IFERROR(D276/C276,0))</x:f>
      </x:c>
      <x:c r="H276" s="36" t="n">
        <x:v>5</x:v>
      </x:c>
      <x:c r="I276" t="n">
        <x:v>174</x:v>
      </x:c>
      <x:c r="J276" t="n">
        <x:v>515</x:v>
      </x:c>
      <x:c r="K276" t="n">
        <x:v>0</x:v>
      </x:c>
      <x:c r="L276" t="n">
        <x:v>7</x:v>
      </x:c>
      <x:c r="M276" t="n">
        <x:v>0</x:v>
      </x:c>
      <x:c r="N276" t="n">
        <x:v>0</x:v>
      </x:c>
      <x:c r="O276" t="n">
        <x:v>1</x:v>
      </x:c>
      <x:c r="P276" t="n">
        <x:v>1</x:v>
      </x:c>
      <x:c r="Q276" t="n">
        <x:v>1</x:v>
      </x:c>
      <x:c r="R276" t="n">
        <x:v>0</x:v>
      </x:c>
      <x:c r="S276" t="n">
        <x:v>0</x:v>
      </x:c>
      <x:c r="T276" t="n">
        <x:v>1</x:v>
      </x:c>
      <x:c r="U276" t="n">
        <x:v>9</x:v>
      </x:c>
      <x:c r="V276" t="n">
        <x:v>1</x:v>
      </x:c>
      <x:c r="W276" s="50" t="n">
        <x:f>IF(D276=0,"",H276/D276)</x:f>
        <x:v>0.006993006993006993</x:v>
      </x:c>
      <x:c r="X276" t="n">
        <x:f>MAX(I276:V276)</x:f>
        <x:v>515</x:v>
      </x:c>
      <x:c r="Y276" t="n">
        <x:f>H276-X276</x:f>
        <x:v>-510</x:v>
      </x:c>
      <x:c r="Z276" s="52" t="n">
        <x:f>IF(D276=0,"",(Y276)/D276)</x:f>
        <x:v>-0.7132867132867133</x:v>
      </x:c>
      <x:c r="AA276" t="str">
        <x:v>Rajendra Singh Solanki</x:v>
      </x:c>
      <x:c r="AB276" t="n">
        <x:f>D276-E276-F276</x:f>
        <x:v>0</x:v>
      </x:c>
    </x:row>
    <x:row r="277">
      <x:c r="A277" t="n">
        <x:v>269</x:v>
      </x:c>
      <x:c r="B277" t="str">
        <x:v>2024 location: not supplied</x:v>
      </x:c>
      <x:c r="C277"/>
      <x:c r="D277" t="n">
        <x:v>465</x:v>
      </x:c>
      <x:c r="E277" t="n">
        <x:f>SUM(H277:V277)</x:f>
        <x:v>464</x:v>
      </x:c>
      <x:c r="F277" t="n">
        <x:v>1</x:v>
      </x:c>
      <x:c r="G277" s="50" t="str">
        <x:f>IF(C277="","",IFERROR(D277/C277,0))</x:f>
      </x:c>
      <x:c r="H277" s="36" t="n">
        <x:v>8</x:v>
      </x:c>
      <x:c r="I277" t="n">
        <x:v>293</x:v>
      </x:c>
      <x:c r="J277" t="n">
        <x:v>152</x:v>
      </x:c>
      <x:c r="K277" t="n">
        <x:v>0</x:v>
      </x:c>
      <x:c r="L277" t="n">
        <x:v>0</x:v>
      </x:c>
      <x:c r="M277" t="n">
        <x:v>0</x:v>
      </x:c>
      <x:c r="N277" t="n">
        <x:v>1</x:v>
      </x:c>
      <x:c r="O277" t="n">
        <x:v>0</x:v>
      </x:c>
      <x:c r="P277" t="n">
        <x:v>2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2</x:v>
      </x:c>
      <x:c r="V277" t="n">
        <x:v>6</x:v>
      </x:c>
      <x:c r="W277" s="50" t="n">
        <x:f>IF(D277=0,"",H277/D277)</x:f>
        <x:v>0.017204301075268817</x:v>
      </x:c>
      <x:c r="X277" t="n">
        <x:f>MAX(I277:V277)</x:f>
        <x:v>293</x:v>
      </x:c>
      <x:c r="Y277" t="n">
        <x:f>H277-X277</x:f>
        <x:v>-285</x:v>
      </x:c>
      <x:c r="Z277" s="52" t="n">
        <x:f>IF(D277=0,"",(Y277)/D277)</x:f>
        <x:v>-0.6129032258064516</x:v>
      </x:c>
      <x:c r="AA277" t="str">
        <x:v>Dr. Mahesh Sharma</x:v>
      </x:c>
      <x:c r="AB277" t="n">
        <x:f>D277-E277-F277</x:f>
        <x:v>0</x:v>
      </x:c>
    </x:row>
    <x:row r="278">
      <x:c r="A278" t="n">
        <x:v>270</x:v>
      </x:c>
      <x:c r="B278" t="str">
        <x:v>2024 location: not supplied</x:v>
      </x:c>
      <x:c r="C278"/>
      <x:c r="D278" t="n">
        <x:v>695</x:v>
      </x:c>
      <x:c r="E278" t="n">
        <x:f>SUM(H278:V278)</x:f>
        <x:v>695</x:v>
      </x:c>
      <x:c r="F278" t="n">
        <x:v>0</x:v>
      </x:c>
      <x:c r="G278" s="50" t="str">
        <x:f>IF(C278="","",IFERROR(D278/C278,0))</x:f>
      </x:c>
      <x:c r="H278" s="36" t="n">
        <x:v>6</x:v>
      </x:c>
      <x:c r="I278" t="n">
        <x:v>363</x:v>
      </x:c>
      <x:c r="J278" t="n">
        <x:v>315</x:v>
      </x:c>
      <x:c r="K278" t="n">
        <x:v>0</x:v>
      </x:c>
      <x:c r="L278" t="n">
        <x:v>3</x:v>
      </x:c>
      <x:c r="M278" t="n">
        <x:v>0</x:v>
      </x:c>
      <x:c r="N278" t="n">
        <x:v>4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3</x:v>
      </x:c>
      <x:c r="V278" t="n">
        <x:v>1</x:v>
      </x:c>
      <x:c r="W278" s="50" t="n">
        <x:f>IF(D278=0,"",H278/D278)</x:f>
        <x:v>0.008633093525179856</x:v>
      </x:c>
      <x:c r="X278" t="n">
        <x:f>MAX(I278:V278)</x:f>
        <x:v>363</x:v>
      </x:c>
      <x:c r="Y278" t="n">
        <x:f>H278-X278</x:f>
        <x:v>-357</x:v>
      </x:c>
      <x:c r="Z278" s="52" t="n">
        <x:f>IF(D278=0,"",(Y278)/D278)</x:f>
        <x:v>-0.5136690647482014</x:v>
      </x:c>
      <x:c r="AA278" t="str">
        <x:v>Dr. Mahesh Sharma</x:v>
      </x:c>
      <x:c r="AB278" t="n">
        <x:f>D278-E278-F278</x:f>
        <x:v>0</x:v>
      </x:c>
    </x:row>
    <x:row r="279">
      <x:c r="A279" t="n">
        <x:v>271</x:v>
      </x:c>
      <x:c r="B279" t="str">
        <x:v>2024 location: not supplied</x:v>
      </x:c>
      <x:c r="C279"/>
      <x:c r="D279" t="n">
        <x:v>503</x:v>
      </x:c>
      <x:c r="E279" t="n">
        <x:f>SUM(H279:V279)</x:f>
        <x:v>501</x:v>
      </x:c>
      <x:c r="F279" t="n">
        <x:v>2</x:v>
      </x:c>
      <x:c r="G279" s="50" t="str">
        <x:f>IF(C279="","",IFERROR(D279/C279,0))</x:f>
      </x:c>
      <x:c r="H279" s="36" t="n">
        <x:v>2</x:v>
      </x:c>
      <x:c r="I279" t="n">
        <x:v>381</x:v>
      </x:c>
      <x:c r="J279" t="n">
        <x:v>110</x:v>
      </x:c>
      <x:c r="K279" t="n">
        <x:v>0</x:v>
      </x:c>
      <x:c r="L279" t="n">
        <x:v>1</x:v>
      </x:c>
      <x:c r="M279" t="n">
        <x:v>0</x:v>
      </x:c>
      <x:c r="N279" t="n">
        <x:v>3</x:v>
      </x:c>
      <x:c r="O279" t="n">
        <x:v>1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1</x:v>
      </x:c>
      <x:c r="U279" t="n">
        <x:v>0</x:v>
      </x:c>
      <x:c r="V279" t="n">
        <x:v>2</x:v>
      </x:c>
      <x:c r="W279" s="50" t="n">
        <x:f>IF(D279=0,"",H279/D279)</x:f>
        <x:v>0.003976143141153081</x:v>
      </x:c>
      <x:c r="X279" t="n">
        <x:f>MAX(I279:V279)</x:f>
        <x:v>381</x:v>
      </x:c>
      <x:c r="Y279" t="n">
        <x:f>H279-X279</x:f>
        <x:v>-379</x:v>
      </x:c>
      <x:c r="Z279" s="52" t="n">
        <x:f>IF(D279=0,"",(Y279)/D279)</x:f>
        <x:v>-0.7534791252485089</x:v>
      </x:c>
      <x:c r="AA279" t="str">
        <x:v>Dr. Mahesh Sharma</x:v>
      </x:c>
      <x:c r="AB279" t="n">
        <x:f>D279-E279-F279</x:f>
        <x:v>0</x:v>
      </x:c>
    </x:row>
    <x:row r="280">
      <x:c r="A280" t="n">
        <x:v>272</x:v>
      </x:c>
      <x:c r="B280" t="str">
        <x:v>2024 location: not supplied</x:v>
      </x:c>
      <x:c r="C280"/>
      <x:c r="D280" t="n">
        <x:v>741</x:v>
      </x:c>
      <x:c r="E280" t="n">
        <x:f>SUM(H280:V280)</x:f>
        <x:v>741</x:v>
      </x:c>
      <x:c r="F280" t="n">
        <x:v>0</x:v>
      </x:c>
      <x:c r="G280" s="50" t="str">
        <x:f>IF(C280="","",IFERROR(D280/C280,0))</x:f>
      </x:c>
      <x:c r="H280" s="36" t="n">
        <x:v>14</x:v>
      </x:c>
      <x:c r="I280" t="n">
        <x:v>553</x:v>
      </x:c>
      <x:c r="J280" t="n">
        <x:v>167</x:v>
      </x:c>
      <x:c r="K280" t="n">
        <x:v>1</x:v>
      </x:c>
      <x:c r="L280" t="n">
        <x:v>1</x:v>
      </x:c>
      <x:c r="M280" t="n">
        <x:v>0</x:v>
      </x:c>
      <x:c r="N280" t="n">
        <x:v>2</x:v>
      </x:c>
      <x:c r="O280" t="n">
        <x:v>0</x:v>
      </x:c>
      <x:c r="P280" t="n">
        <x:v>1</x:v>
      </x:c>
      <x:c r="Q280" t="n">
        <x:v>2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s="50" t="n">
        <x:f>IF(D280=0,"",H280/D280)</x:f>
        <x:v>0.018893387314439947</x:v>
      </x:c>
      <x:c r="X280" t="n">
        <x:f>MAX(I280:V280)</x:f>
        <x:v>553</x:v>
      </x:c>
      <x:c r="Y280" t="n">
        <x:f>H280-X280</x:f>
        <x:v>-539</x:v>
      </x:c>
      <x:c r="Z280" s="52" t="n">
        <x:f>IF(D280=0,"",(Y280)/D280)</x:f>
        <x:v>-0.7273954116059379</x:v>
      </x:c>
      <x:c r="AA280" t="str">
        <x:v>Dr. Mahesh Sharma</x:v>
      </x:c>
      <x:c r="AB280" t="n">
        <x:f>D280-E280-F280</x:f>
        <x:v>0</x:v>
      </x:c>
    </x:row>
    <x:row r="281">
      <x:c r="A281" t="n">
        <x:v>273</x:v>
      </x:c>
      <x:c r="B281" t="str">
        <x:v>2024 location: not supplied</x:v>
      </x:c>
      <x:c r="C281"/>
      <x:c r="D281" t="n">
        <x:v>477</x:v>
      </x:c>
      <x:c r="E281" t="n">
        <x:f>SUM(H281:V281)</x:f>
        <x:v>477</x:v>
      </x:c>
      <x:c r="F281" t="n">
        <x:v>0</x:v>
      </x:c>
      <x:c r="G281" s="50" t="str">
        <x:f>IF(C281="","",IFERROR(D281/C281,0))</x:f>
      </x:c>
      <x:c r="H281" s="36" t="n">
        <x:v>151</x:v>
      </x:c>
      <x:c r="I281" t="n">
        <x:v>29</x:v>
      </x:c>
      <x:c r="J281" t="n">
        <x:v>289</x:v>
      </x:c>
      <x:c r="K281" t="n">
        <x:v>0</x:v>
      </x:c>
      <x:c r="L281" t="n">
        <x:v>2</x:v>
      </x:c>
      <x:c r="M281" t="n">
        <x:v>0</x:v>
      </x:c>
      <x:c r="N281" t="n">
        <x:v>0</x:v>
      </x:c>
      <x:c r="O281" t="n">
        <x:v>1</x:v>
      </x:c>
      <x:c r="P281" t="n">
        <x:v>2</x:v>
      </x:c>
      <x:c r="Q281" t="n">
        <x:v>0</x:v>
      </x:c>
      <x:c r="R281" t="n">
        <x:v>1</x:v>
      </x:c>
      <x:c r="S281" t="n">
        <x:v>0</x:v>
      </x:c>
      <x:c r="T281" t="n">
        <x:v>1</x:v>
      </x:c>
      <x:c r="U281" t="n">
        <x:v>1</x:v>
      </x:c>
      <x:c r="V281" t="n">
        <x:v>0</x:v>
      </x:c>
      <x:c r="W281" s="50" t="n">
        <x:f>IF(D281=0,"",H281/D281)</x:f>
        <x:v>0.3165618448637317</x:v>
      </x:c>
      <x:c r="X281" t="n">
        <x:f>MAX(I281:V281)</x:f>
        <x:v>289</x:v>
      </x:c>
      <x:c r="Y281" t="n">
        <x:f>H281-X281</x:f>
        <x:v>-138</x:v>
      </x:c>
      <x:c r="Z281" s="52" t="n">
        <x:f>IF(D281=0,"",(Y281)/D281)</x:f>
        <x:v>-0.2893081761006289</x:v>
      </x:c>
      <x:c r="AA281" t="str">
        <x:v>Rajendra Singh Solanki</x:v>
      </x:c>
      <x:c r="AB281" t="n">
        <x:f>D281-E281-F281</x:f>
        <x:v>0</x:v>
      </x:c>
    </x:row>
    <x:row r="282">
      <x:c r="A282" t="n">
        <x:v>274</x:v>
      </x:c>
      <x:c r="B282" t="str">
        <x:v>2024 location: not supplied</x:v>
      </x:c>
      <x:c r="C282"/>
      <x:c r="D282" t="n">
        <x:v>715</x:v>
      </x:c>
      <x:c r="E282" t="n">
        <x:f>SUM(H282:V282)</x:f>
        <x:v>711</x:v>
      </x:c>
      <x:c r="F282" t="n">
        <x:v>4</x:v>
      </x:c>
      <x:c r="G282" s="50" t="str">
        <x:f>IF(C282="","",IFERROR(D282/C282,0))</x:f>
      </x:c>
      <x:c r="H282" s="36" t="n">
        <x:v>377</x:v>
      </x:c>
      <x:c r="I282" t="n">
        <x:v>40</x:v>
      </x:c>
      <x:c r="J282" t="n">
        <x:v>272</x:v>
      </x:c>
      <x:c r="K282" t="n">
        <x:v>1</x:v>
      </x:c>
      <x:c r="L282" t="n">
        <x:v>1</x:v>
      </x:c>
      <x:c r="M282" t="n">
        <x:v>0</x:v>
      </x:c>
      <x:c r="N282" t="n">
        <x:v>1</x:v>
      </x:c>
      <x:c r="O282" t="n">
        <x:v>0</x:v>
      </x:c>
      <x:c r="P282" t="n">
        <x:v>3</x:v>
      </x:c>
      <x:c r="Q282" t="n">
        <x:v>2</x:v>
      </x:c>
      <x:c r="R282" t="n">
        <x:v>1</x:v>
      </x:c>
      <x:c r="S282" t="n">
        <x:v>3</x:v>
      </x:c>
      <x:c r="T282" t="n">
        <x:v>2</x:v>
      </x:c>
      <x:c r="U282" t="n">
        <x:v>5</x:v>
      </x:c>
      <x:c r="V282" t="n">
        <x:v>3</x:v>
      </x:c>
      <x:c r="W282" s="50" t="n">
        <x:f>IF(D282=0,"",H282/D282)</x:f>
        <x:v>0.5272727272727272</x:v>
      </x:c>
      <x:c r="X282" t="n">
        <x:f>MAX(I282:V282)</x:f>
        <x:v>272</x:v>
      </x:c>
      <x:c r="Y282" t="n">
        <x:f>H282-X282</x:f>
        <x:v>105</x:v>
      </x:c>
      <x:c r="Z282" s="52" t="n">
        <x:f>IF(D282=0,"",(Y282)/D282)</x:f>
        <x:v>0.14685314685314685</x:v>
      </x:c>
      <x:c r="AA282" t="str">
        <x:v>Dr. Mahendra Singh Nagar</x:v>
      </x:c>
      <x:c r="AB282" t="n">
        <x:f>D282-E282-F282</x:f>
        <x:v>0</x:v>
      </x:c>
    </x:row>
    <x:row r="283">
      <x:c r="A283" t="n">
        <x:v>275</x:v>
      </x:c>
      <x:c r="B283" t="str">
        <x:v>2024 location: not supplied</x:v>
      </x:c>
      <x:c r="C283"/>
      <x:c r="D283" t="n">
        <x:v>544</x:v>
      </x:c>
      <x:c r="E283" t="n">
        <x:f>SUM(H283:V283)</x:f>
        <x:v>538</x:v>
      </x:c>
      <x:c r="F283" t="n">
        <x:v>6</x:v>
      </x:c>
      <x:c r="G283" s="50" t="str">
        <x:f>IF(C283="","",IFERROR(D283/C283,0))</x:f>
      </x:c>
      <x:c r="H283" s="36" t="n">
        <x:v>299</x:v>
      </x:c>
      <x:c r="I283" t="n">
        <x:v>53</x:v>
      </x:c>
      <x:c r="J283" t="n">
        <x:v>170</x:v>
      </x:c>
      <x:c r="K283" t="n">
        <x:v>0</x:v>
      </x:c>
      <x:c r="L283" t="n">
        <x:v>1</x:v>
      </x:c>
      <x:c r="M283" t="n">
        <x:v>2</x:v>
      </x:c>
      <x:c r="N283" t="n">
        <x:v>1</x:v>
      </x:c>
      <x:c r="O283" t="n">
        <x:v>1</x:v>
      </x:c>
      <x:c r="P283" t="n">
        <x:v>4</x:v>
      </x:c>
      <x:c r="Q283" t="n">
        <x:v>1</x:v>
      </x:c>
      <x:c r="R283" t="n">
        <x:v>2</x:v>
      </x:c>
      <x:c r="S283" t="n">
        <x:v>1</x:v>
      </x:c>
      <x:c r="T283" t="n">
        <x:v>0</x:v>
      </x:c>
      <x:c r="U283" t="n">
        <x:v>3</x:v>
      </x:c>
      <x:c r="V283" t="n">
        <x:v>0</x:v>
      </x:c>
      <x:c r="W283" s="50" t="n">
        <x:f>IF(D283=0,"",H283/D283)</x:f>
        <x:v>0.5496323529411765</x:v>
      </x:c>
      <x:c r="X283" t="n">
        <x:f>MAX(I283:V283)</x:f>
        <x:v>170</x:v>
      </x:c>
      <x:c r="Y283" t="n">
        <x:f>H283-X283</x:f>
        <x:v>129</x:v>
      </x:c>
      <x:c r="Z283" s="52" t="n">
        <x:f>IF(D283=0,"",(Y283)/D283)</x:f>
        <x:v>0.23713235294117646</x:v>
      </x:c>
      <x:c r="AA283" t="str">
        <x:v>Dr. Mahendra Singh Nagar</x:v>
      </x:c>
      <x:c r="AB283" t="n">
        <x:f>D283-E283-F283</x:f>
        <x:v>0</x:v>
      </x:c>
    </x:row>
    <x:row r="284">
      <x:c r="A284" t="n">
        <x:v>276</x:v>
      </x:c>
      <x:c r="B284" t="str">
        <x:v>2024 location: not supplied</x:v>
      </x:c>
      <x:c r="C284"/>
      <x:c r="D284" t="n">
        <x:v>529</x:v>
      </x:c>
      <x:c r="E284" t="n">
        <x:f>SUM(H284:V284)</x:f>
        <x:v>527</x:v>
      </x:c>
      <x:c r="F284" t="n">
        <x:v>2</x:v>
      </x:c>
      <x:c r="G284" s="50" t="str">
        <x:f>IF(C284="","",IFERROR(D284/C284,0))</x:f>
      </x:c>
      <x:c r="H284" s="36" t="n">
        <x:v>5</x:v>
      </x:c>
      <x:c r="I284" t="n">
        <x:v>268</x:v>
      </x:c>
      <x:c r="J284" t="n">
        <x:v>246</x:v>
      </x:c>
      <x:c r="K284" t="n">
        <x:v>0</x:v>
      </x:c>
      <x:c r="L284" t="n">
        <x:v>0</x:v>
      </x:c>
      <x:c r="M284" t="n">
        <x:v>0</x:v>
      </x:c>
      <x:c r="N284" t="n">
        <x:v>5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1</x:v>
      </x:c>
      <x:c r="U284" t="n">
        <x:v>2</x:v>
      </x:c>
      <x:c r="V284" t="n">
        <x:v>0</x:v>
      </x:c>
      <x:c r="W284" s="50" t="n">
        <x:f>IF(D284=0,"",H284/D284)</x:f>
        <x:v>0.00945179584120983</x:v>
      </x:c>
      <x:c r="X284" t="n">
        <x:f>MAX(I284:V284)</x:f>
        <x:v>268</x:v>
      </x:c>
      <x:c r="Y284" t="n">
        <x:f>H284-X284</x:f>
        <x:v>-263</x:v>
      </x:c>
      <x:c r="Z284" s="52" t="n">
        <x:f>IF(D284=0,"",(Y284)/D284)</x:f>
        <x:v>-0.497164461247637</x:v>
      </x:c>
      <x:c r="AA284" t="str">
        <x:v>Dr. Mahesh Sharma</x:v>
      </x:c>
      <x:c r="AB284" t="n">
        <x:f>D284-E284-F284</x:f>
        <x:v>0</x:v>
      </x:c>
    </x:row>
    <x:row r="285">
      <x:c r="A285" t="n">
        <x:v>277</x:v>
      </x:c>
      <x:c r="B285" t="str">
        <x:v>2024 location: not supplied</x:v>
      </x:c>
      <x:c r="C285"/>
      <x:c r="D285" t="n">
        <x:v>450</x:v>
      </x:c>
      <x:c r="E285" t="n">
        <x:f>SUM(H285:V285)</x:f>
        <x:v>449</x:v>
      </x:c>
      <x:c r="F285" t="n">
        <x:v>1</x:v>
      </x:c>
      <x:c r="G285" s="50" t="str">
        <x:f>IF(C285="","",IFERROR(D285/C285,0))</x:f>
      </x:c>
      <x:c r="H285" s="36" t="n">
        <x:v>15</x:v>
      </x:c>
      <x:c r="I285" t="n">
        <x:v>402</x:v>
      </x:c>
      <x:c r="J285" t="n">
        <x:v>26</x:v>
      </x:c>
      <x:c r="K285" t="n">
        <x:v>0</x:v>
      </x:c>
      <x:c r="L285" t="n">
        <x:v>1</x:v>
      </x:c>
      <x:c r="M285" t="n">
        <x:v>0</x:v>
      </x:c>
      <x:c r="N285" t="n">
        <x:v>3</x:v>
      </x:c>
      <x:c r="O285" t="n">
        <x:v>0</x:v>
      </x:c>
      <x:c r="P285" t="n">
        <x:v>0</x:v>
      </x:c>
      <x:c r="Q285" t="n">
        <x:v>1</x:v>
      </x:c>
      <x:c r="R285" t="n">
        <x:v>0</x:v>
      </x:c>
      <x:c r="S285" t="n">
        <x:v>0</x:v>
      </x:c>
      <x:c r="T285" t="n">
        <x:v>0</x:v>
      </x:c>
      <x:c r="U285" t="n">
        <x:v>1</x:v>
      </x:c>
      <x:c r="V285" t="n">
        <x:v>0</x:v>
      </x:c>
      <x:c r="W285" s="50" t="n">
        <x:f>IF(D285=0,"",H285/D285)</x:f>
        <x:v>0.03333333333333333</x:v>
      </x:c>
      <x:c r="X285" t="n">
        <x:f>MAX(I285:V285)</x:f>
        <x:v>402</x:v>
      </x:c>
      <x:c r="Y285" t="n">
        <x:f>H285-X285</x:f>
        <x:v>-387</x:v>
      </x:c>
      <x:c r="Z285" s="52" t="n">
        <x:f>IF(D285=0,"",(Y285)/D285)</x:f>
        <x:v>-0.86</x:v>
      </x:c>
      <x:c r="AA285" t="str">
        <x:v>Dr. Mahesh Sharma</x:v>
      </x:c>
      <x:c r="AB285" t="n">
        <x:f>D285-E285-F285</x:f>
        <x:v>0</x:v>
      </x:c>
    </x:row>
    <x:row r="286">
      <x:c r="A286" t="n">
        <x:v>278</x:v>
      </x:c>
      <x:c r="B286" t="str">
        <x:v>2024 location: not supplied</x:v>
      </x:c>
      <x:c r="C286"/>
      <x:c r="D286" t="n">
        <x:v>95</x:v>
      </x:c>
      <x:c r="E286" t="n">
        <x:f>SUM(H286:V286)</x:f>
        <x:v>94</x:v>
      </x:c>
      <x:c r="F286" t="n">
        <x:v>1</x:v>
      </x:c>
      <x:c r="G286" s="50" t="str">
        <x:f>IF(C286="","",IFERROR(D286/C286,0))</x:f>
      </x:c>
      <x:c r="H286" s="36" t="n">
        <x:v>9</x:v>
      </x:c>
      <x:c r="I286" t="n">
        <x:v>82</x:v>
      </x:c>
      <x:c r="J286" t="n">
        <x:v>2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1</x:v>
      </x:c>
      <x:c r="W286" s="50" t="n">
        <x:f>IF(D286=0,"",H286/D286)</x:f>
        <x:v>0.09473684210526316</x:v>
      </x:c>
      <x:c r="X286" t="n">
        <x:f>MAX(I286:V286)</x:f>
        <x:v>82</x:v>
      </x:c>
      <x:c r="Y286" t="n">
        <x:f>H286-X286</x:f>
        <x:v>-73</x:v>
      </x:c>
      <x:c r="Z286" s="52" t="n">
        <x:f>IF(D286=0,"",(Y286)/D286)</x:f>
        <x:v>-0.7684210526315789</x:v>
      </x:c>
      <x:c r="AA286" t="str">
        <x:v>Dr. Mahesh Sharma</x:v>
      </x:c>
      <x:c r="AB286" t="n">
        <x:f>D286-E286-F286</x:f>
        <x:v>0</x:v>
      </x:c>
    </x:row>
    <x:row r="287">
      <x:c r="A287" t="n">
        <x:v>279</x:v>
      </x:c>
      <x:c r="B287" t="str">
        <x:v>2024 location: not supplied</x:v>
      </x:c>
      <x:c r="C287"/>
      <x:c r="D287" t="n">
        <x:v>43</x:v>
      </x:c>
      <x:c r="E287" t="n">
        <x:f>SUM(H287:V287)</x:f>
        <x:v>43</x:v>
      </x:c>
      <x:c r="F287" t="n">
        <x:v>0</x:v>
      </x:c>
      <x:c r="G287" s="50" t="str">
        <x:f>IF(C287="","",IFERROR(D287/C287,0))</x:f>
      </x:c>
      <x:c r="H287" s="36" t="n">
        <x:v>1</x:v>
      </x:c>
      <x:c r="I287" t="n">
        <x:v>42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s="50" t="n">
        <x:f>IF(D287=0,"",H287/D287)</x:f>
        <x:v>0.023255813953488372</x:v>
      </x:c>
      <x:c r="X287" t="n">
        <x:f>MAX(I287:V287)</x:f>
        <x:v>42</x:v>
      </x:c>
      <x:c r="Y287" t="n">
        <x:f>H287-X287</x:f>
        <x:v>-41</x:v>
      </x:c>
      <x:c r="Z287" s="52" t="n">
        <x:f>IF(D287=0,"",(Y287)/D287)</x:f>
        <x:v>-0.9534883720930233</x:v>
      </x:c>
      <x:c r="AA287" t="str">
        <x:v>Dr. Mahesh Sharma</x:v>
      </x:c>
      <x:c r="AB287" t="n">
        <x:f>D287-E287-F287</x:f>
        <x:v>0</x:v>
      </x:c>
    </x:row>
    <x:row r="288">
      <x:c r="A288" t="n">
        <x:v>280</x:v>
      </x:c>
      <x:c r="B288" t="str">
        <x:v>2024 location: not supplied</x:v>
      </x:c>
      <x:c r="C288"/>
      <x:c r="D288" t="n">
        <x:v>110</x:v>
      </x:c>
      <x:c r="E288" t="n">
        <x:f>SUM(H288:V288)</x:f>
        <x:v>109</x:v>
      </x:c>
      <x:c r="F288" t="n">
        <x:v>1</x:v>
      </x:c>
      <x:c r="G288" s="50" t="str">
        <x:f>IF(C288="","",IFERROR(D288/C288,0))</x:f>
      </x:c>
      <x:c r="H288" s="36" t="n">
        <x:v>3</x:v>
      </x:c>
      <x:c r="I288" t="n">
        <x:v>86</x:v>
      </x:c>
      <x:c r="J288" t="n">
        <x:v>18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1</x:v>
      </x:c>
      <x:c r="U288" t="n">
        <x:v>1</x:v>
      </x:c>
      <x:c r="V288" t="n">
        <x:v>0</x:v>
      </x:c>
      <x:c r="W288" s="50" t="n">
        <x:f>IF(D288=0,"",H288/D288)</x:f>
        <x:v>0.02727272727272727</x:v>
      </x:c>
      <x:c r="X288" t="n">
        <x:f>MAX(I288:V288)</x:f>
        <x:v>86</x:v>
      </x:c>
      <x:c r="Y288" t="n">
        <x:f>H288-X288</x:f>
        <x:v>-83</x:v>
      </x:c>
      <x:c r="Z288" s="52" t="n">
        <x:f>IF(D288=0,"",(Y288)/D288)</x:f>
        <x:v>-0.7545454545454545</x:v>
      </x:c>
      <x:c r="AA288" t="str">
        <x:v>Dr. Mahesh Sharma</x:v>
      </x:c>
      <x:c r="AB288" t="n">
        <x:f>D288-E288-F288</x:f>
        <x:v>0</x:v>
      </x:c>
    </x:row>
    <x:row r="289">
      <x:c r="A289" t="n">
        <x:v>281</x:v>
      </x:c>
      <x:c r="B289" t="str">
        <x:v>2024 location: not supplied</x:v>
      </x:c>
      <x:c r="C289"/>
      <x:c r="D289" t="n">
        <x:v>56</x:v>
      </x:c>
      <x:c r="E289" t="n">
        <x:f>SUM(H289:V289)</x:f>
        <x:v>56</x:v>
      </x:c>
      <x:c r="F289" t="n">
        <x:v>0</x:v>
      </x:c>
      <x:c r="G289" s="50" t="str">
        <x:f>IF(C289="","",IFERROR(D289/C289,0))</x:f>
      </x:c>
      <x:c r="H289" s="36" t="n">
        <x:v>0</x:v>
      </x:c>
      <x:c r="I289" t="n">
        <x:v>35</x:v>
      </x:c>
      <x:c r="J289" t="n">
        <x:v>21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s="50" t="n">
        <x:f>IF(D289=0,"",H289/D289)</x:f>
        <x:v>0</x:v>
      </x:c>
      <x:c r="X289" t="n">
        <x:f>MAX(I289:V289)</x:f>
        <x:v>35</x:v>
      </x:c>
      <x:c r="Y289" t="n">
        <x:f>H289-X289</x:f>
        <x:v>-35</x:v>
      </x:c>
      <x:c r="Z289" s="52" t="n">
        <x:f>IF(D289=0,"",(Y289)/D289)</x:f>
        <x:v>-0.625</x:v>
      </x:c>
      <x:c r="AA289" t="str">
        <x:v>Dr. Mahesh Sharma</x:v>
      </x:c>
      <x:c r="AB289" t="n">
        <x:f>D289-E289-F289</x:f>
        <x:v>0</x:v>
      </x:c>
    </x:row>
    <x:row r="290">
      <x:c r="A290" t="n">
        <x:v>282</x:v>
      </x:c>
      <x:c r="B290" t="str">
        <x:v>2024 location: not supplied</x:v>
      </x:c>
      <x:c r="C290"/>
      <x:c r="D290" t="n">
        <x:v>515</x:v>
      </x:c>
      <x:c r="E290" t="n">
        <x:f>SUM(H290:V290)</x:f>
        <x:v>515</x:v>
      </x:c>
      <x:c r="F290" t="n">
        <x:v>0</x:v>
      </x:c>
      <x:c r="G290" s="50" t="str">
        <x:f>IF(C290="","",IFERROR(D290/C290,0))</x:f>
      </x:c>
      <x:c r="H290" s="36" t="n">
        <x:v>33</x:v>
      </x:c>
      <x:c r="I290" t="n">
        <x:v>412</x:v>
      </x:c>
      <x:c r="J290" t="n">
        <x:v>55</x:v>
      </x:c>
      <x:c r="K290" t="n">
        <x:v>0</x:v>
      </x:c>
      <x:c r="L290" t="n">
        <x:v>1</x:v>
      </x:c>
      <x:c r="M290" t="n">
        <x:v>0</x:v>
      </x:c>
      <x:c r="N290" t="n">
        <x:v>6</x:v>
      </x:c>
      <x:c r="O290" t="n">
        <x:v>0</x:v>
      </x:c>
      <x:c r="P290" t="n">
        <x:v>0</x:v>
      </x:c>
      <x:c r="Q290" t="n">
        <x:v>0</x:v>
      </x:c>
      <x:c r="R290" t="n">
        <x:v>1</x:v>
      </x:c>
      <x:c r="S290" t="n">
        <x:v>0</x:v>
      </x:c>
      <x:c r="T290" t="n">
        <x:v>1</x:v>
      </x:c>
      <x:c r="U290" t="n">
        <x:v>0</x:v>
      </x:c>
      <x:c r="V290" t="n">
        <x:v>6</x:v>
      </x:c>
      <x:c r="W290" s="50" t="n">
        <x:f>IF(D290=0,"",H290/D290)</x:f>
        <x:v>0.06407766990291262</x:v>
      </x:c>
      <x:c r="X290" t="n">
        <x:f>MAX(I290:V290)</x:f>
        <x:v>412</x:v>
      </x:c>
      <x:c r="Y290" t="n">
        <x:f>H290-X290</x:f>
        <x:v>-379</x:v>
      </x:c>
      <x:c r="Z290" s="52" t="n">
        <x:f>IF(D290=0,"",(Y290)/D290)</x:f>
        <x:v>-0.7359223300970874</x:v>
      </x:c>
      <x:c r="AA290" t="str">
        <x:v>Dr. Mahesh Sharma</x:v>
      </x:c>
      <x:c r="AB290" t="n">
        <x:f>D290-E290-F290</x:f>
        <x:v>0</x:v>
      </x:c>
    </x:row>
    <x:row r="291">
      <x:c r="A291" t="n">
        <x:v>283</x:v>
      </x:c>
      <x:c r="B291" t="str">
        <x:v>2024 location: not supplied</x:v>
      </x:c>
      <x:c r="C291"/>
      <x:c r="D291" t="n">
        <x:v>533</x:v>
      </x:c>
      <x:c r="E291" t="n">
        <x:f>SUM(H291:V291)</x:f>
        <x:v>530</x:v>
      </x:c>
      <x:c r="F291" t="n">
        <x:v>3</x:v>
      </x:c>
      <x:c r="G291" s="50" t="str">
        <x:f>IF(C291="","",IFERROR(D291/C291,0))</x:f>
      </x:c>
      <x:c r="H291" s="36" t="n">
        <x:v>11</x:v>
      </x:c>
      <x:c r="I291" t="n">
        <x:v>444</x:v>
      </x:c>
      <x:c r="J291" t="n">
        <x:v>70</x:v>
      </x:c>
      <x:c r="K291" t="n">
        <x:v>1</x:v>
      </x:c>
      <x:c r="L291" t="n">
        <x:v>1</x:v>
      </x:c>
      <x:c r="M291" t="n">
        <x:v>0</x:v>
      </x:c>
      <x:c r="N291" t="n">
        <x:v>1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1</x:v>
      </x:c>
      <x:c r="U291" t="n">
        <x:v>0</x:v>
      </x:c>
      <x:c r="V291" t="n">
        <x:v>1</x:v>
      </x:c>
      <x:c r="W291" s="50" t="n">
        <x:f>IF(D291=0,"",H291/D291)</x:f>
        <x:v>0.020637898686679174</x:v>
      </x:c>
      <x:c r="X291" t="n">
        <x:f>MAX(I291:V291)</x:f>
        <x:v>444</x:v>
      </x:c>
      <x:c r="Y291" t="n">
        <x:f>H291-X291</x:f>
        <x:v>-433</x:v>
      </x:c>
      <x:c r="Z291" s="52" t="n">
        <x:f>IF(D291=0,"",(Y291)/D291)</x:f>
        <x:v>-0.8123827392120075</x:v>
      </x:c>
      <x:c r="AA291" t="str">
        <x:v>Dr. Mahesh Sharma</x:v>
      </x:c>
      <x:c r="AB291" t="n">
        <x:f>D291-E291-F291</x:f>
        <x:v>0</x:v>
      </x:c>
    </x:row>
    <x:row r="292">
      <x:c r="A292" t="n">
        <x:v>284</x:v>
      </x:c>
      <x:c r="B292" t="str">
        <x:v>2024 location: not supplied</x:v>
      </x:c>
      <x:c r="C292"/>
      <x:c r="D292" t="n">
        <x:v>854</x:v>
      </x:c>
      <x:c r="E292" t="n">
        <x:f>SUM(H292:V292)</x:f>
        <x:v>851</x:v>
      </x:c>
      <x:c r="F292" t="n">
        <x:v>3</x:v>
      </x:c>
      <x:c r="G292" s="50" t="str">
        <x:f>IF(C292="","",IFERROR(D292/C292,0))</x:f>
      </x:c>
      <x:c r="H292" s="36" t="n">
        <x:v>2</x:v>
      </x:c>
      <x:c r="I292" t="n">
        <x:v>23</x:v>
      </x:c>
      <x:c r="J292" t="n">
        <x:v>809</x:v>
      </x:c>
      <x:c r="K292" t="n">
        <x:v>0</x:v>
      </x:c>
      <x:c r="L292" t="n">
        <x:v>2</x:v>
      </x:c>
      <x:c r="M292" t="n">
        <x:v>0</x:v>
      </x:c>
      <x:c r="N292" t="n">
        <x:v>0</x:v>
      </x:c>
      <x:c r="O292" t="n">
        <x:v>1</x:v>
      </x:c>
      <x:c r="P292" t="n">
        <x:v>0</x:v>
      </x:c>
      <x:c r="Q292" t="n">
        <x:v>0</x:v>
      </x:c>
      <x:c r="R292" t="n">
        <x:v>3</x:v>
      </x:c>
      <x:c r="S292" t="n">
        <x:v>1</x:v>
      </x:c>
      <x:c r="T292" t="n">
        <x:v>2</x:v>
      </x:c>
      <x:c r="U292" t="n">
        <x:v>6</x:v>
      </x:c>
      <x:c r="V292" t="n">
        <x:v>2</x:v>
      </x:c>
      <x:c r="W292" s="50" t="n">
        <x:f>IF(D292=0,"",H292/D292)</x:f>
        <x:v>0.00234192037470726</x:v>
      </x:c>
      <x:c r="X292" t="n">
        <x:f>MAX(I292:V292)</x:f>
        <x:v>809</x:v>
      </x:c>
      <x:c r="Y292" t="n">
        <x:f>H292-X292</x:f>
        <x:v>-807</x:v>
      </x:c>
      <x:c r="Z292" s="52" t="n">
        <x:f>IF(D292=0,"",(Y292)/D292)</x:f>
        <x:v>-0.9449648711943794</x:v>
      </x:c>
      <x:c r="AA292" t="str">
        <x:v>Rajendra Singh Solanki</x:v>
      </x:c>
      <x:c r="AB292" t="n">
        <x:f>D292-E292-F292</x:f>
        <x:v>0</x:v>
      </x:c>
    </x:row>
    <x:row r="293">
      <x:c r="A293" t="n">
        <x:v>285</x:v>
      </x:c>
      <x:c r="B293" t="str">
        <x:v>2024 location: not supplied</x:v>
      </x:c>
      <x:c r="C293"/>
      <x:c r="D293" t="n">
        <x:v>485</x:v>
      </x:c>
      <x:c r="E293" t="n">
        <x:f>SUM(H293:V293)</x:f>
        <x:v>485</x:v>
      </x:c>
      <x:c r="F293" t="n">
        <x:v>0</x:v>
      </x:c>
      <x:c r="G293" s="50" t="str">
        <x:f>IF(C293="","",IFERROR(D293/C293,0))</x:f>
      </x:c>
      <x:c r="H293" s="36" t="n">
        <x:v>10</x:v>
      </x:c>
      <x:c r="I293" t="n">
        <x:v>319</x:v>
      </x:c>
      <x:c r="J293" t="n">
        <x:v>149</x:v>
      </x:c>
      <x:c r="K293" t="n">
        <x:v>0</x:v>
      </x:c>
      <x:c r="L293" t="n">
        <x:v>1</x:v>
      </x:c>
      <x:c r="M293" t="n">
        <x:v>0</x:v>
      </x:c>
      <x:c r="N293" t="n">
        <x:v>2</x:v>
      </x:c>
      <x:c r="O293" t="n">
        <x:v>0</x:v>
      </x:c>
      <x:c r="P293" t="n">
        <x:v>1</x:v>
      </x:c>
      <x:c r="Q293" t="n">
        <x:v>0</x:v>
      </x:c>
      <x:c r="R293" t="n">
        <x:v>0</x:v>
      </x:c>
      <x:c r="S293" t="n">
        <x:v>0</x:v>
      </x:c>
      <x:c r="T293" t="n">
        <x:v>1</x:v>
      </x:c>
      <x:c r="U293" t="n">
        <x:v>1</x:v>
      </x:c>
      <x:c r="V293" t="n">
        <x:v>1</x:v>
      </x:c>
      <x:c r="W293" s="50" t="n">
        <x:f>IF(D293=0,"",H293/D293)</x:f>
        <x:v>0.020618556701030927</x:v>
      </x:c>
      <x:c r="X293" t="n">
        <x:f>MAX(I293:V293)</x:f>
        <x:v>319</x:v>
      </x:c>
      <x:c r="Y293" t="n">
        <x:f>H293-X293</x:f>
        <x:v>-309</x:v>
      </x:c>
      <x:c r="Z293" s="52" t="n">
        <x:f>IF(D293=0,"",(Y293)/D293)</x:f>
        <x:v>-0.6371134020618556</x:v>
      </x:c>
      <x:c r="AA293" t="str">
        <x:v>Dr. Mahesh Sharma</x:v>
      </x:c>
      <x:c r="AB293" t="n">
        <x:f>D293-E293-F293</x:f>
        <x:v>0</x:v>
      </x:c>
    </x:row>
    <x:row r="294">
      <x:c r="A294" t="n">
        <x:v>286</x:v>
      </x:c>
      <x:c r="B294" t="str">
        <x:v>2024 location: not supplied</x:v>
      </x:c>
      <x:c r="C294"/>
      <x:c r="D294" t="n">
        <x:v>533</x:v>
      </x:c>
      <x:c r="E294" t="n">
        <x:f>SUM(H294:V294)</x:f>
        <x:v>531</x:v>
      </x:c>
      <x:c r="F294" t="n">
        <x:v>2</x:v>
      </x:c>
      <x:c r="G294" s="50" t="str">
        <x:f>IF(C294="","",IFERROR(D294/C294,0))</x:f>
      </x:c>
      <x:c r="H294" s="36" t="n">
        <x:v>19</x:v>
      </x:c>
      <x:c r="I294" t="n">
        <x:v>61</x:v>
      </x:c>
      <x:c r="J294" t="n">
        <x:v>438</x:v>
      </x:c>
      <x:c r="K294" t="n">
        <x:v>0</x:v>
      </x:c>
      <x:c r="L294" t="n">
        <x:v>1</x:v>
      </x:c>
      <x:c r="M294" t="n">
        <x:v>2</x:v>
      </x:c>
      <x:c r="N294" t="n">
        <x:v>0</x:v>
      </x:c>
      <x:c r="O294" t="n">
        <x:v>0</x:v>
      </x:c>
      <x:c r="P294" t="n">
        <x:v>1</x:v>
      </x:c>
      <x:c r="Q294" t="n">
        <x:v>0</x:v>
      </x:c>
      <x:c r="R294" t="n">
        <x:v>2</x:v>
      </x:c>
      <x:c r="S294" t="n">
        <x:v>0</x:v>
      </x:c>
      <x:c r="T294" t="n">
        <x:v>1</x:v>
      </x:c>
      <x:c r="U294" t="n">
        <x:v>6</x:v>
      </x:c>
      <x:c r="V294" t="n">
        <x:v>0</x:v>
      </x:c>
      <x:c r="W294" s="50" t="n">
        <x:f>IF(D294=0,"",H294/D294)</x:f>
        <x:v>0.03564727954971857</x:v>
      </x:c>
      <x:c r="X294" t="n">
        <x:f>MAX(I294:V294)</x:f>
        <x:v>438</x:v>
      </x:c>
      <x:c r="Y294" t="n">
        <x:f>H294-X294</x:f>
        <x:v>-419</x:v>
      </x:c>
      <x:c r="Z294" s="52" t="n">
        <x:f>IF(D294=0,"",(Y294)/D294)</x:f>
        <x:v>-0.7861163227016885</x:v>
      </x:c>
      <x:c r="AA294" t="str">
        <x:v>Rajendra Singh Solanki</x:v>
      </x:c>
      <x:c r="AB294" t="n">
        <x:f>D294-E294-F294</x:f>
        <x:v>0</x:v>
      </x:c>
    </x:row>
    <x:row r="295">
      <x:c r="A295" t="n">
        <x:v>287</x:v>
      </x:c>
      <x:c r="B295" t="str">
        <x:v>2024 location: not supplied</x:v>
      </x:c>
      <x:c r="C295"/>
      <x:c r="D295" t="n">
        <x:v>338</x:v>
      </x:c>
      <x:c r="E295" t="n">
        <x:f>SUM(H295:V295)</x:f>
        <x:v>336</x:v>
      </x:c>
      <x:c r="F295" t="n">
        <x:v>2</x:v>
      </x:c>
      <x:c r="G295" s="50" t="str">
        <x:f>IF(C295="","",IFERROR(D295/C295,0))</x:f>
      </x:c>
      <x:c r="H295" s="36" t="n">
        <x:v>1</x:v>
      </x:c>
      <x:c r="I295" t="n">
        <x:v>231</x:v>
      </x:c>
      <x:c r="J295" t="n">
        <x:v>85</x:v>
      </x:c>
      <x:c r="K295" t="n">
        <x:v>0</x:v>
      </x:c>
      <x:c r="L295" t="n">
        <x:v>1</x:v>
      </x:c>
      <x:c r="M295" t="n">
        <x:v>1</x:v>
      </x:c>
      <x:c r="N295" t="n">
        <x:v>0</x:v>
      </x:c>
      <x:c r="O295" t="n">
        <x:v>2</x:v>
      </x:c>
      <x:c r="P295" t="n">
        <x:v>2</x:v>
      </x:c>
      <x:c r="Q295" t="n">
        <x:v>0</x:v>
      </x:c>
      <x:c r="R295" t="n">
        <x:v>1</x:v>
      </x:c>
      <x:c r="S295" t="n">
        <x:v>0</x:v>
      </x:c>
      <x:c r="T295" t="n">
        <x:v>1</x:v>
      </x:c>
      <x:c r="U295" t="n">
        <x:v>5</x:v>
      </x:c>
      <x:c r="V295" t="n">
        <x:v>6</x:v>
      </x:c>
      <x:c r="W295" s="50" t="n">
        <x:f>IF(D295=0,"",H295/D295)</x:f>
        <x:v>0.0029585798816568047</x:v>
      </x:c>
      <x:c r="X295" t="n">
        <x:f>MAX(I295:V295)</x:f>
        <x:v>231</x:v>
      </x:c>
      <x:c r="Y295" t="n">
        <x:f>H295-X295</x:f>
        <x:v>-230</x:v>
      </x:c>
      <x:c r="Z295" s="52" t="n">
        <x:f>IF(D295=0,"",(Y295)/D295)</x:f>
        <x:v>-0.6804733727810651</x:v>
      </x:c>
      <x:c r="AA295" t="str">
        <x:v>Dr. Mahesh Sharma</x:v>
      </x:c>
      <x:c r="AB295" t="n">
        <x:f>D295-E295-F295</x:f>
        <x:v>0</x:v>
      </x:c>
    </x:row>
    <x:row r="296">
      <x:c r="A296" t="n">
        <x:v>288</x:v>
      </x:c>
      <x:c r="B296" t="str">
        <x:v>2024 location: not supplied</x:v>
      </x:c>
      <x:c r="C296"/>
      <x:c r="D296" t="n">
        <x:v>623</x:v>
      </x:c>
      <x:c r="E296" t="n">
        <x:f>SUM(H296:V296)</x:f>
        <x:v>623</x:v>
      </x:c>
      <x:c r="F296" t="n">
        <x:v>0</x:v>
      </x:c>
      <x:c r="G296" s="50" t="str">
        <x:f>IF(C296="","",IFERROR(D296/C296,0))</x:f>
      </x:c>
      <x:c r="H296" s="36" t="n">
        <x:v>23</x:v>
      </x:c>
      <x:c r="I296" t="n">
        <x:v>478</x:v>
      </x:c>
      <x:c r="J296" t="n">
        <x:v>103</x:v>
      </x:c>
      <x:c r="K296" t="n">
        <x:v>1</x:v>
      </x:c>
      <x:c r="L296" t="n">
        <x:v>2</x:v>
      </x:c>
      <x:c r="M296" t="n">
        <x:v>0</x:v>
      </x:c>
      <x:c r="N296" t="n">
        <x:v>7</x:v>
      </x:c>
      <x:c r="O296" t="n">
        <x:v>0</x:v>
      </x:c>
      <x:c r="P296" t="n">
        <x:v>1</x:v>
      </x:c>
      <x:c r="Q296" t="n">
        <x:v>2</x:v>
      </x:c>
      <x:c r="R296" t="n">
        <x:v>0</x:v>
      </x:c>
      <x:c r="S296" t="n">
        <x:v>0</x:v>
      </x:c>
      <x:c r="T296" t="n">
        <x:v>0</x:v>
      </x:c>
      <x:c r="U296" t="n">
        <x:v>1</x:v>
      </x:c>
      <x:c r="V296" t="n">
        <x:v>5</x:v>
      </x:c>
      <x:c r="W296" s="50" t="n">
        <x:f>IF(D296=0,"",H296/D296)</x:f>
        <x:v>0.03691813804173355</x:v>
      </x:c>
      <x:c r="X296" t="n">
        <x:f>MAX(I296:V296)</x:f>
        <x:v>478</x:v>
      </x:c>
      <x:c r="Y296" t="n">
        <x:f>H296-X296</x:f>
        <x:v>-455</x:v>
      </x:c>
      <x:c r="Z296" s="52" t="n">
        <x:f>IF(D296=0,"",(Y296)/D296)</x:f>
        <x:v>-0.7303370786516854</x:v>
      </x:c>
      <x:c r="AA296" t="str">
        <x:v>Dr. Mahesh Sharma</x:v>
      </x:c>
      <x:c r="AB296" t="n">
        <x:f>D296-E296-F296</x:f>
        <x:v>0</x:v>
      </x:c>
    </x:row>
    <x:row r="297">
      <x:c r="A297" t="n">
        <x:v>289</x:v>
      </x:c>
      <x:c r="B297" t="str">
        <x:v>2024 location: not supplied</x:v>
      </x:c>
      <x:c r="C297"/>
      <x:c r="D297" t="n">
        <x:v>609</x:v>
      </x:c>
      <x:c r="E297" t="n">
        <x:f>SUM(H297:V297)</x:f>
        <x:v>604</x:v>
      </x:c>
      <x:c r="F297" t="n">
        <x:v>5</x:v>
      </x:c>
      <x:c r="G297" s="50" t="str">
        <x:f>IF(C297="","",IFERROR(D297/C297,0))</x:f>
      </x:c>
      <x:c r="H297" s="36" t="n">
        <x:v>11</x:v>
      </x:c>
      <x:c r="I297" t="n">
        <x:v>157</x:v>
      </x:c>
      <x:c r="J297" t="n">
        <x:v>417</x:v>
      </x:c>
      <x:c r="K297" t="n">
        <x:v>0</x:v>
      </x:c>
      <x:c r="L297" t="n">
        <x:v>1</x:v>
      </x:c>
      <x:c r="M297" t="n">
        <x:v>0</x:v>
      </x:c>
      <x:c r="N297" t="n">
        <x:v>5</x:v>
      </x:c>
      <x:c r="O297" t="n">
        <x:v>1</x:v>
      </x:c>
      <x:c r="P297" t="n">
        <x:v>1</x:v>
      </x:c>
      <x:c r="Q297" t="n">
        <x:v>0</x:v>
      </x:c>
      <x:c r="R297" t="n">
        <x:v>0</x:v>
      </x:c>
      <x:c r="S297" t="n">
        <x:v>2</x:v>
      </x:c>
      <x:c r="T297" t="n">
        <x:v>2</x:v>
      </x:c>
      <x:c r="U297" t="n">
        <x:v>5</x:v>
      </x:c>
      <x:c r="V297" t="n">
        <x:v>2</x:v>
      </x:c>
      <x:c r="W297" s="50" t="n">
        <x:f>IF(D297=0,"",H297/D297)</x:f>
        <x:v>0.0180623973727422</x:v>
      </x:c>
      <x:c r="X297" t="n">
        <x:f>MAX(I297:V297)</x:f>
        <x:v>417</x:v>
      </x:c>
      <x:c r="Y297" t="n">
        <x:f>H297-X297</x:f>
        <x:v>-406</x:v>
      </x:c>
      <x:c r="Z297" s="52" t="n">
        <x:f>IF(D297=0,"",(Y297)/D297)</x:f>
        <x:v>-0.6666666666666666</x:v>
      </x:c>
      <x:c r="AA297" t="str">
        <x:v>Rajendra Singh Solanki</x:v>
      </x:c>
      <x:c r="AB297" t="n">
        <x:f>D297-E297-F297</x:f>
        <x:v>0</x:v>
      </x:c>
    </x:row>
    <x:row r="298">
      <x:c r="A298" t="n">
        <x:v>290</x:v>
      </x:c>
      <x:c r="B298" t="str">
        <x:v>2024 location: not supplied</x:v>
      </x:c>
      <x:c r="C298"/>
      <x:c r="D298" t="n">
        <x:v>691</x:v>
      </x:c>
      <x:c r="E298" t="n">
        <x:f>SUM(H298:V298)</x:f>
        <x:v>684</x:v>
      </x:c>
      <x:c r="F298" t="n">
        <x:v>7</x:v>
      </x:c>
      <x:c r="G298" s="50" t="str">
        <x:f>IF(C298="","",IFERROR(D298/C298,0))</x:f>
      </x:c>
      <x:c r="H298" s="36" t="n">
        <x:v>22</x:v>
      </x:c>
      <x:c r="I298" t="n">
        <x:v>433</x:v>
      </x:c>
      <x:c r="J298" t="n">
        <x:v>198</x:v>
      </x:c>
      <x:c r="K298" t="n">
        <x:v>0</x:v>
      </x:c>
      <x:c r="L298" t="n">
        <x:v>5</x:v>
      </x:c>
      <x:c r="M298" t="n">
        <x:v>0</x:v>
      </x:c>
      <x:c r="N298" t="n">
        <x:v>15</x:v>
      </x:c>
      <x:c r="O298" t="n">
        <x:v>0</x:v>
      </x:c>
      <x:c r="P298" t="n">
        <x:v>0</x:v>
      </x:c>
      <x:c r="Q298" t="n">
        <x:v>1</x:v>
      </x:c>
      <x:c r="R298" t="n">
        <x:v>2</x:v>
      </x:c>
      <x:c r="S298" t="n">
        <x:v>1</x:v>
      </x:c>
      <x:c r="T298" t="n">
        <x:v>2</x:v>
      </x:c>
      <x:c r="U298" t="n">
        <x:v>2</x:v>
      </x:c>
      <x:c r="V298" t="n">
        <x:v>3</x:v>
      </x:c>
      <x:c r="W298" s="50" t="n">
        <x:f>IF(D298=0,"",H298/D298)</x:f>
        <x:v>0.03183791606367583</x:v>
      </x:c>
      <x:c r="X298" t="n">
        <x:f>MAX(I298:V298)</x:f>
        <x:v>433</x:v>
      </x:c>
      <x:c r="Y298" t="n">
        <x:f>H298-X298</x:f>
        <x:v>-411</x:v>
      </x:c>
      <x:c r="Z298" s="52" t="n">
        <x:f>IF(D298=0,"",(Y298)/D298)</x:f>
        <x:v>-0.5947901591895803</x:v>
      </x:c>
      <x:c r="AA298" t="str">
        <x:v>Dr. Mahesh Sharma</x:v>
      </x:c>
      <x:c r="AB298" t="n">
        <x:f>D298-E298-F298</x:f>
        <x:v>0</x:v>
      </x:c>
    </x:row>
    <x:row r="299">
      <x:c r="A299" t="n">
        <x:v>291</x:v>
      </x:c>
      <x:c r="B299" t="str">
        <x:v>2024 location: not supplied</x:v>
      </x:c>
      <x:c r="C299"/>
      <x:c r="D299" t="n">
        <x:v>386</x:v>
      </x:c>
      <x:c r="E299" t="n">
        <x:f>SUM(H299:V299)</x:f>
        <x:v>386</x:v>
      </x:c>
      <x:c r="F299" t="n">
        <x:v>0</x:v>
      </x:c>
      <x:c r="G299" s="50" t="str">
        <x:f>IF(C299="","",IFERROR(D299/C299,0))</x:f>
      </x:c>
      <x:c r="H299" s="36" t="n">
        <x:v>18</x:v>
      </x:c>
      <x:c r="I299" t="n">
        <x:v>339</x:v>
      </x:c>
      <x:c r="J299" t="n">
        <x:v>25</x:v>
      </x:c>
      <x:c r="K299" t="n">
        <x:v>0</x:v>
      </x:c>
      <x:c r="L299" t="n">
        <x:v>0</x:v>
      </x:c>
      <x:c r="M299" t="n">
        <x:v>1</x:v>
      </x:c>
      <x:c r="N299" t="n">
        <x:v>1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2</x:v>
      </x:c>
      <x:c r="W299" s="50" t="n">
        <x:f>IF(D299=0,"",H299/D299)</x:f>
        <x:v>0.046632124352331605</x:v>
      </x:c>
      <x:c r="X299" t="n">
        <x:f>MAX(I299:V299)</x:f>
        <x:v>339</x:v>
      </x:c>
      <x:c r="Y299" t="n">
        <x:f>H299-X299</x:f>
        <x:v>-321</x:v>
      </x:c>
      <x:c r="Z299" s="52" t="n">
        <x:f>IF(D299=0,"",(Y299)/D299)</x:f>
        <x:v>-0.8316062176165803</x:v>
      </x:c>
      <x:c r="AA299" t="str">
        <x:v>Dr. Mahesh Sharma</x:v>
      </x:c>
      <x:c r="AB299" t="n">
        <x:f>D299-E299-F299</x:f>
        <x:v>0</x:v>
      </x:c>
    </x:row>
    <x:row r="300">
      <x:c r="A300" t="n">
        <x:v>292</x:v>
      </x:c>
      <x:c r="B300" t="str">
        <x:v>2024 location: not supplied</x:v>
      </x:c>
      <x:c r="C300"/>
      <x:c r="D300" t="n">
        <x:v>481</x:v>
      </x:c>
      <x:c r="E300" t="n">
        <x:f>SUM(H300:V300)</x:f>
        <x:v>480</x:v>
      </x:c>
      <x:c r="F300" t="n">
        <x:v>1</x:v>
      </x:c>
      <x:c r="G300" s="50" t="str">
        <x:f>IF(C300="","",IFERROR(D300/C300,0))</x:f>
      </x:c>
      <x:c r="H300" s="36" t="n">
        <x:v>4</x:v>
      </x:c>
      <x:c r="I300" t="n">
        <x:v>416</x:v>
      </x:c>
      <x:c r="J300" t="n">
        <x:v>43</x:v>
      </x:c>
      <x:c r="K300" t="n">
        <x:v>0</x:v>
      </x:c>
      <x:c r="L300" t="n">
        <x:v>1</x:v>
      </x:c>
      <x:c r="M300" t="n">
        <x:v>0</x:v>
      </x:c>
      <x:c r="N300" t="n">
        <x:v>8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1</x:v>
      </x:c>
      <x:c r="T300" t="n">
        <x:v>2</x:v>
      </x:c>
      <x:c r="U300" t="n">
        <x:v>2</x:v>
      </x:c>
      <x:c r="V300" t="n">
        <x:v>3</x:v>
      </x:c>
      <x:c r="W300" s="50" t="n">
        <x:f>IF(D300=0,"",H300/D300)</x:f>
        <x:v>0.008316008316008316</x:v>
      </x:c>
      <x:c r="X300" t="n">
        <x:f>MAX(I300:V300)</x:f>
        <x:v>416</x:v>
      </x:c>
      <x:c r="Y300" t="n">
        <x:f>H300-X300</x:f>
        <x:v>-412</x:v>
      </x:c>
      <x:c r="Z300" s="52" t="n">
        <x:f>IF(D300=0,"",(Y300)/D300)</x:f>
        <x:v>-0.8565488565488566</x:v>
      </x:c>
      <x:c r="AA300" t="str">
        <x:v>Dr. Mahesh Sharma</x:v>
      </x:c>
      <x:c r="AB300" t="n">
        <x:f>D300-E300-F300</x:f>
        <x:v>0</x:v>
      </x:c>
    </x:row>
    <x:row r="301">
      <x:c r="A301" t="n">
        <x:v>293</x:v>
      </x:c>
      <x:c r="B301" t="str">
        <x:v>2024 location: not supplied</x:v>
      </x:c>
      <x:c r="C301"/>
      <x:c r="D301" t="n">
        <x:v>671</x:v>
      </x:c>
      <x:c r="E301" t="n">
        <x:f>SUM(H301:V301)</x:f>
        <x:v>667</x:v>
      </x:c>
      <x:c r="F301" t="n">
        <x:v>4</x:v>
      </x:c>
      <x:c r="G301" s="50" t="str">
        <x:f>IF(C301="","",IFERROR(D301/C301,0))</x:f>
      </x:c>
      <x:c r="H301" s="36" t="n">
        <x:v>110</x:v>
      </x:c>
      <x:c r="I301" t="n">
        <x:v>127</x:v>
      </x:c>
      <x:c r="J301" t="n">
        <x:v>418</x:v>
      </x:c>
      <x:c r="K301" t="n">
        <x:v>1</x:v>
      </x:c>
      <x:c r="L301" t="n">
        <x:v>1</x:v>
      </x:c>
      <x:c r="M301" t="n">
        <x:v>1</x:v>
      </x:c>
      <x:c r="N301" t="n">
        <x:v>1</x:v>
      </x:c>
      <x:c r="O301" t="n">
        <x:v>1</x:v>
      </x:c>
      <x:c r="P301" t="n">
        <x:v>1</x:v>
      </x:c>
      <x:c r="Q301" t="n">
        <x:v>0</x:v>
      </x:c>
      <x:c r="R301" t="n">
        <x:v>2</x:v>
      </x:c>
      <x:c r="S301" t="n">
        <x:v>0</x:v>
      </x:c>
      <x:c r="T301" t="n">
        <x:v>0</x:v>
      </x:c>
      <x:c r="U301" t="n">
        <x:v>3</x:v>
      </x:c>
      <x:c r="V301" t="n">
        <x:v>1</x:v>
      </x:c>
      <x:c r="W301" s="50" t="n">
        <x:f>IF(D301=0,"",H301/D301)</x:f>
        <x:v>0.16393442622950818</x:v>
      </x:c>
      <x:c r="X301" t="n">
        <x:f>MAX(I301:V301)</x:f>
        <x:v>418</x:v>
      </x:c>
      <x:c r="Y301" t="n">
        <x:f>H301-X301</x:f>
        <x:v>-308</x:v>
      </x:c>
      <x:c r="Z301" s="52" t="n">
        <x:f>IF(D301=0,"",(Y301)/D301)</x:f>
        <x:v>-0.45901639344262296</x:v>
      </x:c>
      <x:c r="AA301" t="str">
        <x:v>Rajendra Singh Solanki</x:v>
      </x:c>
      <x:c r="AB301" t="n">
        <x:f>D301-E301-F301</x:f>
        <x:v>0</x:v>
      </x:c>
    </x:row>
    <x:row r="302">
      <x:c r="A302" t="n">
        <x:v>294</x:v>
      </x:c>
      <x:c r="B302" t="str">
        <x:v>2024 location: not supplied</x:v>
      </x:c>
      <x:c r="C302"/>
      <x:c r="D302" t="n">
        <x:v>439</x:v>
      </x:c>
      <x:c r="E302" t="n">
        <x:f>SUM(H302:V302)</x:f>
        <x:v>438</x:v>
      </x:c>
      <x:c r="F302" t="n">
        <x:v>1</x:v>
      </x:c>
      <x:c r="G302" s="50" t="str">
        <x:f>IF(C302="","",IFERROR(D302/C302,0))</x:f>
      </x:c>
      <x:c r="H302" s="36" t="n">
        <x:v>120</x:v>
      </x:c>
      <x:c r="I302" t="n">
        <x:v>172</x:v>
      </x:c>
      <x:c r="J302" t="n">
        <x:v>132</x:v>
      </x:c>
      <x:c r="K302" t="n">
        <x:v>0</x:v>
      </x:c>
      <x:c r="L302" t="n">
        <x:v>0</x:v>
      </x:c>
      <x:c r="M302" t="n">
        <x:v>1</x:v>
      </x:c>
      <x:c r="N302" t="n">
        <x:v>6</x:v>
      </x:c>
      <x:c r="O302" t="n">
        <x:v>0</x:v>
      </x:c>
      <x:c r="P302" t="n">
        <x:v>1</x:v>
      </x:c>
      <x:c r="Q302" t="n">
        <x:v>0</x:v>
      </x:c>
      <x:c r="R302" t="n">
        <x:v>0</x:v>
      </x:c>
      <x:c r="S302" t="n">
        <x:v>0</x:v>
      </x:c>
      <x:c r="T302" t="n">
        <x:v>1</x:v>
      </x:c>
      <x:c r="U302" t="n">
        <x:v>0</x:v>
      </x:c>
      <x:c r="V302" t="n">
        <x:v>5</x:v>
      </x:c>
      <x:c r="W302" s="50" t="n">
        <x:f>IF(D302=0,"",H302/D302)</x:f>
        <x:v>0.2733485193621868</x:v>
      </x:c>
      <x:c r="X302" t="n">
        <x:f>MAX(I302:V302)</x:f>
        <x:v>172</x:v>
      </x:c>
      <x:c r="Y302" t="n">
        <x:f>H302-X302</x:f>
        <x:v>-52</x:v>
      </x:c>
      <x:c r="Z302" s="52" t="n">
        <x:f>IF(D302=0,"",(Y302)/D302)</x:f>
        <x:v>-0.11845102505694761</x:v>
      </x:c>
      <x:c r="AA302" t="str">
        <x:v>Dr. Mahesh Sharma</x:v>
      </x:c>
      <x:c r="AB302" t="n">
        <x:f>D302-E302-F302</x:f>
        <x:v>0</x:v>
      </x:c>
    </x:row>
    <x:row r="303">
      <x:c r="A303" t="n">
        <x:v>295</x:v>
      </x:c>
      <x:c r="B303" t="str">
        <x:v>2024 location: not supplied</x:v>
      </x:c>
      <x:c r="C303"/>
      <x:c r="D303" t="n">
        <x:v>562</x:v>
      </x:c>
      <x:c r="E303" t="n">
        <x:f>SUM(H303:V303)</x:f>
        <x:v>558</x:v>
      </x:c>
      <x:c r="F303" t="n">
        <x:v>4</x:v>
      </x:c>
      <x:c r="G303" s="50" t="str">
        <x:f>IF(C303="","",IFERROR(D303/C303,0))</x:f>
      </x:c>
      <x:c r="H303" s="36" t="n">
        <x:v>50</x:v>
      </x:c>
      <x:c r="I303" t="n">
        <x:v>400</x:v>
      </x:c>
      <x:c r="J303" t="n">
        <x:v>100</x:v>
      </x:c>
      <x:c r="K303" t="n">
        <x:v>0</x:v>
      </x:c>
      <x:c r="L303" t="n">
        <x:v>2</x:v>
      </x:c>
      <x:c r="M303" t="n">
        <x:v>0</x:v>
      </x:c>
      <x:c r="N303" t="n">
        <x:v>1</x:v>
      </x:c>
      <x:c r="O303" t="n">
        <x:v>3</x:v>
      </x:c>
      <x:c r="P303" t="n">
        <x:v>0</x:v>
      </x:c>
      <x:c r="Q303" t="n">
        <x:v>0</x:v>
      </x:c>
      <x:c r="R303" t="n">
        <x:v>0</x:v>
      </x:c>
      <x:c r="S303" t="n">
        <x:v>1</x:v>
      </x:c>
      <x:c r="T303" t="n">
        <x:v>0</x:v>
      </x:c>
      <x:c r="U303" t="n">
        <x:v>1</x:v>
      </x:c>
      <x:c r="V303" t="n">
        <x:v>0</x:v>
      </x:c>
      <x:c r="W303" s="50" t="n">
        <x:f>IF(D303=0,"",H303/D303)</x:f>
        <x:v>0.08896797153024912</x:v>
      </x:c>
      <x:c r="X303" t="n">
        <x:f>MAX(I303:V303)</x:f>
        <x:v>400</x:v>
      </x:c>
      <x:c r="Y303" t="n">
        <x:f>H303-X303</x:f>
        <x:v>-350</x:v>
      </x:c>
      <x:c r="Z303" s="52" t="n">
        <x:f>IF(D303=0,"",(Y303)/D303)</x:f>
        <x:v>-0.6227758007117438</x:v>
      </x:c>
      <x:c r="AA303" t="str">
        <x:v>Dr. Mahesh Sharma</x:v>
      </x:c>
      <x:c r="AB303" t="n">
        <x:f>D303-E303-F303</x:f>
        <x:v>0</x:v>
      </x:c>
    </x:row>
    <x:row r="304">
      <x:c r="A304" t="n">
        <x:v>296</x:v>
      </x:c>
      <x:c r="B304" t="str">
        <x:v>2024 location: not supplied</x:v>
      </x:c>
      <x:c r="C304"/>
      <x:c r="D304" t="n">
        <x:v>465</x:v>
      </x:c>
      <x:c r="E304" t="n">
        <x:f>SUM(H304:V304)</x:f>
        <x:v>464</x:v>
      </x:c>
      <x:c r="F304" t="n">
        <x:v>1</x:v>
      </x:c>
      <x:c r="G304" s="50" t="str">
        <x:f>IF(C304="","",IFERROR(D304/C304,0))</x:f>
      </x:c>
      <x:c r="H304" s="36" t="n">
        <x:v>6</x:v>
      </x:c>
      <x:c r="I304" t="n">
        <x:v>306</x:v>
      </x:c>
      <x:c r="J304" t="n">
        <x:v>146</x:v>
      </x:c>
      <x:c r="K304" t="n">
        <x:v>1</x:v>
      </x:c>
      <x:c r="L304" t="n">
        <x:v>1</x:v>
      </x:c>
      <x:c r="M304" t="n">
        <x:v>0</x:v>
      </x:c>
      <x:c r="N304" t="n">
        <x:v>0</x:v>
      </x:c>
      <x:c r="O304" t="n">
        <x:v>1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3</x:v>
      </x:c>
      <x:c r="W304" s="50" t="n">
        <x:f>IF(D304=0,"",H304/D304)</x:f>
        <x:v>0.012903225806451613</x:v>
      </x:c>
      <x:c r="X304" t="n">
        <x:f>MAX(I304:V304)</x:f>
        <x:v>306</x:v>
      </x:c>
      <x:c r="Y304" t="n">
        <x:f>H304-X304</x:f>
        <x:v>-300</x:v>
      </x:c>
      <x:c r="Z304" s="52" t="n">
        <x:f>IF(D304=0,"",(Y304)/D304)</x:f>
        <x:v>-0.6451612903225806</x:v>
      </x:c>
      <x:c r="AA304" t="str">
        <x:v>Dr. Mahesh Sharma</x:v>
      </x:c>
      <x:c r="AB304" t="n">
        <x:f>D304-E304-F304</x:f>
        <x:v>0</x:v>
      </x:c>
    </x:row>
    <x:row r="305">
      <x:c r="A305" t="n">
        <x:v>297</x:v>
      </x:c>
      <x:c r="B305" t="str">
        <x:v>2024 location: not supplied</x:v>
      </x:c>
      <x:c r="C305"/>
      <x:c r="D305" t="n">
        <x:v>577</x:v>
      </x:c>
      <x:c r="E305" t="n">
        <x:f>SUM(H305:V305)</x:f>
        <x:v>575</x:v>
      </x:c>
      <x:c r="F305" t="n">
        <x:v>2</x:v>
      </x:c>
      <x:c r="G305" s="50" t="str">
        <x:f>IF(C305="","",IFERROR(D305/C305,0))</x:f>
      </x:c>
      <x:c r="H305" s="36" t="n">
        <x:v>19</x:v>
      </x:c>
      <x:c r="I305" t="n">
        <x:v>118</x:v>
      </x:c>
      <x:c r="J305" t="n">
        <x:v>423</x:v>
      </x:c>
      <x:c r="K305" t="n">
        <x:v>1</x:v>
      </x:c>
      <x:c r="L305" t="n">
        <x:v>1</x:v>
      </x:c>
      <x:c r="M305" t="n">
        <x:v>1</x:v>
      </x:c>
      <x:c r="N305" t="n">
        <x:v>1</x:v>
      </x:c>
      <x:c r="O305" t="n">
        <x:v>4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2</x:v>
      </x:c>
      <x:c r="U305" t="n">
        <x:v>3</x:v>
      </x:c>
      <x:c r="V305" t="n">
        <x:v>2</x:v>
      </x:c>
      <x:c r="W305" s="50" t="n">
        <x:f>IF(D305=0,"",H305/D305)</x:f>
        <x:v>0.03292894280762565</x:v>
      </x:c>
      <x:c r="X305" t="n">
        <x:f>MAX(I305:V305)</x:f>
        <x:v>423</x:v>
      </x:c>
      <x:c r="Y305" t="n">
        <x:f>H305-X305</x:f>
        <x:v>-404</x:v>
      </x:c>
      <x:c r="Z305" s="52" t="n">
        <x:f>IF(D305=0,"",(Y305)/D305)</x:f>
        <x:v>-0.7001733102253033</x:v>
      </x:c>
      <x:c r="AA305" t="str">
        <x:v>Rajendra Singh Solanki</x:v>
      </x:c>
      <x:c r="AB305" t="n">
        <x:f>D305-E305-F305</x:f>
        <x:v>0</x:v>
      </x:c>
    </x:row>
    <x:row r="306">
      <x:c r="A306" t="n">
        <x:v>298</x:v>
      </x:c>
      <x:c r="B306" t="str">
        <x:v>2024 location: not supplied</x:v>
      </x:c>
      <x:c r="C306"/>
      <x:c r="D306" t="n">
        <x:v>498</x:v>
      </x:c>
      <x:c r="E306" t="n">
        <x:f>SUM(H306:V306)</x:f>
        <x:v>498</x:v>
      </x:c>
      <x:c r="F306" t="n">
        <x:v>0</x:v>
      </x:c>
      <x:c r="G306" s="50" t="str">
        <x:f>IF(C306="","",IFERROR(D306/C306,0))</x:f>
      </x:c>
      <x:c r="H306" s="36" t="n">
        <x:v>1</x:v>
      </x:c>
      <x:c r="I306" t="n">
        <x:v>416</x:v>
      </x:c>
      <x:c r="J306" t="n">
        <x:v>71</x:v>
      </x:c>
      <x:c r="K306" t="n">
        <x:v>0</x:v>
      </x:c>
      <x:c r="L306" t="n">
        <x:v>0</x:v>
      </x:c>
      <x:c r="M306" t="n">
        <x:v>0</x:v>
      </x:c>
      <x:c r="N306" t="n">
        <x:v>2</x:v>
      </x:c>
      <x:c r="O306" t="n">
        <x:v>1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4</x:v>
      </x:c>
      <x:c r="V306" t="n">
        <x:v>3</x:v>
      </x:c>
      <x:c r="W306" s="50" t="n">
        <x:f>IF(D306=0,"",H306/D306)</x:f>
        <x:v>0.002008032128514056</x:v>
      </x:c>
      <x:c r="X306" t="n">
        <x:f>MAX(I306:V306)</x:f>
        <x:v>416</x:v>
      </x:c>
      <x:c r="Y306" t="n">
        <x:f>H306-X306</x:f>
        <x:v>-415</x:v>
      </x:c>
      <x:c r="Z306" s="52" t="n">
        <x:f>IF(D306=0,"",(Y306)/D306)</x:f>
        <x:v>-0.8333333333333334</x:v>
      </x:c>
      <x:c r="AA306" t="str">
        <x:v>Dr. Mahesh Sharma</x:v>
      </x:c>
      <x:c r="AB306" t="n">
        <x:f>D306-E306-F306</x:f>
        <x:v>0</x:v>
      </x:c>
    </x:row>
    <x:row r="307">
      <x:c r="A307" t="n">
        <x:v>299</x:v>
      </x:c>
      <x:c r="B307" t="str">
        <x:v>2024 location: not supplied</x:v>
      </x:c>
      <x:c r="C307"/>
      <x:c r="D307" t="n">
        <x:v>457</x:v>
      </x:c>
      <x:c r="E307" t="n">
        <x:f>SUM(H307:V307)</x:f>
        <x:v>456</x:v>
      </x:c>
      <x:c r="F307" t="n">
        <x:v>1</x:v>
      </x:c>
      <x:c r="G307" s="50" t="str">
        <x:f>IF(C307="","",IFERROR(D307/C307,0))</x:f>
      </x:c>
      <x:c r="H307" s="36" t="n">
        <x:v>17</x:v>
      </x:c>
      <x:c r="I307" t="n">
        <x:v>372</x:v>
      </x:c>
      <x:c r="J307" t="n">
        <x:v>60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2</x:v>
      </x:c>
      <x:c r="Q307" t="n">
        <x:v>0</x:v>
      </x:c>
      <x:c r="R307" t="n">
        <x:v>0</x:v>
      </x:c>
      <x:c r="S307" t="n">
        <x:v>1</x:v>
      </x:c>
      <x:c r="T307" t="n">
        <x:v>0</x:v>
      </x:c>
      <x:c r="U307" t="n">
        <x:v>1</x:v>
      </x:c>
      <x:c r="V307" t="n">
        <x:v>3</x:v>
      </x:c>
      <x:c r="W307" s="50" t="n">
        <x:f>IF(D307=0,"",H307/D307)</x:f>
        <x:v>0.037199124726477024</x:v>
      </x:c>
      <x:c r="X307" t="n">
        <x:f>MAX(I307:V307)</x:f>
        <x:v>372</x:v>
      </x:c>
      <x:c r="Y307" t="n">
        <x:f>H307-X307</x:f>
        <x:v>-355</x:v>
      </x:c>
      <x:c r="Z307" s="52" t="n">
        <x:f>IF(D307=0,"",(Y307)/D307)</x:f>
        <x:v>-0.7768052516411379</x:v>
      </x:c>
      <x:c r="AA307" t="str">
        <x:v>Dr. Mahesh Sharma</x:v>
      </x:c>
      <x:c r="AB307" t="n">
        <x:f>D307-E307-F307</x:f>
        <x:v>0</x:v>
      </x:c>
    </x:row>
    <x:row r="308">
      <x:c r="A308" t="n">
        <x:v>300</x:v>
      </x:c>
      <x:c r="B308" t="str">
        <x:v>2024 location: not supplied</x:v>
      </x:c>
      <x:c r="C308"/>
      <x:c r="D308" t="n">
        <x:v>473</x:v>
      </x:c>
      <x:c r="E308" t="n">
        <x:f>SUM(H308:V308)</x:f>
        <x:v>472</x:v>
      </x:c>
      <x:c r="F308" t="n">
        <x:v>1</x:v>
      </x:c>
      <x:c r="G308" s="50" t="str">
        <x:f>IF(C308="","",IFERROR(D308/C308,0))</x:f>
      </x:c>
      <x:c r="H308" s="36" t="n">
        <x:v>33</x:v>
      </x:c>
      <x:c r="I308" t="n">
        <x:v>89</x:v>
      </x:c>
      <x:c r="J308" t="n">
        <x:v>339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1</x:v>
      </x:c>
      <x:c r="P308" t="n">
        <x:v>0</x:v>
      </x:c>
      <x:c r="Q308" t="n">
        <x:v>0</x:v>
      </x:c>
      <x:c r="R308" t="n">
        <x:v>1</x:v>
      </x:c>
      <x:c r="S308" t="n">
        <x:v>2</x:v>
      </x:c>
      <x:c r="T308" t="n">
        <x:v>1</x:v>
      </x:c>
      <x:c r="U308" t="n">
        <x:v>2</x:v>
      </x:c>
      <x:c r="V308" t="n">
        <x:v>4</x:v>
      </x:c>
      <x:c r="W308" s="50" t="n">
        <x:f>IF(D308=0,"",H308/D308)</x:f>
        <x:v>0.06976744186046512</x:v>
      </x:c>
      <x:c r="X308" t="n">
        <x:f>MAX(I308:V308)</x:f>
        <x:v>339</x:v>
      </x:c>
      <x:c r="Y308" t="n">
        <x:f>H308-X308</x:f>
        <x:v>-306</x:v>
      </x:c>
      <x:c r="Z308" s="52" t="n">
        <x:f>IF(D308=0,"",(Y308)/D308)</x:f>
        <x:v>-0.6469344608879493</x:v>
      </x:c>
      <x:c r="AA308" t="str">
        <x:v>Rajendra Singh Solanki</x:v>
      </x:c>
      <x:c r="AB308" t="n">
        <x:f>D308-E308-F308</x:f>
        <x:v>0</x:v>
      </x:c>
    </x:row>
    <x:row r="309">
      <x:c r="A309" t="n">
        <x:v>301</x:v>
      </x:c>
      <x:c r="B309" t="str">
        <x:v>2024 location: not supplied</x:v>
      </x:c>
      <x:c r="C309"/>
      <x:c r="D309" t="n">
        <x:v>222</x:v>
      </x:c>
      <x:c r="E309" t="n">
        <x:f>SUM(H309:V309)</x:f>
        <x:v>221</x:v>
      </x:c>
      <x:c r="F309" t="n">
        <x:v>1</x:v>
      </x:c>
      <x:c r="G309" s="50" t="str">
        <x:f>IF(C309="","",IFERROR(D309/C309,0))</x:f>
      </x:c>
      <x:c r="H309" s="36" t="n">
        <x:v>1</x:v>
      </x:c>
      <x:c r="I309" t="n">
        <x:v>81</x:v>
      </x:c>
      <x:c r="J309" t="n">
        <x:v>133</x:v>
      </x:c>
      <x:c r="K309" t="n">
        <x:v>0</x:v>
      </x:c>
      <x:c r="L309" t="n">
        <x:v>1</x:v>
      </x:c>
      <x:c r="M309" t="n">
        <x:v>0</x:v>
      </x:c>
      <x:c r="N309" t="n">
        <x:v>1</x:v>
      </x:c>
      <x:c r="O309" t="n">
        <x:v>1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3</x:v>
      </x:c>
      <x:c r="V309" t="n">
        <x:v>0</x:v>
      </x:c>
      <x:c r="W309" s="50" t="n">
        <x:f>IF(D309=0,"",H309/D309)</x:f>
        <x:v>0.0045045045045045045</x:v>
      </x:c>
      <x:c r="X309" t="n">
        <x:f>MAX(I309:V309)</x:f>
        <x:v>133</x:v>
      </x:c>
      <x:c r="Y309" t="n">
        <x:f>H309-X309</x:f>
        <x:v>-132</x:v>
      </x:c>
      <x:c r="Z309" s="52" t="n">
        <x:f>IF(D309=0,"",(Y309)/D309)</x:f>
        <x:v>-0.5945945945945946</x:v>
      </x:c>
      <x:c r="AA309" t="str">
        <x:v>Rajendra Singh Solanki</x:v>
      </x:c>
      <x:c r="AB309" t="n">
        <x:f>D309-E309-F309</x:f>
        <x:v>0</x:v>
      </x:c>
    </x:row>
    <x:row r="310">
      <x:c r="A310" t="n">
        <x:v>302</x:v>
      </x:c>
      <x:c r="B310" t="str">
        <x:v>2024 location: not supplied</x:v>
      </x:c>
      <x:c r="C310"/>
      <x:c r="D310" t="n">
        <x:v>488</x:v>
      </x:c>
      <x:c r="E310" t="n">
        <x:f>SUM(H310:V310)</x:f>
        <x:v>486</x:v>
      </x:c>
      <x:c r="F310" t="n">
        <x:v>2</x:v>
      </x:c>
      <x:c r="G310" s="50" t="str">
        <x:f>IF(C310="","",IFERROR(D310/C310,0))</x:f>
      </x:c>
      <x:c r="H310" s="36" t="n">
        <x:v>24</x:v>
      </x:c>
      <x:c r="I310" t="n">
        <x:v>450</x:v>
      </x:c>
      <x:c r="J310" t="n">
        <x:v>9</x:v>
      </x:c>
      <x:c r="K310" t="n">
        <x:v>0</x:v>
      </x:c>
      <x:c r="L310" t="n">
        <x:v>0</x:v>
      </x:c>
      <x:c r="M310" t="n">
        <x:v>0</x:v>
      </x:c>
      <x:c r="N310" t="n">
        <x:v>1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2</x:v>
      </x:c>
      <x:c r="W310" s="50" t="n">
        <x:f>IF(D310=0,"",H310/D310)</x:f>
        <x:v>0.04918032786885246</x:v>
      </x:c>
      <x:c r="X310" t="n">
        <x:f>MAX(I310:V310)</x:f>
        <x:v>450</x:v>
      </x:c>
      <x:c r="Y310" t="n">
        <x:f>H310-X310</x:f>
        <x:v>-426</x:v>
      </x:c>
      <x:c r="Z310" s="52" t="n">
        <x:f>IF(D310=0,"",(Y310)/D310)</x:f>
        <x:v>-0.8729508196721312</x:v>
      </x:c>
      <x:c r="AA310" t="str">
        <x:v>Dr. Mahesh Sharma</x:v>
      </x:c>
      <x:c r="AB310" t="n">
        <x:f>D310-E310-F310</x:f>
        <x:v>0</x:v>
      </x:c>
    </x:row>
    <x:row r="311">
      <x:c r="A311" t="n">
        <x:v>303</x:v>
      </x:c>
      <x:c r="B311" t="str">
        <x:v>2024 location: not supplied</x:v>
      </x:c>
      <x:c r="C311"/>
      <x:c r="D311" t="n">
        <x:v>423</x:v>
      </x:c>
      <x:c r="E311" t="n">
        <x:f>SUM(H311:V311)</x:f>
        <x:v>421</x:v>
      </x:c>
      <x:c r="F311" t="n">
        <x:v>2</x:v>
      </x:c>
      <x:c r="G311" s="50" t="str">
        <x:f>IF(C311="","",IFERROR(D311/C311,0))</x:f>
      </x:c>
      <x:c r="H311" s="36" t="n">
        <x:v>17</x:v>
      </x:c>
      <x:c r="I311" t="n">
        <x:v>278</x:v>
      </x:c>
      <x:c r="J311" t="n">
        <x:v>118</x:v>
      </x:c>
      <x:c r="K311" t="n">
        <x:v>0</x:v>
      </x:c>
      <x:c r="L311" t="n">
        <x:v>2</x:v>
      </x:c>
      <x:c r="M311" t="n">
        <x:v>0</x:v>
      </x:c>
      <x:c r="N311" t="n">
        <x:v>1</x:v>
      </x:c>
      <x:c r="O311" t="n">
        <x:v>1</x:v>
      </x:c>
      <x:c r="P311" t="n">
        <x:v>0</x:v>
      </x:c>
      <x:c r="Q311" t="n">
        <x:v>1</x:v>
      </x:c>
      <x:c r="R311" t="n">
        <x:v>0</x:v>
      </x:c>
      <x:c r="S311" t="n">
        <x:v>0</x:v>
      </x:c>
      <x:c r="T311" t="n">
        <x:v>0</x:v>
      </x:c>
      <x:c r="U311" t="n">
        <x:v>3</x:v>
      </x:c>
      <x:c r="V311" t="n">
        <x:v>0</x:v>
      </x:c>
      <x:c r="W311" s="50" t="n">
        <x:f>IF(D311=0,"",H311/D311)</x:f>
        <x:v>0.04018912529550828</x:v>
      </x:c>
      <x:c r="X311" t="n">
        <x:f>MAX(I311:V311)</x:f>
        <x:v>278</x:v>
      </x:c>
      <x:c r="Y311" t="n">
        <x:f>H311-X311</x:f>
        <x:v>-261</x:v>
      </x:c>
      <x:c r="Z311" s="52" t="n">
        <x:f>IF(D311=0,"",(Y311)/D311)</x:f>
        <x:v>-0.6170212765957447</x:v>
      </x:c>
      <x:c r="AA311" t="str">
        <x:v>Dr. Mahesh Sharma</x:v>
      </x:c>
      <x:c r="AB311" t="n">
        <x:f>D311-E311-F311</x:f>
        <x:v>0</x:v>
      </x:c>
    </x:row>
    <x:row r="312">
      <x:c r="A312" t="n">
        <x:v>304</x:v>
      </x:c>
      <x:c r="B312" t="str">
        <x:v>2024 location: not supplied</x:v>
      </x:c>
      <x:c r="C312"/>
      <x:c r="D312" t="n">
        <x:v>529</x:v>
      </x:c>
      <x:c r="E312" t="n">
        <x:f>SUM(H312:V312)</x:f>
        <x:v>529</x:v>
      </x:c>
      <x:c r="F312" t="n">
        <x:v>0</x:v>
      </x:c>
      <x:c r="G312" s="50" t="str">
        <x:f>IF(C312="","",IFERROR(D312/C312,0))</x:f>
      </x:c>
      <x:c r="H312" s="36" t="n">
        <x:v>10</x:v>
      </x:c>
      <x:c r="I312" t="n">
        <x:v>114</x:v>
      </x:c>
      <x:c r="J312" t="n">
        <x:v>393</x:v>
      </x:c>
      <x:c r="K312" t="n">
        <x:v>0</x:v>
      </x:c>
      <x:c r="L312" t="n">
        <x:v>1</x:v>
      </x:c>
      <x:c r="M312" t="n">
        <x:v>2</x:v>
      </x:c>
      <x:c r="N312" t="n">
        <x:v>1</x:v>
      </x:c>
      <x:c r="O312" t="n">
        <x:v>2</x:v>
      </x:c>
      <x:c r="P312" t="n">
        <x:v>0</x:v>
      </x:c>
      <x:c r="Q312" t="n">
        <x:v>0</x:v>
      </x:c>
      <x:c r="R312" t="n">
        <x:v>1</x:v>
      </x:c>
      <x:c r="S312" t="n">
        <x:v>1</x:v>
      </x:c>
      <x:c r="T312" t="n">
        <x:v>2</x:v>
      </x:c>
      <x:c r="U312" t="n">
        <x:v>2</x:v>
      </x:c>
      <x:c r="V312" t="n">
        <x:v>0</x:v>
      </x:c>
      <x:c r="W312" s="50" t="n">
        <x:f>IF(D312=0,"",H312/D312)</x:f>
        <x:v>0.01890359168241966</x:v>
      </x:c>
      <x:c r="X312" t="n">
        <x:f>MAX(I312:V312)</x:f>
        <x:v>393</x:v>
      </x:c>
      <x:c r="Y312" t="n">
        <x:f>H312-X312</x:f>
        <x:v>-383</x:v>
      </x:c>
      <x:c r="Z312" s="52" t="n">
        <x:f>IF(D312=0,"",(Y312)/D312)</x:f>
        <x:v>-0.724007561436673</x:v>
      </x:c>
      <x:c r="AA312" t="str">
        <x:v>Rajendra Singh Solanki</x:v>
      </x:c>
      <x:c r="AB312" t="n">
        <x:f>D312-E312-F312</x:f>
        <x:v>0</x:v>
      </x:c>
    </x:row>
    <x:row r="313">
      <x:c r="A313" t="n">
        <x:v>305</x:v>
      </x:c>
      <x:c r="B313" t="str">
        <x:v>2024 location: not supplied</x:v>
      </x:c>
      <x:c r="C313"/>
      <x:c r="D313" t="n">
        <x:v>366</x:v>
      </x:c>
      <x:c r="E313" t="n">
        <x:f>SUM(H313:V313)</x:f>
        <x:v>366</x:v>
      </x:c>
      <x:c r="F313" t="n">
        <x:v>0</x:v>
      </x:c>
      <x:c r="G313" s="50" t="str">
        <x:f>IF(C313="","",IFERROR(D313/C313,0))</x:f>
      </x:c>
      <x:c r="H313" s="36" t="n">
        <x:v>10</x:v>
      </x:c>
      <x:c r="I313" t="n">
        <x:v>203</x:v>
      </x:c>
      <x:c r="J313" t="n">
        <x:v>147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3</x:v>
      </x:c>
      <x:c r="V313" t="n">
        <x:v>3</x:v>
      </x:c>
      <x:c r="W313" s="50" t="n">
        <x:f>IF(D313=0,"",H313/D313)</x:f>
        <x:v>0.0273224043715847</x:v>
      </x:c>
      <x:c r="X313" t="n">
        <x:f>MAX(I313:V313)</x:f>
        <x:v>203</x:v>
      </x:c>
      <x:c r="Y313" t="n">
        <x:f>H313-X313</x:f>
        <x:v>-193</x:v>
      </x:c>
      <x:c r="Z313" s="52" t="n">
        <x:f>IF(D313=0,"",(Y313)/D313)</x:f>
        <x:v>-0.5273224043715847</x:v>
      </x:c>
      <x:c r="AA313" t="str">
        <x:v>Dr. Mahesh Sharma</x:v>
      </x:c>
      <x:c r="AB313" t="n">
        <x:f>D313-E313-F313</x:f>
        <x:v>0</x:v>
      </x:c>
    </x:row>
    <x:row r="314">
      <x:c r="A314" t="n">
        <x:v>306</x:v>
      </x:c>
      <x:c r="B314" t="str">
        <x:v>2024 location: not supplied</x:v>
      </x:c>
      <x:c r="C314"/>
      <x:c r="D314" t="n">
        <x:v>595</x:v>
      </x:c>
      <x:c r="E314" t="n">
        <x:f>SUM(H314:V314)</x:f>
        <x:v>593</x:v>
      </x:c>
      <x:c r="F314" t="n">
        <x:v>2</x:v>
      </x:c>
      <x:c r="G314" s="50" t="str">
        <x:f>IF(C314="","",IFERROR(D314/C314,0))</x:f>
      </x:c>
      <x:c r="H314" s="36" t="n">
        <x:v>9</x:v>
      </x:c>
      <x:c r="I314" t="n">
        <x:v>280</x:v>
      </x:c>
      <x:c r="J314" t="n">
        <x:v>292</x:v>
      </x:c>
      <x:c r="K314" t="n">
        <x:v>0</x:v>
      </x:c>
      <x:c r="L314" t="n">
        <x:v>0</x:v>
      </x:c>
      <x:c r="M314" t="n">
        <x:v>0</x:v>
      </x:c>
      <x:c r="N314" t="n">
        <x:v>3</x:v>
      </x:c>
      <x:c r="O314" t="n">
        <x:v>0</x:v>
      </x:c>
      <x:c r="P314" t="n">
        <x:v>0</x:v>
      </x:c>
      <x:c r="Q314" t="n">
        <x:v>1</x:v>
      </x:c>
      <x:c r="R314" t="n">
        <x:v>0</x:v>
      </x:c>
      <x:c r="S314" t="n">
        <x:v>0</x:v>
      </x:c>
      <x:c r="T314" t="n">
        <x:v>1</x:v>
      </x:c>
      <x:c r="U314" t="n">
        <x:v>4</x:v>
      </x:c>
      <x:c r="V314" t="n">
        <x:v>3</x:v>
      </x:c>
      <x:c r="W314" s="50" t="n">
        <x:f>IF(D314=0,"",H314/D314)</x:f>
        <x:v>0.015126050420168067</x:v>
      </x:c>
      <x:c r="X314" t="n">
        <x:f>MAX(I314:V314)</x:f>
        <x:v>292</x:v>
      </x:c>
      <x:c r="Y314" t="n">
        <x:f>H314-X314</x:f>
        <x:v>-283</x:v>
      </x:c>
      <x:c r="Z314" s="52" t="n">
        <x:f>IF(D314=0,"",(Y314)/D314)</x:f>
        <x:v>-0.4756302521008403</x:v>
      </x:c>
      <x:c r="AA314" t="str">
        <x:v>Rajendra Singh Solanki</x:v>
      </x:c>
      <x:c r="AB314" t="n">
        <x:f>D314-E314-F314</x:f>
        <x:v>0</x:v>
      </x:c>
    </x:row>
    <x:row r="315">
      <x:c r="A315" t="n">
        <x:v>307</x:v>
      </x:c>
      <x:c r="B315" t="str">
        <x:v>2024 location: not supplied</x:v>
      </x:c>
      <x:c r="C315"/>
      <x:c r="D315" t="n">
        <x:v>477</x:v>
      </x:c>
      <x:c r="E315" t="n">
        <x:f>SUM(H315:V315)</x:f>
        <x:v>475</x:v>
      </x:c>
      <x:c r="F315" t="n">
        <x:v>2</x:v>
      </x:c>
      <x:c r="G315" s="50" t="str">
        <x:f>IF(C315="","",IFERROR(D315/C315,0))</x:f>
      </x:c>
      <x:c r="H315" s="36" t="n">
        <x:v>8</x:v>
      </x:c>
      <x:c r="I315" t="n">
        <x:v>159</x:v>
      </x:c>
      <x:c r="J315" t="n">
        <x:v>299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2</x:v>
      </x:c>
      <x:c r="S315" t="n">
        <x:v>0</x:v>
      </x:c>
      <x:c r="T315" t="n">
        <x:v>1</x:v>
      </x:c>
      <x:c r="U315" t="n">
        <x:v>4</x:v>
      </x:c>
      <x:c r="V315" t="n">
        <x:v>2</x:v>
      </x:c>
      <x:c r="W315" s="50" t="n">
        <x:f>IF(D315=0,"",H315/D315)</x:f>
        <x:v>0.016771488469601678</x:v>
      </x:c>
      <x:c r="X315" t="n">
        <x:f>MAX(I315:V315)</x:f>
        <x:v>299</x:v>
      </x:c>
      <x:c r="Y315" t="n">
        <x:f>H315-X315</x:f>
        <x:v>-291</x:v>
      </x:c>
      <x:c r="Z315" s="52" t="n">
        <x:f>IF(D315=0,"",(Y315)/D315)</x:f>
        <x:v>-0.610062893081761</x:v>
      </x:c>
      <x:c r="AA315" t="str">
        <x:v>Rajendra Singh Solanki</x:v>
      </x:c>
      <x:c r="AB315" t="n">
        <x:f>D315-E315-F315</x:f>
        <x:v>0</x:v>
      </x:c>
    </x:row>
    <x:row r="316">
      <x:c r="A316" t="n">
        <x:v>308</x:v>
      </x:c>
      <x:c r="B316" t="str">
        <x:v>2024 location: not supplied</x:v>
      </x:c>
      <x:c r="C316"/>
      <x:c r="D316" t="n">
        <x:v>484</x:v>
      </x:c>
      <x:c r="E316" t="n">
        <x:f>SUM(H316:V316)</x:f>
        <x:v>482</x:v>
      </x:c>
      <x:c r="F316" t="n">
        <x:v>2</x:v>
      </x:c>
      <x:c r="G316" s="50" t="str">
        <x:f>IF(C316="","",IFERROR(D316/C316,0))</x:f>
      </x:c>
      <x:c r="H316" s="36" t="n">
        <x:v>12</x:v>
      </x:c>
      <x:c r="I316" t="n">
        <x:v>285</x:v>
      </x:c>
      <x:c r="J316" t="n">
        <x:v>182</x:v>
      </x:c>
      <x:c r="K316" t="n">
        <x:v>0</x:v>
      </x:c>
      <x:c r="L316" t="n">
        <x:v>1</x:v>
      </x:c>
      <x:c r="M316" t="n">
        <x:v>0</x:v>
      </x:c>
      <x:c r="N316" t="n">
        <x:v>1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1</x:v>
      </x:c>
      <x:c r="W316" s="50" t="n">
        <x:f>IF(D316=0,"",H316/D316)</x:f>
        <x:v>0.024793388429752067</x:v>
      </x:c>
      <x:c r="X316" t="n">
        <x:f>MAX(I316:V316)</x:f>
        <x:v>285</x:v>
      </x:c>
      <x:c r="Y316" t="n">
        <x:f>H316-X316</x:f>
        <x:v>-273</x:v>
      </x:c>
      <x:c r="Z316" s="52" t="n">
        <x:f>IF(D316=0,"",(Y316)/D316)</x:f>
        <x:v>-0.5640495867768595</x:v>
      </x:c>
      <x:c r="AA316" t="str">
        <x:v>Dr. Mahesh Sharma</x:v>
      </x:c>
      <x:c r="AB316" t="n">
        <x:f>D316-E316-F316</x:f>
        <x:v>0</x:v>
      </x:c>
    </x:row>
    <x:row r="317">
      <x:c r="A317" t="n">
        <x:v>309</x:v>
      </x:c>
      <x:c r="B317" t="str">
        <x:v>2024 location: not supplied</x:v>
      </x:c>
      <x:c r="C317"/>
      <x:c r="D317" t="n">
        <x:v>643</x:v>
      </x:c>
      <x:c r="E317" t="n">
        <x:f>SUM(H317:V317)</x:f>
        <x:v>641</x:v>
      </x:c>
      <x:c r="F317" t="n">
        <x:v>2</x:v>
      </x:c>
      <x:c r="G317" s="50" t="str">
        <x:f>IF(C317="","",IFERROR(D317/C317,0))</x:f>
      </x:c>
      <x:c r="H317" s="36" t="n">
        <x:v>9</x:v>
      </x:c>
      <x:c r="I317" t="n">
        <x:v>448</x:v>
      </x:c>
      <x:c r="J317" t="n">
        <x:v>171</x:v>
      </x:c>
      <x:c r="K317" t="n">
        <x:v>0</x:v>
      </x:c>
      <x:c r="L317" t="n">
        <x:v>0</x:v>
      </x:c>
      <x:c r="M317" t="n">
        <x:v>0</x:v>
      </x:c>
      <x:c r="N317" t="n">
        <x:v>5</x:v>
      </x:c>
      <x:c r="O317" t="n">
        <x:v>0</x:v>
      </x:c>
      <x:c r="P317" t="n">
        <x:v>3</x:v>
      </x:c>
      <x:c r="Q317" t="n">
        <x:v>0</x:v>
      </x:c>
      <x:c r="R317" t="n">
        <x:v>1</x:v>
      </x:c>
      <x:c r="S317" t="n">
        <x:v>1</x:v>
      </x:c>
      <x:c r="T317" t="n">
        <x:v>0</x:v>
      </x:c>
      <x:c r="U317" t="n">
        <x:v>1</x:v>
      </x:c>
      <x:c r="V317" t="n">
        <x:v>2</x:v>
      </x:c>
      <x:c r="W317" s="50" t="n">
        <x:f>IF(D317=0,"",H317/D317)</x:f>
        <x:v>0.013996889580093312</x:v>
      </x:c>
      <x:c r="X317" t="n">
        <x:f>MAX(I317:V317)</x:f>
        <x:v>448</x:v>
      </x:c>
      <x:c r="Y317" t="n">
        <x:f>H317-X317</x:f>
        <x:v>-439</x:v>
      </x:c>
      <x:c r="Z317" s="52" t="n">
        <x:f>IF(D317=0,"",(Y317)/D317)</x:f>
        <x:v>-0.6827371695178849</x:v>
      </x:c>
      <x:c r="AA317" t="str">
        <x:v>Dr. Mahesh Sharma</x:v>
      </x:c>
      <x:c r="AB317" t="n">
        <x:f>D317-E317-F317</x:f>
        <x:v>0</x:v>
      </x:c>
    </x:row>
    <x:row r="318">
      <x:c r="A318" t="n">
        <x:v>310</x:v>
      </x:c>
      <x:c r="B318" t="str">
        <x:v>2024 location: not supplied</x:v>
      </x:c>
      <x:c r="C318"/>
      <x:c r="D318" t="n">
        <x:v>201</x:v>
      </x:c>
      <x:c r="E318" t="n">
        <x:f>SUM(H318:V318)</x:f>
        <x:v>200</x:v>
      </x:c>
      <x:c r="F318" t="n">
        <x:v>1</x:v>
      </x:c>
      <x:c r="G318" s="50" t="str">
        <x:f>IF(C318="","",IFERROR(D318/C318,0))</x:f>
      </x:c>
      <x:c r="H318" s="36" t="n">
        <x:v>70</x:v>
      </x:c>
      <x:c r="I318" t="n">
        <x:v>103</x:v>
      </x:c>
      <x:c r="J318" t="n">
        <x:v>25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1</x:v>
      </x:c>
      <x:c r="V318" t="n">
        <x:v>1</x:v>
      </x:c>
      <x:c r="W318" s="50" t="n">
        <x:f>IF(D318=0,"",H318/D318)</x:f>
        <x:v>0.3482587064676617</x:v>
      </x:c>
      <x:c r="X318" t="n">
        <x:f>MAX(I318:V318)</x:f>
        <x:v>103</x:v>
      </x:c>
      <x:c r="Y318" t="n">
        <x:f>H318-X318</x:f>
        <x:v>-33</x:v>
      </x:c>
      <x:c r="Z318" s="52" t="n">
        <x:f>IF(D318=0,"",(Y318)/D318)</x:f>
        <x:v>-0.16417910447761194</x:v>
      </x:c>
      <x:c r="AA318" t="str">
        <x:v>Dr. Mahesh Sharma</x:v>
      </x:c>
      <x:c r="AB318" t="n">
        <x:f>D318-E318-F318</x:f>
        <x:v>0</x:v>
      </x:c>
    </x:row>
    <x:row r="319">
      <x:c r="A319" t="n">
        <x:v>311</x:v>
      </x:c>
      <x:c r="B319" t="str">
        <x:v>2024 location: not supplied</x:v>
      </x:c>
      <x:c r="C319"/>
      <x:c r="D319" t="n">
        <x:v>625</x:v>
      </x:c>
      <x:c r="E319" t="n">
        <x:f>SUM(H319:V319)</x:f>
        <x:v>623</x:v>
      </x:c>
      <x:c r="F319" t="n">
        <x:v>2</x:v>
      </x:c>
      <x:c r="G319" s="50" t="str">
        <x:f>IF(C319="","",IFERROR(D319/C319,0))</x:f>
      </x:c>
      <x:c r="H319" s="36" t="n">
        <x:v>14</x:v>
      </x:c>
      <x:c r="I319" t="n">
        <x:v>377</x:v>
      </x:c>
      <x:c r="J319" t="n">
        <x:v>217</x:v>
      </x:c>
      <x:c r="K319" t="n">
        <x:v>0</x:v>
      </x:c>
      <x:c r="L319" t="n">
        <x:v>1</x:v>
      </x:c>
      <x:c r="M319" t="n">
        <x:v>0</x:v>
      </x:c>
      <x:c r="N319" t="n">
        <x:v>5</x:v>
      </x:c>
      <x:c r="O319" t="n">
        <x:v>2</x:v>
      </x:c>
      <x:c r="P319" t="n">
        <x:v>0</x:v>
      </x:c>
      <x:c r="Q319" t="n">
        <x:v>1</x:v>
      </x:c>
      <x:c r="R319" t="n">
        <x:v>0</x:v>
      </x:c>
      <x:c r="S319" t="n">
        <x:v>1</x:v>
      </x:c>
      <x:c r="T319" t="n">
        <x:v>0</x:v>
      </x:c>
      <x:c r="U319" t="n">
        <x:v>3</x:v>
      </x:c>
      <x:c r="V319" t="n">
        <x:v>2</x:v>
      </x:c>
      <x:c r="W319" s="50" t="n">
        <x:f>IF(D319=0,"",H319/D319)</x:f>
        <x:v>0.0224</x:v>
      </x:c>
      <x:c r="X319" t="n">
        <x:f>MAX(I319:V319)</x:f>
        <x:v>377</x:v>
      </x:c>
      <x:c r="Y319" t="n">
        <x:f>H319-X319</x:f>
        <x:v>-363</x:v>
      </x:c>
      <x:c r="Z319" s="52" t="n">
        <x:f>IF(D319=0,"",(Y319)/D319)</x:f>
        <x:v>-0.5808</x:v>
      </x:c>
      <x:c r="AA319" t="str">
        <x:v>Dr. Mahesh Sharma</x:v>
      </x:c>
      <x:c r="AB319" t="n">
        <x:f>D319-E319-F319</x:f>
        <x:v>0</x:v>
      </x:c>
    </x:row>
    <x:row r="320">
      <x:c r="A320" t="n">
        <x:v>312</x:v>
      </x:c>
      <x:c r="B320" t="str">
        <x:v>2024 location: not supplied</x:v>
      </x:c>
      <x:c r="C320"/>
      <x:c r="D320" t="n">
        <x:v>794</x:v>
      </x:c>
      <x:c r="E320" t="n">
        <x:f>SUM(H320:V320)</x:f>
        <x:v>785</x:v>
      </x:c>
      <x:c r="F320" t="n">
        <x:v>9</x:v>
      </x:c>
      <x:c r="G320" s="50" t="str">
        <x:f>IF(C320="","",IFERROR(D320/C320,0))</x:f>
      </x:c>
      <x:c r="H320" s="36" t="n">
        <x:v>6</x:v>
      </x:c>
      <x:c r="I320" t="n">
        <x:v>492</x:v>
      </x:c>
      <x:c r="J320" t="n">
        <x:v>269</x:v>
      </x:c>
      <x:c r="K320" t="n">
        <x:v>1</x:v>
      </x:c>
      <x:c r="L320" t="n">
        <x:v>0</x:v>
      </x:c>
      <x:c r="M320" t="n">
        <x:v>0</x:v>
      </x:c>
      <x:c r="N320" t="n">
        <x:v>3</x:v>
      </x:c>
      <x:c r="O320" t="n">
        <x:v>1</x:v>
      </x:c>
      <x:c r="P320" t="n">
        <x:v>0</x:v>
      </x:c>
      <x:c r="Q320" t="n">
        <x:v>0</x:v>
      </x:c>
      <x:c r="R320" t="n">
        <x:v>1</x:v>
      </x:c>
      <x:c r="S320" t="n">
        <x:v>1</x:v>
      </x:c>
      <x:c r="T320" t="n">
        <x:v>2</x:v>
      </x:c>
      <x:c r="U320" t="n">
        <x:v>5</x:v>
      </x:c>
      <x:c r="V320" t="n">
        <x:v>4</x:v>
      </x:c>
      <x:c r="W320" s="50" t="n">
        <x:f>IF(D320=0,"",H320/D320)</x:f>
        <x:v>0.007556675062972292</x:v>
      </x:c>
      <x:c r="X320" t="n">
        <x:f>MAX(I320:V320)</x:f>
        <x:v>492</x:v>
      </x:c>
      <x:c r="Y320" t="n">
        <x:f>H320-X320</x:f>
        <x:v>-486</x:v>
      </x:c>
      <x:c r="Z320" s="52" t="n">
        <x:f>IF(D320=0,"",(Y320)/D320)</x:f>
        <x:v>-0.6120906801007556</x:v>
      </x:c>
      <x:c r="AA320" t="str">
        <x:v>Dr. Mahesh Sharma</x:v>
      </x:c>
      <x:c r="AB320" t="n">
        <x:f>D320-E320-F320</x:f>
        <x:v>0</x:v>
      </x:c>
    </x:row>
    <x:row r="321">
      <x:c r="A321" t="n">
        <x:v>313</x:v>
      </x:c>
      <x:c r="B321" t="str">
        <x:v>2024 location: not supplied</x:v>
      </x:c>
      <x:c r="C321"/>
      <x:c r="D321" t="n">
        <x:v>584</x:v>
      </x:c>
      <x:c r="E321" t="n">
        <x:f>SUM(H321:V321)</x:f>
        <x:v>581</x:v>
      </x:c>
      <x:c r="F321" t="n">
        <x:v>3</x:v>
      </x:c>
      <x:c r="G321" s="50" t="str">
        <x:f>IF(C321="","",IFERROR(D321/C321,0))</x:f>
      </x:c>
      <x:c r="H321" s="36" t="n">
        <x:v>2</x:v>
      </x:c>
      <x:c r="I321" t="n">
        <x:v>497</x:v>
      </x:c>
      <x:c r="J321" t="n">
        <x:v>79</x:v>
      </x:c>
      <x:c r="K321" t="n">
        <x:v>0</x:v>
      </x:c>
      <x:c r="L321" t="n">
        <x:v>0</x:v>
      </x:c>
      <x:c r="M321" t="n">
        <x:v>0</x:v>
      </x:c>
      <x:c r="N321" t="n">
        <x:v>1</x:v>
      </x:c>
      <x:c r="O321" t="n">
        <x:v>0</x:v>
      </x:c>
      <x:c r="P321" t="n">
        <x:v>0</x:v>
      </x:c>
      <x:c r="Q321" t="n">
        <x:v>0</x:v>
      </x:c>
      <x:c r="R321" t="n">
        <x:v>2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s="50" t="n">
        <x:f>IF(D321=0,"",H321/D321)</x:f>
        <x:v>0.003424657534246575</x:v>
      </x:c>
      <x:c r="X321" t="n">
        <x:f>MAX(I321:V321)</x:f>
        <x:v>497</x:v>
      </x:c>
      <x:c r="Y321" t="n">
        <x:f>H321-X321</x:f>
        <x:v>-495</x:v>
      </x:c>
      <x:c r="Z321" s="52" t="n">
        <x:f>IF(D321=0,"",(Y321)/D321)</x:f>
        <x:v>-0.8476027397260274</x:v>
      </x:c>
      <x:c r="AA321" t="str">
        <x:v>Dr. Mahesh Sharma</x:v>
      </x:c>
      <x:c r="AB321" t="n">
        <x:f>D321-E321-F321</x:f>
        <x:v>0</x:v>
      </x:c>
    </x:row>
    <x:row r="322">
      <x:c r="A322" t="n">
        <x:v>314</x:v>
      </x:c>
      <x:c r="B322" t="str">
        <x:v>2024 location: not supplied</x:v>
      </x:c>
      <x:c r="C322"/>
      <x:c r="D322" t="n">
        <x:v>626</x:v>
      </x:c>
      <x:c r="E322" t="n">
        <x:f>SUM(H322:V322)</x:f>
        <x:v>623</x:v>
      </x:c>
      <x:c r="F322" t="n">
        <x:v>3</x:v>
      </x:c>
      <x:c r="G322" s="50" t="str">
        <x:f>IF(C322="","",IFERROR(D322/C322,0))</x:f>
      </x:c>
      <x:c r="H322" s="36" t="n">
        <x:v>15</x:v>
      </x:c>
      <x:c r="I322" t="n">
        <x:v>469</x:v>
      </x:c>
      <x:c r="J322" t="n">
        <x:v>134</x:v>
      </x:c>
      <x:c r="K322" t="n">
        <x:v>0</x:v>
      </x:c>
      <x:c r="L322" t="n">
        <x:v>1</x:v>
      </x:c>
      <x:c r="M322" t="n">
        <x:v>0</x:v>
      </x:c>
      <x:c r="N322" t="n">
        <x:v>2</x:v>
      </x:c>
      <x:c r="O322" t="n">
        <x:v>0</x:v>
      </x:c>
      <x:c r="P322" t="n">
        <x:v>1</x:v>
      </x:c>
      <x:c r="Q322" t="n">
        <x:v>0</x:v>
      </x:c>
      <x:c r="R322" t="n">
        <x:v>1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s="50" t="n">
        <x:f>IF(D322=0,"",H322/D322)</x:f>
        <x:v>0.023961661341853034</x:v>
      </x:c>
      <x:c r="X322" t="n">
        <x:f>MAX(I322:V322)</x:f>
        <x:v>469</x:v>
      </x:c>
      <x:c r="Y322" t="n">
        <x:f>H322-X322</x:f>
        <x:v>-454</x:v>
      </x:c>
      <x:c r="Z322" s="52" t="n">
        <x:f>IF(D322=0,"",(Y322)/D322)</x:f>
        <x:v>-0.7252396166134185</x:v>
      </x:c>
      <x:c r="AA322" t="str">
        <x:v>Dr. Mahesh Sharma</x:v>
      </x:c>
      <x:c r="AB322" t="n">
        <x:f>D322-E322-F322</x:f>
        <x:v>0</x:v>
      </x:c>
    </x:row>
    <x:row r="323">
      <x:c r="A323" t="n">
        <x:v>315</x:v>
      </x:c>
      <x:c r="B323" t="str">
        <x:v>2024 location: not supplied</x:v>
      </x:c>
      <x:c r="C323"/>
      <x:c r="D323" t="n">
        <x:v>486</x:v>
      </x:c>
      <x:c r="E323" t="n">
        <x:f>SUM(H323:V323)</x:f>
        <x:v>484</x:v>
      </x:c>
      <x:c r="F323" t="n">
        <x:v>2</x:v>
      </x:c>
      <x:c r="G323" s="50" t="str">
        <x:f>IF(C323="","",IFERROR(D323/C323,0))</x:f>
      </x:c>
      <x:c r="H323" s="36" t="n">
        <x:v>25</x:v>
      </x:c>
      <x:c r="I323" t="n">
        <x:v>226</x:v>
      </x:c>
      <x:c r="J323" t="n">
        <x:v>221</x:v>
      </x:c>
      <x:c r="K323" t="n">
        <x:v>0</x:v>
      </x:c>
      <x:c r="L323" t="n">
        <x:v>2</x:v>
      </x:c>
      <x:c r="M323" t="n">
        <x:v>0</x:v>
      </x:c>
      <x:c r="N323" t="n">
        <x:v>0</x:v>
      </x:c>
      <x:c r="O323" t="n">
        <x:v>2</x:v>
      </x:c>
      <x:c r="P323" t="n">
        <x:v>2</x:v>
      </x:c>
      <x:c r="Q323" t="n">
        <x:v>0</x:v>
      </x:c>
      <x:c r="R323" t="n">
        <x:v>2</x:v>
      </x:c>
      <x:c r="S323" t="n">
        <x:v>0</x:v>
      </x:c>
      <x:c r="T323" t="n">
        <x:v>3</x:v>
      </x:c>
      <x:c r="U323" t="n">
        <x:v>1</x:v>
      </x:c>
      <x:c r="V323" t="n">
        <x:v>0</x:v>
      </x:c>
      <x:c r="W323" s="50" t="n">
        <x:f>IF(D323=0,"",H323/D323)</x:f>
        <x:v>0.051440329218107</x:v>
      </x:c>
      <x:c r="X323" t="n">
        <x:f>MAX(I323:V323)</x:f>
        <x:v>226</x:v>
      </x:c>
      <x:c r="Y323" t="n">
        <x:f>H323-X323</x:f>
        <x:v>-201</x:v>
      </x:c>
      <x:c r="Z323" s="52" t="n">
        <x:f>IF(D323=0,"",(Y323)/D323)</x:f>
        <x:v>-0.41358024691358025</x:v>
      </x:c>
      <x:c r="AA323" t="str">
        <x:v>Dr. Mahesh Sharma</x:v>
      </x:c>
      <x:c r="AB323" t="n">
        <x:f>D323-E323-F323</x:f>
        <x:v>0</x:v>
      </x:c>
    </x:row>
    <x:row r="324">
      <x:c r="A324" t="n">
        <x:v>316</x:v>
      </x:c>
      <x:c r="B324" t="str">
        <x:v>2024 location: not supplied</x:v>
      </x:c>
      <x:c r="C324"/>
      <x:c r="D324" t="n">
        <x:v>605</x:v>
      </x:c>
      <x:c r="E324" t="n">
        <x:f>SUM(H324:V324)</x:f>
        <x:v>604</x:v>
      </x:c>
      <x:c r="F324" t="n">
        <x:v>1</x:v>
      </x:c>
      <x:c r="G324" s="50" t="str">
        <x:f>IF(C324="","",IFERROR(D324/C324,0))</x:f>
      </x:c>
      <x:c r="H324" s="36" t="n">
        <x:v>25</x:v>
      </x:c>
      <x:c r="I324" t="n">
        <x:v>223</x:v>
      </x:c>
      <x:c r="J324" t="n">
        <x:v>344</x:v>
      </x:c>
      <x:c r="K324" t="n">
        <x:v>0</x:v>
      </x:c>
      <x:c r="L324" t="n">
        <x:v>1</x:v>
      </x:c>
      <x:c r="M324" t="n">
        <x:v>0</x:v>
      </x:c>
      <x:c r="N324" t="n">
        <x:v>0</x:v>
      </x:c>
      <x:c r="O324" t="n">
        <x:v>1</x:v>
      </x:c>
      <x:c r="P324" t="n">
        <x:v>1</x:v>
      </x:c>
      <x:c r="Q324" t="n">
        <x:v>0</x:v>
      </x:c>
      <x:c r="R324" t="n">
        <x:v>0</x:v>
      </x:c>
      <x:c r="S324" t="n">
        <x:v>4</x:v>
      </x:c>
      <x:c r="T324" t="n">
        <x:v>1</x:v>
      </x:c>
      <x:c r="U324" t="n">
        <x:v>3</x:v>
      </x:c>
      <x:c r="V324" t="n">
        <x:v>1</x:v>
      </x:c>
      <x:c r="W324" s="50" t="n">
        <x:f>IF(D324=0,"",H324/D324)</x:f>
        <x:v>0.04132231404958678</x:v>
      </x:c>
      <x:c r="X324" t="n">
        <x:f>MAX(I324:V324)</x:f>
        <x:v>344</x:v>
      </x:c>
      <x:c r="Y324" t="n">
        <x:f>H324-X324</x:f>
        <x:v>-319</x:v>
      </x:c>
      <x:c r="Z324" s="52" t="n">
        <x:f>IF(D324=0,"",(Y324)/D324)</x:f>
        <x:v>-0.5272727272727272</x:v>
      </x:c>
      <x:c r="AA324" t="str">
        <x:v>Rajendra Singh Solanki</x:v>
      </x:c>
      <x:c r="AB324" t="n">
        <x:f>D324-E324-F324</x:f>
        <x:v>0</x:v>
      </x:c>
    </x:row>
    <x:row r="325">
      <x:c r="A325" t="n">
        <x:v>317</x:v>
      </x:c>
      <x:c r="B325" t="str">
        <x:v>2024 location: not supplied</x:v>
      </x:c>
      <x:c r="C325"/>
      <x:c r="D325" t="n">
        <x:v>490</x:v>
      </x:c>
      <x:c r="E325" t="n">
        <x:f>SUM(H325:V325)</x:f>
        <x:v>486</x:v>
      </x:c>
      <x:c r="F325" t="n">
        <x:v>4</x:v>
      </x:c>
      <x:c r="G325" s="50" t="str">
        <x:f>IF(C325="","",IFERROR(D325/C325,0))</x:f>
      </x:c>
      <x:c r="H325" s="36" t="n">
        <x:v>7</x:v>
      </x:c>
      <x:c r="I325" t="n">
        <x:v>396</x:v>
      </x:c>
      <x:c r="J325" t="n">
        <x:v>78</x:v>
      </x:c>
      <x:c r="K325" t="n">
        <x:v>0</x:v>
      </x:c>
      <x:c r="L325" t="n">
        <x:v>1</x:v>
      </x:c>
      <x:c r="M325" t="n">
        <x:v>0</x:v>
      </x:c>
      <x:c r="N325" t="n">
        <x:v>1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2</x:v>
      </x:c>
      <x:c r="V325" t="n">
        <x:v>1</x:v>
      </x:c>
      <x:c r="W325" s="50" t="n">
        <x:f>IF(D325=0,"",H325/D325)</x:f>
        <x:v>0.014285714285714285</x:v>
      </x:c>
      <x:c r="X325" t="n">
        <x:f>MAX(I325:V325)</x:f>
        <x:v>396</x:v>
      </x:c>
      <x:c r="Y325" t="n">
        <x:f>H325-X325</x:f>
        <x:v>-389</x:v>
      </x:c>
      <x:c r="Z325" s="52" t="n">
        <x:f>IF(D325=0,"",(Y325)/D325)</x:f>
        <x:v>-0.7938775510204081</x:v>
      </x:c>
      <x:c r="AA325" t="str">
        <x:v>Dr. Mahesh Sharma</x:v>
      </x:c>
      <x:c r="AB325" t="n">
        <x:f>D325-E325-F325</x:f>
        <x:v>0</x:v>
      </x:c>
    </x:row>
    <x:row r="326">
      <x:c r="A326" t="n">
        <x:v>318</x:v>
      </x:c>
      <x:c r="B326" t="str">
        <x:v>2024 location: not supplied</x:v>
      </x:c>
      <x:c r="C326"/>
      <x:c r="D326" t="n">
        <x:v>408</x:v>
      </x:c>
      <x:c r="E326" t="n">
        <x:f>SUM(H326:V326)</x:f>
        <x:v>408</x:v>
      </x:c>
      <x:c r="F326" t="n">
        <x:v>0</x:v>
      </x:c>
      <x:c r="G326" s="50" t="str">
        <x:f>IF(C326="","",IFERROR(D326/C326,0))</x:f>
      </x:c>
      <x:c r="H326" s="36" t="n">
        <x:v>7</x:v>
      </x:c>
      <x:c r="I326" t="n">
        <x:v>220</x:v>
      </x:c>
      <x:c r="J326" t="n">
        <x:v>169</x:v>
      </x:c>
      <x:c r="K326" t="n">
        <x:v>0</x:v>
      </x:c>
      <x:c r="L326" t="n">
        <x:v>4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1</x:v>
      </x:c>
      <x:c r="S326" t="n">
        <x:v>0</x:v>
      </x:c>
      <x:c r="T326" t="n">
        <x:v>2</x:v>
      </x:c>
      <x:c r="U326" t="n">
        <x:v>1</x:v>
      </x:c>
      <x:c r="V326" t="n">
        <x:v>4</x:v>
      </x:c>
      <x:c r="W326" s="50" t="n">
        <x:f>IF(D326=0,"",H326/D326)</x:f>
        <x:v>0.01715686274509804</x:v>
      </x:c>
      <x:c r="X326" t="n">
        <x:f>MAX(I326:V326)</x:f>
        <x:v>220</x:v>
      </x:c>
      <x:c r="Y326" t="n">
        <x:f>H326-X326</x:f>
        <x:v>-213</x:v>
      </x:c>
      <x:c r="Z326" s="52" t="n">
        <x:f>IF(D326=0,"",(Y326)/D326)</x:f>
        <x:v>-0.5220588235294118</x:v>
      </x:c>
      <x:c r="AA326" t="str">
        <x:v>Dr. Mahesh Sharma</x:v>
      </x:c>
      <x:c r="AB326" t="n">
        <x:f>D326-E326-F326</x:f>
        <x:v>0</x:v>
      </x:c>
    </x:row>
    <x:row r="327">
      <x:c r="A327" t="n">
        <x:v>319</x:v>
      </x:c>
      <x:c r="B327" t="str">
        <x:v>2024 location: not supplied</x:v>
      </x:c>
      <x:c r="C327"/>
      <x:c r="D327" t="n">
        <x:v>735</x:v>
      </x:c>
      <x:c r="E327" t="n">
        <x:f>SUM(H327:V327)</x:f>
        <x:v>733</x:v>
      </x:c>
      <x:c r="F327" t="n">
        <x:v>2</x:v>
      </x:c>
      <x:c r="G327" s="50" t="str">
        <x:f>IF(C327="","",IFERROR(D327/C327,0))</x:f>
      </x:c>
      <x:c r="H327" s="36" t="n">
        <x:v>114</x:v>
      </x:c>
      <x:c r="I327" t="n">
        <x:v>193</x:v>
      </x:c>
      <x:c r="J327" t="n">
        <x:v>403</x:v>
      </x:c>
      <x:c r="K327" t="n">
        <x:v>0</x:v>
      </x:c>
      <x:c r="L327" t="n">
        <x:v>5</x:v>
      </x:c>
      <x:c r="M327" t="n">
        <x:v>2</x:v>
      </x:c>
      <x:c r="N327" t="n">
        <x:v>5</x:v>
      </x:c>
      <x:c r="O327" t="n">
        <x:v>0</x:v>
      </x:c>
      <x:c r="P327" t="n">
        <x:v>1</x:v>
      </x:c>
      <x:c r="Q327" t="n">
        <x:v>2</x:v>
      </x:c>
      <x:c r="R327" t="n">
        <x:v>1</x:v>
      </x:c>
      <x:c r="S327" t="n">
        <x:v>0</x:v>
      </x:c>
      <x:c r="T327" t="n">
        <x:v>0</x:v>
      </x:c>
      <x:c r="U327" t="n">
        <x:v>5</x:v>
      </x:c>
      <x:c r="V327" t="n">
        <x:v>2</x:v>
      </x:c>
      <x:c r="W327" s="50" t="n">
        <x:f>IF(D327=0,"",H327/D327)</x:f>
        <x:v>0.15510204081632653</x:v>
      </x:c>
      <x:c r="X327" t="n">
        <x:f>MAX(I327:V327)</x:f>
        <x:v>403</x:v>
      </x:c>
      <x:c r="Y327" t="n">
        <x:f>H327-X327</x:f>
        <x:v>-289</x:v>
      </x:c>
      <x:c r="Z327" s="52" t="n">
        <x:f>IF(D327=0,"",(Y327)/D327)</x:f>
        <x:v>-0.39319727891156464</x:v>
      </x:c>
      <x:c r="AA327" t="str">
        <x:v>Rajendra Singh Solanki</x:v>
      </x:c>
      <x:c r="AB327" t="n">
        <x:f>D327-E327-F327</x:f>
        <x:v>0</x:v>
      </x:c>
    </x:row>
    <x:row r="328">
      <x:c r="A328" t="n">
        <x:v>320</x:v>
      </x:c>
      <x:c r="B328" t="str">
        <x:v>2024 location: not supplied</x:v>
      </x:c>
      <x:c r="C328"/>
      <x:c r="D328" t="n">
        <x:v>573</x:v>
      </x:c>
      <x:c r="E328" t="n">
        <x:f>SUM(H328:V328)</x:f>
        <x:v>572</x:v>
      </x:c>
      <x:c r="F328" t="n">
        <x:v>1</x:v>
      </x:c>
      <x:c r="G328" s="50" t="str">
        <x:f>IF(C328="","",IFERROR(D328/C328,0))</x:f>
      </x:c>
      <x:c r="H328" s="36" t="n">
        <x:v>163</x:v>
      </x:c>
      <x:c r="I328" t="n">
        <x:v>363</x:v>
      </x:c>
      <x:c r="J328" t="n">
        <x:v>45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1</x:v>
      </x:c>
      <x:c r="V328" t="n">
        <x:v>0</x:v>
      </x:c>
      <x:c r="W328" s="50" t="n">
        <x:f>IF(D328=0,"",H328/D328)</x:f>
        <x:v>0.2844677137870855</x:v>
      </x:c>
      <x:c r="X328" t="n">
        <x:f>MAX(I328:V328)</x:f>
        <x:v>363</x:v>
      </x:c>
      <x:c r="Y328" t="n">
        <x:f>H328-X328</x:f>
        <x:v>-200</x:v>
      </x:c>
      <x:c r="Z328" s="52" t="n">
        <x:f>IF(D328=0,"",(Y328)/D328)</x:f>
        <x:v>-0.34904013961605584</x:v>
      </x:c>
      <x:c r="AA328" t="str">
        <x:v>Dr. Mahesh Sharma</x:v>
      </x:c>
      <x:c r="AB328" t="n">
        <x:f>D328-E328-F328</x:f>
        <x:v>0</x:v>
      </x:c>
    </x:row>
    <x:row r="329">
      <x:c r="A329" t="n">
        <x:v>321</x:v>
      </x:c>
      <x:c r="B329" t="str">
        <x:v>2024 location: not supplied</x:v>
      </x:c>
      <x:c r="C329"/>
      <x:c r="D329" t="n">
        <x:v>417</x:v>
      </x:c>
      <x:c r="E329" t="n">
        <x:f>SUM(H329:V329)</x:f>
        <x:v>416</x:v>
      </x:c>
      <x:c r="F329" t="n">
        <x:v>1</x:v>
      </x:c>
      <x:c r="G329" s="50" t="str">
        <x:f>IF(C329="","",IFERROR(D329/C329,0))</x:f>
      </x:c>
      <x:c r="H329" s="36" t="n">
        <x:v>81</x:v>
      </x:c>
      <x:c r="I329" t="n">
        <x:v>233</x:v>
      </x:c>
      <x:c r="J329" t="n">
        <x:v>97</x:v>
      </x:c>
      <x:c r="K329" t="n">
        <x:v>0</x:v>
      </x:c>
      <x:c r="L329" t="n">
        <x:v>0</x:v>
      </x:c>
      <x:c r="M329" t="n">
        <x:v>0</x:v>
      </x:c>
      <x:c r="N329" t="n">
        <x:v>2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2</x:v>
      </x:c>
      <x:c r="V329" t="n">
        <x:v>1</x:v>
      </x:c>
      <x:c r="W329" s="50" t="n">
        <x:f>IF(D329=0,"",H329/D329)</x:f>
        <x:v>0.19424460431654678</x:v>
      </x:c>
      <x:c r="X329" t="n">
        <x:f>MAX(I329:V329)</x:f>
        <x:v>233</x:v>
      </x:c>
      <x:c r="Y329" t="n">
        <x:f>H329-X329</x:f>
        <x:v>-152</x:v>
      </x:c>
      <x:c r="Z329" s="52" t="n">
        <x:f>IF(D329=0,"",(Y329)/D329)</x:f>
        <x:v>-0.3645083932853717</x:v>
      </x:c>
      <x:c r="AA329" t="str">
        <x:v>Dr. Mahesh Sharma</x:v>
      </x:c>
      <x:c r="AB329" t="n">
        <x:f>D329-E329-F329</x:f>
        <x:v>0</x:v>
      </x:c>
    </x:row>
    <x:row r="330">
      <x:c r="A330" t="n">
        <x:v>322</x:v>
      </x:c>
      <x:c r="B330" t="str">
        <x:v>2024 location: not supplied</x:v>
      </x:c>
      <x:c r="C330"/>
      <x:c r="D330" t="n">
        <x:v>579</x:v>
      </x:c>
      <x:c r="E330" t="n">
        <x:f>SUM(H330:V330)</x:f>
        <x:v>574</x:v>
      </x:c>
      <x:c r="F330" t="n">
        <x:v>5</x:v>
      </x:c>
      <x:c r="G330" s="50" t="str">
        <x:f>IF(C330="","",IFERROR(D330/C330,0))</x:f>
      </x:c>
      <x:c r="H330" s="36" t="n">
        <x:v>29</x:v>
      </x:c>
      <x:c r="I330" t="n">
        <x:v>489</x:v>
      </x:c>
      <x:c r="J330" t="n">
        <x:v>26</x:v>
      </x:c>
      <x:c r="K330" t="n">
        <x:v>0</x:v>
      </x:c>
      <x:c r="L330" t="n">
        <x:v>0</x:v>
      </x:c>
      <x:c r="M330" t="n">
        <x:v>0</x:v>
      </x:c>
      <x:c r="N330" t="n">
        <x:v>6</x:v>
      </x:c>
      <x:c r="O330" t="n">
        <x:v>1</x:v>
      </x:c>
      <x:c r="P330" t="n">
        <x:v>1</x:v>
      </x:c>
      <x:c r="Q330" t="n">
        <x:v>0</x:v>
      </x:c>
      <x:c r="R330" t="n">
        <x:v>3</x:v>
      </x:c>
      <x:c r="S330" t="n">
        <x:v>0</x:v>
      </x:c>
      <x:c r="T330" t="n">
        <x:v>1</x:v>
      </x:c>
      <x:c r="U330" t="n">
        <x:v>2</x:v>
      </x:c>
      <x:c r="V330" t="n">
        <x:v>16</x:v>
      </x:c>
      <x:c r="W330" s="50" t="n">
        <x:f>IF(D330=0,"",H330/D330)</x:f>
        <x:v>0.05008635578583765</x:v>
      </x:c>
      <x:c r="X330" t="n">
        <x:f>MAX(I330:V330)</x:f>
        <x:v>489</x:v>
      </x:c>
      <x:c r="Y330" t="n">
        <x:f>H330-X330</x:f>
        <x:v>-460</x:v>
      </x:c>
      <x:c r="Z330" s="52" t="n">
        <x:f>IF(D330=0,"",(Y330)/D330)</x:f>
        <x:v>-0.7944732297063903</x:v>
      </x:c>
      <x:c r="AA330" t="str">
        <x:v>Dr. Mahesh Sharma</x:v>
      </x:c>
      <x:c r="AB330" t="n">
        <x:f>D330-E330-F330</x:f>
        <x:v>0</x:v>
      </x:c>
    </x:row>
    <x:row r="331">
      <x:c r="A331" t="n">
        <x:v>323</x:v>
      </x:c>
      <x:c r="B331" t="str">
        <x:v>2024 location: not supplied</x:v>
      </x:c>
      <x:c r="C331"/>
      <x:c r="D331" t="n">
        <x:v>605</x:v>
      </x:c>
      <x:c r="E331" t="n">
        <x:f>SUM(H331:V331)</x:f>
        <x:v>598</x:v>
      </x:c>
      <x:c r="F331" t="n">
        <x:v>7</x:v>
      </x:c>
      <x:c r="G331" s="50" t="str">
        <x:f>IF(C331="","",IFERROR(D331/C331,0))</x:f>
      </x:c>
      <x:c r="H331" s="36" t="n">
        <x:v>111</x:v>
      </x:c>
      <x:c r="I331" t="n">
        <x:v>430</x:v>
      </x:c>
      <x:c r="J331" t="n">
        <x:v>52</x:v>
      </x:c>
      <x:c r="K331" t="n">
        <x:v>0</x:v>
      </x:c>
      <x:c r="L331" t="n">
        <x:v>0</x:v>
      </x:c>
      <x:c r="M331" t="n">
        <x:v>0</x:v>
      </x:c>
      <x:c r="N331" t="n">
        <x:v>3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1</x:v>
      </x:c>
      <x:c r="T331" t="n">
        <x:v>0</x:v>
      </x:c>
      <x:c r="U331" t="n">
        <x:v>1</x:v>
      </x:c>
      <x:c r="V331" t="n">
        <x:v>0</x:v>
      </x:c>
      <x:c r="W331" s="50" t="n">
        <x:f>IF(D331=0,"",H331/D331)</x:f>
        <x:v>0.1834710743801653</x:v>
      </x:c>
      <x:c r="X331" t="n">
        <x:f>MAX(I331:V331)</x:f>
        <x:v>430</x:v>
      </x:c>
      <x:c r="Y331" t="n">
        <x:f>H331-X331</x:f>
        <x:v>-319</x:v>
      </x:c>
      <x:c r="Z331" s="52" t="n">
        <x:f>IF(D331=0,"",(Y331)/D331)</x:f>
        <x:v>-0.5272727272727272</x:v>
      </x:c>
      <x:c r="AA331" t="str">
        <x:v>Dr. Mahesh Sharma</x:v>
      </x:c>
      <x:c r="AB331" t="n">
        <x:f>D331-E331-F331</x:f>
        <x:v>0</x:v>
      </x:c>
    </x:row>
    <x:row r="332">
      <x:c r="A332" t="n">
        <x:v>324</x:v>
      </x:c>
      <x:c r="B332" t="str">
        <x:v>2024 location: not supplied</x:v>
      </x:c>
      <x:c r="C332"/>
      <x:c r="D332" t="n">
        <x:v>545</x:v>
      </x:c>
      <x:c r="E332" t="n">
        <x:f>SUM(H332:V332)</x:f>
        <x:v>538</x:v>
      </x:c>
      <x:c r="F332" t="n">
        <x:v>7</x:v>
      </x:c>
      <x:c r="G332" s="50" t="str">
        <x:f>IF(C332="","",IFERROR(D332/C332,0))</x:f>
      </x:c>
      <x:c r="H332" s="36" t="n">
        <x:v>102</x:v>
      </x:c>
      <x:c r="I332" t="n">
        <x:v>164</x:v>
      </x:c>
      <x:c r="J332" t="n">
        <x:v>264</x:v>
      </x:c>
      <x:c r="K332" t="n">
        <x:v>0</x:v>
      </x:c>
      <x:c r="L332" t="n">
        <x:v>1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3</x:v>
      </x:c>
      <x:c r="V332" t="n">
        <x:v>4</x:v>
      </x:c>
      <x:c r="W332" s="50" t="n">
        <x:f>IF(D332=0,"",H332/D332)</x:f>
        <x:v>0.1871559633027523</x:v>
      </x:c>
      <x:c r="X332" t="n">
        <x:f>MAX(I332:V332)</x:f>
        <x:v>264</x:v>
      </x:c>
      <x:c r="Y332" t="n">
        <x:f>H332-X332</x:f>
        <x:v>-162</x:v>
      </x:c>
      <x:c r="Z332" s="52" t="n">
        <x:f>IF(D332=0,"",(Y332)/D332)</x:f>
        <x:v>-0.29724770642201837</x:v>
      </x:c>
      <x:c r="AA332" t="str">
        <x:v>Rajendra Singh Solanki</x:v>
      </x:c>
      <x:c r="AB332" t="n">
        <x:f>D332-E332-F332</x:f>
        <x:v>0</x:v>
      </x:c>
    </x:row>
    <x:row r="333">
      <x:c r="A333" t="n">
        <x:v>325</x:v>
      </x:c>
      <x:c r="B333" t="str">
        <x:v>2024 location: not supplied</x:v>
      </x:c>
      <x:c r="C333"/>
      <x:c r="D333" t="n">
        <x:v>777</x:v>
      </x:c>
      <x:c r="E333" t="n">
        <x:f>SUM(H333:V333)</x:f>
        <x:v>771</x:v>
      </x:c>
      <x:c r="F333" t="n">
        <x:v>6</x:v>
      </x:c>
      <x:c r="G333" s="50" t="str">
        <x:f>IF(C333="","",IFERROR(D333/C333,0))</x:f>
      </x:c>
      <x:c r="H333" s="36" t="n">
        <x:v>21</x:v>
      </x:c>
      <x:c r="I333" t="n">
        <x:v>688</x:v>
      </x:c>
      <x:c r="J333" t="n">
        <x:v>30</x:v>
      </x:c>
      <x:c r="K333" t="n">
        <x:v>0</x:v>
      </x:c>
      <x:c r="L333" t="n">
        <x:v>4</x:v>
      </x:c>
      <x:c r="M333" t="n">
        <x:v>0</x:v>
      </x:c>
      <x:c r="N333" t="n">
        <x:v>11</x:v>
      </x:c>
      <x:c r="O333" t="n">
        <x:v>1</x:v>
      </x:c>
      <x:c r="P333" t="n">
        <x:v>2</x:v>
      </x:c>
      <x:c r="Q333" t="n">
        <x:v>0</x:v>
      </x:c>
      <x:c r="R333" t="n">
        <x:v>0</x:v>
      </x:c>
      <x:c r="S333" t="n">
        <x:v>0</x:v>
      </x:c>
      <x:c r="T333" t="n">
        <x:v>2</x:v>
      </x:c>
      <x:c r="U333" t="n">
        <x:v>4</x:v>
      </x:c>
      <x:c r="V333" t="n">
        <x:v>8</x:v>
      </x:c>
      <x:c r="W333" s="50" t="n">
        <x:f>IF(D333=0,"",H333/D333)</x:f>
        <x:v>0.02702702702702703</x:v>
      </x:c>
      <x:c r="X333" t="n">
        <x:f>MAX(I333:V333)</x:f>
        <x:v>688</x:v>
      </x:c>
      <x:c r="Y333" t="n">
        <x:f>H333-X333</x:f>
        <x:v>-667</x:v>
      </x:c>
      <x:c r="Z333" s="52" t="n">
        <x:f>IF(D333=0,"",(Y333)/D333)</x:f>
        <x:v>-0.8584298584298584</x:v>
      </x:c>
      <x:c r="AA333" t="str">
        <x:v>Dr. Mahesh Sharma</x:v>
      </x:c>
      <x:c r="AB333" t="n">
        <x:f>D333-E333-F333</x:f>
        <x:v>0</x:v>
      </x:c>
    </x:row>
    <x:row r="334">
      <x:c r="A334" t="n">
        <x:v>326</x:v>
      </x:c>
      <x:c r="B334" t="str">
        <x:v>2024 location: not supplied</x:v>
      </x:c>
      <x:c r="C334"/>
      <x:c r="D334" t="n">
        <x:v>641</x:v>
      </x:c>
      <x:c r="E334" t="n">
        <x:f>SUM(H334:V334)</x:f>
        <x:v>637</x:v>
      </x:c>
      <x:c r="F334" t="n">
        <x:v>4</x:v>
      </x:c>
      <x:c r="G334" s="50" t="str">
        <x:f>IF(C334="","",IFERROR(D334/C334,0))</x:f>
      </x:c>
      <x:c r="H334" s="36" t="n">
        <x:v>45</x:v>
      </x:c>
      <x:c r="I334" t="n">
        <x:v>172</x:v>
      </x:c>
      <x:c r="J334" t="n">
        <x:v>407</x:v>
      </x:c>
      <x:c r="K334" t="n">
        <x:v>0</x:v>
      </x:c>
      <x:c r="L334" t="n">
        <x:v>3</x:v>
      </x:c>
      <x:c r="M334" t="n">
        <x:v>0</x:v>
      </x:c>
      <x:c r="N334" t="n">
        <x:v>0</x:v>
      </x:c>
      <x:c r="O334" t="n">
        <x:v>2</x:v>
      </x:c>
      <x:c r="P334" t="n">
        <x:v>0</x:v>
      </x:c>
      <x:c r="Q334" t="n">
        <x:v>1</x:v>
      </x:c>
      <x:c r="R334" t="n">
        <x:v>0</x:v>
      </x:c>
      <x:c r="S334" t="n">
        <x:v>3</x:v>
      </x:c>
      <x:c r="T334" t="n">
        <x:v>0</x:v>
      </x:c>
      <x:c r="U334" t="n">
        <x:v>4</x:v>
      </x:c>
      <x:c r="V334" t="n">
        <x:v>0</x:v>
      </x:c>
      <x:c r="W334" s="50" t="n">
        <x:f>IF(D334=0,"",H334/D334)</x:f>
        <x:v>0.07020280811232449</x:v>
      </x:c>
      <x:c r="X334" t="n">
        <x:f>MAX(I334:V334)</x:f>
        <x:v>407</x:v>
      </x:c>
      <x:c r="Y334" t="n">
        <x:f>H334-X334</x:f>
        <x:v>-362</x:v>
      </x:c>
      <x:c r="Z334" s="52" t="n">
        <x:f>IF(D334=0,"",(Y334)/D334)</x:f>
        <x:v>-0.5647425897035881</x:v>
      </x:c>
      <x:c r="AA334" t="str">
        <x:v>Rajendra Singh Solanki</x:v>
      </x:c>
      <x:c r="AB334" t="n">
        <x:f>D334-E334-F334</x:f>
        <x:v>0</x:v>
      </x:c>
    </x:row>
    <x:row r="335">
      <x:c r="A335" t="n">
        <x:v>327</x:v>
      </x:c>
      <x:c r="B335" t="str">
        <x:v>2024 location: not supplied</x:v>
      </x:c>
      <x:c r="C335"/>
      <x:c r="D335" t="n">
        <x:v>0</x:v>
      </x:c>
      <x:c r="E335" t="n">
        <x:f>SUM(H335:V335)</x:f>
        <x:v>0</x:v>
      </x:c>
      <x:c r="F335" t="n">
        <x:v>0</x:v>
      </x:c>
      <x:c r="G335" s="50" t="str">
        <x:f>IF(C335="","",IFERROR(D335/C335,0))</x:f>
      </x:c>
      <x:c r="H335" s="36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s="50" t="str">
        <x:f>IF(D335=0,"",H335/D335)</x:f>
      </x:c>
      <x:c r="X335" t="n">
        <x:f>MAX(I335:V335)</x:f>
        <x:v>0</x:v>
      </x:c>
      <x:c r="Y335" t="n">
        <x:f>H335-X335</x:f>
        <x:v>0</x:v>
      </x:c>
      <x:c r="Z335" s="52" t="str">
        <x:f>IF(D335=0,"",(Y335)/D335)</x:f>
      </x:c>
      <x:c r="AA335" t="str">
        <x:v>No votes polled</x:v>
      </x:c>
      <x:c r="AB335" t="n">
        <x:f>D335-E335-F335</x:f>
        <x:v>0</x:v>
      </x:c>
    </x:row>
    <x:row r="336">
      <x:c r="A336" t="n">
        <x:v>328</x:v>
      </x:c>
      <x:c r="B336" t="str">
        <x:v>2024 location: not supplied</x:v>
      </x:c>
      <x:c r="C336"/>
      <x:c r="D336" t="n">
        <x:v>546</x:v>
      </x:c>
      <x:c r="E336" t="n">
        <x:f>SUM(H336:V336)</x:f>
        <x:v>546</x:v>
      </x:c>
      <x:c r="F336" t="n">
        <x:v>0</x:v>
      </x:c>
      <x:c r="G336" s="50" t="str">
        <x:f>IF(C336="","",IFERROR(D336/C336,0))</x:f>
      </x:c>
      <x:c r="H336" s="36" t="n">
        <x:v>167</x:v>
      </x:c>
      <x:c r="I336" t="n">
        <x:v>188</x:v>
      </x:c>
      <x:c r="J336" t="n">
        <x:v>178</x:v>
      </x:c>
      <x:c r="K336" t="n">
        <x:v>0</x:v>
      </x:c>
      <x:c r="L336" t="n">
        <x:v>2</x:v>
      </x:c>
      <x:c r="M336" t="n">
        <x:v>0</x:v>
      </x:c>
      <x:c r="N336" t="n">
        <x:v>2</x:v>
      </x:c>
      <x:c r="O336" t="n">
        <x:v>1</x:v>
      </x:c>
      <x:c r="P336" t="n">
        <x:v>3</x:v>
      </x:c>
      <x:c r="Q336" t="n">
        <x:v>0</x:v>
      </x:c>
      <x:c r="R336" t="n">
        <x:v>0</x:v>
      </x:c>
      <x:c r="S336" t="n">
        <x:v>0</x:v>
      </x:c>
      <x:c r="T336" t="n">
        <x:v>3</x:v>
      </x:c>
      <x:c r="U336" t="n">
        <x:v>0</x:v>
      </x:c>
      <x:c r="V336" t="n">
        <x:v>2</x:v>
      </x:c>
      <x:c r="W336" s="50" t="n">
        <x:f>IF(D336=0,"",H336/D336)</x:f>
        <x:v>0.3058608058608059</x:v>
      </x:c>
      <x:c r="X336" t="n">
        <x:f>MAX(I336:V336)</x:f>
        <x:v>188</x:v>
      </x:c>
      <x:c r="Y336" t="n">
        <x:f>H336-X336</x:f>
        <x:v>-21</x:v>
      </x:c>
      <x:c r="Z336" s="52" t="n">
        <x:f>IF(D336=0,"",(Y336)/D336)</x:f>
        <x:v>-0.038461538461538464</x:v>
      </x:c>
      <x:c r="AA336" t="str">
        <x:v>Dr. Mahesh Sharma</x:v>
      </x:c>
      <x:c r="AB336" t="n">
        <x:f>D336-E336-F336</x:f>
        <x:v>0</x:v>
      </x:c>
    </x:row>
    <x:row r="337">
      <x:c r="A337" t="n">
        <x:v>329</x:v>
      </x:c>
      <x:c r="B337" t="str">
        <x:v>2024 location: not supplied</x:v>
      </x:c>
      <x:c r="C337"/>
      <x:c r="D337" t="n">
        <x:v>435</x:v>
      </x:c>
      <x:c r="E337" t="n">
        <x:f>SUM(H337:V337)</x:f>
        <x:v>434</x:v>
      </x:c>
      <x:c r="F337" t="n">
        <x:v>1</x:v>
      </x:c>
      <x:c r="G337" s="50" t="str">
        <x:f>IF(C337="","",IFERROR(D337/C337,0))</x:f>
      </x:c>
      <x:c r="H337" s="36" t="n">
        <x:v>244</x:v>
      </x:c>
      <x:c r="I337" t="n">
        <x:v>60</x:v>
      </x:c>
      <x:c r="J337" t="n">
        <x:v>123</x:v>
      </x:c>
      <x:c r="K337" t="n">
        <x:v>1</x:v>
      </x:c>
      <x:c r="L337" t="n">
        <x:v>1</x:v>
      </x:c>
      <x:c r="M337" t="n">
        <x:v>1</x:v>
      </x:c>
      <x:c r="N337" t="n">
        <x:v>1</x:v>
      </x:c>
      <x:c r="O337" t="n">
        <x:v>1</x:v>
      </x:c>
      <x:c r="P337" t="n">
        <x:v>1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1</x:v>
      </x:c>
      <x:c r="W337" s="50" t="n">
        <x:f>IF(D337=0,"",H337/D337)</x:f>
        <x:v>0.5609195402298851</x:v>
      </x:c>
      <x:c r="X337" t="n">
        <x:f>MAX(I337:V337)</x:f>
        <x:v>123</x:v>
      </x:c>
      <x:c r="Y337" t="n">
        <x:f>H337-X337</x:f>
        <x:v>121</x:v>
      </x:c>
      <x:c r="Z337" s="52" t="n">
        <x:f>IF(D337=0,"",(Y337)/D337)</x:f>
        <x:v>0.27816091954022987</x:v>
      </x:c>
      <x:c r="AA337" t="str">
        <x:v>Dr. Mahendra Singh Nagar</x:v>
      </x:c>
      <x:c r="AB337" t="n">
        <x:f>D337-E337-F337</x:f>
        <x:v>0</x:v>
      </x:c>
    </x:row>
    <x:row r="338">
      <x:c r="A338" t="n">
        <x:v>330</x:v>
      </x:c>
      <x:c r="B338" t="str">
        <x:v>2024 location: not supplied</x:v>
      </x:c>
      <x:c r="C338"/>
      <x:c r="D338" t="n">
        <x:v>353</x:v>
      </x:c>
      <x:c r="E338" t="n">
        <x:f>SUM(H338:V338)</x:f>
        <x:v>351</x:v>
      </x:c>
      <x:c r="F338" t="n">
        <x:v>2</x:v>
      </x:c>
      <x:c r="G338" s="50" t="str">
        <x:f>IF(C338="","",IFERROR(D338/C338,0))</x:f>
      </x:c>
      <x:c r="H338" s="36" t="n">
        <x:v>50</x:v>
      </x:c>
      <x:c r="I338" t="n">
        <x:v>263</x:v>
      </x:c>
      <x:c r="J338" t="n">
        <x:v>34</x:v>
      </x:c>
      <x:c r="K338" t="n">
        <x:v>0</x:v>
      </x:c>
      <x:c r="L338" t="n">
        <x:v>2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2</x:v>
      </x:c>
      <x:c r="W338" s="50" t="n">
        <x:f>IF(D338=0,"",H338/D338)</x:f>
        <x:v>0.141643059490085</x:v>
      </x:c>
      <x:c r="X338" t="n">
        <x:f>MAX(I338:V338)</x:f>
        <x:v>263</x:v>
      </x:c>
      <x:c r="Y338" t="n">
        <x:f>H338-X338</x:f>
        <x:v>-213</x:v>
      </x:c>
      <x:c r="Z338" s="52" t="n">
        <x:f>IF(D338=0,"",(Y338)/D338)</x:f>
        <x:v>-0.603399433427762</x:v>
      </x:c>
      <x:c r="AA338" t="str">
        <x:v>Dr. Mahesh Sharma</x:v>
      </x:c>
      <x:c r="AB338" t="n">
        <x:f>D338-E338-F338</x:f>
        <x:v>0</x:v>
      </x:c>
    </x:row>
    <x:row r="339">
      <x:c r="A339" t="n">
        <x:v>331</x:v>
      </x:c>
      <x:c r="B339" t="str">
        <x:v>2024 location: not supplied</x:v>
      </x:c>
      <x:c r="C339"/>
      <x:c r="D339" t="n">
        <x:v>438</x:v>
      </x:c>
      <x:c r="E339" t="n">
        <x:f>SUM(H339:V339)</x:f>
        <x:v>436</x:v>
      </x:c>
      <x:c r="F339" t="n">
        <x:v>2</x:v>
      </x:c>
      <x:c r="G339" s="50" t="str">
        <x:f>IF(C339="","",IFERROR(D339/C339,0))</x:f>
      </x:c>
      <x:c r="H339" s="36" t="n">
        <x:v>55</x:v>
      </x:c>
      <x:c r="I339" t="n">
        <x:v>351</x:v>
      </x:c>
      <x:c r="J339" t="n">
        <x:v>27</x:v>
      </x:c>
      <x:c r="K339" t="n">
        <x:v>0</x:v>
      </x:c>
      <x:c r="L339" t="n">
        <x:v>2</x:v>
      </x:c>
      <x:c r="M339" t="n">
        <x:v>1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s="50" t="n">
        <x:f>IF(D339=0,"",H339/D339)</x:f>
        <x:v>0.12557077625570776</x:v>
      </x:c>
      <x:c r="X339" t="n">
        <x:f>MAX(I339:V339)</x:f>
        <x:v>351</x:v>
      </x:c>
      <x:c r="Y339" t="n">
        <x:f>H339-X339</x:f>
        <x:v>-296</x:v>
      </x:c>
      <x:c r="Z339" s="52" t="n">
        <x:f>IF(D339=0,"",(Y339)/D339)</x:f>
        <x:v>-0.6757990867579908</x:v>
      </x:c>
      <x:c r="AA339" t="str">
        <x:v>Dr. Mahesh Sharma</x:v>
      </x:c>
      <x:c r="AB339" t="n">
        <x:f>D339-E339-F339</x:f>
        <x:v>0</x:v>
      </x:c>
    </x:row>
    <x:row r="340">
      <x:c r="A340" t="n">
        <x:v>332</x:v>
      </x:c>
      <x:c r="B340" t="str">
        <x:v>2024 location: not supplied</x:v>
      </x:c>
      <x:c r="C340"/>
      <x:c r="D340" t="n">
        <x:v>336</x:v>
      </x:c>
      <x:c r="E340" t="n">
        <x:f>SUM(H340:V340)</x:f>
        <x:v>336</x:v>
      </x:c>
      <x:c r="F340" t="n">
        <x:v>0</x:v>
      </x:c>
      <x:c r="G340" s="50" t="str">
        <x:f>IF(C340="","",IFERROR(D340/C340,0))</x:f>
      </x:c>
      <x:c r="H340" s="36" t="n">
        <x:v>35</x:v>
      </x:c>
      <x:c r="I340" t="n">
        <x:v>277</x:v>
      </x:c>
      <x:c r="J340" t="n">
        <x:v>21</x:v>
      </x:c>
      <x:c r="K340" t="n">
        <x:v>0</x:v>
      </x:c>
      <x:c r="L340" t="n">
        <x:v>0</x:v>
      </x:c>
      <x:c r="M340" t="n">
        <x:v>0</x:v>
      </x:c>
      <x:c r="N340" t="n">
        <x:v>1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1</x:v>
      </x:c>
      <x:c r="T340" t="n">
        <x:v>0</x:v>
      </x:c>
      <x:c r="U340" t="n">
        <x:v>1</x:v>
      </x:c>
      <x:c r="V340" t="n">
        <x:v>0</x:v>
      </x:c>
      <x:c r="W340" s="50" t="n">
        <x:f>IF(D340=0,"",H340/D340)</x:f>
        <x:v>0.10416666666666667</x:v>
      </x:c>
      <x:c r="X340" t="n">
        <x:f>MAX(I340:V340)</x:f>
        <x:v>277</x:v>
      </x:c>
      <x:c r="Y340" t="n">
        <x:f>H340-X340</x:f>
        <x:v>-242</x:v>
      </x:c>
      <x:c r="Z340" s="52" t="n">
        <x:f>IF(D340=0,"",(Y340)/D340)</x:f>
        <x:v>-0.7202380952380952</x:v>
      </x:c>
      <x:c r="AA340" t="str">
        <x:v>Dr. Mahesh Sharma</x:v>
      </x:c>
      <x:c r="AB340" t="n">
        <x:f>D340-E340-F340</x:f>
        <x:v>0</x:v>
      </x:c>
    </x:row>
    <x:row r="341">
      <x:c r="A341" t="n">
        <x:v>333</x:v>
      </x:c>
      <x:c r="B341" t="str">
        <x:v>2024 location: not supplied</x:v>
      </x:c>
      <x:c r="C341"/>
      <x:c r="D341" t="n">
        <x:v>322</x:v>
      </x:c>
      <x:c r="E341" t="n">
        <x:f>SUM(H341:V341)</x:f>
        <x:v>322</x:v>
      </x:c>
      <x:c r="F341" t="n">
        <x:v>0</x:v>
      </x:c>
      <x:c r="G341" s="50" t="str">
        <x:f>IF(C341="","",IFERROR(D341/C341,0))</x:f>
      </x:c>
      <x:c r="H341" s="36" t="n">
        <x:v>9</x:v>
      </x:c>
      <x:c r="I341" t="n">
        <x:v>226</x:v>
      </x:c>
      <x:c r="J341" t="n">
        <x:v>86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1</x:v>
      </x:c>
      <x:c r="V341" t="n">
        <x:v>0</x:v>
      </x:c>
      <x:c r="W341" s="50" t="n">
        <x:f>IF(D341=0,"",H341/D341)</x:f>
        <x:v>0.027950310559006212</x:v>
      </x:c>
      <x:c r="X341" t="n">
        <x:f>MAX(I341:V341)</x:f>
        <x:v>226</x:v>
      </x:c>
      <x:c r="Y341" t="n">
        <x:f>H341-X341</x:f>
        <x:v>-217</x:v>
      </x:c>
      <x:c r="Z341" s="52" t="n">
        <x:f>IF(D341=0,"",(Y341)/D341)</x:f>
        <x:v>-0.6739130434782609</x:v>
      </x:c>
      <x:c r="AA341" t="str">
        <x:v>Dr. Mahesh Sharma</x:v>
      </x:c>
      <x:c r="AB341" t="n">
        <x:f>D341-E341-F341</x:f>
        <x:v>0</x:v>
      </x:c>
    </x:row>
    <x:row r="342">
      <x:c r="A342" t="n">
        <x:v>334</x:v>
      </x:c>
      <x:c r="B342" t="str">
        <x:v>2024 location: not supplied</x:v>
      </x:c>
      <x:c r="C342"/>
      <x:c r="D342" t="n">
        <x:v>502</x:v>
      </x:c>
      <x:c r="E342" t="n">
        <x:f>SUM(H342:V342)</x:f>
        <x:v>496</x:v>
      </x:c>
      <x:c r="F342" t="n">
        <x:v>6</x:v>
      </x:c>
      <x:c r="G342" s="50" t="str">
        <x:f>IF(C342="","",IFERROR(D342/C342,0))</x:f>
      </x:c>
      <x:c r="H342" s="36" t="n">
        <x:v>14</x:v>
      </x:c>
      <x:c r="I342" t="n">
        <x:v>440</x:v>
      </x:c>
      <x:c r="J342" t="n">
        <x:v>21</x:v>
      </x:c>
      <x:c r="K342" t="n">
        <x:v>0</x:v>
      </x:c>
      <x:c r="L342" t="n">
        <x:v>0</x:v>
      </x:c>
      <x:c r="M342" t="n">
        <x:v>0</x:v>
      </x:c>
      <x:c r="N342" t="n">
        <x:v>3</x:v>
      </x:c>
      <x:c r="O342" t="n">
        <x:v>0</x:v>
      </x:c>
      <x:c r="P342" t="n">
        <x:v>1</x:v>
      </x:c>
      <x:c r="Q342" t="n">
        <x:v>2</x:v>
      </x:c>
      <x:c r="R342" t="n">
        <x:v>1</x:v>
      </x:c>
      <x:c r="S342" t="n">
        <x:v>1</x:v>
      </x:c>
      <x:c r="T342" t="n">
        <x:v>1</x:v>
      </x:c>
      <x:c r="U342" t="n">
        <x:v>3</x:v>
      </x:c>
      <x:c r="V342" t="n">
        <x:v>9</x:v>
      </x:c>
      <x:c r="W342" s="50" t="n">
        <x:f>IF(D342=0,"",H342/D342)</x:f>
        <x:v>0.027888446215139442</x:v>
      </x:c>
      <x:c r="X342" t="n">
        <x:f>MAX(I342:V342)</x:f>
        <x:v>440</x:v>
      </x:c>
      <x:c r="Y342" t="n">
        <x:f>H342-X342</x:f>
        <x:v>-426</x:v>
      </x:c>
      <x:c r="Z342" s="52" t="n">
        <x:f>IF(D342=0,"",(Y342)/D342)</x:f>
        <x:v>-0.848605577689243</x:v>
      </x:c>
      <x:c r="AA342" t="str">
        <x:v>Dr. Mahesh Sharma</x:v>
      </x:c>
      <x:c r="AB342" t="n">
        <x:f>D342-E342-F342</x:f>
        <x:v>0</x:v>
      </x:c>
    </x:row>
    <x:row r="343">
      <x:c r="A343" t="n">
        <x:v>335</x:v>
      </x:c>
      <x:c r="B343" t="str">
        <x:v>2024 location: not supplied</x:v>
      </x:c>
      <x:c r="C343"/>
      <x:c r="D343" t="n">
        <x:v>489</x:v>
      </x:c>
      <x:c r="E343" t="n">
        <x:f>SUM(H343:V343)</x:f>
        <x:v>488</x:v>
      </x:c>
      <x:c r="F343" t="n">
        <x:v>1</x:v>
      </x:c>
      <x:c r="G343" s="50" t="str">
        <x:f>IF(C343="","",IFERROR(D343/C343,0))</x:f>
      </x:c>
      <x:c r="H343" s="36" t="n">
        <x:v>233</x:v>
      </x:c>
      <x:c r="I343" t="n">
        <x:v>31</x:v>
      </x:c>
      <x:c r="J343" t="n">
        <x:v>219</x:v>
      </x:c>
      <x:c r="K343" t="n">
        <x:v>0</x:v>
      </x:c>
      <x:c r="L343" t="n">
        <x:v>1</x:v>
      </x:c>
      <x:c r="M343" t="n">
        <x:v>1</x:v>
      </x:c>
      <x:c r="N343" t="n">
        <x:v>1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1</x:v>
      </x:c>
      <x:c r="V343" t="n">
        <x:v>1</x:v>
      </x:c>
      <x:c r="W343" s="50" t="n">
        <x:f>IF(D343=0,"",H343/D343)</x:f>
        <x:v>0.47648261758691207</x:v>
      </x:c>
      <x:c r="X343" t="n">
        <x:f>MAX(I343:V343)</x:f>
        <x:v>219</x:v>
      </x:c>
      <x:c r="Y343" t="n">
        <x:f>H343-X343</x:f>
        <x:v>14</x:v>
      </x:c>
      <x:c r="Z343" s="52" t="n">
        <x:f>IF(D343=0,"",(Y343)/D343)</x:f>
        <x:v>0.028629856850715747</x:v>
      </x:c>
      <x:c r="AA343" t="str">
        <x:v>Dr. Mahendra Singh Nagar</x:v>
      </x:c>
      <x:c r="AB343" t="n">
        <x:f>D343-E343-F343</x:f>
        <x:v>0</x:v>
      </x:c>
    </x:row>
    <x:row r="344">
      <x:c r="A344" t="n">
        <x:v>336</x:v>
      </x:c>
      <x:c r="B344" t="str">
        <x:v>2024 location: not supplied</x:v>
      </x:c>
      <x:c r="C344"/>
      <x:c r="D344" t="n">
        <x:v>571</x:v>
      </x:c>
      <x:c r="E344" t="n">
        <x:f>SUM(H344:V344)</x:f>
        <x:v>570</x:v>
      </x:c>
      <x:c r="F344" t="n">
        <x:v>1</x:v>
      </x:c>
      <x:c r="G344" s="50" t="str">
        <x:f>IF(C344="","",IFERROR(D344/C344,0))</x:f>
      </x:c>
      <x:c r="H344" s="36" t="n">
        <x:v>28</x:v>
      </x:c>
      <x:c r="I344" t="n">
        <x:v>494</x:v>
      </x:c>
      <x:c r="J344" t="n">
        <x:v>42</x:v>
      </x:c>
      <x:c r="K344" t="n">
        <x:v>0</x:v>
      </x:c>
      <x:c r="L344" t="n">
        <x:v>2</x:v>
      </x:c>
      <x:c r="M344" t="n">
        <x:v>0</x:v>
      </x:c>
      <x:c r="N344" t="n">
        <x:v>2</x:v>
      </x:c>
      <x:c r="O344" t="n">
        <x:v>1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1</x:v>
      </x:c>
      <x:c r="W344" s="50" t="n">
        <x:f>IF(D344=0,"",H344/D344)</x:f>
        <x:v>0.04903677758318739</x:v>
      </x:c>
      <x:c r="X344" t="n">
        <x:f>MAX(I344:V344)</x:f>
        <x:v>494</x:v>
      </x:c>
      <x:c r="Y344" t="n">
        <x:f>H344-X344</x:f>
        <x:v>-466</x:v>
      </x:c>
      <x:c r="Z344" s="52" t="n">
        <x:f>IF(D344=0,"",(Y344)/D344)</x:f>
        <x:v>-0.8161120840630472</x:v>
      </x:c>
      <x:c r="AA344" t="str">
        <x:v>Dr. Mahesh Sharma</x:v>
      </x:c>
      <x:c r="AB344" t="n">
        <x:f>D344-E344-F344</x:f>
        <x:v>0</x:v>
      </x:c>
    </x:row>
    <x:row r="345">
      <x:c r="A345" t="n">
        <x:v>337</x:v>
      </x:c>
      <x:c r="B345" t="str">
        <x:v>2024 location: not supplied</x:v>
      </x:c>
      <x:c r="C345"/>
      <x:c r="D345" t="n">
        <x:v>647</x:v>
      </x:c>
      <x:c r="E345" t="n">
        <x:f>SUM(H345:V345)</x:f>
        <x:v>642</x:v>
      </x:c>
      <x:c r="F345" t="n">
        <x:v>5</x:v>
      </x:c>
      <x:c r="G345" s="50" t="str">
        <x:f>IF(C345="","",IFERROR(D345/C345,0))</x:f>
      </x:c>
      <x:c r="H345" s="36" t="n">
        <x:v>80</x:v>
      </x:c>
      <x:c r="I345" t="n">
        <x:v>504</x:v>
      </x:c>
      <x:c r="J345" t="n">
        <x:v>55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2</x:v>
      </x:c>
      <x:c r="T345" t="n">
        <x:v>0</x:v>
      </x:c>
      <x:c r="U345" t="n">
        <x:v>0</x:v>
      </x:c>
      <x:c r="V345" t="n">
        <x:v>1</x:v>
      </x:c>
      <x:c r="W345" s="50" t="n">
        <x:f>IF(D345=0,"",H345/D345)</x:f>
        <x:v>0.12364760432766615</x:v>
      </x:c>
      <x:c r="X345" t="n">
        <x:f>MAX(I345:V345)</x:f>
        <x:v>504</x:v>
      </x:c>
      <x:c r="Y345" t="n">
        <x:f>H345-X345</x:f>
        <x:v>-424</x:v>
      </x:c>
      <x:c r="Z345" s="52" t="n">
        <x:f>IF(D345=0,"",(Y345)/D345)</x:f>
        <x:v>-0.6553323029366306</x:v>
      </x:c>
      <x:c r="AA345" t="str">
        <x:v>Dr. Mahesh Sharma</x:v>
      </x:c>
      <x:c r="AB345" t="n">
        <x:f>D345-E345-F345</x:f>
        <x:v>0</x:v>
      </x:c>
    </x:row>
    <x:row r="346">
      <x:c r="A346" t="n">
        <x:v>338</x:v>
      </x:c>
      <x:c r="B346" t="str">
        <x:v>2024 location: not supplied</x:v>
      </x:c>
      <x:c r="C346"/>
      <x:c r="D346" t="n">
        <x:v>530</x:v>
      </x:c>
      <x:c r="E346" t="n">
        <x:f>SUM(H346:V346)</x:f>
        <x:v>527</x:v>
      </x:c>
      <x:c r="F346" t="n">
        <x:v>3</x:v>
      </x:c>
      <x:c r="G346" s="50" t="str">
        <x:f>IF(C346="","",IFERROR(D346/C346,0))</x:f>
      </x:c>
      <x:c r="H346" s="36" t="n">
        <x:v>134</x:v>
      </x:c>
      <x:c r="I346" t="n">
        <x:v>247</x:v>
      </x:c>
      <x:c r="J346" t="n">
        <x:v>138</x:v>
      </x:c>
      <x:c r="K346" t="n">
        <x:v>0</x:v>
      </x:c>
      <x:c r="L346" t="n">
        <x:v>0</x:v>
      </x:c>
      <x:c r="M346" t="n">
        <x:v>0</x:v>
      </x:c>
      <x:c r="N346" t="n">
        <x:v>3</x:v>
      </x:c>
      <x:c r="O346" t="n">
        <x:v>0</x:v>
      </x:c>
      <x:c r="P346" t="n">
        <x:v>1</x:v>
      </x:c>
      <x:c r="Q346" t="n">
        <x:v>0</x:v>
      </x:c>
      <x:c r="R346" t="n">
        <x:v>0</x:v>
      </x:c>
      <x:c r="S346" t="n">
        <x:v>1</x:v>
      </x:c>
      <x:c r="T346" t="n">
        <x:v>0</x:v>
      </x:c>
      <x:c r="U346" t="n">
        <x:v>2</x:v>
      </x:c>
      <x:c r="V346" t="n">
        <x:v>1</x:v>
      </x:c>
      <x:c r="W346" s="50" t="n">
        <x:f>IF(D346=0,"",H346/D346)</x:f>
        <x:v>0.2528301886792453</x:v>
      </x:c>
      <x:c r="X346" t="n">
        <x:f>MAX(I346:V346)</x:f>
        <x:v>247</x:v>
      </x:c>
      <x:c r="Y346" t="n">
        <x:f>H346-X346</x:f>
        <x:v>-113</x:v>
      </x:c>
      <x:c r="Z346" s="52" t="n">
        <x:f>IF(D346=0,"",(Y346)/D346)</x:f>
        <x:v>-0.21320754716981133</x:v>
      </x:c>
      <x:c r="AA346" t="str">
        <x:v>Dr. Mahesh Sharma</x:v>
      </x:c>
      <x:c r="AB346" t="n">
        <x:f>D346-E346-F346</x:f>
        <x:v>0</x:v>
      </x:c>
    </x:row>
    <x:row r="347">
      <x:c r="A347" t="n">
        <x:v>339</x:v>
      </x:c>
      <x:c r="B347" t="str">
        <x:v>2024 location: not supplied</x:v>
      </x:c>
      <x:c r="C347"/>
      <x:c r="D347" t="n">
        <x:v>406</x:v>
      </x:c>
      <x:c r="E347" t="n">
        <x:f>SUM(H347:V347)</x:f>
        <x:v>406</x:v>
      </x:c>
      <x:c r="F347" t="n">
        <x:v>0</x:v>
      </x:c>
      <x:c r="G347" s="50" t="str">
        <x:f>IF(C347="","",IFERROR(D347/C347,0))</x:f>
      </x:c>
      <x:c r="H347" s="36" t="n">
        <x:v>65</x:v>
      </x:c>
      <x:c r="I347" t="n">
        <x:v>79</x:v>
      </x:c>
      <x:c r="J347" t="n">
        <x:v>258</x:v>
      </x:c>
      <x:c r="K347" t="n">
        <x:v>1</x:v>
      </x:c>
      <x:c r="L347" t="n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n">
        <x:v>0</x:v>
      </x:c>
      <x:c r="R347" t="n">
        <x:v>0</x:v>
      </x:c>
      <x:c r="S347" t="n">
        <x:v>1</x:v>
      </x:c>
      <x:c r="T347" t="n">
        <x:v>0</x:v>
      </x:c>
      <x:c r="U347" t="n">
        <x:v>0</x:v>
      </x:c>
      <x:c r="V347" t="n">
        <x:v>0</x:v>
      </x:c>
      <x:c r="W347" s="50" t="n">
        <x:f>IF(D347=0,"",H347/D347)</x:f>
        <x:v>0.16009852216748768</x:v>
      </x:c>
      <x:c r="X347" t="n">
        <x:f>MAX(I347:V347)</x:f>
        <x:v>258</x:v>
      </x:c>
      <x:c r="Y347" t="n">
        <x:f>H347-X347</x:f>
        <x:v>-193</x:v>
      </x:c>
      <x:c r="Z347" s="52" t="n">
        <x:f>IF(D347=0,"",(Y347)/D347)</x:f>
        <x:v>-0.4753694581280788</x:v>
      </x:c>
      <x:c r="AA347" t="str">
        <x:v>Rajendra Singh Solanki</x:v>
      </x:c>
      <x:c r="AB347" t="n">
        <x:f>D347-E347-F347</x:f>
        <x:v>0</x:v>
      </x:c>
    </x:row>
    <x:row r="348">
      <x:c r="A348" t="n">
        <x:v>340</x:v>
      </x:c>
      <x:c r="B348" t="str">
        <x:v>2024 location: not supplied</x:v>
      </x:c>
      <x:c r="C348"/>
      <x:c r="D348" t="n">
        <x:v>401</x:v>
      </x:c>
      <x:c r="E348" t="n">
        <x:f>SUM(H348:V348)</x:f>
        <x:v>401</x:v>
      </x:c>
      <x:c r="F348" t="n">
        <x:v>0</x:v>
      </x:c>
      <x:c r="G348" s="50" t="str">
        <x:f>IF(C348="","",IFERROR(D348/C348,0))</x:f>
      </x:c>
      <x:c r="H348" s="36" t="n">
        <x:v>51</x:v>
      </x:c>
      <x:c r="I348" t="n">
        <x:v>25</x:v>
      </x:c>
      <x:c r="J348" t="n">
        <x:v>321</x:v>
      </x:c>
      <x:c r="K348" t="n">
        <x:v>0</x:v>
      </x:c>
      <x:c r="L348" t="n">
        <x:v>1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3</x:v>
      </x:c>
      <x:c r="V348" t="n">
        <x:v>0</x:v>
      </x:c>
      <x:c r="W348" s="50" t="n">
        <x:f>IF(D348=0,"",H348/D348)</x:f>
        <x:v>0.12718204488778054</x:v>
      </x:c>
      <x:c r="X348" t="n">
        <x:f>MAX(I348:V348)</x:f>
        <x:v>321</x:v>
      </x:c>
      <x:c r="Y348" t="n">
        <x:f>H348-X348</x:f>
        <x:v>-270</x:v>
      </x:c>
      <x:c r="Z348" s="52" t="n">
        <x:f>IF(D348=0,"",(Y348)/D348)</x:f>
        <x:v>-0.6733167082294265</x:v>
      </x:c>
      <x:c r="AA348" t="str">
        <x:v>Rajendra Singh Solanki</x:v>
      </x:c>
      <x:c r="AB348" t="n">
        <x:f>D348-E348-F348</x:f>
        <x:v>0</x:v>
      </x:c>
    </x:row>
    <x:row r="349">
      <x:c r="A349" t="n">
        <x:v>341</x:v>
      </x:c>
      <x:c r="B349" t="str">
        <x:v>2024 location: not supplied</x:v>
      </x:c>
      <x:c r="C349"/>
      <x:c r="D349" t="n">
        <x:v>422</x:v>
      </x:c>
      <x:c r="E349" t="n">
        <x:f>SUM(H349:V349)</x:f>
        <x:v>420</x:v>
      </x:c>
      <x:c r="F349" t="n">
        <x:v>2</x:v>
      </x:c>
      <x:c r="G349" s="50" t="str">
        <x:f>IF(C349="","",IFERROR(D349/C349,0))</x:f>
      </x:c>
      <x:c r="H349" s="36" t="n">
        <x:v>21</x:v>
      </x:c>
      <x:c r="I349" t="n">
        <x:v>353</x:v>
      </x:c>
      <x:c r="J349" t="n">
        <x:v>35</x:v>
      </x:c>
      <x:c r="K349" t="n">
        <x:v>0</x:v>
      </x:c>
      <x:c r="L349" t="n">
        <x:v>0</x:v>
      </x:c>
      <x:c r="M349" t="n">
        <x:v>2</x:v>
      </x:c>
      <x:c r="N349" t="n">
        <x:v>2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2</x:v>
      </x:c>
      <x:c r="U349" t="n">
        <x:v>3</x:v>
      </x:c>
      <x:c r="V349" t="n">
        <x:v>2</x:v>
      </x:c>
      <x:c r="W349" s="50" t="n">
        <x:f>IF(D349=0,"",H349/D349)</x:f>
        <x:v>0.04976303317535545</x:v>
      </x:c>
      <x:c r="X349" t="n">
        <x:f>MAX(I349:V349)</x:f>
        <x:v>353</x:v>
      </x:c>
      <x:c r="Y349" t="n">
        <x:f>H349-X349</x:f>
        <x:v>-332</x:v>
      </x:c>
      <x:c r="Z349" s="52" t="n">
        <x:f>IF(D349=0,"",(Y349)/D349)</x:f>
        <x:v>-0.7867298578199052</x:v>
      </x:c>
      <x:c r="AA349" t="str">
        <x:v>Dr. Mahesh Sharma</x:v>
      </x:c>
      <x:c r="AB349" t="n">
        <x:f>D349-E349-F349</x:f>
        <x:v>0</x:v>
      </x:c>
    </x:row>
    <x:row r="350">
      <x:c r="A350" t="n">
        <x:v>342</x:v>
      </x:c>
      <x:c r="B350" t="str">
        <x:v>2024 location: not supplied</x:v>
      </x:c>
      <x:c r="C350"/>
      <x:c r="D350" t="n">
        <x:v>451</x:v>
      </x:c>
      <x:c r="E350" t="n">
        <x:f>SUM(H350:V350)</x:f>
        <x:v>450</x:v>
      </x:c>
      <x:c r="F350" t="n">
        <x:v>1</x:v>
      </x:c>
      <x:c r="G350" s="50" t="str">
        <x:f>IF(C350="","",IFERROR(D350/C350,0))</x:f>
      </x:c>
      <x:c r="H350" s="36" t="n">
        <x:v>6</x:v>
      </x:c>
      <x:c r="I350" t="n">
        <x:v>13</x:v>
      </x:c>
      <x:c r="J350" t="n">
        <x:v>429</x:v>
      </x:c>
      <x:c r="K350" t="n">
        <x:v>0</x:v>
      </x:c>
      <x:c r="L350" t="n">
        <x:v>2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s="50" t="n">
        <x:f>IF(D350=0,"",H350/D350)</x:f>
        <x:v>0.013303769401330377</x:v>
      </x:c>
      <x:c r="X350" t="n">
        <x:f>MAX(I350:V350)</x:f>
        <x:v>429</x:v>
      </x:c>
      <x:c r="Y350" t="n">
        <x:f>H350-X350</x:f>
        <x:v>-423</x:v>
      </x:c>
      <x:c r="Z350" s="52" t="n">
        <x:f>IF(D350=0,"",(Y350)/D350)</x:f>
        <x:v>-0.9379157427937915</x:v>
      </x:c>
      <x:c r="AA350" t="str">
        <x:v>Rajendra Singh Solanki</x:v>
      </x:c>
      <x:c r="AB350" t="n">
        <x:f>D350-E350-F350</x:f>
        <x:v>0</x:v>
      </x:c>
    </x:row>
    <x:row r="351">
      <x:c r="A351" t="n">
        <x:v>343</x:v>
      </x:c>
      <x:c r="B351" t="str">
        <x:v>2024 location: not supplied</x:v>
      </x:c>
      <x:c r="C351"/>
      <x:c r="D351" t="n">
        <x:v>289</x:v>
      </x:c>
      <x:c r="E351" t="n">
        <x:f>SUM(H351:V351)</x:f>
        <x:v>284</x:v>
      </x:c>
      <x:c r="F351" t="n">
        <x:v>5</x:v>
      </x:c>
      <x:c r="G351" s="50" t="str">
        <x:f>IF(C351="","",IFERROR(D351/C351,0))</x:f>
      </x:c>
      <x:c r="H351" s="36" t="n">
        <x:v>64</x:v>
      </x:c>
      <x:c r="I351" t="n">
        <x:v>92</x:v>
      </x:c>
      <x:c r="J351" t="n">
        <x:v>126</x:v>
      </x:c>
      <x:c r="K351" t="n">
        <x:v>0</x:v>
      </x:c>
      <x:c r="L351" t="n">
        <x:v>0</x:v>
      </x:c>
      <x:c r="M351" t="n">
        <x:v>0</x:v>
      </x:c>
      <x:c r="N351" t="n">
        <x:v>1</x:v>
      </x:c>
      <x:c r="O351" t="n">
        <x:v>0</x:v>
      </x:c>
      <x:c r="P351" t="n">
        <x:v>0</x:v>
      </x:c>
      <x:c r="Q351" t="n">
        <x:v>0</x:v>
      </x:c>
      <x:c r="R351" t="n">
        <x:v>1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s="50" t="n">
        <x:f>IF(D351=0,"",H351/D351)</x:f>
        <x:v>0.22145328719723184</x:v>
      </x:c>
      <x:c r="X351" t="n">
        <x:f>MAX(I351:V351)</x:f>
        <x:v>126</x:v>
      </x:c>
      <x:c r="Y351" t="n">
        <x:f>H351-X351</x:f>
        <x:v>-62</x:v>
      </x:c>
      <x:c r="Z351" s="52" t="n">
        <x:f>IF(D351=0,"",(Y351)/D351)</x:f>
        <x:v>-0.21453287197231835</x:v>
      </x:c>
      <x:c r="AA351" t="str">
        <x:v>Rajendra Singh Solanki</x:v>
      </x:c>
      <x:c r="AB351" t="n">
        <x:f>D351-E351-F351</x:f>
        <x:v>0</x:v>
      </x:c>
    </x:row>
    <x:row r="352">
      <x:c r="A352" t="n">
        <x:v>344</x:v>
      </x:c>
      <x:c r="B352" t="str">
        <x:v>2024 location: not supplied</x:v>
      </x:c>
      <x:c r="C352"/>
      <x:c r="D352" t="n">
        <x:v>615</x:v>
      </x:c>
      <x:c r="E352" t="n">
        <x:f>SUM(H352:V352)</x:f>
        <x:v>613</x:v>
      </x:c>
      <x:c r="F352" t="n">
        <x:v>2</x:v>
      </x:c>
      <x:c r="G352" s="50" t="str">
        <x:f>IF(C352="","",IFERROR(D352/C352,0))</x:f>
      </x:c>
      <x:c r="H352" s="36" t="n">
        <x:v>162</x:v>
      </x:c>
      <x:c r="I352" t="n">
        <x:v>345</x:v>
      </x:c>
      <x:c r="J352" t="n">
        <x:v>95</x:v>
      </x:c>
      <x:c r="K352" t="n">
        <x:v>0</x:v>
      </x:c>
      <x:c r="L352" t="n">
        <x:v>0</x:v>
      </x:c>
      <x:c r="M352" t="n">
        <x:v>1</x:v>
      </x:c>
      <x:c r="N352" t="n">
        <x:v>1</x:v>
      </x:c>
      <x:c r="O352" t="n">
        <x:v>3</x:v>
      </x:c>
      <x:c r="P352" t="n">
        <x:v>1</x:v>
      </x:c>
      <x:c r="Q352" t="n">
        <x:v>0</x:v>
      </x:c>
      <x:c r="R352" t="n">
        <x:v>0</x:v>
      </x:c>
      <x:c r="S352" t="n">
        <x:v>1</x:v>
      </x:c>
      <x:c r="T352" t="n">
        <x:v>1</x:v>
      </x:c>
      <x:c r="U352" t="n">
        <x:v>2</x:v>
      </x:c>
      <x:c r="V352" t="n">
        <x:v>1</x:v>
      </x:c>
      <x:c r="W352" s="50" t="n">
        <x:f>IF(D352=0,"",H352/D352)</x:f>
        <x:v>0.2634146341463415</x:v>
      </x:c>
      <x:c r="X352" t="n">
        <x:f>MAX(I352:V352)</x:f>
        <x:v>345</x:v>
      </x:c>
      <x:c r="Y352" t="n">
        <x:f>H352-X352</x:f>
        <x:v>-183</x:v>
      </x:c>
      <x:c r="Z352" s="52" t="n">
        <x:f>IF(D352=0,"",(Y352)/D352)</x:f>
        <x:v>-0.2975609756097561</x:v>
      </x:c>
      <x:c r="AA352" t="str">
        <x:v>Dr. Mahesh Sharma</x:v>
      </x:c>
      <x:c r="AB352" t="n">
        <x:f>D352-E352-F352</x:f>
        <x:v>0</x:v>
      </x:c>
    </x:row>
    <x:row r="353">
      <x:c r="A353" t="n">
        <x:v>345</x:v>
      </x:c>
      <x:c r="B353" t="str">
        <x:v>2024 location: not supplied</x:v>
      </x:c>
      <x:c r="C353"/>
      <x:c r="D353" t="n">
        <x:v>343</x:v>
      </x:c>
      <x:c r="E353" t="n">
        <x:f>SUM(H353:V353)</x:f>
        <x:v>339</x:v>
      </x:c>
      <x:c r="F353" t="n">
        <x:v>4</x:v>
      </x:c>
      <x:c r="G353" s="50" t="str">
        <x:f>IF(C353="","",IFERROR(D353/C353,0))</x:f>
      </x:c>
      <x:c r="H353" s="36" t="n">
        <x:v>139</x:v>
      </x:c>
      <x:c r="I353" t="n">
        <x:v>126</x:v>
      </x:c>
      <x:c r="J353" t="n">
        <x:v>69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3</x:v>
      </x:c>
      <x:c r="T353" t="n">
        <x:v>0</x:v>
      </x:c>
      <x:c r="U353" t="n">
        <x:v>1</x:v>
      </x:c>
      <x:c r="V353" t="n">
        <x:v>1</x:v>
      </x:c>
      <x:c r="W353" s="50" t="n">
        <x:f>IF(D353=0,"",H353/D353)</x:f>
        <x:v>0.40524781341107874</x:v>
      </x:c>
      <x:c r="X353" t="n">
        <x:f>MAX(I353:V353)</x:f>
        <x:v>126</x:v>
      </x:c>
      <x:c r="Y353" t="n">
        <x:f>H353-X353</x:f>
        <x:v>13</x:v>
      </x:c>
      <x:c r="Z353" s="52" t="n">
        <x:f>IF(D353=0,"",(Y353)/D353)</x:f>
        <x:v>0.037900874635568516</x:v>
      </x:c>
      <x:c r="AA353" t="str">
        <x:v>Dr. Mahendra Singh Nagar</x:v>
      </x:c>
      <x:c r="AB353" t="n">
        <x:f>D353-E353-F353</x:f>
        <x:v>0</x:v>
      </x:c>
    </x:row>
    <x:row r="354">
      <x:c r="A354" t="n">
        <x:v>346</x:v>
      </x:c>
      <x:c r="B354" t="str">
        <x:v>2024 location: not supplied</x:v>
      </x:c>
      <x:c r="C354"/>
      <x:c r="D354" t="n">
        <x:v>541</x:v>
      </x:c>
      <x:c r="E354" t="n">
        <x:f>SUM(H354:V354)</x:f>
        <x:v>539</x:v>
      </x:c>
      <x:c r="F354" t="n">
        <x:v>2</x:v>
      </x:c>
      <x:c r="G354" s="50" t="str">
        <x:f>IF(C354="","",IFERROR(D354/C354,0))</x:f>
      </x:c>
      <x:c r="H354" s="36" t="n">
        <x:v>131</x:v>
      </x:c>
      <x:c r="I354" t="n">
        <x:v>310</x:v>
      </x:c>
      <x:c r="J354" t="n">
        <x:v>89</x:v>
      </x:c>
      <x:c r="K354" t="n">
        <x:v>0</x:v>
      </x:c>
      <x:c r="L354" t="n">
        <x:v>0</x:v>
      </x:c>
      <x:c r="M354" t="n">
        <x:v>0</x:v>
      </x:c>
      <x:c r="N354" t="n">
        <x:v>1</x:v>
      </x:c>
      <x:c r="O354" t="n">
        <x:v>0</x:v>
      </x:c>
      <x:c r="P354" t="n">
        <x:v>1</x:v>
      </x:c>
      <x:c r="Q354" t="n">
        <x:v>0</x:v>
      </x:c>
      <x:c r="R354" t="n">
        <x:v>6</x:v>
      </x:c>
      <x:c r="S354" t="n">
        <x:v>0</x:v>
      </x:c>
      <x:c r="T354" t="n">
        <x:v>0</x:v>
      </x:c>
      <x:c r="U354" t="n">
        <x:v>1</x:v>
      </x:c>
      <x:c r="V354" t="n">
        <x:v>0</x:v>
      </x:c>
      <x:c r="W354" s="50" t="n">
        <x:f>IF(D354=0,"",H354/D354)</x:f>
        <x:v>0.24214417744916822</x:v>
      </x:c>
      <x:c r="X354" t="n">
        <x:f>MAX(I354:V354)</x:f>
        <x:v>310</x:v>
      </x:c>
      <x:c r="Y354" t="n">
        <x:f>H354-X354</x:f>
        <x:v>-179</x:v>
      </x:c>
      <x:c r="Z354" s="52" t="n">
        <x:f>IF(D354=0,"",(Y354)/D354)</x:f>
        <x:v>-0.33086876155268025</x:v>
      </x:c>
      <x:c r="AA354" t="str">
        <x:v>Dr. Mahesh Sharma</x:v>
      </x:c>
      <x:c r="AB354" t="n">
        <x:f>D354-E354-F354</x:f>
        <x:v>0</x:v>
      </x:c>
    </x:row>
    <x:row r="355">
      <x:c r="A355" t="n">
        <x:v>347</x:v>
      </x:c>
      <x:c r="B355" t="str">
        <x:v>2024 location: not supplied</x:v>
      </x:c>
      <x:c r="C355"/>
      <x:c r="D355" t="n">
        <x:v>329</x:v>
      </x:c>
      <x:c r="E355" t="n">
        <x:f>SUM(H355:V355)</x:f>
        <x:v>329</x:v>
      </x:c>
      <x:c r="F355" t="n">
        <x:v>0</x:v>
      </x:c>
      <x:c r="G355" s="50" t="str">
        <x:f>IF(C355="","",IFERROR(D355/C355,0))</x:f>
      </x:c>
      <x:c r="H355" s="36" t="n">
        <x:v>18</x:v>
      </x:c>
      <x:c r="I355" t="n">
        <x:v>274</x:v>
      </x:c>
      <x:c r="J355" t="n">
        <x:v>34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1</x:v>
      </x:c>
      <x:c r="P355" t="n">
        <x:v>1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1</x:v>
      </x:c>
      <x:c r="W355" s="50" t="n">
        <x:f>IF(D355=0,"",H355/D355)</x:f>
        <x:v>0.0547112462006079</x:v>
      </x:c>
      <x:c r="X355" t="n">
        <x:f>MAX(I355:V355)</x:f>
        <x:v>274</x:v>
      </x:c>
      <x:c r="Y355" t="n">
        <x:f>H355-X355</x:f>
        <x:v>-256</x:v>
      </x:c>
      <x:c r="Z355" s="52" t="n">
        <x:f>IF(D355=0,"",(Y355)/D355)</x:f>
        <x:v>-0.7781155015197568</x:v>
      </x:c>
      <x:c r="AA355" t="str">
        <x:v>Dr. Mahesh Sharma</x:v>
      </x:c>
      <x:c r="AB355" t="n">
        <x:f>D355-E355-F355</x:f>
        <x:v>0</x:v>
      </x:c>
    </x:row>
    <x:row r="356">
      <x:c r="A356" t="n">
        <x:v>348</x:v>
      </x:c>
      <x:c r="B356" t="str">
        <x:v>2024 location: not supplied</x:v>
      </x:c>
      <x:c r="C356"/>
      <x:c r="D356" t="n">
        <x:v>645</x:v>
      </x:c>
      <x:c r="E356" t="n">
        <x:f>SUM(H356:V356)</x:f>
        <x:v>642</x:v>
      </x:c>
      <x:c r="F356" t="n">
        <x:v>3</x:v>
      </x:c>
      <x:c r="G356" s="50" t="str">
        <x:f>IF(C356="","",IFERROR(D356/C356,0))</x:f>
      </x:c>
      <x:c r="H356" s="36" t="n">
        <x:v>298</x:v>
      </x:c>
      <x:c r="I356" t="n">
        <x:v>64</x:v>
      </x:c>
      <x:c r="J356" t="n">
        <x:v>270</x:v>
      </x:c>
      <x:c r="K356" t="n">
        <x:v>0</x:v>
      </x:c>
      <x:c r="L356" t="n">
        <x:v>2</x:v>
      </x:c>
      <x:c r="M356" t="n">
        <x:v>1</x:v>
      </x:c>
      <x:c r="N356" t="n">
        <x:v>0</x:v>
      </x:c>
      <x:c r="O356" t="n">
        <x:v>1</x:v>
      </x:c>
      <x:c r="P356" t="n">
        <x:v>2</x:v>
      </x:c>
      <x:c r="Q356" t="n">
        <x:v>0</x:v>
      </x:c>
      <x:c r="R356" t="n">
        <x:v>1</x:v>
      </x:c>
      <x:c r="S356" t="n">
        <x:v>0</x:v>
      </x:c>
      <x:c r="T356" t="n">
        <x:v>1</x:v>
      </x:c>
      <x:c r="U356" t="n">
        <x:v>1</x:v>
      </x:c>
      <x:c r="V356" t="n">
        <x:v>1</x:v>
      </x:c>
      <x:c r="W356" s="50" t="n">
        <x:f>IF(D356=0,"",H356/D356)</x:f>
        <x:v>0.462015503875969</x:v>
      </x:c>
      <x:c r="X356" t="n">
        <x:f>MAX(I356:V356)</x:f>
        <x:v>270</x:v>
      </x:c>
      <x:c r="Y356" t="n">
        <x:f>H356-X356</x:f>
        <x:v>28</x:v>
      </x:c>
      <x:c r="Z356" s="52" t="n">
        <x:f>IF(D356=0,"",(Y356)/D356)</x:f>
        <x:v>0.043410852713178294</x:v>
      </x:c>
      <x:c r="AA356" t="str">
        <x:v>Dr. Mahendra Singh Nagar</x:v>
      </x:c>
      <x:c r="AB356" t="n">
        <x:f>D356-E356-F356</x:f>
        <x:v>0</x:v>
      </x:c>
    </x:row>
    <x:row r="357">
      <x:c r="A357" t="n">
        <x:v>349</x:v>
      </x:c>
      <x:c r="B357" t="str">
        <x:v>2024 location: not supplied</x:v>
      </x:c>
      <x:c r="C357"/>
      <x:c r="D357" t="n">
        <x:v>402</x:v>
      </x:c>
      <x:c r="E357" t="n">
        <x:f>SUM(H357:V357)</x:f>
        <x:v>401</x:v>
      </x:c>
      <x:c r="F357" t="n">
        <x:v>1</x:v>
      </x:c>
      <x:c r="G357" s="50" t="str">
        <x:f>IF(C357="","",IFERROR(D357/C357,0))</x:f>
      </x:c>
      <x:c r="H357" s="36" t="n">
        <x:v>166</x:v>
      </x:c>
      <x:c r="I357" t="n">
        <x:v>103</x:v>
      </x:c>
      <x:c r="J357" t="n">
        <x:v>125</x:v>
      </x:c>
      <x:c r="K357" t="n">
        <x:v>1</x:v>
      </x:c>
      <x:c r="L357" t="n">
        <x:v>3</x:v>
      </x:c>
      <x:c r="M357" t="n">
        <x:v>0</x:v>
      </x:c>
      <x:c r="N357" t="n">
        <x:v>0</x:v>
      </x:c>
      <x:c r="O357" t="n">
        <x:v>1</x:v>
      </x:c>
      <x:c r="P357" t="n">
        <x:v>0</x:v>
      </x:c>
      <x:c r="Q357" t="n">
        <x:v>0</x:v>
      </x:c>
      <x:c r="R357" t="n">
        <x:v>1</x:v>
      </x:c>
      <x:c r="S357" t="n">
        <x:v>0</x:v>
      </x:c>
      <x:c r="T357" t="n">
        <x:v>0</x:v>
      </x:c>
      <x:c r="U357" t="n">
        <x:v>1</x:v>
      </x:c>
      <x:c r="V357" t="n">
        <x:v>0</x:v>
      </x:c>
      <x:c r="W357" s="50" t="n">
        <x:f>IF(D357=0,"",H357/D357)</x:f>
        <x:v>0.4129353233830846</x:v>
      </x:c>
      <x:c r="X357" t="n">
        <x:f>MAX(I357:V357)</x:f>
        <x:v>125</x:v>
      </x:c>
      <x:c r="Y357" t="n">
        <x:f>H357-X357</x:f>
        <x:v>41</x:v>
      </x:c>
      <x:c r="Z357" s="52" t="n">
        <x:f>IF(D357=0,"",(Y357)/D357)</x:f>
        <x:v>0.10199004975124377</x:v>
      </x:c>
      <x:c r="AA357" t="str">
        <x:v>Dr. Mahendra Singh Nagar</x:v>
      </x:c>
      <x:c r="AB357" t="n">
        <x:f>D357-E357-F357</x:f>
        <x:v>0</x:v>
      </x:c>
    </x:row>
    <x:row r="358">
      <x:c r="A358" t="n">
        <x:v>350</x:v>
      </x:c>
      <x:c r="B358" t="str">
        <x:v>2024 location: not supplied</x:v>
      </x:c>
      <x:c r="C358"/>
      <x:c r="D358" t="n">
        <x:v>366</x:v>
      </x:c>
      <x:c r="E358" t="n">
        <x:f>SUM(H358:V358)</x:f>
        <x:v>366</x:v>
      </x:c>
      <x:c r="F358" t="n">
        <x:v>0</x:v>
      </x:c>
      <x:c r="G358" s="50" t="str">
        <x:f>IF(C358="","",IFERROR(D358/C358,0))</x:f>
      </x:c>
      <x:c r="H358" s="36" t="n">
        <x:v>10</x:v>
      </x:c>
      <x:c r="I358" t="n">
        <x:v>8</x:v>
      </x:c>
      <x:c r="J358" t="n">
        <x:v>338</x:v>
      </x:c>
      <x:c r="K358" t="n">
        <x:v>1</x:v>
      </x:c>
      <x:c r="L358" t="n">
        <x:v>3</x:v>
      </x:c>
      <x:c r="M358" t="n">
        <x:v>0</x:v>
      </x:c>
      <x:c r="N358" t="n">
        <x:v>0</x:v>
      </x:c>
      <x:c r="O358" t="n">
        <x:v>2</x:v>
      </x:c>
      <x:c r="P358" t="n">
        <x:v>2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1</x:v>
      </x:c>
      <x:c r="V358" t="n">
        <x:v>1</x:v>
      </x:c>
      <x:c r="W358" s="50" t="n">
        <x:f>IF(D358=0,"",H358/D358)</x:f>
        <x:v>0.0273224043715847</x:v>
      </x:c>
      <x:c r="X358" t="n">
        <x:f>MAX(I358:V358)</x:f>
        <x:v>338</x:v>
      </x:c>
      <x:c r="Y358" t="n">
        <x:f>H358-X358</x:f>
        <x:v>-328</x:v>
      </x:c>
      <x:c r="Z358" s="52" t="n">
        <x:f>IF(D358=0,"",(Y358)/D358)</x:f>
        <x:v>-0.8961748633879781</x:v>
      </x:c>
      <x:c r="AA358" t="str">
        <x:v>Rajendra Singh Solanki</x:v>
      </x:c>
      <x:c r="AB358" t="n">
        <x:f>D358-E358-F358</x:f>
        <x:v>0</x:v>
      </x:c>
    </x:row>
    <x:row r="359">
      <x:c r="A359" t="n">
        <x:v>351</x:v>
      </x:c>
      <x:c r="B359" t="str">
        <x:v>2024 location: not supplied</x:v>
      </x:c>
      <x:c r="C359"/>
      <x:c r="D359" t="n">
        <x:v>514</x:v>
      </x:c>
      <x:c r="E359" t="n">
        <x:f>SUM(H359:V359)</x:f>
        <x:v>511</x:v>
      </x:c>
      <x:c r="F359" t="n">
        <x:v>3</x:v>
      </x:c>
      <x:c r="G359" s="50" t="str">
        <x:f>IF(C359="","",IFERROR(D359/C359,0))</x:f>
      </x:c>
      <x:c r="H359" s="36" t="n">
        <x:v>155</x:v>
      </x:c>
      <x:c r="I359" t="n">
        <x:v>256</x:v>
      </x:c>
      <x:c r="J359" t="n">
        <x:v>88</x:v>
      </x:c>
      <x:c r="K359" t="n">
        <x:v>0</x:v>
      </x:c>
      <x:c r="L359" t="n">
        <x:v>0</x:v>
      </x:c>
      <x:c r="M359" t="n">
        <x:v>0</x:v>
      </x:c>
      <x:c r="N359" t="n">
        <x:v>3</x:v>
      </x:c>
      <x:c r="O359" t="n">
        <x:v>1</x:v>
      </x:c>
      <x:c r="P359" t="n">
        <x:v>0</x:v>
      </x:c>
      <x:c r="Q359" t="n">
        <x:v>0</x:v>
      </x:c>
      <x:c r="R359" t="n">
        <x:v>2</x:v>
      </x:c>
      <x:c r="S359" t="n">
        <x:v>1</x:v>
      </x:c>
      <x:c r="T359" t="n">
        <x:v>0</x:v>
      </x:c>
      <x:c r="U359" t="n">
        <x:v>0</x:v>
      </x:c>
      <x:c r="V359" t="n">
        <x:v>5</x:v>
      </x:c>
      <x:c r="W359" s="50" t="n">
        <x:f>IF(D359=0,"",H359/D359)</x:f>
        <x:v>0.301556420233463</x:v>
      </x:c>
      <x:c r="X359" t="n">
        <x:f>MAX(I359:V359)</x:f>
        <x:v>256</x:v>
      </x:c>
      <x:c r="Y359" t="n">
        <x:f>H359-X359</x:f>
        <x:v>-101</x:v>
      </x:c>
      <x:c r="Z359" s="52" t="n">
        <x:f>IF(D359=0,"",(Y359)/D359)</x:f>
        <x:v>-0.19649805447470817</x:v>
      </x:c>
      <x:c r="AA359" t="str">
        <x:v>Dr. Mahesh Sharma</x:v>
      </x:c>
      <x:c r="AB359" t="n">
        <x:f>D359-E359-F359</x:f>
        <x:v>0</x:v>
      </x:c>
    </x:row>
    <x:row r="360">
      <x:c r="A360" t="n">
        <x:v>352</x:v>
      </x:c>
      <x:c r="B360" t="str">
        <x:v>2024 location: not supplied</x:v>
      </x:c>
      <x:c r="C360"/>
      <x:c r="D360" t="n">
        <x:v>647</x:v>
      </x:c>
      <x:c r="E360" t="n">
        <x:f>SUM(H360:V360)</x:f>
        <x:v>639</x:v>
      </x:c>
      <x:c r="F360" t="n">
        <x:v>8</x:v>
      </x:c>
      <x:c r="G360" s="50" t="str">
        <x:f>IF(C360="","",IFERROR(D360/C360,0))</x:f>
      </x:c>
      <x:c r="H360" s="36" t="n">
        <x:v>307</x:v>
      </x:c>
      <x:c r="I360" t="n">
        <x:v>128</x:v>
      </x:c>
      <x:c r="J360" t="n">
        <x:v>185</x:v>
      </x:c>
      <x:c r="K360" t="n">
        <x:v>1</x:v>
      </x:c>
      <x:c r="L360" t="n">
        <x:v>0</x:v>
      </x:c>
      <x:c r="M360" t="n">
        <x:v>0</x:v>
      </x:c>
      <x:c r="N360" t="n">
        <x:v>2</x:v>
      </x:c>
      <x:c r="O360" t="n">
        <x:v>1</x:v>
      </x:c>
      <x:c r="P360" t="n">
        <x:v>0</x:v>
      </x:c>
      <x:c r="Q360" t="n">
        <x:v>2</x:v>
      </x:c>
      <x:c r="R360" t="n">
        <x:v>2</x:v>
      </x:c>
      <x:c r="S360" t="n">
        <x:v>0</x:v>
      </x:c>
      <x:c r="T360" t="n">
        <x:v>2</x:v>
      </x:c>
      <x:c r="U360" t="n">
        <x:v>6</x:v>
      </x:c>
      <x:c r="V360" t="n">
        <x:v>3</x:v>
      </x:c>
      <x:c r="W360" s="50" t="n">
        <x:f>IF(D360=0,"",H360/D360)</x:f>
        <x:v>0.47449768160741884</x:v>
      </x:c>
      <x:c r="X360" t="n">
        <x:f>MAX(I360:V360)</x:f>
        <x:v>185</x:v>
      </x:c>
      <x:c r="Y360" t="n">
        <x:f>H360-X360</x:f>
        <x:v>122</x:v>
      </x:c>
      <x:c r="Z360" s="52" t="n">
        <x:f>IF(D360=0,"",(Y360)/D360)</x:f>
        <x:v>0.18856259659969088</x:v>
      </x:c>
      <x:c r="AA360" t="str">
        <x:v>Dr. Mahendra Singh Nagar</x:v>
      </x:c>
      <x:c r="AB360" t="n">
        <x:f>D360-E360-F360</x:f>
        <x:v>0</x:v>
      </x:c>
    </x:row>
    <x:row r="361">
      <x:c r="A361" t="n">
        <x:v>353</x:v>
      </x:c>
      <x:c r="B361" t="str">
        <x:v>2024 location: not supplied</x:v>
      </x:c>
      <x:c r="C361"/>
      <x:c r="D361" t="n">
        <x:v>582</x:v>
      </x:c>
      <x:c r="E361" t="n">
        <x:f>SUM(H361:V361)</x:f>
        <x:v>578</x:v>
      </x:c>
      <x:c r="F361" t="n">
        <x:v>4</x:v>
      </x:c>
      <x:c r="G361" s="50" t="str">
        <x:f>IF(C361="","",IFERROR(D361/C361,0))</x:f>
      </x:c>
      <x:c r="H361" s="36" t="n">
        <x:v>59</x:v>
      </x:c>
      <x:c r="I361" t="n">
        <x:v>500</x:v>
      </x:c>
      <x:c r="J361" t="n">
        <x:v>15</x:v>
      </x:c>
      <x:c r="K361" t="n">
        <x:v>0</x:v>
      </x:c>
      <x:c r="L361" t="n">
        <x:v>1</x:v>
      </x:c>
      <x:c r="M361" t="n">
        <x:v>0</x:v>
      </x:c>
      <x:c r="N361" t="n">
        <x:v>1</x:v>
      </x:c>
      <x:c r="O361" t="n">
        <x:v>0</x:v>
      </x:c>
      <x:c r="P361" t="n">
        <x:v>0</x:v>
      </x:c>
      <x:c r="Q361" t="n">
        <x:v>0</x:v>
      </x:c>
      <x:c r="R361" t="n">
        <x:v>1</x:v>
      </x:c>
      <x:c r="S361" t="n">
        <x:v>0</x:v>
      </x:c>
      <x:c r="T361" t="n">
        <x:v>0</x:v>
      </x:c>
      <x:c r="U361" t="n">
        <x:v>1</x:v>
      </x:c>
      <x:c r="V361" t="n">
        <x:v>0</x:v>
      </x:c>
      <x:c r="W361" s="50" t="n">
        <x:f>IF(D361=0,"",H361/D361)</x:f>
        <x:v>0.1013745704467354</x:v>
      </x:c>
      <x:c r="X361" t="n">
        <x:f>MAX(I361:V361)</x:f>
        <x:v>500</x:v>
      </x:c>
      <x:c r="Y361" t="n">
        <x:f>H361-X361</x:f>
        <x:v>-441</x:v>
      </x:c>
      <x:c r="Z361" s="52" t="n">
        <x:f>IF(D361=0,"",(Y361)/D361)</x:f>
        <x:v>-0.7577319587628866</x:v>
      </x:c>
      <x:c r="AA361" t="str">
        <x:v>Dr. Mahesh Sharma</x:v>
      </x:c>
      <x:c r="AB361" t="n">
        <x:f>D361-E361-F361</x:f>
        <x:v>0</x:v>
      </x:c>
    </x:row>
    <x:row r="362">
      <x:c r="A362" t="n">
        <x:v>354</x:v>
      </x:c>
      <x:c r="B362" t="str">
        <x:v>2024 location: not supplied</x:v>
      </x:c>
      <x:c r="C362"/>
      <x:c r="D362" t="n">
        <x:v>497</x:v>
      </x:c>
      <x:c r="E362" t="n">
        <x:f>SUM(H362:V362)</x:f>
        <x:v>492</x:v>
      </x:c>
      <x:c r="F362" t="n">
        <x:v>5</x:v>
      </x:c>
      <x:c r="G362" s="50" t="str">
        <x:f>IF(C362="","",IFERROR(D362/C362,0))</x:f>
      </x:c>
      <x:c r="H362" s="36" t="n">
        <x:v>227</x:v>
      </x:c>
      <x:c r="I362" t="n">
        <x:v>216</x:v>
      </x:c>
      <x:c r="J362" t="n">
        <x:v>46</x:v>
      </x:c>
      <x:c r="K362" t="n">
        <x:v>0</x:v>
      </x:c>
      <x:c r="L362" t="n">
        <x:v>0</x:v>
      </x:c>
      <x:c r="M362" t="n">
        <x:v>0</x:v>
      </x:c>
      <x:c r="N362" t="n">
        <x:v>1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2</x:v>
      </x:c>
      <x:c r="W362" s="50" t="n">
        <x:f>IF(D362=0,"",H362/D362)</x:f>
        <x:v>0.4567404426559356</x:v>
      </x:c>
      <x:c r="X362" t="n">
        <x:f>MAX(I362:V362)</x:f>
        <x:v>216</x:v>
      </x:c>
      <x:c r="Y362" t="n">
        <x:f>H362-X362</x:f>
        <x:v>11</x:v>
      </x:c>
      <x:c r="Z362" s="52" t="n">
        <x:f>IF(D362=0,"",(Y362)/D362)</x:f>
        <x:v>0.022132796780684104</x:v>
      </x:c>
      <x:c r="AA362" t="str">
        <x:v>Dr. Mahendra Singh Nagar</x:v>
      </x:c>
      <x:c r="AB362" t="n">
        <x:f>D362-E362-F362</x:f>
        <x:v>0</x:v>
      </x:c>
    </x:row>
    <x:row r="363">
      <x:c r="A363" t="n">
        <x:v>355</x:v>
      </x:c>
      <x:c r="B363" t="str">
        <x:v>2024 location: not supplied</x:v>
      </x:c>
      <x:c r="C363"/>
      <x:c r="D363" t="n">
        <x:v>626</x:v>
      </x:c>
      <x:c r="E363" t="n">
        <x:f>SUM(H363:V363)</x:f>
        <x:v>623</x:v>
      </x:c>
      <x:c r="F363" t="n">
        <x:v>3</x:v>
      </x:c>
      <x:c r="G363" s="50" t="str">
        <x:f>IF(C363="","",IFERROR(D363/C363,0))</x:f>
      </x:c>
      <x:c r="H363" s="36" t="n">
        <x:v>315</x:v>
      </x:c>
      <x:c r="I363" t="n">
        <x:v>149</x:v>
      </x:c>
      <x:c r="J363" t="n">
        <x:v>150</x:v>
      </x:c>
      <x:c r="K363" t="n">
        <x:v>1</x:v>
      </x:c>
      <x:c r="L363" t="n">
        <x:v>4</x:v>
      </x:c>
      <x:c r="M363" t="n">
        <x:v>0</x:v>
      </x:c>
      <x:c r="N363" t="n">
        <x:v>1</x:v>
      </x:c>
      <x:c r="O363" t="n">
        <x:v>0</x:v>
      </x:c>
      <x:c r="P363" t="n">
        <x:v>0</x:v>
      </x:c>
      <x:c r="Q363" t="n">
        <x:v>1</x:v>
      </x:c>
      <x:c r="R363" t="n">
        <x:v>0</x:v>
      </x:c>
      <x:c r="S363" t="n">
        <x:v>0</x:v>
      </x:c>
      <x:c r="T363" t="n">
        <x:v>1</x:v>
      </x:c>
      <x:c r="U363" t="n">
        <x:v>1</x:v>
      </x:c>
      <x:c r="V363" t="n">
        <x:v>0</x:v>
      </x:c>
      <x:c r="W363" s="50" t="n">
        <x:f>IF(D363=0,"",H363/D363)</x:f>
        <x:v>0.5031948881789138</x:v>
      </x:c>
      <x:c r="X363" t="n">
        <x:f>MAX(I363:V363)</x:f>
        <x:v>150</x:v>
      </x:c>
      <x:c r="Y363" t="n">
        <x:f>H363-X363</x:f>
        <x:v>165</x:v>
      </x:c>
      <x:c r="Z363" s="52" t="n">
        <x:f>IF(D363=0,"",(Y363)/D363)</x:f>
        <x:v>0.26357827476038337</x:v>
      </x:c>
      <x:c r="AA363" t="str">
        <x:v>Dr. Mahendra Singh Nagar</x:v>
      </x:c>
      <x:c r="AB363" t="n">
        <x:f>D363-E363-F363</x:f>
        <x:v>0</x:v>
      </x:c>
    </x:row>
    <x:row r="364">
      <x:c r="A364" t="n">
        <x:v>356</x:v>
      </x:c>
      <x:c r="B364" t="str">
        <x:v>2024 location: not supplied</x:v>
      </x:c>
      <x:c r="C364"/>
      <x:c r="D364" t="n">
        <x:v>307</x:v>
      </x:c>
      <x:c r="E364" t="n">
        <x:f>SUM(H364:V364)</x:f>
        <x:v>306</x:v>
      </x:c>
      <x:c r="F364" t="n">
        <x:v>1</x:v>
      </x:c>
      <x:c r="G364" s="50" t="str">
        <x:f>IF(C364="","",IFERROR(D364/C364,0))</x:f>
      </x:c>
      <x:c r="H364" s="36" t="n">
        <x:v>12</x:v>
      </x:c>
      <x:c r="I364" t="n">
        <x:v>238</x:v>
      </x:c>
      <x:c r="J364" t="n">
        <x:v>45</x:v>
      </x:c>
      <x:c r="K364" t="n">
        <x:v>1</x:v>
      </x:c>
      <x:c r="L364" t="n">
        <x:v>0</x:v>
      </x:c>
      <x:c r="M364" t="n">
        <x:v>0</x:v>
      </x:c>
      <x:c r="N364" t="n">
        <x:v>5</x:v>
      </x:c>
      <x:c r="O364" t="n">
        <x:v>1</x:v>
      </x:c>
      <x:c r="P364" t="n">
        <x:v>0</x:v>
      </x:c>
      <x:c r="Q364" t="n">
        <x:v>0</x:v>
      </x:c>
      <x:c r="R364" t="n">
        <x:v>0</x:v>
      </x:c>
      <x:c r="S364" t="n">
        <x:v>1</x:v>
      </x:c>
      <x:c r="T364" t="n">
        <x:v>1</x:v>
      </x:c>
      <x:c r="U364" t="n">
        <x:v>1</x:v>
      </x:c>
      <x:c r="V364" t="n">
        <x:v>1</x:v>
      </x:c>
      <x:c r="W364" s="50" t="n">
        <x:f>IF(D364=0,"",H364/D364)</x:f>
        <x:v>0.03908794788273615</x:v>
      </x:c>
      <x:c r="X364" t="n">
        <x:f>MAX(I364:V364)</x:f>
        <x:v>238</x:v>
      </x:c>
      <x:c r="Y364" t="n">
        <x:f>H364-X364</x:f>
        <x:v>-226</x:v>
      </x:c>
      <x:c r="Z364" s="52" t="n">
        <x:f>IF(D364=0,"",(Y364)/D364)</x:f>
        <x:v>-0.7361563517915309</x:v>
      </x:c>
      <x:c r="AA364" t="str">
        <x:v>Dr. Mahesh Sharma</x:v>
      </x:c>
      <x:c r="AB364" t="n">
        <x:f>D364-E364-F364</x:f>
        <x:v>0</x:v>
      </x:c>
    </x:row>
    <x:row r="365">
      <x:c r="A365" t="n">
        <x:v>357</x:v>
      </x:c>
      <x:c r="B365" t="str">
        <x:v>2024 location: not supplied</x:v>
      </x:c>
      <x:c r="C365"/>
      <x:c r="D365" t="n">
        <x:v>494</x:v>
      </x:c>
      <x:c r="E365" t="n">
        <x:f>SUM(H365:V365)</x:f>
        <x:v>493</x:v>
      </x:c>
      <x:c r="F365" t="n">
        <x:v>1</x:v>
      </x:c>
      <x:c r="G365" s="50" t="str">
        <x:f>IF(C365="","",IFERROR(D365/C365,0))</x:f>
      </x:c>
      <x:c r="H365" s="36" t="n">
        <x:v>46</x:v>
      </x:c>
      <x:c r="I365" t="n">
        <x:v>284</x:v>
      </x:c>
      <x:c r="J365" t="n">
        <x:v>155</x:v>
      </x:c>
      <x:c r="K365" t="n">
        <x:v>0</x:v>
      </x:c>
      <x:c r="L365" t="n">
        <x:v>1</x:v>
      </x:c>
      <x:c r="M365" t="n">
        <x:v>1</x:v>
      </x:c>
      <x:c r="N365" t="n">
        <x:v>1</x:v>
      </x:c>
      <x:c r="O365" t="n">
        <x:v>1</x:v>
      </x:c>
      <x:c r="P365" t="n">
        <x:v>0</x:v>
      </x:c>
      <x:c r="Q365" t="n">
        <x:v>0</x:v>
      </x:c>
      <x:c r="R365" t="n">
        <x:v>0</x:v>
      </x:c>
      <x:c r="S365" t="n">
        <x:v>1</x:v>
      </x:c>
      <x:c r="T365" t="n">
        <x:v>0</x:v>
      </x:c>
      <x:c r="U365" t="n">
        <x:v>2</x:v>
      </x:c>
      <x:c r="V365" t="n">
        <x:v>1</x:v>
      </x:c>
      <x:c r="W365" s="50" t="n">
        <x:f>IF(D365=0,"",H365/D365)</x:f>
        <x:v>0.0931174089068826</x:v>
      </x:c>
      <x:c r="X365" t="n">
        <x:f>MAX(I365:V365)</x:f>
        <x:v>284</x:v>
      </x:c>
      <x:c r="Y365" t="n">
        <x:f>H365-X365</x:f>
        <x:v>-238</x:v>
      </x:c>
      <x:c r="Z365" s="52" t="n">
        <x:f>IF(D365=0,"",(Y365)/D365)</x:f>
        <x:v>-0.4817813765182186</x:v>
      </x:c>
      <x:c r="AA365" t="str">
        <x:v>Dr. Mahesh Sharma</x:v>
      </x:c>
      <x:c r="AB365" t="n">
        <x:f>D365-E365-F365</x:f>
        <x:v>0</x:v>
      </x:c>
    </x:row>
    <x:row r="366">
      <x:c r="A366" t="n">
        <x:v>358</x:v>
      </x:c>
      <x:c r="B366" t="str">
        <x:v>2024 location: not supplied</x:v>
      </x:c>
      <x:c r="C366"/>
      <x:c r="D366" t="n">
        <x:v>623</x:v>
      </x:c>
      <x:c r="E366" t="n">
        <x:f>SUM(H366:V366)</x:f>
        <x:v>619</x:v>
      </x:c>
      <x:c r="F366" t="n">
        <x:v>4</x:v>
      </x:c>
      <x:c r="G366" s="50" t="str">
        <x:f>IF(C366="","",IFERROR(D366/C366,0))</x:f>
      </x:c>
      <x:c r="H366" s="36" t="n">
        <x:v>147</x:v>
      </x:c>
      <x:c r="I366" t="n">
        <x:v>394</x:v>
      </x:c>
      <x:c r="J366" t="n">
        <x:v>68</x:v>
      </x:c>
      <x:c r="K366" t="n">
        <x:v>1</x:v>
      </x:c>
      <x:c r="L366" t="n">
        <x:v>0</x:v>
      </x:c>
      <x:c r="M366" t="n">
        <x:v>0</x:v>
      </x:c>
      <x:c r="N366" t="n">
        <x:v>3</x:v>
      </x:c>
      <x:c r="O366" t="n">
        <x:v>1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1</x:v>
      </x:c>
      <x:c r="U366" t="n">
        <x:v>3</x:v>
      </x:c>
      <x:c r="V366" t="n">
        <x:v>1</x:v>
      </x:c>
      <x:c r="W366" s="50" t="n">
        <x:f>IF(D366=0,"",H366/D366)</x:f>
        <x:v>0.23595505617977527</x:v>
      </x:c>
      <x:c r="X366" t="n">
        <x:f>MAX(I366:V366)</x:f>
        <x:v>394</x:v>
      </x:c>
      <x:c r="Y366" t="n">
        <x:f>H366-X366</x:f>
        <x:v>-247</x:v>
      </x:c>
      <x:c r="Z366" s="52" t="n">
        <x:f>IF(D366=0,"",(Y366)/D366)</x:f>
        <x:v>-0.39646869983948635</x:v>
      </x:c>
      <x:c r="AA366" t="str">
        <x:v>Dr. Mahesh Sharma</x:v>
      </x:c>
      <x:c r="AB366" t="n">
        <x:f>D366-E366-F366</x:f>
        <x:v>0</x:v>
      </x:c>
    </x:row>
    <x:row r="367">
      <x:c r="A367" t="n">
        <x:v>359</x:v>
      </x:c>
      <x:c r="B367" t="str">
        <x:v>2024 location: not supplied</x:v>
      </x:c>
      <x:c r="C367"/>
      <x:c r="D367" t="n">
        <x:v>707</x:v>
      </x:c>
      <x:c r="E367" t="n">
        <x:f>SUM(H367:V367)</x:f>
        <x:v>705</x:v>
      </x:c>
      <x:c r="F367" t="n">
        <x:v>2</x:v>
      </x:c>
      <x:c r="G367" s="50" t="str">
        <x:f>IF(C367="","",IFERROR(D367/C367,0))</x:f>
      </x:c>
      <x:c r="H367" s="36" t="n">
        <x:v>222</x:v>
      </x:c>
      <x:c r="I367" t="n">
        <x:v>339</x:v>
      </x:c>
      <x:c r="J367" t="n">
        <x:v>137</x:v>
      </x:c>
      <x:c r="K367" t="n">
        <x:v>0</x:v>
      </x:c>
      <x:c r="L367" t="n">
        <x:v>0</x:v>
      </x:c>
      <x:c r="M367" t="n">
        <x:v>0</x:v>
      </x:c>
      <x:c r="N367" t="n">
        <x:v>1</x:v>
      </x:c>
      <x:c r="O367" t="n">
        <x:v>0</x:v>
      </x:c>
      <x:c r="P367" t="n">
        <x:v>1</x:v>
      </x:c>
      <x:c r="Q367" t="n">
        <x:v>0</x:v>
      </x:c>
      <x:c r="R367" t="n">
        <x:v>1</x:v>
      </x:c>
      <x:c r="S367" t="n">
        <x:v>1</x:v>
      </x:c>
      <x:c r="T367" t="n">
        <x:v>1</x:v>
      </x:c>
      <x:c r="U367" t="n">
        <x:v>1</x:v>
      </x:c>
      <x:c r="V367" t="n">
        <x:v>1</x:v>
      </x:c>
      <x:c r="W367" s="50" t="n">
        <x:f>IF(D367=0,"",H367/D367)</x:f>
        <x:v>0.314002828854314</x:v>
      </x:c>
      <x:c r="X367" t="n">
        <x:f>MAX(I367:V367)</x:f>
        <x:v>339</x:v>
      </x:c>
      <x:c r="Y367" t="n">
        <x:f>H367-X367</x:f>
        <x:v>-117</x:v>
      </x:c>
      <x:c r="Z367" s="52" t="n">
        <x:f>IF(D367=0,"",(Y367)/D367)</x:f>
        <x:v>-0.16548797736916548</x:v>
      </x:c>
      <x:c r="AA367" t="str">
        <x:v>Dr. Mahesh Sharma</x:v>
      </x:c>
      <x:c r="AB367" t="n">
        <x:f>D367-E367-F367</x:f>
        <x:v>0</x:v>
      </x:c>
    </x:row>
    <x:row r="368">
      <x:c r="A368" t="n">
        <x:v>360</x:v>
      </x:c>
      <x:c r="B368" t="str">
        <x:v>2024 location: not supplied</x:v>
      </x:c>
      <x:c r="C368"/>
      <x:c r="D368" t="n">
        <x:v>878</x:v>
      </x:c>
      <x:c r="E368" t="n">
        <x:f>SUM(H368:V368)</x:f>
        <x:v>867</x:v>
      </x:c>
      <x:c r="F368" t="n">
        <x:v>11</x:v>
      </x:c>
      <x:c r="G368" s="50" t="str">
        <x:f>IF(C368="","",IFERROR(D368/C368,0))</x:f>
      </x:c>
      <x:c r="H368" s="36" t="n">
        <x:v>402</x:v>
      </x:c>
      <x:c r="I368" t="n">
        <x:v>212</x:v>
      </x:c>
      <x:c r="J368" t="n">
        <x:v>218</x:v>
      </x:c>
      <x:c r="K368" t="n">
        <x:v>1</x:v>
      </x:c>
      <x:c r="L368" t="n">
        <x:v>5</x:v>
      </x:c>
      <x:c r="M368" t="n">
        <x:v>1</x:v>
      </x:c>
      <x:c r="N368" t="n">
        <x:v>6</x:v>
      </x:c>
      <x:c r="O368" t="n">
        <x:v>2</x:v>
      </x:c>
      <x:c r="P368" t="n">
        <x:v>1</x:v>
      </x:c>
      <x:c r="Q368" t="n">
        <x:v>1</x:v>
      </x:c>
      <x:c r="R368" t="n">
        <x:v>0</x:v>
      </x:c>
      <x:c r="S368" t="n">
        <x:v>4</x:v>
      </x:c>
      <x:c r="T368" t="n">
        <x:v>4</x:v>
      </x:c>
      <x:c r="U368" t="n">
        <x:v>3</x:v>
      </x:c>
      <x:c r="V368" t="n">
        <x:v>7</x:v>
      </x:c>
      <x:c r="W368" s="50" t="n">
        <x:f>IF(D368=0,"",H368/D368)</x:f>
        <x:v>0.45785876993166286</x:v>
      </x:c>
      <x:c r="X368" t="n">
        <x:f>MAX(I368:V368)</x:f>
        <x:v>218</x:v>
      </x:c>
      <x:c r="Y368" t="n">
        <x:f>H368-X368</x:f>
        <x:v>184</x:v>
      </x:c>
      <x:c r="Z368" s="52" t="n">
        <x:f>IF(D368=0,"",(Y368)/D368)</x:f>
        <x:v>0.20956719817767655</x:v>
      </x:c>
      <x:c r="AA368" t="str">
        <x:v>Dr. Mahendra Singh Nagar</x:v>
      </x:c>
      <x:c r="AB368" t="n">
        <x:f>D368-E368-F368</x:f>
        <x:v>0</x:v>
      </x:c>
    </x:row>
    <x:row r="369">
      <x:c r="A369" t="n">
        <x:v>361</x:v>
      </x:c>
      <x:c r="B369" t="str">
        <x:v>2024 location: not supplied</x:v>
      </x:c>
      <x:c r="C369"/>
      <x:c r="D369" t="n">
        <x:v>610</x:v>
      </x:c>
      <x:c r="E369" t="n">
        <x:f>SUM(H369:V369)</x:f>
        <x:v>607</x:v>
      </x:c>
      <x:c r="F369" t="n">
        <x:v>3</x:v>
      </x:c>
      <x:c r="G369" s="50" t="str">
        <x:f>IF(C369="","",IFERROR(D369/C369,0))</x:f>
      </x:c>
      <x:c r="H369" s="36" t="n">
        <x:v>70</x:v>
      </x:c>
      <x:c r="I369" t="n">
        <x:v>481</x:v>
      </x:c>
      <x:c r="J369" t="n">
        <x:v>40</x:v>
      </x:c>
      <x:c r="K369" t="n">
        <x:v>0</x:v>
      </x:c>
      <x:c r="L369" t="n">
        <x:v>0</x:v>
      </x:c>
      <x:c r="M369" t="n">
        <x:v>0</x:v>
      </x:c>
      <x:c r="N369" t="n">
        <x:v>6</x:v>
      </x:c>
      <x:c r="O369" t="n">
        <x:v>1</x:v>
      </x:c>
      <x:c r="P369" t="n">
        <x:v>0</x:v>
      </x:c>
      <x:c r="Q369" t="n">
        <x:v>0</x:v>
      </x:c>
      <x:c r="R369" t="n">
        <x:v>3</x:v>
      </x:c>
      <x:c r="S369" t="n">
        <x:v>1</x:v>
      </x:c>
      <x:c r="T369" t="n">
        <x:v>3</x:v>
      </x:c>
      <x:c r="U369" t="n">
        <x:v>1</x:v>
      </x:c>
      <x:c r="V369" t="n">
        <x:v>1</x:v>
      </x:c>
      <x:c r="W369" s="50" t="n">
        <x:f>IF(D369=0,"",H369/D369)</x:f>
        <x:v>0.11475409836065574</x:v>
      </x:c>
      <x:c r="X369" t="n">
        <x:f>MAX(I369:V369)</x:f>
        <x:v>481</x:v>
      </x:c>
      <x:c r="Y369" t="n">
        <x:f>H369-X369</x:f>
        <x:v>-411</x:v>
      </x:c>
      <x:c r="Z369" s="52" t="n">
        <x:f>IF(D369=0,"",(Y369)/D369)</x:f>
        <x:v>-0.6737704918032786</x:v>
      </x:c>
      <x:c r="AA369" t="str">
        <x:v>Dr. Mahesh Sharma</x:v>
      </x:c>
      <x:c r="AB369" t="n">
        <x:f>D369-E369-F369</x:f>
        <x:v>0</x:v>
      </x:c>
    </x:row>
    <x:row r="370">
      <x:c r="A370" t="n">
        <x:v>362</x:v>
      </x:c>
      <x:c r="B370" t="str">
        <x:v>2024 location: not supplied</x:v>
      </x:c>
      <x:c r="C370"/>
      <x:c r="D370" t="n">
        <x:v>633</x:v>
      </x:c>
      <x:c r="E370" t="n">
        <x:f>SUM(H370:V370)</x:f>
        <x:v>633</x:v>
      </x:c>
      <x:c r="F370" t="n">
        <x:v>0</x:v>
      </x:c>
      <x:c r="G370" s="50" t="str">
        <x:f>IF(C370="","",IFERROR(D370/C370,0))</x:f>
      </x:c>
      <x:c r="H370" s="36" t="n">
        <x:v>35</x:v>
      </x:c>
      <x:c r="I370" t="n">
        <x:v>393</x:v>
      </x:c>
      <x:c r="J370" t="n">
        <x:v>188</x:v>
      </x:c>
      <x:c r="K370" t="n">
        <x:v>1</x:v>
      </x:c>
      <x:c r="L370" t="n">
        <x:v>1</x:v>
      </x:c>
      <x:c r="M370" t="n">
        <x:v>0</x:v>
      </x:c>
      <x:c r="N370" t="n">
        <x:v>9</x:v>
      </x:c>
      <x:c r="O370" t="n">
        <x:v>0</x:v>
      </x:c>
      <x:c r="P370" t="n">
        <x:v>1</x:v>
      </x:c>
      <x:c r="Q370" t="n">
        <x:v>0</x:v>
      </x:c>
      <x:c r="R370" t="n">
        <x:v>2</x:v>
      </x:c>
      <x:c r="S370" t="n">
        <x:v>0</x:v>
      </x:c>
      <x:c r="T370" t="n">
        <x:v>1</x:v>
      </x:c>
      <x:c r="U370" t="n">
        <x:v>2</x:v>
      </x:c>
      <x:c r="V370" t="n">
        <x:v>0</x:v>
      </x:c>
      <x:c r="W370" s="50" t="n">
        <x:f>IF(D370=0,"",H370/D370)</x:f>
        <x:v>0.05529225908372828</x:v>
      </x:c>
      <x:c r="X370" t="n">
        <x:f>MAX(I370:V370)</x:f>
        <x:v>393</x:v>
      </x:c>
      <x:c r="Y370" t="n">
        <x:f>H370-X370</x:f>
        <x:v>-358</x:v>
      </x:c>
      <x:c r="Z370" s="52" t="n">
        <x:f>IF(D370=0,"",(Y370)/D370)</x:f>
        <x:v>-0.5655608214849921</x:v>
      </x:c>
      <x:c r="AA370" t="str">
        <x:v>Dr. Mahesh Sharma</x:v>
      </x:c>
      <x:c r="AB370" t="n">
        <x:f>D370-E370-F370</x:f>
        <x:v>0</x:v>
      </x:c>
    </x:row>
    <x:row r="371">
      <x:c r="A371" t="n">
        <x:v>363</x:v>
      </x:c>
      <x:c r="B371" t="str">
        <x:v>2024 location: not supplied</x:v>
      </x:c>
      <x:c r="C371"/>
      <x:c r="D371" t="n">
        <x:v>556</x:v>
      </x:c>
      <x:c r="E371" t="n">
        <x:f>SUM(H371:V371)</x:f>
        <x:v>554</x:v>
      </x:c>
      <x:c r="F371" t="n">
        <x:v>2</x:v>
      </x:c>
      <x:c r="G371" s="50" t="str">
        <x:f>IF(C371="","",IFERROR(D371/C371,0))</x:f>
      </x:c>
      <x:c r="H371" s="36" t="n">
        <x:v>112</x:v>
      </x:c>
      <x:c r="I371" t="n">
        <x:v>422</x:v>
      </x:c>
      <x:c r="J371" t="n">
        <x:v>11</x:v>
      </x:c>
      <x:c r="K371" t="n">
        <x:v>0</x:v>
      </x:c>
      <x:c r="L371" t="n">
        <x:v>1</x:v>
      </x:c>
      <x:c r="M371" t="n">
        <x:v>0</x:v>
      </x:c>
      <x:c r="N371" t="n">
        <x:v>1</x:v>
      </x:c>
      <x:c r="O371" t="n">
        <x:v>0</x:v>
      </x:c>
      <x:c r="P371" t="n">
        <x:v>1</x:v>
      </x:c>
      <x:c r="Q371" t="n">
        <x:v>1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5</x:v>
      </x:c>
      <x:c r="W371" s="50" t="n">
        <x:f>IF(D371=0,"",H371/D371)</x:f>
        <x:v>0.2014388489208633</x:v>
      </x:c>
      <x:c r="X371" t="n">
        <x:f>MAX(I371:V371)</x:f>
        <x:v>422</x:v>
      </x:c>
      <x:c r="Y371" t="n">
        <x:f>H371-X371</x:f>
        <x:v>-310</x:v>
      </x:c>
      <x:c r="Z371" s="52" t="n">
        <x:f>IF(D371=0,"",(Y371)/D371)</x:f>
        <x:v>-0.5575539568345323</x:v>
      </x:c>
      <x:c r="AA371" t="str">
        <x:v>Dr. Mahesh Sharma</x:v>
      </x:c>
      <x:c r="AB371" t="n">
        <x:f>D371-E371-F371</x:f>
        <x:v>0</x:v>
      </x:c>
    </x:row>
    <x:row r="372">
      <x:c r="A372" t="n">
        <x:v>364</x:v>
      </x:c>
      <x:c r="B372" t="str">
        <x:v>2024 location: not supplied</x:v>
      </x:c>
      <x:c r="C372"/>
      <x:c r="D372" t="n">
        <x:v>480</x:v>
      </x:c>
      <x:c r="E372" t="n">
        <x:f>SUM(H372:V372)</x:f>
        <x:v>477</x:v>
      </x:c>
      <x:c r="F372" t="n">
        <x:v>3</x:v>
      </x:c>
      <x:c r="G372" s="50" t="str">
        <x:f>IF(C372="","",IFERROR(D372/C372,0))</x:f>
      </x:c>
      <x:c r="H372" s="36" t="n">
        <x:v>34</x:v>
      </x:c>
      <x:c r="I372" t="n">
        <x:v>252</x:v>
      </x:c>
      <x:c r="J372" t="n">
        <x:v>183</x:v>
      </x:c>
      <x:c r="K372" t="n">
        <x:v>0</x:v>
      </x:c>
      <x:c r="L372" t="n">
        <x:v>0</x:v>
      </x:c>
      <x:c r="M372" t="n">
        <x:v>0</x:v>
      </x:c>
      <x:c r="N372" t="n">
        <x:v>2</x:v>
      </x:c>
      <x:c r="O372" t="n">
        <x:v>1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1</x:v>
      </x:c>
      <x:c r="U372" t="n">
        <x:v>2</x:v>
      </x:c>
      <x:c r="V372" t="n">
        <x:v>2</x:v>
      </x:c>
      <x:c r="W372" s="50" t="n">
        <x:f>IF(D372=0,"",H372/D372)</x:f>
        <x:v>0.07083333333333333</x:v>
      </x:c>
      <x:c r="X372" t="n">
        <x:f>MAX(I372:V372)</x:f>
        <x:v>252</x:v>
      </x:c>
      <x:c r="Y372" t="n">
        <x:f>H372-X372</x:f>
        <x:v>-218</x:v>
      </x:c>
      <x:c r="Z372" s="52" t="n">
        <x:f>IF(D372=0,"",(Y372)/D372)</x:f>
        <x:v>-0.45416666666666666</x:v>
      </x:c>
      <x:c r="AA372" t="str">
        <x:v>Dr. Mahesh Sharma</x:v>
      </x:c>
      <x:c r="AB372" t="n">
        <x:f>D372-E372-F372</x:f>
        <x:v>0</x:v>
      </x:c>
    </x:row>
    <x:row r="373">
      <x:c r="A373" t="n">
        <x:v>365</x:v>
      </x:c>
      <x:c r="B373" t="str">
        <x:v>2024 location: not supplied</x:v>
      </x:c>
      <x:c r="C373"/>
      <x:c r="D373" t="n">
        <x:v>589</x:v>
      </x:c>
      <x:c r="E373" t="n">
        <x:f>SUM(H373:V373)</x:f>
        <x:v>582</x:v>
      </x:c>
      <x:c r="F373" t="n">
        <x:v>7</x:v>
      </x:c>
      <x:c r="G373" s="50" t="str">
        <x:f>IF(C373="","",IFERROR(D373/C373,0))</x:f>
      </x:c>
      <x:c r="H373" s="36" t="n">
        <x:v>11</x:v>
      </x:c>
      <x:c r="I373" t="n">
        <x:v>361</x:v>
      </x:c>
      <x:c r="J373" t="n">
        <x:v>175</x:v>
      </x:c>
      <x:c r="K373" t="n">
        <x:v>0</x:v>
      </x:c>
      <x:c r="L373" t="n">
        <x:v>4</x:v>
      </x:c>
      <x:c r="M373" t="n">
        <x:v>1</x:v>
      </x:c>
      <x:c r="N373" t="n">
        <x:v>6</x:v>
      </x:c>
      <x:c r="O373" t="n">
        <x:v>1</x:v>
      </x:c>
      <x:c r="P373" t="n">
        <x:v>0</x:v>
      </x:c>
      <x:c r="Q373" t="n">
        <x:v>0</x:v>
      </x:c>
      <x:c r="R373" t="n">
        <x:v>1</x:v>
      </x:c>
      <x:c r="S373" t="n">
        <x:v>3</x:v>
      </x:c>
      <x:c r="T373" t="n">
        <x:v>0</x:v>
      </x:c>
      <x:c r="U373" t="n">
        <x:v>12</x:v>
      </x:c>
      <x:c r="V373" t="n">
        <x:v>7</x:v>
      </x:c>
      <x:c r="W373" s="50" t="n">
        <x:f>IF(D373=0,"",H373/D373)</x:f>
        <x:v>0.01867572156196944</x:v>
      </x:c>
      <x:c r="X373" t="n">
        <x:f>MAX(I373:V373)</x:f>
        <x:v>361</x:v>
      </x:c>
      <x:c r="Y373" t="n">
        <x:f>H373-X373</x:f>
        <x:v>-350</x:v>
      </x:c>
      <x:c r="Z373" s="52" t="n">
        <x:f>IF(D373=0,"",(Y373)/D373)</x:f>
        <x:v>-0.5942275042444821</x:v>
      </x:c>
      <x:c r="AA373" t="str">
        <x:v>Dr. Mahesh Sharma</x:v>
      </x:c>
      <x:c r="AB373" t="n">
        <x:f>D373-E373-F373</x:f>
        <x:v>0</x:v>
      </x:c>
    </x:row>
    <x:row r="374">
      <x:c r="A374" t="n">
        <x:v>366</x:v>
      </x:c>
      <x:c r="B374" t="str">
        <x:v>2024 location: not supplied</x:v>
      </x:c>
      <x:c r="C374"/>
      <x:c r="D374" t="n">
        <x:v>400</x:v>
      </x:c>
      <x:c r="E374" t="n">
        <x:f>SUM(H374:V374)</x:f>
        <x:v>398</x:v>
      </x:c>
      <x:c r="F374" t="n">
        <x:v>2</x:v>
      </x:c>
      <x:c r="G374" s="50" t="str">
        <x:f>IF(C374="","",IFERROR(D374/C374,0))</x:f>
      </x:c>
      <x:c r="H374" s="36" t="n">
        <x:v>58</x:v>
      </x:c>
      <x:c r="I374" t="n">
        <x:v>303</x:v>
      </x:c>
      <x:c r="J374" t="n">
        <x:v>31</x:v>
      </x:c>
      <x:c r="K374" t="n">
        <x:v>0</x:v>
      </x:c>
      <x:c r="L374" t="n">
        <x:v>0</x:v>
      </x:c>
      <x:c r="M374" t="n">
        <x:v>0</x:v>
      </x:c>
      <x:c r="N374" t="n">
        <x:v>2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1</x:v>
      </x:c>
      <x:c r="U374" t="n">
        <x:v>0</x:v>
      </x:c>
      <x:c r="V374" t="n">
        <x:v>3</x:v>
      </x:c>
      <x:c r="W374" s="50" t="n">
        <x:f>IF(D374=0,"",H374/D374)</x:f>
        <x:v>0.145</x:v>
      </x:c>
      <x:c r="X374" t="n">
        <x:f>MAX(I374:V374)</x:f>
        <x:v>303</x:v>
      </x:c>
      <x:c r="Y374" t="n">
        <x:f>H374-X374</x:f>
        <x:v>-245</x:v>
      </x:c>
      <x:c r="Z374" s="52" t="n">
        <x:f>IF(D374=0,"",(Y374)/D374)</x:f>
        <x:v>-0.6125</x:v>
      </x:c>
      <x:c r="AA374" t="str">
        <x:v>Dr. Mahesh Sharma</x:v>
      </x:c>
      <x:c r="AB374" t="n">
        <x:f>D374-E374-F374</x:f>
        <x:v>0</x:v>
      </x:c>
    </x:row>
    <x:row r="375">
      <x:c r="A375" t="n">
        <x:v>367</x:v>
      </x:c>
      <x:c r="B375" t="str">
        <x:v>2024 location: not supplied</x:v>
      </x:c>
      <x:c r="C375"/>
      <x:c r="D375" t="n">
        <x:v>567</x:v>
      </x:c>
      <x:c r="E375" t="n">
        <x:f>SUM(H375:V375)</x:f>
        <x:v>565</x:v>
      </x:c>
      <x:c r="F375" t="n">
        <x:v>2</x:v>
      </x:c>
      <x:c r="G375" s="50" t="str">
        <x:f>IF(C375="","",IFERROR(D375/C375,0))</x:f>
      </x:c>
      <x:c r="H375" s="36" t="n">
        <x:v>60</x:v>
      </x:c>
      <x:c r="I375" t="n">
        <x:v>150</x:v>
      </x:c>
      <x:c r="J375" t="n">
        <x:v>340</x:v>
      </x:c>
      <x:c r="K375" t="n">
        <x:v>0</x:v>
      </x:c>
      <x:c r="L375" t="n">
        <x:v>2</x:v>
      </x:c>
      <x:c r="M375" t="n">
        <x:v>0</x:v>
      </x:c>
      <x:c r="N375" t="n">
        <x:v>3</x:v>
      </x:c>
      <x:c r="O375" t="n">
        <x:v>0</x:v>
      </x:c>
      <x:c r="P375" t="n">
        <x:v>2</x:v>
      </x:c>
      <x:c r="Q375" t="n">
        <x:v>0</x:v>
      </x:c>
      <x:c r="R375" t="n">
        <x:v>1</x:v>
      </x:c>
      <x:c r="S375" t="n">
        <x:v>0</x:v>
      </x:c>
      <x:c r="T375" t="n">
        <x:v>2</x:v>
      </x:c>
      <x:c r="U375" t="n">
        <x:v>3</x:v>
      </x:c>
      <x:c r="V375" t="n">
        <x:v>2</x:v>
      </x:c>
      <x:c r="W375" s="50" t="n">
        <x:f>IF(D375=0,"",H375/D375)</x:f>
        <x:v>0.10582010582010581</x:v>
      </x:c>
      <x:c r="X375" t="n">
        <x:f>MAX(I375:V375)</x:f>
        <x:v>340</x:v>
      </x:c>
      <x:c r="Y375" t="n">
        <x:f>H375-X375</x:f>
        <x:v>-280</x:v>
      </x:c>
      <x:c r="Z375" s="52" t="n">
        <x:f>IF(D375=0,"",(Y375)/D375)</x:f>
        <x:v>-0.49382716049382713</x:v>
      </x:c>
      <x:c r="AA375" t="str">
        <x:v>Rajendra Singh Solanki</x:v>
      </x:c>
      <x:c r="AB375" t="n">
        <x:f>D375-E375-F375</x:f>
        <x:v>0</x:v>
      </x:c>
    </x:row>
    <x:row r="376">
      <x:c r="A376" t="n">
        <x:v>368</x:v>
      </x:c>
      <x:c r="B376" t="str">
        <x:v>2024 location: not supplied</x:v>
      </x:c>
      <x:c r="C376"/>
      <x:c r="D376" t="n">
        <x:v>311</x:v>
      </x:c>
      <x:c r="E376" t="n">
        <x:f>SUM(H376:V376)</x:f>
        <x:v>311</x:v>
      </x:c>
      <x:c r="F376" t="n">
        <x:v>0</x:v>
      </x:c>
      <x:c r="G376" s="50" t="str">
        <x:f>IF(C376="","",IFERROR(D376/C376,0))</x:f>
      </x:c>
      <x:c r="H376" s="36" t="n">
        <x:v>66</x:v>
      </x:c>
      <x:c r="I376" t="n">
        <x:v>212</x:v>
      </x:c>
      <x:c r="J376" t="n">
        <x:v>26</x:v>
      </x:c>
      <x:c r="K376" t="n">
        <x:v>0</x:v>
      </x:c>
      <x:c r="L376" t="n">
        <x:v>0</x:v>
      </x:c>
      <x:c r="M376" t="n">
        <x:v>0</x:v>
      </x:c>
      <x:c r="N376" t="n">
        <x:v>2</x:v>
      </x:c>
      <x:c r="O376" t="n">
        <x:v>1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1</x:v>
      </x:c>
      <x:c r="V376" t="n">
        <x:v>3</x:v>
      </x:c>
      <x:c r="W376" s="50" t="n">
        <x:f>IF(D376=0,"",H376/D376)</x:f>
        <x:v>0.21221864951768488</x:v>
      </x:c>
      <x:c r="X376" t="n">
        <x:f>MAX(I376:V376)</x:f>
        <x:v>212</x:v>
      </x:c>
      <x:c r="Y376" t="n">
        <x:f>H376-X376</x:f>
        <x:v>-146</x:v>
      </x:c>
      <x:c r="Z376" s="52" t="n">
        <x:f>IF(D376=0,"",(Y376)/D376)</x:f>
        <x:v>-0.4694533762057878</x:v>
      </x:c>
      <x:c r="AA376" t="str">
        <x:v>Dr. Mahesh Sharma</x:v>
      </x:c>
      <x:c r="AB376" t="n">
        <x:f>D376-E376-F376</x:f>
        <x:v>0</x:v>
      </x:c>
    </x:row>
    <x:row r="377">
      <x:c r="A377" t="n">
        <x:v>369</x:v>
      </x:c>
      <x:c r="B377" t="str">
        <x:v>2024 location: not supplied</x:v>
      </x:c>
      <x:c r="C377"/>
      <x:c r="D377" t="n">
        <x:v>616</x:v>
      </x:c>
      <x:c r="E377" t="n">
        <x:f>SUM(H377:V377)</x:f>
        <x:v>615</x:v>
      </x:c>
      <x:c r="F377" t="n">
        <x:v>1</x:v>
      </x:c>
      <x:c r="G377" s="50" t="str">
        <x:f>IF(C377="","",IFERROR(D377/C377,0))</x:f>
      </x:c>
      <x:c r="H377" s="36" t="n">
        <x:v>29</x:v>
      </x:c>
      <x:c r="I377" t="n">
        <x:v>360</x:v>
      </x:c>
      <x:c r="J377" t="n">
        <x:v>219</x:v>
      </x:c>
      <x:c r="K377" t="n">
        <x:v>0</x:v>
      </x:c>
      <x:c r="L377" t="n">
        <x:v>1</x:v>
      </x:c>
      <x:c r="M377" t="n">
        <x:v>1</x:v>
      </x:c>
      <x:c r="N377" t="n">
        <x:v>0</x:v>
      </x:c>
      <x:c r="O377" t="n">
        <x:v>1</x:v>
      </x:c>
      <x:c r="P377" t="n">
        <x:v>0</x:v>
      </x:c>
      <x:c r="Q377" t="n">
        <x:v>0</x:v>
      </x:c>
      <x:c r="R377" t="n">
        <x:v>0</x:v>
      </x:c>
      <x:c r="S377" t="n">
        <x:v>2</x:v>
      </x:c>
      <x:c r="T377" t="n">
        <x:v>0</x:v>
      </x:c>
      <x:c r="U377" t="n">
        <x:v>1</x:v>
      </x:c>
      <x:c r="V377" t="n">
        <x:v>1</x:v>
      </x:c>
      <x:c r="W377" s="50" t="n">
        <x:f>IF(D377=0,"",H377/D377)</x:f>
        <x:v>0.04707792207792208</x:v>
      </x:c>
      <x:c r="X377" t="n">
        <x:f>MAX(I377:V377)</x:f>
        <x:v>360</x:v>
      </x:c>
      <x:c r="Y377" t="n">
        <x:f>H377-X377</x:f>
        <x:v>-331</x:v>
      </x:c>
      <x:c r="Z377" s="52" t="n">
        <x:f>IF(D377=0,"",(Y377)/D377)</x:f>
        <x:v>-0.5373376623376623</x:v>
      </x:c>
      <x:c r="AA377" t="str">
        <x:v>Dr. Mahesh Sharma</x:v>
      </x:c>
      <x:c r="AB377" t="n">
        <x:f>D377-E377-F377</x:f>
        <x:v>0</x:v>
      </x:c>
    </x:row>
    <x:row r="378">
      <x:c r="A378" t="n">
        <x:v>370</x:v>
      </x:c>
      <x:c r="B378" t="str">
        <x:v>2024 location: not supplied</x:v>
      </x:c>
      <x:c r="C378"/>
      <x:c r="D378" t="n">
        <x:v>642</x:v>
      </x:c>
      <x:c r="E378" t="n">
        <x:f>SUM(H378:V378)</x:f>
        <x:v>640</x:v>
      </x:c>
      <x:c r="F378" t="n">
        <x:v>2</x:v>
      </x:c>
      <x:c r="G378" s="50" t="str">
        <x:f>IF(C378="","",IFERROR(D378/C378,0))</x:f>
      </x:c>
      <x:c r="H378" s="36" t="n">
        <x:v>47</x:v>
      </x:c>
      <x:c r="I378" t="n">
        <x:v>557</x:v>
      </x:c>
      <x:c r="J378" t="n">
        <x:v>24</x:v>
      </x:c>
      <x:c r="K378" t="n">
        <x:v>1</x:v>
      </x:c>
      <x:c r="L378" t="n">
        <x:v>0</x:v>
      </x:c>
      <x:c r="M378" t="n">
        <x:v>0</x:v>
      </x:c>
      <x:c r="N378" t="n">
        <x:v>3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1</x:v>
      </x:c>
      <x:c r="T378" t="n">
        <x:v>1</x:v>
      </x:c>
      <x:c r="U378" t="n">
        <x:v>3</x:v>
      </x:c>
      <x:c r="V378" t="n">
        <x:v>3</x:v>
      </x:c>
      <x:c r="W378" s="50" t="n">
        <x:f>IF(D378=0,"",H378/D378)</x:f>
        <x:v>0.07320872274143302</x:v>
      </x:c>
      <x:c r="X378" t="n">
        <x:f>MAX(I378:V378)</x:f>
        <x:v>557</x:v>
      </x:c>
      <x:c r="Y378" t="n">
        <x:f>H378-X378</x:f>
        <x:v>-510</x:v>
      </x:c>
      <x:c r="Z378" s="52" t="n">
        <x:f>IF(D378=0,"",(Y378)/D378)</x:f>
        <x:v>-0.794392523364486</x:v>
      </x:c>
      <x:c r="AA378" t="str">
        <x:v>Dr. Mahesh Sharma</x:v>
      </x:c>
      <x:c r="AB378" t="n">
        <x:f>D378-E378-F378</x:f>
        <x:v>0</x:v>
      </x:c>
    </x:row>
    <x:row r="379">
      <x:c r="A379" t="n">
        <x:v>371</x:v>
      </x:c>
      <x:c r="B379" t="str">
        <x:v>2024 location: not supplied</x:v>
      </x:c>
      <x:c r="C379"/>
      <x:c r="D379" t="n">
        <x:v>604</x:v>
      </x:c>
      <x:c r="E379" t="n">
        <x:f>SUM(H379:V379)</x:f>
        <x:v>602</x:v>
      </x:c>
      <x:c r="F379" t="n">
        <x:v>2</x:v>
      </x:c>
      <x:c r="G379" s="50" t="str">
        <x:f>IF(C379="","",IFERROR(D379/C379,0))</x:f>
      </x:c>
      <x:c r="H379" s="36" t="n">
        <x:v>393</x:v>
      </x:c>
      <x:c r="I379" t="n">
        <x:v>87</x:v>
      </x:c>
      <x:c r="J379" t="n">
        <x:v>109</x:v>
      </x:c>
      <x:c r="K379" t="n">
        <x:v>2</x:v>
      </x:c>
      <x:c r="L379" t="n">
        <x:v>2</x:v>
      </x:c>
      <x:c r="M379" t="n">
        <x:v>0</x:v>
      </x:c>
      <x:c r="N379" t="n">
        <x:v>1</x:v>
      </x:c>
      <x:c r="O379" t="n">
        <x:v>1</x:v>
      </x:c>
      <x:c r="P379" t="n">
        <x:v>1</x:v>
      </x:c>
      <x:c r="Q379" t="n">
        <x:v>0</x:v>
      </x:c>
      <x:c r="R379" t="n">
        <x:v>0</x:v>
      </x:c>
      <x:c r="S379" t="n">
        <x:v>2</x:v>
      </x:c>
      <x:c r="T379" t="n">
        <x:v>0</x:v>
      </x:c>
      <x:c r="U379" t="n">
        <x:v>1</x:v>
      </x:c>
      <x:c r="V379" t="n">
        <x:v>3</x:v>
      </x:c>
      <x:c r="W379" s="50" t="n">
        <x:f>IF(D379=0,"",H379/D379)</x:f>
        <x:v>0.6506622516556292</x:v>
      </x:c>
      <x:c r="X379" t="n">
        <x:f>MAX(I379:V379)</x:f>
        <x:v>109</x:v>
      </x:c>
      <x:c r="Y379" t="n">
        <x:f>H379-X379</x:f>
        <x:v>284</x:v>
      </x:c>
      <x:c r="Z379" s="52" t="n">
        <x:f>IF(D379=0,"",(Y379)/D379)</x:f>
        <x:v>0.47019867549668876</x:v>
      </x:c>
      <x:c r="AA379" t="str">
        <x:v>Dr. Mahendra Singh Nagar</x:v>
      </x:c>
      <x:c r="AB379" t="n">
        <x:f>D379-E379-F379</x:f>
        <x:v>0</x:v>
      </x:c>
    </x:row>
    <x:row r="380">
      <x:c r="A380" t="n">
        <x:v>372</x:v>
      </x:c>
      <x:c r="B380" t="str">
        <x:v>2024 location: not supplied</x:v>
      </x:c>
      <x:c r="C380"/>
      <x:c r="D380" t="n">
        <x:v>446</x:v>
      </x:c>
      <x:c r="E380" t="n">
        <x:f>SUM(H380:V380)</x:f>
        <x:v>445</x:v>
      </x:c>
      <x:c r="F380" t="n">
        <x:v>1</x:v>
      </x:c>
      <x:c r="G380" s="50" t="str">
        <x:f>IF(C380="","",IFERROR(D380/C380,0))</x:f>
      </x:c>
      <x:c r="H380" s="36" t="n">
        <x:v>11</x:v>
      </x:c>
      <x:c r="I380" t="n">
        <x:v>421</x:v>
      </x:c>
      <x:c r="J380" t="n">
        <x:v>11</x:v>
      </x:c>
      <x:c r="K380" t="n">
        <x:v>0</x:v>
      </x:c>
      <x:c r="L380" t="n">
        <x:v>1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1</x:v>
      </x:c>
      <x:c r="W380" s="50" t="n">
        <x:f>IF(D380=0,"",H380/D380)</x:f>
        <x:v>0.02466367713004484</x:v>
      </x:c>
      <x:c r="X380" t="n">
        <x:f>MAX(I380:V380)</x:f>
        <x:v>421</x:v>
      </x:c>
      <x:c r="Y380" t="n">
        <x:f>H380-X380</x:f>
        <x:v>-410</x:v>
      </x:c>
      <x:c r="Z380" s="52" t="n">
        <x:f>IF(D380=0,"",(Y380)/D380)</x:f>
        <x:v>-0.9192825112107623</x:v>
      </x:c>
      <x:c r="AA380" t="str">
        <x:v>Dr. Mahesh Sharma</x:v>
      </x:c>
      <x:c r="AB380" t="n">
        <x:f>D380-E380-F380</x:f>
        <x:v>0</x:v>
      </x:c>
    </x:row>
    <x:row r="381">
      <x:c r="A381" t="n">
        <x:v>373</x:v>
      </x:c>
      <x:c r="B381" t="str">
        <x:v>2024 location: not supplied</x:v>
      </x:c>
      <x:c r="C381"/>
      <x:c r="D381" t="n">
        <x:v>568</x:v>
      </x:c>
      <x:c r="E381" t="n">
        <x:f>SUM(H381:V381)</x:f>
        <x:v>566</x:v>
      </x:c>
      <x:c r="F381" t="n">
        <x:v>2</x:v>
      </x:c>
      <x:c r="G381" s="50" t="str">
        <x:f>IF(C381="","",IFERROR(D381/C381,0))</x:f>
      </x:c>
      <x:c r="H381" s="36" t="n">
        <x:v>22</x:v>
      </x:c>
      <x:c r="I381" t="n">
        <x:v>264</x:v>
      </x:c>
      <x:c r="J381" t="n">
        <x:v>273</x:v>
      </x:c>
      <x:c r="K381" t="n">
        <x:v>0</x:v>
      </x:c>
      <x:c r="L381" t="n">
        <x:v>0</x:v>
      </x:c>
      <x:c r="M381" t="n">
        <x:v>1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1</x:v>
      </x:c>
      <x:c r="S381" t="n">
        <x:v>2</x:v>
      </x:c>
      <x:c r="T381" t="n">
        <x:v>0</x:v>
      </x:c>
      <x:c r="U381" t="n">
        <x:v>2</x:v>
      </x:c>
      <x:c r="V381" t="n">
        <x:v>1</x:v>
      </x:c>
      <x:c r="W381" s="50" t="n">
        <x:f>IF(D381=0,"",H381/D381)</x:f>
        <x:v>0.03873239436619718</x:v>
      </x:c>
      <x:c r="X381" t="n">
        <x:f>MAX(I381:V381)</x:f>
        <x:v>273</x:v>
      </x:c>
      <x:c r="Y381" t="n">
        <x:f>H381-X381</x:f>
        <x:v>-251</x:v>
      </x:c>
      <x:c r="Z381" s="52" t="n">
        <x:f>IF(D381=0,"",(Y381)/D381)</x:f>
        <x:v>-0.44190140845070425</x:v>
      </x:c>
      <x:c r="AA381" t="str">
        <x:v>Rajendra Singh Solanki</x:v>
      </x:c>
      <x:c r="AB381" t="n">
        <x:f>D381-E381-F381</x:f>
        <x:v>0</x:v>
      </x:c>
    </x:row>
    <x:row r="382">
      <x:c r="A382" t="n">
        <x:v>374</x:v>
      </x:c>
      <x:c r="B382" t="str">
        <x:v>2024 location: not supplied</x:v>
      </x:c>
      <x:c r="C382"/>
      <x:c r="D382" t="n">
        <x:v>328</x:v>
      </x:c>
      <x:c r="E382" t="n">
        <x:f>SUM(H382:V382)</x:f>
        <x:v>327</x:v>
      </x:c>
      <x:c r="F382" t="n">
        <x:v>1</x:v>
      </x:c>
      <x:c r="G382" s="50" t="str">
        <x:f>IF(C382="","",IFERROR(D382/C382,0))</x:f>
      </x:c>
      <x:c r="H382" s="36" t="n">
        <x:v>10</x:v>
      </x:c>
      <x:c r="I382" t="n">
        <x:v>256</x:v>
      </x:c>
      <x:c r="J382" t="n">
        <x:v>60</x:v>
      </x:c>
      <x:c r="K382" t="n">
        <x:v>0</x:v>
      </x:c>
      <x:c r="L382" t="n">
        <x:v>0</x:v>
      </x:c>
      <x:c r="M382" t="n">
        <x:v>0</x:v>
      </x:c>
      <x:c r="N382" t="n">
        <x:v>1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s="50" t="n">
        <x:f>IF(D382=0,"",H382/D382)</x:f>
        <x:v>0.03048780487804878</x:v>
      </x:c>
      <x:c r="X382" t="n">
        <x:f>MAX(I382:V382)</x:f>
        <x:v>256</x:v>
      </x:c>
      <x:c r="Y382" t="n">
        <x:f>H382-X382</x:f>
        <x:v>-246</x:v>
      </x:c>
      <x:c r="Z382" s="52" t="n">
        <x:f>IF(D382=0,"",(Y382)/D382)</x:f>
        <x:v>-0.75</x:v>
      </x:c>
      <x:c r="AA382" t="str">
        <x:v>Dr. Mahesh Sharma</x:v>
      </x:c>
      <x:c r="AB382" t="n">
        <x:f>D382-E382-F382</x:f>
        <x:v>0</x:v>
      </x:c>
    </x:row>
    <x:row r="383">
      <x:c r="A383" t="n">
        <x:v>375</x:v>
      </x:c>
      <x:c r="B383" t="str">
        <x:v>2024 location: not supplied</x:v>
      </x:c>
      <x:c r="C383"/>
      <x:c r="D383" t="n">
        <x:v>462</x:v>
      </x:c>
      <x:c r="E383" t="n">
        <x:f>SUM(H383:V383)</x:f>
        <x:v>458</x:v>
      </x:c>
      <x:c r="F383" t="n">
        <x:v>4</x:v>
      </x:c>
      <x:c r="G383" s="50" t="str">
        <x:f>IF(C383="","",IFERROR(D383/C383,0))</x:f>
      </x:c>
      <x:c r="H383" s="36" t="n">
        <x:v>97</x:v>
      </x:c>
      <x:c r="I383" t="n">
        <x:v>127</x:v>
      </x:c>
      <x:c r="J383" t="n">
        <x:v>225</x:v>
      </x:c>
      <x:c r="K383" t="n">
        <x:v>0</x:v>
      </x:c>
      <x:c r="L383" t="n">
        <x:v>3</x:v>
      </x:c>
      <x:c r="M383" t="n">
        <x:v>0</x:v>
      </x:c>
      <x:c r="N383" t="n">
        <x:v>0</x:v>
      </x:c>
      <x:c r="O383" t="n">
        <x:v>2</x:v>
      </x:c>
      <x:c r="P383" t="n">
        <x:v>0</x:v>
      </x:c>
      <x:c r="Q383" t="n">
        <x:v>0</x:v>
      </x:c>
      <x:c r="R383" t="n">
        <x:v>1</x:v>
      </x:c>
      <x:c r="S383" t="n">
        <x:v>0</x:v>
      </x:c>
      <x:c r="T383" t="n">
        <x:v>0</x:v>
      </x:c>
      <x:c r="U383" t="n">
        <x:v>2</x:v>
      </x:c>
      <x:c r="V383" t="n">
        <x:v>1</x:v>
      </x:c>
      <x:c r="W383" s="50" t="n">
        <x:f>IF(D383=0,"",H383/D383)</x:f>
        <x:v>0.20995670995670995</x:v>
      </x:c>
      <x:c r="X383" t="n">
        <x:f>MAX(I383:V383)</x:f>
        <x:v>225</x:v>
      </x:c>
      <x:c r="Y383" t="n">
        <x:f>H383-X383</x:f>
        <x:v>-128</x:v>
      </x:c>
      <x:c r="Z383" s="52" t="n">
        <x:f>IF(D383=0,"",(Y383)/D383)</x:f>
        <x:v>-0.27705627705627706</x:v>
      </x:c>
      <x:c r="AA383" t="str">
        <x:v>Rajendra Singh Solanki</x:v>
      </x:c>
      <x:c r="AB383" t="n">
        <x:f>D383-E383-F383</x:f>
        <x:v>0</x:v>
      </x:c>
    </x:row>
    <x:row r="384">
      <x:c r="A384" t="n">
        <x:v>376</x:v>
      </x:c>
      <x:c r="B384" t="str">
        <x:v>2024 location: not supplied</x:v>
      </x:c>
      <x:c r="C384"/>
      <x:c r="D384" t="n">
        <x:v>484</x:v>
      </x:c>
      <x:c r="E384" t="n">
        <x:f>SUM(H384:V384)</x:f>
        <x:v>483</x:v>
      </x:c>
      <x:c r="F384" t="n">
        <x:v>1</x:v>
      </x:c>
      <x:c r="G384" s="50" t="str">
        <x:f>IF(C384="","",IFERROR(D384/C384,0))</x:f>
      </x:c>
      <x:c r="H384" s="36" t="n">
        <x:v>176</x:v>
      </x:c>
      <x:c r="I384" t="n">
        <x:v>211</x:v>
      </x:c>
      <x:c r="J384" t="n">
        <x:v>87</x:v>
      </x:c>
      <x:c r="K384" t="n">
        <x:v>0</x:v>
      </x:c>
      <x:c r="L384" t="n">
        <x:v>3</x:v>
      </x:c>
      <x:c r="M384" t="n">
        <x:v>0</x:v>
      </x:c>
      <x:c r="N384" t="n">
        <x:v>1</x:v>
      </x:c>
      <x:c r="O384" t="n">
        <x:v>1</x:v>
      </x:c>
      <x:c r="P384" t="n">
        <x:v>1</x:v>
      </x:c>
      <x:c r="Q384" t="n">
        <x:v>0</x:v>
      </x:c>
      <x:c r="R384" t="n">
        <x:v>0</x:v>
      </x:c>
      <x:c r="S384" t="n">
        <x:v>0</x:v>
      </x:c>
      <x:c r="T384" t="n">
        <x:v>1</x:v>
      </x:c>
      <x:c r="U384" t="n">
        <x:v>2</x:v>
      </x:c>
      <x:c r="V384" t="n">
        <x:v>0</x:v>
      </x:c>
      <x:c r="W384" s="50" t="n">
        <x:f>IF(D384=0,"",H384/D384)</x:f>
        <x:v>0.36363636363636365</x:v>
      </x:c>
      <x:c r="X384" t="n">
        <x:f>MAX(I384:V384)</x:f>
        <x:v>211</x:v>
      </x:c>
      <x:c r="Y384" t="n">
        <x:f>H384-X384</x:f>
        <x:v>-35</x:v>
      </x:c>
      <x:c r="Z384" s="52" t="n">
        <x:f>IF(D384=0,"",(Y384)/D384)</x:f>
        <x:v>-0.07231404958677685</x:v>
      </x:c>
      <x:c r="AA384" t="str">
        <x:v>Dr. Mahesh Sharma</x:v>
      </x:c>
      <x:c r="AB384" t="n">
        <x:f>D384-E384-F384</x:f>
        <x:v>0</x:v>
      </x:c>
    </x:row>
    <x:row r="385">
      <x:c r="A385" t="n">
        <x:v>377</x:v>
      </x:c>
      <x:c r="B385" t="str">
        <x:v>2024 location: not supplied</x:v>
      </x:c>
      <x:c r="C385"/>
      <x:c r="D385" t="n">
        <x:v>464</x:v>
      </x:c>
      <x:c r="E385" t="n">
        <x:f>SUM(H385:V385)</x:f>
        <x:v>462</x:v>
      </x:c>
      <x:c r="F385" t="n">
        <x:v>2</x:v>
      </x:c>
      <x:c r="G385" s="50" t="str">
        <x:f>IF(C385="","",IFERROR(D385/C385,0))</x:f>
      </x:c>
      <x:c r="H385" s="36" t="n">
        <x:v>138</x:v>
      </x:c>
      <x:c r="I385" t="n">
        <x:v>242</x:v>
      </x:c>
      <x:c r="J385" t="n">
        <x:v>77</x:v>
      </x:c>
      <x:c r="K385" t="n">
        <x:v>0</x:v>
      </x:c>
      <x:c r="L385" t="n">
        <x:v>2</x:v>
      </x:c>
      <x:c r="M385" t="n">
        <x:v>0</x:v>
      </x:c>
      <x:c r="N385" t="n">
        <x:v>2</x:v>
      </x:c>
      <x:c r="O385" t="n">
        <x:v>0</x:v>
      </x:c>
      <x:c r="P385" t="n">
        <x:v>0</x:v>
      </x:c>
      <x:c r="Q385" t="n">
        <x:v>1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s="50" t="n">
        <x:f>IF(D385=0,"",H385/D385)</x:f>
        <x:v>0.2974137931034483</x:v>
      </x:c>
      <x:c r="X385" t="n">
        <x:f>MAX(I385:V385)</x:f>
        <x:v>242</x:v>
      </x:c>
      <x:c r="Y385" t="n">
        <x:f>H385-X385</x:f>
        <x:v>-104</x:v>
      </x:c>
      <x:c r="Z385" s="52" t="n">
        <x:f>IF(D385=0,"",(Y385)/D385)</x:f>
        <x:v>-0.22413793103448276</x:v>
      </x:c>
      <x:c r="AA385" t="str">
        <x:v>Dr. Mahesh Sharma</x:v>
      </x:c>
      <x:c r="AB385" t="n">
        <x:f>D385-E385-F385</x:f>
        <x:v>0</x:v>
      </x:c>
    </x:row>
    <x:row r="386">
      <x:c r="A386" t="n">
        <x:v>378</x:v>
      </x:c>
      <x:c r="B386" t="str">
        <x:v>2024 location: not supplied</x:v>
      </x:c>
      <x:c r="C386"/>
      <x:c r="D386" t="n">
        <x:v>447</x:v>
      </x:c>
      <x:c r="E386" t="n">
        <x:f>SUM(H386:V386)</x:f>
        <x:v>446</x:v>
      </x:c>
      <x:c r="F386" t="n">
        <x:v>1</x:v>
      </x:c>
      <x:c r="G386" s="50" t="str">
        <x:f>IF(C386="","",IFERROR(D386/C386,0))</x:f>
      </x:c>
      <x:c r="H386" s="36" t="n">
        <x:v>92</x:v>
      </x:c>
      <x:c r="I386" t="n">
        <x:v>212</x:v>
      </x:c>
      <x:c r="J386" t="n">
        <x:v>131</x:v>
      </x:c>
      <x:c r="K386" t="n">
        <x:v>0</x:v>
      </x:c>
      <x:c r="L386" t="n">
        <x:v>2</x:v>
      </x:c>
      <x:c r="M386" t="n">
        <x:v>1</x:v>
      </x:c>
      <x:c r="N386" t="n">
        <x:v>1</x:v>
      </x:c>
      <x:c r="O386" t="n">
        <x:v>0</x:v>
      </x:c>
      <x:c r="P386" t="n">
        <x:v>1</x:v>
      </x:c>
      <x:c r="Q386" t="n">
        <x:v>0</x:v>
      </x:c>
      <x:c r="R386" t="n">
        <x:v>0</x:v>
      </x:c>
      <x:c r="S386" t="n">
        <x:v>2</x:v>
      </x:c>
      <x:c r="T386" t="n">
        <x:v>1</x:v>
      </x:c>
      <x:c r="U386" t="n">
        <x:v>3</x:v>
      </x:c>
      <x:c r="V386" t="n">
        <x:v>0</x:v>
      </x:c>
      <x:c r="W386" s="50" t="n">
        <x:f>IF(D386=0,"",H386/D386)</x:f>
        <x:v>0.2058165548098434</x:v>
      </x:c>
      <x:c r="X386" t="n">
        <x:f>MAX(I386:V386)</x:f>
        <x:v>212</x:v>
      </x:c>
      <x:c r="Y386" t="n">
        <x:f>H386-X386</x:f>
        <x:v>-120</x:v>
      </x:c>
      <x:c r="Z386" s="52" t="n">
        <x:f>IF(D386=0,"",(Y386)/D386)</x:f>
        <x:v>-0.2684563758389262</x:v>
      </x:c>
      <x:c r="AA386" t="str">
        <x:v>Dr. Mahesh Sharma</x:v>
      </x:c>
      <x:c r="AB386" t="n">
        <x:f>D386-E386-F386</x:f>
        <x:v>0</x:v>
      </x:c>
    </x:row>
    <x:row r="387">
      <x:c r="A387" t="n">
        <x:v>379</x:v>
      </x:c>
      <x:c r="B387" t="str">
        <x:v>2024 location: not supplied</x:v>
      </x:c>
      <x:c r="C387"/>
      <x:c r="D387" t="n">
        <x:v>388</x:v>
      </x:c>
      <x:c r="E387" t="n">
        <x:f>SUM(H387:V387)</x:f>
        <x:v>388</x:v>
      </x:c>
      <x:c r="F387" t="n">
        <x:v>0</x:v>
      </x:c>
      <x:c r="G387" s="50" t="str">
        <x:f>IF(C387="","",IFERROR(D387/C387,0))</x:f>
      </x:c>
      <x:c r="H387" s="36" t="n">
        <x:v>96</x:v>
      </x:c>
      <x:c r="I387" t="n">
        <x:v>126</x:v>
      </x:c>
      <x:c r="J387" t="n">
        <x:v>152</x:v>
      </x:c>
      <x:c r="K387" t="n">
        <x:v>0</x:v>
      </x:c>
      <x:c r="L387" t="n">
        <x:v>4</x:v>
      </x:c>
      <x:c r="M387" t="n">
        <x:v>0</x:v>
      </x:c>
      <x:c r="N387" t="n">
        <x:v>1</x:v>
      </x:c>
      <x:c r="O387" t="n">
        <x:v>0</x:v>
      </x:c>
      <x:c r="P387" t="n">
        <x:v>0</x:v>
      </x:c>
      <x:c r="Q387" t="n">
        <x:v>1</x:v>
      </x:c>
      <x:c r="R387" t="n">
        <x:v>1</x:v>
      </x:c>
      <x:c r="S387" t="n">
        <x:v>0</x:v>
      </x:c>
      <x:c r="T387" t="n">
        <x:v>1</x:v>
      </x:c>
      <x:c r="U387" t="n">
        <x:v>4</x:v>
      </x:c>
      <x:c r="V387" t="n">
        <x:v>2</x:v>
      </x:c>
      <x:c r="W387" s="50" t="n">
        <x:f>IF(D387=0,"",H387/D387)</x:f>
        <x:v>0.24742268041237114</x:v>
      </x:c>
      <x:c r="X387" t="n">
        <x:f>MAX(I387:V387)</x:f>
        <x:v>152</x:v>
      </x:c>
      <x:c r="Y387" t="n">
        <x:f>H387-X387</x:f>
        <x:v>-56</x:v>
      </x:c>
      <x:c r="Z387" s="52" t="n">
        <x:f>IF(D387=0,"",(Y387)/D387)</x:f>
        <x:v>-0.14432989690721648</x:v>
      </x:c>
      <x:c r="AA387" t="str">
        <x:v>Rajendra Singh Solanki</x:v>
      </x:c>
      <x:c r="AB387" t="n">
        <x:f>D387-E387-F387</x:f>
        <x:v>0</x:v>
      </x:c>
    </x:row>
    <x:row r="388">
      <x:c r="A388" t="n">
        <x:v>380</x:v>
      </x:c>
      <x:c r="B388" t="str">
        <x:v>2024 location: not supplied</x:v>
      </x:c>
      <x:c r="C388"/>
      <x:c r="D388" t="n">
        <x:v>789</x:v>
      </x:c>
      <x:c r="E388" t="n">
        <x:f>SUM(H388:V388)</x:f>
        <x:v>789</x:v>
      </x:c>
      <x:c r="F388" t="n">
        <x:v>0</x:v>
      </x:c>
      <x:c r="G388" s="50" t="str">
        <x:f>IF(C388="","",IFERROR(D388/C388,0))</x:f>
      </x:c>
      <x:c r="H388" s="36" t="n">
        <x:v>82</x:v>
      </x:c>
      <x:c r="I388" t="n">
        <x:v>534</x:v>
      </x:c>
      <x:c r="J388" t="n">
        <x:v>161</x:v>
      </x:c>
      <x:c r="K388" t="n">
        <x:v>0</x:v>
      </x:c>
      <x:c r="L388" t="n">
        <x:v>1</x:v>
      </x:c>
      <x:c r="M388" t="n">
        <x:v>0</x:v>
      </x:c>
      <x:c r="N388" t="n">
        <x:v>7</x:v>
      </x:c>
      <x:c r="O388" t="n">
        <x:v>2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2</x:v>
      </x:c>
      <x:c r="W388" s="50" t="n">
        <x:f>IF(D388=0,"",H388/D388)</x:f>
        <x:v>0.10392902408111533</x:v>
      </x:c>
      <x:c r="X388" t="n">
        <x:f>MAX(I388:V388)</x:f>
        <x:v>534</x:v>
      </x:c>
      <x:c r="Y388" t="n">
        <x:f>H388-X388</x:f>
        <x:v>-452</x:v>
      </x:c>
      <x:c r="Z388" s="52" t="n">
        <x:f>IF(D388=0,"",(Y388)/D388)</x:f>
        <x:v>-0.5728770595690748</x:v>
      </x:c>
      <x:c r="AA388" t="str">
        <x:v>Dr. Mahesh Sharma</x:v>
      </x:c>
      <x:c r="AB388" t="n">
        <x:f>D388-E388-F388</x:f>
        <x:v>0</x:v>
      </x:c>
    </x:row>
    <x:row r="389">
      <x:c r="A389" t="n">
        <x:v>381</x:v>
      </x:c>
      <x:c r="B389" t="str">
        <x:v>2024 location: not supplied</x:v>
      </x:c>
      <x:c r="C389"/>
      <x:c r="D389" t="n">
        <x:v>659</x:v>
      </x:c>
      <x:c r="E389" t="n">
        <x:f>SUM(H389:V389)</x:f>
        <x:v>655</x:v>
      </x:c>
      <x:c r="F389" t="n">
        <x:v>4</x:v>
      </x:c>
      <x:c r="G389" s="50" t="str">
        <x:f>IF(C389="","",IFERROR(D389/C389,0))</x:f>
      </x:c>
      <x:c r="H389" s="36" t="n">
        <x:v>4</x:v>
      </x:c>
      <x:c r="I389" t="n">
        <x:v>379</x:v>
      </x:c>
      <x:c r="J389" t="n">
        <x:v>261</x:v>
      </x:c>
      <x:c r="K389" t="n">
        <x:v>0</x:v>
      </x:c>
      <x:c r="L389" t="n">
        <x:v>1</x:v>
      </x:c>
      <x:c r="M389" t="n">
        <x:v>0</x:v>
      </x:c>
      <x:c r="N389" t="n">
        <x:v>2</x:v>
      </x:c>
      <x:c r="O389" t="n">
        <x:v>2</x:v>
      </x:c>
      <x:c r="P389" t="n">
        <x:v>0</x:v>
      </x:c>
      <x:c r="Q389" t="n">
        <x:v>0</x:v>
      </x:c>
      <x:c r="R389" t="n">
        <x:v>1</x:v>
      </x:c>
      <x:c r="S389" t="n">
        <x:v>0</x:v>
      </x:c>
      <x:c r="T389" t="n">
        <x:v>0</x:v>
      </x:c>
      <x:c r="U389" t="n">
        <x:v>4</x:v>
      </x:c>
      <x:c r="V389" t="n">
        <x:v>1</x:v>
      </x:c>
      <x:c r="W389" s="50" t="n">
        <x:f>IF(D389=0,"",H389/D389)</x:f>
        <x:v>0.006069802731411229</x:v>
      </x:c>
      <x:c r="X389" t="n">
        <x:f>MAX(I389:V389)</x:f>
        <x:v>379</x:v>
      </x:c>
      <x:c r="Y389" t="n">
        <x:f>H389-X389</x:f>
        <x:v>-375</x:v>
      </x:c>
      <x:c r="Z389" s="52" t="n">
        <x:f>IF(D389=0,"",(Y389)/D389)</x:f>
        <x:v>-0.5690440060698028</x:v>
      </x:c>
      <x:c r="AA389" t="str">
        <x:v>Dr. Mahesh Sharma</x:v>
      </x:c>
      <x:c r="AB389" t="n">
        <x:f>D389-E389-F389</x:f>
        <x:v>0</x:v>
      </x:c>
    </x:row>
    <x:row r="390">
      <x:c r="A390" t="n">
        <x:v>382</x:v>
      </x:c>
      <x:c r="B390" t="str">
        <x:v>2024 location: not supplied</x:v>
      </x:c>
      <x:c r="C390"/>
      <x:c r="D390" t="n">
        <x:v>541</x:v>
      </x:c>
      <x:c r="E390" t="n">
        <x:f>SUM(H390:V390)</x:f>
        <x:v>534</x:v>
      </x:c>
      <x:c r="F390" t="n">
        <x:v>7</x:v>
      </x:c>
      <x:c r="G390" s="50" t="str">
        <x:f>IF(C390="","",IFERROR(D390/C390,0))</x:f>
      </x:c>
      <x:c r="H390" s="36" t="n">
        <x:v>45</x:v>
      </x:c>
      <x:c r="I390" t="n">
        <x:v>356</x:v>
      </x:c>
      <x:c r="J390" t="n">
        <x:v>85</x:v>
      </x:c>
      <x:c r="K390" t="n">
        <x:v>0</x:v>
      </x:c>
      <x:c r="L390" t="n">
        <x:v>2</x:v>
      </x:c>
      <x:c r="M390" t="n">
        <x:v>2</x:v>
      </x:c>
      <x:c r="N390" t="n">
        <x:v>1</x:v>
      </x:c>
      <x:c r="O390" t="n">
        <x:v>1</x:v>
      </x:c>
      <x:c r="P390" t="n">
        <x:v>0</x:v>
      </x:c>
      <x:c r="Q390" t="n">
        <x:v>0</x:v>
      </x:c>
      <x:c r="R390" t="n">
        <x:v>38</x:v>
      </x:c>
      <x:c r="S390" t="n">
        <x:v>0</x:v>
      </x:c>
      <x:c r="T390" t="n">
        <x:v>0</x:v>
      </x:c>
      <x:c r="U390" t="n">
        <x:v>2</x:v>
      </x:c>
      <x:c r="V390" t="n">
        <x:v>2</x:v>
      </x:c>
      <x:c r="W390" s="50" t="n">
        <x:f>IF(D390=0,"",H390/D390)</x:f>
        <x:v>0.08317929759704251</x:v>
      </x:c>
      <x:c r="X390" t="n">
        <x:f>MAX(I390:V390)</x:f>
        <x:v>356</x:v>
      </x:c>
      <x:c r="Y390" t="n">
        <x:f>H390-X390</x:f>
        <x:v>-311</x:v>
      </x:c>
      <x:c r="Z390" s="52" t="n">
        <x:f>IF(D390=0,"",(Y390)/D390)</x:f>
        <x:v>-0.5748613678373382</x:v>
      </x:c>
      <x:c r="AA390" t="str">
        <x:v>Dr. Mahesh Sharma</x:v>
      </x:c>
      <x:c r="AB390" t="n">
        <x:f>D390-E390-F390</x:f>
        <x:v>0</x:v>
      </x:c>
    </x:row>
    <x:row r="391">
      <x:c r="A391" t="n">
        <x:v>383</x:v>
      </x:c>
      <x:c r="B391" t="str">
        <x:v>2024 location: not supplied</x:v>
      </x:c>
      <x:c r="C391"/>
      <x:c r="D391" t="n">
        <x:v>500</x:v>
      </x:c>
      <x:c r="E391" t="n">
        <x:f>SUM(H391:V391)</x:f>
        <x:v>496</x:v>
      </x:c>
      <x:c r="F391" t="n">
        <x:v>4</x:v>
      </x:c>
      <x:c r="G391" s="50" t="str">
        <x:f>IF(C391="","",IFERROR(D391/C391,0))</x:f>
      </x:c>
      <x:c r="H391" s="36" t="n">
        <x:v>4</x:v>
      </x:c>
      <x:c r="I391" t="n">
        <x:v>165</x:v>
      </x:c>
      <x:c r="J391" t="n">
        <x:v>310</x:v>
      </x:c>
      <x:c r="K391" t="n">
        <x:v>0</x:v>
      </x:c>
      <x:c r="L391" t="n">
        <x:v>1</x:v>
      </x:c>
      <x:c r="M391" t="n">
        <x:v>1</x:v>
      </x:c>
      <x:c r="N391" t="n">
        <x:v>2</x:v>
      </x:c>
      <x:c r="O391" t="n">
        <x:v>0</x:v>
      </x:c>
      <x:c r="P391" t="n">
        <x:v>0</x:v>
      </x:c>
      <x:c r="Q391" t="n">
        <x:v>1</x:v>
      </x:c>
      <x:c r="R391" t="n">
        <x:v>7</x:v>
      </x:c>
      <x:c r="S391" t="n">
        <x:v>0</x:v>
      </x:c>
      <x:c r="T391" t="n">
        <x:v>1</x:v>
      </x:c>
      <x:c r="U391" t="n">
        <x:v>3</x:v>
      </x:c>
      <x:c r="V391" t="n">
        <x:v>1</x:v>
      </x:c>
      <x:c r="W391" s="50" t="n">
        <x:f>IF(D391=0,"",H391/D391)</x:f>
        <x:v>0.008</x:v>
      </x:c>
      <x:c r="X391" t="n">
        <x:f>MAX(I391:V391)</x:f>
        <x:v>310</x:v>
      </x:c>
      <x:c r="Y391" t="n">
        <x:f>H391-X391</x:f>
        <x:v>-306</x:v>
      </x:c>
      <x:c r="Z391" s="52" t="n">
        <x:f>IF(D391=0,"",(Y391)/D391)</x:f>
        <x:v>-0.612</x:v>
      </x:c>
      <x:c r="AA391" t="str">
        <x:v>Rajendra Singh Solanki</x:v>
      </x:c>
      <x:c r="AB391" t="n">
        <x:f>D391-E391-F391</x:f>
        <x:v>0</x:v>
      </x:c>
    </x:row>
    <x:row r="392">
      <x:c r="A392" t="n">
        <x:v>384</x:v>
      </x:c>
      <x:c r="B392" t="str">
        <x:v>2024 location: not supplied</x:v>
      </x:c>
      <x:c r="C392"/>
      <x:c r="D392" t="n">
        <x:v>445</x:v>
      </x:c>
      <x:c r="E392" t="n">
        <x:f>SUM(H392:V392)</x:f>
        <x:v>445</x:v>
      </x:c>
      <x:c r="F392" t="n">
        <x:v>0</x:v>
      </x:c>
      <x:c r="G392" s="50" t="str">
        <x:f>IF(C392="","",IFERROR(D392/C392,0))</x:f>
      </x:c>
      <x:c r="H392" s="36" t="n">
        <x:v>32</x:v>
      </x:c>
      <x:c r="I392" t="n">
        <x:v>351</x:v>
      </x:c>
      <x:c r="J392" t="n">
        <x:v>60</x:v>
      </x:c>
      <x:c r="K392" t="n">
        <x:v>0</x:v>
      </x:c>
      <x:c r="L392" t="n">
        <x:v>1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1</x:v>
      </x:c>
      <x:c r="V392" t="n">
        <x:v>0</x:v>
      </x:c>
      <x:c r="W392" s="50" t="n">
        <x:f>IF(D392=0,"",H392/D392)</x:f>
        <x:v>0.07191011235955057</x:v>
      </x:c>
      <x:c r="X392" t="n">
        <x:f>MAX(I392:V392)</x:f>
        <x:v>351</x:v>
      </x:c>
      <x:c r="Y392" t="n">
        <x:f>H392-X392</x:f>
        <x:v>-319</x:v>
      </x:c>
      <x:c r="Z392" s="52" t="n">
        <x:f>IF(D392=0,"",(Y392)/D392)</x:f>
        <x:v>-0.7168539325842697</x:v>
      </x:c>
      <x:c r="AA392" t="str">
        <x:v>Dr. Mahesh Sharma</x:v>
      </x:c>
      <x:c r="AB392" t="n">
        <x:f>D392-E392-F392</x:f>
        <x:v>0</x:v>
      </x:c>
    </x:row>
    <x:row r="393">
      <x:c r="A393" t="n">
        <x:v>385</x:v>
      </x:c>
      <x:c r="B393" t="str">
        <x:v>2024 location: not supplied</x:v>
      </x:c>
      <x:c r="C393"/>
      <x:c r="D393" t="n">
        <x:v>441</x:v>
      </x:c>
      <x:c r="E393" t="n">
        <x:f>SUM(H393:V393)</x:f>
        <x:v>441</x:v>
      </x:c>
      <x:c r="F393" t="n">
        <x:v>0</x:v>
      </x:c>
      <x:c r="G393" s="50" t="str">
        <x:f>IF(C393="","",IFERROR(D393/C393,0))</x:f>
      </x:c>
      <x:c r="H393" s="36" t="n">
        <x:v>29</x:v>
      </x:c>
      <x:c r="I393" t="n">
        <x:v>197</x:v>
      </x:c>
      <x:c r="J393" t="n">
        <x:v>212</x:v>
      </x:c>
      <x:c r="K393" t="n">
        <x:v>0</x:v>
      </x:c>
      <x:c r="L393" t="n">
        <x:v>1</x:v>
      </x:c>
      <x:c r="M393" t="n">
        <x:v>0</x:v>
      </x:c>
      <x:c r="N393" t="n">
        <x:v>1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1</x:v>
      </x:c>
      <x:c r="U393" t="n">
        <x:v>0</x:v>
      </x:c>
      <x:c r="V393" t="n">
        <x:v>0</x:v>
      </x:c>
      <x:c r="W393" s="50" t="n">
        <x:f>IF(D393=0,"",H393/D393)</x:f>
        <x:v>0.06575963718820861</x:v>
      </x:c>
      <x:c r="X393" t="n">
        <x:f>MAX(I393:V393)</x:f>
        <x:v>212</x:v>
      </x:c>
      <x:c r="Y393" t="n">
        <x:f>H393-X393</x:f>
        <x:v>-183</x:v>
      </x:c>
      <x:c r="Z393" s="52" t="n">
        <x:f>IF(D393=0,"",(Y393)/D393)</x:f>
        <x:v>-0.41496598639455784</x:v>
      </x:c>
      <x:c r="AA393" t="str">
        <x:v>Rajendra Singh Solanki</x:v>
      </x:c>
      <x:c r="AB393" t="n">
        <x:f>D393-E393-F393</x:f>
        <x:v>0</x:v>
      </x:c>
    </x:row>
    <x:row r="394">
      <x:c r="A394" t="n">
        <x:v>386</x:v>
      </x:c>
      <x:c r="B394" t="str">
        <x:v>2024 location: not supplied</x:v>
      </x:c>
      <x:c r="C394"/>
      <x:c r="D394" t="n">
        <x:v>325</x:v>
      </x:c>
      <x:c r="E394" t="n">
        <x:f>SUM(H394:V394)</x:f>
        <x:v>325</x:v>
      </x:c>
      <x:c r="F394" t="n">
        <x:v>0</x:v>
      </x:c>
      <x:c r="G394" s="50" t="str">
        <x:f>IF(C394="","",IFERROR(D394/C394,0))</x:f>
      </x:c>
      <x:c r="H394" s="36" t="n">
        <x:v>32</x:v>
      </x:c>
      <x:c r="I394" t="n">
        <x:v>134</x:v>
      </x:c>
      <x:c r="J394" t="n">
        <x:v>154</x:v>
      </x:c>
      <x:c r="K394" t="n">
        <x:v>0</x:v>
      </x:c>
      <x:c r="L394" t="n">
        <x:v>1</x:v>
      </x:c>
      <x:c r="M394" t="n">
        <x:v>0</x:v>
      </x:c>
      <x:c r="N394" t="n">
        <x:v>1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2</x:v>
      </x:c>
      <x:c r="V394" t="n">
        <x:v>1</x:v>
      </x:c>
      <x:c r="W394" s="50" t="n">
        <x:f>IF(D394=0,"",H394/D394)</x:f>
        <x:v>0.09846153846153846</x:v>
      </x:c>
      <x:c r="X394" t="n">
        <x:f>MAX(I394:V394)</x:f>
        <x:v>154</x:v>
      </x:c>
      <x:c r="Y394" t="n">
        <x:f>H394-X394</x:f>
        <x:v>-122</x:v>
      </x:c>
      <x:c r="Z394" s="52" t="n">
        <x:f>IF(D394=0,"",(Y394)/D394)</x:f>
        <x:v>-0.37538461538461537</x:v>
      </x:c>
      <x:c r="AA394" t="str">
        <x:v>Rajendra Singh Solanki</x:v>
      </x:c>
      <x:c r="AB394" t="n">
        <x:f>D394-E394-F394</x:f>
        <x:v>0</x:v>
      </x:c>
    </x:row>
    <x:row r="395">
      <x:c r="A395" t="n">
        <x:v>387</x:v>
      </x:c>
      <x:c r="B395" t="str">
        <x:v>2024 location: not supplied</x:v>
      </x:c>
      <x:c r="C395"/>
      <x:c r="D395" t="n">
        <x:v>374</x:v>
      </x:c>
      <x:c r="E395" t="n">
        <x:f>SUM(H395:V395)</x:f>
        <x:v>373</x:v>
      </x:c>
      <x:c r="F395" t="n">
        <x:v>1</x:v>
      </x:c>
      <x:c r="G395" s="50" t="str">
        <x:f>IF(C395="","",IFERROR(D395/C395,0))</x:f>
      </x:c>
      <x:c r="H395" s="36" t="n">
        <x:v>8</x:v>
      </x:c>
      <x:c r="I395" t="n">
        <x:v>303</x:v>
      </x:c>
      <x:c r="J395" t="n">
        <x:v>60</x:v>
      </x:c>
      <x:c r="K395" t="n">
        <x:v>1</x:v>
      </x:c>
      <x:c r="L395" t="n">
        <x:v>0</x:v>
      </x:c>
      <x:c r="M395" t="n">
        <x:v>0</x:v>
      </x:c>
      <x:c r="N395" t="n">
        <x:v>1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s="50" t="n">
        <x:f>IF(D395=0,"",H395/D395)</x:f>
        <x:v>0.0213903743315508</x:v>
      </x:c>
      <x:c r="X395" t="n">
        <x:f>MAX(I395:V395)</x:f>
        <x:v>303</x:v>
      </x:c>
      <x:c r="Y395" t="n">
        <x:f>H395-X395</x:f>
        <x:v>-295</x:v>
      </x:c>
      <x:c r="Z395" s="52" t="n">
        <x:f>IF(D395=0,"",(Y395)/D395)</x:f>
        <x:v>-0.7887700534759359</x:v>
      </x:c>
      <x:c r="AA395" t="str">
        <x:v>Dr. Mahesh Sharma</x:v>
      </x:c>
      <x:c r="AB395" t="n">
        <x:f>D395-E395-F395</x:f>
        <x:v>0</x:v>
      </x:c>
    </x:row>
    <x:row r="396">
      <x:c r="A396" t="n">
        <x:v>388</x:v>
      </x:c>
      <x:c r="B396" t="str">
        <x:v>2024 location: not supplied</x:v>
      </x:c>
      <x:c r="C396"/>
      <x:c r="D396" t="n">
        <x:v>541</x:v>
      </x:c>
      <x:c r="E396" t="n">
        <x:f>SUM(H396:V396)</x:f>
        <x:v>540</x:v>
      </x:c>
      <x:c r="F396" t="n">
        <x:v>1</x:v>
      </x:c>
      <x:c r="G396" s="50" t="str">
        <x:f>IF(C396="","",IFERROR(D396/C396,0))</x:f>
      </x:c>
      <x:c r="H396" s="36" t="n">
        <x:v>11</x:v>
      </x:c>
      <x:c r="I396" t="n">
        <x:v>358</x:v>
      </x:c>
      <x:c r="J396" t="n">
        <x:v>162</x:v>
      </x:c>
      <x:c r="K396" t="n">
        <x:v>0</x:v>
      </x:c>
      <x:c r="L396" t="n">
        <x:v>1</x:v>
      </x:c>
      <x:c r="M396" t="n">
        <x:v>0</x:v>
      </x:c>
      <x:c r="N396" t="n">
        <x:v>3</x:v>
      </x:c>
      <x:c r="O396" t="n">
        <x:v>0</x:v>
      </x:c>
      <x:c r="P396" t="n">
        <x:v>1</x:v>
      </x:c>
      <x:c r="Q396" t="n">
        <x:v>1</x:v>
      </x:c>
      <x:c r="R396" t="n">
        <x:v>0</x:v>
      </x:c>
      <x:c r="S396" t="n">
        <x:v>1</x:v>
      </x:c>
      <x:c r="T396" t="n">
        <x:v>0</x:v>
      </x:c>
      <x:c r="U396" t="n">
        <x:v>1</x:v>
      </x:c>
      <x:c r="V396" t="n">
        <x:v>1</x:v>
      </x:c>
      <x:c r="W396" s="50" t="n">
        <x:f>IF(D396=0,"",H396/D396)</x:f>
        <x:v>0.02033271719038817</x:v>
      </x:c>
      <x:c r="X396" t="n">
        <x:f>MAX(I396:V396)</x:f>
        <x:v>358</x:v>
      </x:c>
      <x:c r="Y396" t="n">
        <x:f>H396-X396</x:f>
        <x:v>-347</x:v>
      </x:c>
      <x:c r="Z396" s="52" t="n">
        <x:f>IF(D396=0,"",(Y396)/D396)</x:f>
        <x:v>-0.6414048059149723</x:v>
      </x:c>
      <x:c r="AA396" t="str">
        <x:v>Dr. Mahesh Sharma</x:v>
      </x:c>
      <x:c r="AB396" t="n">
        <x:f>D396-E396-F396</x:f>
        <x:v>0</x:v>
      </x:c>
    </x:row>
    <x:row r="397">
      <x:c r="A397" t="n">
        <x:v>389</x:v>
      </x:c>
      <x:c r="B397" t="str">
        <x:v>2024 location: not supplied</x:v>
      </x:c>
      <x:c r="C397"/>
      <x:c r="D397" t="n">
        <x:v>480</x:v>
      </x:c>
      <x:c r="E397" t="n">
        <x:f>SUM(H397:V397)</x:f>
        <x:v>480</x:v>
      </x:c>
      <x:c r="F397" t="n">
        <x:v>0</x:v>
      </x:c>
      <x:c r="G397" s="50" t="str">
        <x:f>IF(C397="","",IFERROR(D397/C397,0))</x:f>
      </x:c>
      <x:c r="H397" s="36" t="n">
        <x:v>16</x:v>
      </x:c>
      <x:c r="I397" t="n">
        <x:v>365</x:v>
      </x:c>
      <x:c r="J397" t="n">
        <x:v>93</x:v>
      </x:c>
      <x:c r="K397" t="n">
        <x:v>0</x:v>
      </x:c>
      <x:c r="L397" t="n">
        <x:v>2</x:v>
      </x:c>
      <x:c r="M397" t="n">
        <x:v>0</x:v>
      </x:c>
      <x:c r="N397" t="n">
        <x:v>2</x:v>
      </x:c>
      <x:c r="O397" t="n">
        <x:v>0</x:v>
      </x:c>
      <x:c r="P397" t="n">
        <x:v>0</x:v>
      </x:c>
      <x:c r="Q397" t="n">
        <x:v>0</x:v>
      </x:c>
      <x:c r="R397" t="n">
        <x:v>1</x:v>
      </x:c>
      <x:c r="S397" t="n">
        <x:v>0</x:v>
      </x:c>
      <x:c r="T397" t="n">
        <x:v>0</x:v>
      </x:c>
      <x:c r="U397" t="n">
        <x:v>1</x:v>
      </x:c>
      <x:c r="V397" t="n">
        <x:v>0</x:v>
      </x:c>
      <x:c r="W397" s="50" t="n">
        <x:f>IF(D397=0,"",H397/D397)</x:f>
        <x:v>0.03333333333333333</x:v>
      </x:c>
      <x:c r="X397" t="n">
        <x:f>MAX(I397:V397)</x:f>
        <x:v>365</x:v>
      </x:c>
      <x:c r="Y397" t="n">
        <x:f>H397-X397</x:f>
        <x:v>-349</x:v>
      </x:c>
      <x:c r="Z397" s="52" t="n">
        <x:f>IF(D397=0,"",(Y397)/D397)</x:f>
        <x:v>-0.7270833333333333</x:v>
      </x:c>
      <x:c r="AA397" t="str">
        <x:v>Dr. Mahesh Sharma</x:v>
      </x:c>
      <x:c r="AB397" t="n">
        <x:f>D397-E397-F397</x:f>
        <x:v>0</x:v>
      </x:c>
    </x:row>
    <x:row r="398">
      <x:c r="A398" t="n">
        <x:v>390</x:v>
      </x:c>
      <x:c r="B398" t="str">
        <x:v>2024 location: not supplied</x:v>
      </x:c>
      <x:c r="C398"/>
      <x:c r="D398" t="n">
        <x:v>651</x:v>
      </x:c>
      <x:c r="E398" t="n">
        <x:f>SUM(H398:V398)</x:f>
        <x:v>650</x:v>
      </x:c>
      <x:c r="F398" t="n">
        <x:v>1</x:v>
      </x:c>
      <x:c r="G398" s="50" t="str">
        <x:f>IF(C398="","",IFERROR(D398/C398,0))</x:f>
      </x:c>
      <x:c r="H398" s="36" t="n">
        <x:v>82</x:v>
      </x:c>
      <x:c r="I398" t="n">
        <x:v>404</x:v>
      </x:c>
      <x:c r="J398" t="n">
        <x:v>161</x:v>
      </x:c>
      <x:c r="K398" t="n">
        <x:v>0</x:v>
      </x:c>
      <x:c r="L398" t="n">
        <x:v>0</x:v>
      </x:c>
      <x:c r="M398" t="n">
        <x:v>0</x:v>
      </x:c>
      <x:c r="N398" t="n">
        <x:v>1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1</x:v>
      </x:c>
      <x:c r="U398" t="n">
        <x:v>1</x:v>
      </x:c>
      <x:c r="V398" t="n">
        <x:v>0</x:v>
      </x:c>
      <x:c r="W398" s="50" t="n">
        <x:f>IF(D398=0,"",H398/D398)</x:f>
        <x:v>0.1259600614439324</x:v>
      </x:c>
      <x:c r="X398" t="n">
        <x:f>MAX(I398:V398)</x:f>
        <x:v>404</x:v>
      </x:c>
      <x:c r="Y398" t="n">
        <x:f>H398-X398</x:f>
        <x:v>-322</x:v>
      </x:c>
      <x:c r="Z398" s="52" t="n">
        <x:f>IF(D398=0,"",(Y398)/D398)</x:f>
        <x:v>-0.4946236559139785</x:v>
      </x:c>
      <x:c r="AA398" t="str">
        <x:v>Dr. Mahesh Sharma</x:v>
      </x:c>
      <x:c r="AB398" t="n">
        <x:f>D398-E398-F398</x:f>
        <x:v>0</x:v>
      </x:c>
    </x:row>
    <x:row r="399">
      <x:c r="A399" t="n">
        <x:v>391</x:v>
      </x:c>
      <x:c r="B399" t="str">
        <x:v>2024 location: not supplied</x:v>
      </x:c>
      <x:c r="C399"/>
      <x:c r="D399" t="n">
        <x:v>655</x:v>
      </x:c>
      <x:c r="E399" t="n">
        <x:f>SUM(H399:V399)</x:f>
        <x:v>653</x:v>
      </x:c>
      <x:c r="F399" t="n">
        <x:v>2</x:v>
      </x:c>
      <x:c r="G399" s="50" t="str">
        <x:f>IF(C399="","",IFERROR(D399/C399,0))</x:f>
      </x:c>
      <x:c r="H399" s="36" t="n">
        <x:v>62</x:v>
      </x:c>
      <x:c r="I399" t="n">
        <x:v>421</x:v>
      </x:c>
      <x:c r="J399" t="n">
        <x:v>155</x:v>
      </x:c>
      <x:c r="K399" t="n">
        <x:v>3</x:v>
      </x:c>
      <x:c r="L399" t="n">
        <x:v>0</x:v>
      </x:c>
      <x:c r="M399" t="n">
        <x:v>0</x:v>
      </x:c>
      <x:c r="N399" t="n">
        <x:v>5</x:v>
      </x:c>
      <x:c r="O399" t="n">
        <x:v>3</x:v>
      </x:c>
      <x:c r="P399" t="n">
        <x:v>2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1</x:v>
      </x:c>
      <x:c r="V399" t="n">
        <x:v>1</x:v>
      </x:c>
      <x:c r="W399" s="50" t="n">
        <x:f>IF(D399=0,"",H399/D399)</x:f>
        <x:v>0.09465648854961832</x:v>
      </x:c>
      <x:c r="X399" t="n">
        <x:f>MAX(I399:V399)</x:f>
        <x:v>421</x:v>
      </x:c>
      <x:c r="Y399" t="n">
        <x:f>H399-X399</x:f>
        <x:v>-359</x:v>
      </x:c>
      <x:c r="Z399" s="52" t="n">
        <x:f>IF(D399=0,"",(Y399)/D399)</x:f>
        <x:v>-0.5480916030534351</x:v>
      </x:c>
      <x:c r="AA399" t="str">
        <x:v>Dr. Mahesh Sharma</x:v>
      </x:c>
      <x:c r="AB399" t="n">
        <x:f>D399-E399-F399</x:f>
        <x:v>0</x:v>
      </x:c>
    </x:row>
    <x:row r="400">
      <x:c r="A400" t="n">
        <x:v>392</x:v>
      </x:c>
      <x:c r="B400" t="str">
        <x:v>2024 location: not supplied</x:v>
      </x:c>
      <x:c r="C400"/>
      <x:c r="D400" t="n">
        <x:v>617</x:v>
      </x:c>
      <x:c r="E400" t="n">
        <x:f>SUM(H400:V400)</x:f>
        <x:v>616</x:v>
      </x:c>
      <x:c r="F400" t="n">
        <x:v>1</x:v>
      </x:c>
      <x:c r="G400" s="50" t="str">
        <x:f>IF(C400="","",IFERROR(D400/C400,0))</x:f>
      </x:c>
      <x:c r="H400" s="36" t="n">
        <x:v>184</x:v>
      </x:c>
      <x:c r="I400" t="n">
        <x:v>246</x:v>
      </x:c>
      <x:c r="J400" t="n">
        <x:v>175</x:v>
      </x:c>
      <x:c r="K400" t="n">
        <x:v>0</x:v>
      </x:c>
      <x:c r="L400" t="n">
        <x:v>2</x:v>
      </x:c>
      <x:c r="M400" t="n">
        <x:v>0</x:v>
      </x:c>
      <x:c r="N400" t="n">
        <x:v>0</x:v>
      </x:c>
      <x:c r="O400" t="n">
        <x:v>0</x:v>
      </x:c>
      <x:c r="P400" t="n">
        <x:v>2</x:v>
      </x:c>
      <x:c r="Q400" t="n">
        <x:v>0</x:v>
      </x:c>
      <x:c r="R400" t="n">
        <x:v>1</x:v>
      </x:c>
      <x:c r="S400" t="n">
        <x:v>0</x:v>
      </x:c>
      <x:c r="T400" t="n">
        <x:v>0</x:v>
      </x:c>
      <x:c r="U400" t="n">
        <x:v>3</x:v>
      </x:c>
      <x:c r="V400" t="n">
        <x:v>3</x:v>
      </x:c>
      <x:c r="W400" s="50" t="n">
        <x:f>IF(D400=0,"",H400/D400)</x:f>
        <x:v>0.29821717990275526</x:v>
      </x:c>
      <x:c r="X400" t="n">
        <x:f>MAX(I400:V400)</x:f>
        <x:v>246</x:v>
      </x:c>
      <x:c r="Y400" t="n">
        <x:f>H400-X400</x:f>
        <x:v>-62</x:v>
      </x:c>
      <x:c r="Z400" s="52" t="n">
        <x:f>IF(D400=0,"",(Y400)/D400)</x:f>
        <x:v>-0.10048622366288493</x:v>
      </x:c>
      <x:c r="AA400" t="str">
        <x:v>Dr. Mahesh Sharma</x:v>
      </x:c>
      <x:c r="AB400" t="n">
        <x:f>D400-E400-F400</x:f>
        <x:v>0</x:v>
      </x:c>
    </x:row>
    <x:row r="401">
      <x:c r="A401" t="n">
        <x:v>393</x:v>
      </x:c>
      <x:c r="B401" t="str">
        <x:v>2024 location: not supplied</x:v>
      </x:c>
      <x:c r="C401"/>
      <x:c r="D401" t="n">
        <x:v>604</x:v>
      </x:c>
      <x:c r="E401" t="n">
        <x:f>SUM(H401:V401)</x:f>
        <x:v>600</x:v>
      </x:c>
      <x:c r="F401" t="n">
        <x:v>4</x:v>
      </x:c>
      <x:c r="G401" s="50" t="str">
        <x:f>IF(C401="","",IFERROR(D401/C401,0))</x:f>
      </x:c>
      <x:c r="H401" s="36" t="n">
        <x:v>373</x:v>
      </x:c>
      <x:c r="I401" t="n">
        <x:v>36</x:v>
      </x:c>
      <x:c r="J401" t="n">
        <x:v>188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1</x:v>
      </x:c>
      <x:c r="U401" t="n">
        <x:v>1</x:v>
      </x:c>
      <x:c r="V401" t="n">
        <x:v>1</x:v>
      </x:c>
      <x:c r="W401" s="50" t="n">
        <x:f>IF(D401=0,"",H401/D401)</x:f>
        <x:v>0.6175496688741722</x:v>
      </x:c>
      <x:c r="X401" t="n">
        <x:f>MAX(I401:V401)</x:f>
        <x:v>188</x:v>
      </x:c>
      <x:c r="Y401" t="n">
        <x:f>H401-X401</x:f>
        <x:v>185</x:v>
      </x:c>
      <x:c r="Z401" s="52" t="n">
        <x:f>IF(D401=0,"",(Y401)/D401)</x:f>
        <x:v>0.30629139072847683</x:v>
      </x:c>
      <x:c r="AA401" t="str">
        <x:v>Dr. Mahendra Singh Nagar</x:v>
      </x:c>
      <x:c r="AB401" t="n">
        <x:f>D401-E401-F401</x:f>
        <x:v>0</x:v>
      </x:c>
    </x:row>
    <x:row r="402">
      <x:c r="A402" t="n">
        <x:v>394</x:v>
      </x:c>
      <x:c r="B402" t="str">
        <x:v>2024 location: not supplied</x:v>
      </x:c>
      <x:c r="C402"/>
      <x:c r="D402" t="n">
        <x:v>178</x:v>
      </x:c>
      <x:c r="E402" t="n">
        <x:f>SUM(H402:V402)</x:f>
        <x:v>178</x:v>
      </x:c>
      <x:c r="F402" t="n">
        <x:v>0</x:v>
      </x:c>
      <x:c r="G402" s="50" t="str">
        <x:f>IF(C402="","",IFERROR(D402/C402,0))</x:f>
      </x:c>
      <x:c r="H402" s="36" t="n">
        <x:v>19</x:v>
      </x:c>
      <x:c r="I402" t="n">
        <x:v>128</x:v>
      </x:c>
      <x:c r="J402" t="n">
        <x:v>30</x:v>
      </x:c>
      <x:c r="K402" t="n">
        <x:v>0</x:v>
      </x:c>
      <x:c r="L402" t="n">
        <x:v>0</x:v>
      </x:c>
      <x:c r="M402" t="n">
        <x:v>0</x:v>
      </x:c>
      <x:c r="N402" t="n">
        <x:v>1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s="50" t="n">
        <x:f>IF(D402=0,"",H402/D402)</x:f>
        <x:v>0.10674157303370786</x:v>
      </x:c>
      <x:c r="X402" t="n">
        <x:f>MAX(I402:V402)</x:f>
        <x:v>128</x:v>
      </x:c>
      <x:c r="Y402" t="n">
        <x:f>H402-X402</x:f>
        <x:v>-109</x:v>
      </x:c>
      <x:c r="Z402" s="52" t="n">
        <x:f>IF(D402=0,"",(Y402)/D402)</x:f>
        <x:v>-0.6123595505617978</x:v>
      </x:c>
      <x:c r="AA402" t="str">
        <x:v>Dr. Mahesh Sharma</x:v>
      </x:c>
      <x:c r="AB402" t="n">
        <x:f>D402-E402-F402</x:f>
        <x:v>0</x:v>
      </x:c>
    </x:row>
    <x:row r="403">
      <x:c r="A403" t="n">
        <x:v>395</x:v>
      </x:c>
      <x:c r="B403" t="str">
        <x:v>2024 location: not supplied</x:v>
      </x:c>
      <x:c r="C403"/>
      <x:c r="D403" t="n">
        <x:v>308</x:v>
      </x:c>
      <x:c r="E403" t="n">
        <x:f>SUM(H403:V403)</x:f>
        <x:v>306</x:v>
      </x:c>
      <x:c r="F403" t="n">
        <x:v>2</x:v>
      </x:c>
      <x:c r="G403" s="50" t="str">
        <x:f>IF(C403="","",IFERROR(D403/C403,0))</x:f>
      </x:c>
      <x:c r="H403" s="36" t="n">
        <x:v>9</x:v>
      </x:c>
      <x:c r="I403" t="n">
        <x:v>22</x:v>
      </x:c>
      <x:c r="J403" t="n">
        <x:v>263</x:v>
      </x:c>
      <x:c r="K403" t="n">
        <x:v>1</x:v>
      </x:c>
      <x:c r="L403" t="n">
        <x:v>3</x:v>
      </x:c>
      <x:c r="M403" t="n">
        <x:v>1</x:v>
      </x:c>
      <x:c r="N403" t="n">
        <x:v>1</x:v>
      </x:c>
      <x:c r="O403" t="n">
        <x:v>0</x:v>
      </x:c>
      <x:c r="P403" t="n">
        <x:v>1</x:v>
      </x:c>
      <x:c r="Q403" t="n">
        <x:v>0</x:v>
      </x:c>
      <x:c r="R403" t="n">
        <x:v>1</x:v>
      </x:c>
      <x:c r="S403" t="n">
        <x:v>0</x:v>
      </x:c>
      <x:c r="T403" t="n">
        <x:v>0</x:v>
      </x:c>
      <x:c r="U403" t="n">
        <x:v>3</x:v>
      </x:c>
      <x:c r="V403" t="n">
        <x:v>1</x:v>
      </x:c>
      <x:c r="W403" s="50" t="n">
        <x:f>IF(D403=0,"",H403/D403)</x:f>
        <x:v>0.02922077922077922</x:v>
      </x:c>
      <x:c r="X403" t="n">
        <x:f>MAX(I403:V403)</x:f>
        <x:v>263</x:v>
      </x:c>
      <x:c r="Y403" t="n">
        <x:f>H403-X403</x:f>
        <x:v>-254</x:v>
      </x:c>
      <x:c r="Z403" s="52" t="n">
        <x:f>IF(D403=0,"",(Y403)/D403)</x:f>
        <x:v>-0.8246753246753247</x:v>
      </x:c>
      <x:c r="AA403" t="str">
        <x:v>Rajendra Singh Solanki</x:v>
      </x:c>
      <x:c r="AB403" t="n">
        <x:f>D403-E403-F403</x:f>
        <x:v>0</x:v>
      </x:c>
    </x:row>
    <x:row r="404">
      <x:c r="A404" t="n">
        <x:v>396</x:v>
      </x:c>
      <x:c r="B404" t="str">
        <x:v>2024 location: not supplied</x:v>
      </x:c>
      <x:c r="C404"/>
      <x:c r="D404" t="n">
        <x:v>488</x:v>
      </x:c>
      <x:c r="E404" t="n">
        <x:f>SUM(H404:V404)</x:f>
        <x:v>487</x:v>
      </x:c>
      <x:c r="F404" t="n">
        <x:v>1</x:v>
      </x:c>
      <x:c r="G404" s="50" t="str">
        <x:f>IF(C404="","",IFERROR(D404/C404,0))</x:f>
      </x:c>
      <x:c r="H404" s="36" t="n">
        <x:v>4</x:v>
      </x:c>
      <x:c r="I404" t="n">
        <x:v>452</x:v>
      </x:c>
      <x:c r="J404" t="n">
        <x:v>19</x:v>
      </x:c>
      <x:c r="K404" t="n">
        <x:v>0</x:v>
      </x:c>
      <x:c r="L404" t="n">
        <x:v>1</x:v>
      </x:c>
      <x:c r="M404" t="n">
        <x:v>0</x:v>
      </x:c>
      <x:c r="N404" t="n">
        <x:v>3</x:v>
      </x:c>
      <x:c r="O404" t="n">
        <x:v>1</x:v>
      </x:c>
      <x:c r="P404" t="n">
        <x:v>1</x:v>
      </x:c>
      <x:c r="Q404" t="n">
        <x:v>0</x:v>
      </x:c>
      <x:c r="R404" t="n">
        <x:v>1</x:v>
      </x:c>
      <x:c r="S404" t="n">
        <x:v>1</x:v>
      </x:c>
      <x:c r="T404" t="n">
        <x:v>0</x:v>
      </x:c>
      <x:c r="U404" t="n">
        <x:v>2</x:v>
      </x:c>
      <x:c r="V404" t="n">
        <x:v>2</x:v>
      </x:c>
      <x:c r="W404" s="50" t="n">
        <x:f>IF(D404=0,"",H404/D404)</x:f>
        <x:v>0.00819672131147541</x:v>
      </x:c>
      <x:c r="X404" t="n">
        <x:f>MAX(I404:V404)</x:f>
        <x:v>452</x:v>
      </x:c>
      <x:c r="Y404" t="n">
        <x:f>H404-X404</x:f>
        <x:v>-448</x:v>
      </x:c>
      <x:c r="Z404" s="52" t="n">
        <x:f>IF(D404=0,"",(Y404)/D404)</x:f>
        <x:v>-0.9180327868852459</x:v>
      </x:c>
      <x:c r="AA404" t="str">
        <x:v>Dr. Mahesh Sharma</x:v>
      </x:c>
      <x:c r="AB404" t="n">
        <x:f>D404-E404-F404</x:f>
        <x:v>0</x:v>
      </x:c>
    </x:row>
    <x:row r="405">
      <x:c r="A405" t="n">
        <x:v>397</x:v>
      </x:c>
      <x:c r="B405" t="str">
        <x:v>2024 location: not supplied</x:v>
      </x:c>
      <x:c r="C405"/>
      <x:c r="D405" t="n">
        <x:v>455</x:v>
      </x:c>
      <x:c r="E405" t="n">
        <x:f>SUM(H405:V405)</x:f>
        <x:v>451</x:v>
      </x:c>
      <x:c r="F405" t="n">
        <x:v>4</x:v>
      </x:c>
      <x:c r="G405" s="50" t="str">
        <x:f>IF(C405="","",IFERROR(D405/C405,0))</x:f>
      </x:c>
      <x:c r="H405" s="36" t="n">
        <x:v>53</x:v>
      </x:c>
      <x:c r="I405" t="n">
        <x:v>267</x:v>
      </x:c>
      <x:c r="J405" t="n">
        <x:v>113</x:v>
      </x:c>
      <x:c r="K405" t="n">
        <x:v>2</x:v>
      </x:c>
      <x:c r="L405" t="n">
        <x:v>3</x:v>
      </x:c>
      <x:c r="M405" t="n">
        <x:v>0</x:v>
      </x:c>
      <x:c r="N405" t="n">
        <x:v>3</x:v>
      </x:c>
      <x:c r="O405" t="n">
        <x:v>1</x:v>
      </x:c>
      <x:c r="P405" t="n">
        <x:v>0</x:v>
      </x:c>
      <x:c r="Q405" t="n">
        <x:v>2</x:v>
      </x:c>
      <x:c r="R405" t="n">
        <x:v>1</x:v>
      </x:c>
      <x:c r="S405" t="n">
        <x:v>0</x:v>
      </x:c>
      <x:c r="T405" t="n">
        <x:v>0</x:v>
      </x:c>
      <x:c r="U405" t="n">
        <x:v>2</x:v>
      </x:c>
      <x:c r="V405" t="n">
        <x:v>4</x:v>
      </x:c>
      <x:c r="W405" s="50" t="n">
        <x:f>IF(D405=0,"",H405/D405)</x:f>
        <x:v>0.11648351648351649</x:v>
      </x:c>
      <x:c r="X405" t="n">
        <x:f>MAX(I405:V405)</x:f>
        <x:v>267</x:v>
      </x:c>
      <x:c r="Y405" t="n">
        <x:f>H405-X405</x:f>
        <x:v>-214</x:v>
      </x:c>
      <x:c r="Z405" s="52" t="n">
        <x:f>IF(D405=0,"",(Y405)/D405)</x:f>
        <x:v>-0.4703296703296703</x:v>
      </x:c>
      <x:c r="AA405" t="str">
        <x:v>Dr. Mahesh Sharma</x:v>
      </x:c>
      <x:c r="AB405" t="n">
        <x:f>D405-E405-F405</x:f>
        <x:v>0</x:v>
      </x:c>
    </x:row>
    <x:row r="406">
      <x:c r="A406" t="n">
        <x:v>398</x:v>
      </x:c>
      <x:c r="B406" t="str">
        <x:v>2024 location: not supplied</x:v>
      </x:c>
      <x:c r="C406"/>
      <x:c r="D406" t="n">
        <x:v>471</x:v>
      </x:c>
      <x:c r="E406" t="n">
        <x:f>SUM(H406:V406)</x:f>
        <x:v>468</x:v>
      </x:c>
      <x:c r="F406" t="n">
        <x:v>3</x:v>
      </x:c>
      <x:c r="G406" s="50" t="str">
        <x:f>IF(C406="","",IFERROR(D406/C406,0))</x:f>
      </x:c>
      <x:c r="H406" s="36" t="n">
        <x:v>78</x:v>
      </x:c>
      <x:c r="I406" t="n">
        <x:v>324</x:v>
      </x:c>
      <x:c r="J406" t="n">
        <x:v>49</x:v>
      </x:c>
      <x:c r="K406" t="n">
        <x:v>1</x:v>
      </x:c>
      <x:c r="L406" t="n">
        <x:v>2</x:v>
      </x:c>
      <x:c r="M406" t="n">
        <x:v>0</x:v>
      </x:c>
      <x:c r="N406" t="n">
        <x:v>2</x:v>
      </x:c>
      <x:c r="O406" t="n">
        <x:v>1</x:v>
      </x:c>
      <x:c r="P406" t="n">
        <x:v>2</x:v>
      </x:c>
      <x:c r="Q406" t="n">
        <x:v>1</x:v>
      </x:c>
      <x:c r="R406" t="n">
        <x:v>0</x:v>
      </x:c>
      <x:c r="S406" t="n">
        <x:v>0</x:v>
      </x:c>
      <x:c r="T406" t="n">
        <x:v>3</x:v>
      </x:c>
      <x:c r="U406" t="n">
        <x:v>2</x:v>
      </x:c>
      <x:c r="V406" t="n">
        <x:v>3</x:v>
      </x:c>
      <x:c r="W406" s="50" t="n">
        <x:f>IF(D406=0,"",H406/D406)</x:f>
        <x:v>0.16560509554140126</x:v>
      </x:c>
      <x:c r="X406" t="n">
        <x:f>MAX(I406:V406)</x:f>
        <x:v>324</x:v>
      </x:c>
      <x:c r="Y406" t="n">
        <x:f>H406-X406</x:f>
        <x:v>-246</x:v>
      </x:c>
      <x:c r="Z406" s="52" t="n">
        <x:f>IF(D406=0,"",(Y406)/D406)</x:f>
        <x:v>-0.5222929936305732</x:v>
      </x:c>
      <x:c r="AA406" t="str">
        <x:v>Dr. Mahesh Sharma</x:v>
      </x:c>
      <x:c r="AB406" t="n">
        <x:f>D406-E406-F406</x:f>
        <x:v>0</x:v>
      </x:c>
    </x:row>
  </x:sheetData>
  <x:mergeCells>
    <x:mergeCell ref="A1:AB2"/>
    <x:mergeCell ref="A3:AB3"/>
    <x:mergeCell ref="A5:AB6"/>
  </x:mergeCells>
  <x:conditionalFormatting sqref="W9:W406">
    <x:cfRule type="dataBar" priority="1">
      <x:dataBar>
        <x:cfvo type="min"/>
        <x:cfvo type="max"/>
        <x:color rgb="FF48A899"/>
      </x:dataBar>
      <x:extLst>
        <x:ext xmlns:x14="http://schemas.microsoft.com/office/spreadsheetml/2009/9/main" uri="{B025F937-C7B1-47D3-B67F-A62EFF666E3E}">
          <x14:id>{BC5D1E5B-3C44-21CC-71EF-5AA407DA50F8}</x14:id>
        </x:ext>
      </x:extLst>
    </x:cfRule>
  </x:conditionalFormatting>
  <x:conditionalFormatting sqref="Z9:Z406">
    <x:cfRule type="colorScale" priority="2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AB9:AB406">
    <x:cfRule type="cellIs" dxfId="3" priority="3" operator="notEqual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5D1E5B-3C44-21CC-71EF-5AA407DA50F8}">
            <x14:dataBar gradient="1">
              <x14:cfvo type="min"/>
              <x14:cfvo type="max"/>
              <x14:fillColor rgb="FF48A899"/>
            </x14:dataBar>
          </x14:cfRule>
          <xm:sqref>W9:W406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35" hidden="0" customWidth="1"/>
    <x:col min="10" max="10" width="18" hidden="0" customWidth="1"/>
    <x:col min="11" max="11" width="18" hidden="0" customWidth="1"/>
    <x:col min="12" max="12" width="17" hidden="0" customWidth="1"/>
    <x:col min="13" max="13" width="2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" hidden="0" customWidth="1"/>
    <x:col min="22" max="22" width="3" hidden="0" customWidth="1"/>
    <x:col min="23" max="23" width="3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</x:cols>
  <x:sheetData>
    <x:row r="1" ht="33" customHeight="1">
      <x:c r="A1" s="4" t="str">
        <x:v>2017 | BOOTH PERFORMANCE LAB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88" t="str">
        <x:v>2017  |  QUARTILE • VOTE-MARGIN MATRIX</x:v>
      </x:c>
      <x:c r="N1" s="88"/>
      <x:c r="O1" s="88"/>
      <x:c r="P1" s="88"/>
      <x:c r="Q1" s="88"/>
      <x:c r="R1" s="88"/>
      <x:c r="S1" s="88"/>
      <x:c r="T1" s="88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4" customHeight="1">
      <x:c r="A3" s="10" t="str">
        <x:v>FOCUS: Narender Nagar • Actual polling-station EVM counts • lead = focal votes minus strongest other candidate • 2027 outcome NOT inferred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41" t="str">
        <x:v>FOCUS: Narender Nagar (SP)  •  station-level EVM votes  •  historical descriptive data</x:v>
      </x:c>
      <x:c r="N3" s="141"/>
      <x:c r="O3" s="141"/>
      <x:c r="P3" s="141"/>
      <x:c r="Q3" s="141"/>
      <x:c r="R3" s="141"/>
      <x:c r="S3" s="141"/>
      <x:c r="T3" s="141"/>
    </x:row>
    <x:row r="4" ht="24" customHeight="1">
      <x:c r="A4" s="95" t="str">
        <x:v>NEW →  Quartiles (Q1 / Median / Q3) • share × margin matrix • continuous histogram • talking-point insights. Scroll RIGHT to columns M–AJ.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</x:row>
    <x:row r="5" ht="26" customHeight="1">
      <x:c r="A5" s="16" t="str">
        <x:v>AT A GLANCE — FOCAL CANDIDATE / ALLIANCE CANDIDATE</x:v>
      </x:c>
      <x:c r="B5" s="16"/>
      <x:c r="C5" s="16"/>
      <x:c r="D5" s="16"/>
      <x:c r="E5" s="16"/>
      <x:c r="F5" s="16"/>
      <x:c r="G5" s="16"/>
      <x:c r="M5" s="92" t="str">
        <x:v>01   VOTE SHARE DISTRIBUTION  |  Q1 • MEDIAN • Q3</x:v>
      </x:c>
      <x:c r="N5" s="92"/>
      <x:c r="O5" s="92"/>
      <x:c r="P5" s="92"/>
      <x:c r="Q5" s="92"/>
      <x:c r="R5" s="92"/>
      <x:c r="S5" s="92"/>
      <x:c r="T5" s="92"/>
    </x:row>
    <x:row r="6" ht="46" customHeight="1">
      <x:c r="A6" s="57" t="str">
        <x:v>Focus EVM votes</x:v>
      </x:c>
      <x:c r="B6" s="57" t="str">
        <x:v>Focus vote share</x:v>
      </x:c>
      <x:c r="C6" s="57" t="str">
        <x:v>Outright station leads</x:v>
      </x:c>
      <x:c r="D6" s="57" t="str">
        <x:v>Number of stations</x:v>
      </x:c>
    </x:row>
    <x:row r="7" ht="33" customHeight="1">
      <x:c r="A7" s="80" t="n">
        <x:f>C11</x:f>
        <x:v>13216</x:v>
      </x:c>
      <x:c r="B7" s="62" t="n">
        <x:f>D11</x:f>
        <x:v>0.06254851106525566</x:v>
      </x:c>
      <x:c r="C7" s="60" t="n">
        <x:v>7</x:v>
      </x:c>
      <x:c r="D7" s="60" t="n">
        <x:v>343</x:v>
      </x:c>
      <x:c r="H7" s="67" t="str">
        <x:v>How to read: 'lead' means the most votes at that station, NOT a 2027 forecast. For 2019 and 2022 the focal candidate represented a party allied with SP, not an SP-symbol contest.</x:v>
      </x:c>
      <x:c r="I7" s="67"/>
      <x:c r="J7" s="67"/>
      <x:c r="K7" s="67"/>
      <x:c r="L7" s="67"/>
      <x:c r="M7" s="96" t="str">
        <x:v>Q1 · 25th</x:v>
      </x:c>
      <x:c r="N7" s="100" t="n">
        <x:f>_xlfn.PERCENTILE.INC($E$60:$E$402,0.25)</x:f>
        <x:v>0.01582199262664</x:v>
      </x:c>
      <x:c r="O7" s="96" t="str">
        <x:v>Median · 50th</x:v>
      </x:c>
      <x:c r="P7" s="100" t="n">
        <x:f>MEDIAN($E$60:$E$402)</x:f>
        <x:v>0.03273809523809524</x:v>
      </x:c>
      <x:c r="Q7" s="96" t="str">
        <x:v>Q3 · 75th</x:v>
      </x:c>
      <x:c r="R7" s="100" t="n">
        <x:f>_xlfn.PERCENTILE.INC($E$60:$E$402,0.75)</x:f>
        <x:v>0.06923400636655</x:v>
      </x:c>
      <x:c r="S7" s="67"/>
      <x:c r="T7" s="67"/>
      <x:c r="U7" s="67"/>
    </x:row>
    <x:row r="8"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</x:row>
    <x:row r="9" ht="34" customHeight="1">
      <x:c r="A9" s="16" t="str">
        <x:v>CANDIDATE SCORECARD — VOTES, SHARE AND POLLING-STATION LEADS</x:v>
      </x:c>
      <x:c r="B9" s="16"/>
      <x:c r="C9" s="16"/>
      <x:c r="D9" s="16"/>
      <x:c r="E9" s="16"/>
      <x:c r="F9" s="16"/>
      <x:c r="G9" s="16"/>
      <x:c r="H9" s="67"/>
      <x:c r="I9" s="67"/>
      <x:c r="J9" s="67"/>
      <x:c r="K9" s="67"/>
      <x:c r="L9" s="67"/>
      <x:c r="M9" s="142" t="str">
        <x:v>Tulsipur method: Low &lt; Q1 | Middle = Q1 to Q3 inclusive | High &gt; Q3. Relative to this election only.</x:v>
      </x:c>
      <x:c r="N9" s="142"/>
      <x:c r="O9" s="142"/>
      <x:c r="P9" s="142"/>
      <x:c r="Q9" s="142"/>
      <x:c r="R9" s="142"/>
      <x:c r="S9" s="142"/>
      <x:c r="T9" s="142"/>
      <x:c r="U9" s="67"/>
    </x:row>
    <x:row r="10" ht="38" customHeight="1">
      <x:c r="A10" s="45" t="str">
        <x:v>Candidate</x:v>
      </x:c>
      <x:c r="B10" s="45" t="str">
        <x:v>Party</x:v>
      </x:c>
      <x:c r="C10" s="45" t="str">
        <x:v>EVM votes</x:v>
      </x:c>
      <x:c r="D10" s="45" t="str">
        <x:v>EVM share</x:v>
      </x:c>
      <x:c r="E10" s="45" t="str">
        <x:v>Station leads</x:v>
      </x:c>
      <x:c r="F10" s="45" t="str">
        <x:v>Tied for lead</x:v>
      </x:c>
      <x:c r="G10" s="45" t="str">
        <x:v>Lead share of PS</x:v>
      </x:c>
    </x:row>
    <x:row r="11" ht="28" customHeight="1">
      <x:c r="A11" s="36" t="str">
        <x:v>Narender Nagar</x:v>
      </x:c>
      <x:c r="B11" s="36" t="str">
        <x:v>SP</x:v>
      </x:c>
      <x:c r="C11" s="82" t="n">
        <x:f>SUM('2017 Form20'!H9:H351)</x:f>
        <x:v>13216</x:v>
      </x:c>
      <x:c r="D11" s="64" t="n">
        <x:f>IFERROR(C11/SUM('2017 Form20'!D9:D351),0)</x:f>
        <x:v>0.06254851106525566</x:v>
      </x:c>
      <x:c r="E11" s="36" t="n">
        <x:v>7</x:v>
      </x:c>
      <x:c r="F11" s="36" t="n">
        <x:v>0</x:v>
      </x:c>
      <x:c r="G11" s="64" t="n">
        <x:f>IFERROR(E11/343,0)</x:f>
        <x:v>0.02040816326530612</x:v>
      </x:c>
      <x:c r="M11" s="104" t="str">
        <x:v>Share band</x:v>
      </x:c>
      <x:c r="N11" s="104" t="str">
        <x:v>Stations</x:v>
      </x:c>
      <x:c r="O11" s="104" t="str">
        <x:v>% valid PS</x:v>
      </x:c>
      <x:c r="P11" s="104" t="str">
        <x:v>Avg share</x:v>
      </x:c>
      <x:c r="Q11" s="104" t="str">
        <x:v>Avg margin</x:v>
      </x:c>
    </x:row>
    <x:row r="12" ht="24" customHeight="1">
      <x:c r="A12" t="str">
        <x:v>Dhirendra Singh</x:v>
      </x:c>
      <x:c r="B12" t="str">
        <x:v>BJP</x:v>
      </x:c>
      <x:c r="C12" s="83" t="n">
        <x:f>SUM('2017 Form20'!I9:I351)</x:f>
        <x:v>102931</x:v>
      </x:c>
      <x:c r="D12" s="50" t="n">
        <x:f>IFERROR(C12/SUM('2017 Form20'!D9:D351),0)</x:f>
        <x:v>0.4871504836908165</x:v>
      </x:c>
      <x:c r="E12" t="n">
        <x:v>194</x:v>
      </x:c>
      <x:c r="F12" t="n">
        <x:v>0</x:v>
      </x:c>
      <x:c r="G12" s="50" t="n">
        <x:f>IFERROR(E12/343,0)</x:f>
        <x:v>0.565597667638484</x:v>
      </x:c>
      <x:c r="M12" s="106" t="str">
        <x:v>Low</x:v>
      </x:c>
      <x:c r="N12" s="108" t="n">
        <x:f>COUNTIF($L$60:$L$402,M12)</x:f>
        <x:v>86</x:v>
      </x:c>
      <x:c r="O12" s="107" t="n">
        <x:f>IFERROR(N12/COUNT($E$60:$E$402),0)</x:f>
        <x:v>0.25072886297376096</x:v>
      </x:c>
      <x:c r="P12" s="107" t="n">
        <x:f>IFERROR(AVERAGEIF($L$60:$L$402,M12,$E$60:$E$402),0)</x:f>
        <x:v>0.008717601688570952</x:v>
      </x:c>
      <x:c r="Q12" s="107" t="n">
        <x:f>IFERROR(AVERAGEIF($L$60:$L$402,M12,$H$60:$H$402),0)</x:f>
        <x:v>-0.6830483386528052</x:v>
      </x:c>
    </x:row>
    <x:row r="13" ht="24" customHeight="1">
      <x:c r="A13" t="str">
        <x:v>Vedram Bhati</x:v>
      </x:c>
      <x:c r="B13" t="str">
        <x:v>BSP</x:v>
      </x:c>
      <x:c r="C13" s="83" t="n">
        <x:f>SUM('2017 Form20'!J9:J351)</x:f>
        <x:v>80762</x:v>
      </x:c>
      <x:c r="D13" s="50" t="n">
        <x:f>IFERROR(C13/SUM('2017 Form20'!D9:D351),0)</x:f>
        <x:v>0.3822293319198077</x:v>
      </x:c>
      <x:c r="E13" t="n">
        <x:v>139</x:v>
      </x:c>
      <x:c r="F13" t="n">
        <x:v>0</x:v>
      </x:c>
      <x:c r="G13" s="50" t="n">
        <x:f>IFERROR(E13/343,0)</x:f>
        <x:v>0.40524781341107874</x:v>
      </x:c>
      <x:c r="M13" s="106" t="str">
        <x:v>Middle</x:v>
      </x:c>
      <x:c r="N13" s="108" t="n">
        <x:f>COUNTIF($L$60:$L$402,M13)</x:f>
        <x:v>171</x:v>
      </x:c>
      <x:c r="O13" s="107" t="n">
        <x:f>IFERROR(N13/COUNT($E$60:$E$402),0)</x:f>
        <x:v>0.49854227405247814</x:v>
      </x:c>
      <x:c r="P13" s="107" t="n">
        <x:f>IFERROR(AVERAGEIF($L$60:$L$402,M13,$E$60:$E$402),0)</x:f>
        <x:v>0.035568032668109095</x:v>
      </x:c>
      <x:c r="Q13" s="107" t="n">
        <x:f>IFERROR(AVERAGEIF($L$60:$L$402,M13,$H$60:$H$402),0)</x:f>
        <x:v>-0.6092202770049955</x:v>
      </x:c>
    </x:row>
    <x:row r="14" ht="24" customHeight="1">
      <x:c r="A14" t="str">
        <x:v>Kamal Sharma</x:v>
      </x:c>
      <x:c r="B14" t="str">
        <x:v>RLD</x:v>
      </x:c>
      <x:c r="C14" s="83" t="n">
        <x:f>SUM('2017 Form20'!K9:K351)</x:f>
        <x:v>9009</x:v>
      </x:c>
      <x:c r="D14" s="50" t="n">
        <x:f>IFERROR(C14/SUM('2017 Form20'!D9:D351),0)</x:f>
        <x:v>0.042637676769589</x:v>
      </x:c>
      <x:c r="E14" t="n">
        <x:v>3</x:v>
      </x:c>
      <x:c r="F14" t="n">
        <x:v>0</x:v>
      </x:c>
      <x:c r="G14" s="50" t="n">
        <x:f>IFERROR(E14/343,0)</x:f>
        <x:v>0.008746355685131196</x:v>
      </x:c>
      <x:c r="M14" s="109" t="str">
        <x:v>High</x:v>
      </x:c>
      <x:c r="N14" s="110" t="n">
        <x:f>COUNTIF($L$60:$L$402,M14)</x:f>
        <x:v>86</x:v>
      </x:c>
      <x:c r="O14" s="111" t="n">
        <x:f>IFERROR(N14/COUNT($E$60:$E$402),0)</x:f>
        <x:v>0.25072886297376096</x:v>
      </x:c>
      <x:c r="P14" s="111" t="n">
        <x:f>IFERROR(AVERAGEIF($L$60:$L$402,M14,$E$60:$E$402),0)</x:f>
        <x:v>0.17015263705756126</x:v>
      </x:c>
      <x:c r="Q14" s="111" t="n">
        <x:f>IFERROR(AVERAGEIF($L$60:$L$402,M14,$H$60:$H$402),0)</x:f>
        <x:v>-0.3421060136627062</x:v>
      </x:c>
    </x:row>
    <x:row r="15" ht="29" customHeight="1">
      <x:c r="A15" t="str">
        <x:v>Vinod</x:v>
      </x:c>
      <x:c r="B15" t="str">
        <x:v>RS</x:v>
      </x:c>
      <x:c r="C15" s="83" t="n">
        <x:f>SUM('2017 Form20'!L9:L351)</x:f>
        <x:v>1241</x:v>
      </x:c>
      <x:c r="D15" s="50" t="n">
        <x:f>IFERROR(C15/SUM('2017 Form20'!D9:D351),0)</x:f>
        <x:v>0.005873388486076141</x:v>
      </x:c>
      <x:c r="E15" t="n">
        <x:v>0</x:v>
      </x:c>
      <x:c r="F15" t="n">
        <x:v>0</x:v>
      </x:c>
      <x:c r="G15" s="50" t="n">
        <x:f>IFERROR(E15/343,0)</x:f>
        <x:v>0</x:v>
      </x:c>
    </x:row>
    <x:row r="16" ht="27" customHeight="1">
      <x:c r="A16" t="str">
        <x:v>Vinod Kumar Sharma</x:v>
      </x:c>
      <x:c r="B16" t="str">
        <x:v>RKMP</x:v>
      </x:c>
      <x:c r="C16" s="83" t="n">
        <x:f>SUM('2017 Form20'!M9:M351)</x:f>
        <x:v>906</x:v>
      </x:c>
      <x:c r="D16" s="50" t="n">
        <x:f>IFERROR(C16/SUM('2017 Form20'!D9:D351),0)</x:f>
        <x:v>0.004287904889915378</x:v>
      </x:c>
      <x:c r="E16" t="n">
        <x:v>0</x:v>
      </x:c>
      <x:c r="F16" t="n">
        <x:v>0</x:v>
      </x:c>
      <x:c r="G16" s="50" t="n">
        <x:f>IFERROR(E16/343,0)</x:f>
        <x:v>0</x:v>
      </x:c>
      <x:c r="M16" s="113" t="str">
        <x:v>READ THE DISTRIBUTION — HISTORICAL INSIGHTS</x:v>
      </x:c>
      <x:c r="N16" s="113"/>
      <x:c r="O16" s="113"/>
      <x:c r="P16" s="113"/>
      <x:c r="Q16" s="113"/>
      <x:c r="R16" s="113"/>
      <x:c r="S16" s="113"/>
      <x:c r="T16" s="113"/>
    </x:row>
    <x:row r="17" ht="43" customHeight="1">
      <x:c r="A17" t="str">
        <x:v>Yogesh Kumar</x:v>
      </x:c>
      <x:c r="B17" t="str">
        <x:v>IN</x:v>
      </x:c>
      <x:c r="C17" s="83" t="n">
        <x:f>SUM('2017 Form20'!N9:N351)</x:f>
        <x:v>1053</x:v>
      </x:c>
      <x:c r="D17" s="50" t="n">
        <x:f>IFERROR(C17/SUM('2017 Form20'!D9:D351),0)</x:f>
        <x:v>0.004983624557484429</x:v>
      </x:c>
      <x:c r="E17" t="n">
        <x:v>0</x:v>
      </x:c>
      <x:c r="F17" t="n">
        <x:v>0</x:v>
      </x:c>
      <x:c r="G17" s="50" t="n">
        <x:f>IFERROR(E17/343,0)</x:f>
        <x:v>0</x:v>
      </x:c>
      <x:c r="M17" s="116" t="str">
        <x:v>Vote share quartiles: Q1 1.6%; median 3.3%; Q3 6.9%. Low / Middle / High contains 86 / 171 / 86 stations. These are station percentiles, not voter demographics.</x:v>
      </x:c>
      <x:c r="N17" s="116"/>
      <x:c r="O17" s="116"/>
      <x:c r="P17" s="116"/>
      <x:c r="Q17" s="116"/>
      <x:c r="R17" s="116"/>
      <x:c r="S17" s="116"/>
      <x:c r="T17" s="116"/>
    </x:row>
    <x:row r="18" ht="43" customHeight="1">
      <x:c r="A18" t="str">
        <x:v>Sumita Vaid Dixit</x:v>
      </x:c>
      <x:c r="B18" t="str">
        <x:v>IN</x:v>
      </x:c>
      <x:c r="C18" s="83" t="n">
        <x:f>SUM('2017 Form20'!O9:O351)</x:f>
        <x:v>898</x:v>
      </x:c>
      <x:c r="D18" s="50" t="n">
        <x:f>IFERROR(C18/SUM('2017 Form20'!D9:D351),0)</x:f>
        <x:v>0.004250042595081688</x:v>
      </x:c>
      <x:c r="E18" t="n">
        <x:v>0</x:v>
      </x:c>
      <x:c r="F18" t="n">
        <x:v>0</x:v>
      </x:c>
      <x:c r="G18" s="50" t="n">
        <x:f>IFERROR(E18/343,0)</x:f>
        <x:v>0</x:v>
      </x:c>
      <x:c r="M18" s="116" t="str">
        <x:v>227 of 343 valid EVM stations (66%) had focal share below 5%. Median signed margin vs the strongest rival was -56.5% (-56.5 percentage points).</x:v>
      </x:c>
      <x:c r="N18" s="116"/>
      <x:c r="O18" s="116"/>
      <x:c r="P18" s="116"/>
      <x:c r="Q18" s="116"/>
      <x:c r="R18" s="116"/>
      <x:c r="S18" s="116"/>
      <x:c r="T18" s="116"/>
    </x:row>
    <x:row r="19" ht="43" customHeight="1">
      <x:c r="M19" s="119" t="str">
        <x:v>These are 2017 candidate results only; identifying what changed by 2027 requires verified current evidence. Saarthi can reconcile booth geography and independently document public issues.</x:v>
      </x:c>
      <x:c r="N19" s="119"/>
      <x:c r="O19" s="119"/>
      <x:c r="P19" s="119"/>
      <x:c r="Q19" s="119"/>
      <x:c r="R19" s="119"/>
      <x:c r="S19" s="119"/>
      <x:c r="T19" s="119"/>
    </x:row>
    <x:row r="21" ht="27" customHeight="1">
      <x:c r="M21" s="113" t="str">
        <x:v>02   SHARE MARGIN  |  DIFFERENCE FROM STRONGEST RIVAL</x:v>
      </x:c>
      <x:c r="N21" s="113"/>
      <x:c r="O21" s="113"/>
      <x:c r="P21" s="113"/>
      <x:c r="Q21" s="113"/>
      <x:c r="R21" s="113"/>
      <x:c r="S21" s="113"/>
      <x:c r="T21" s="113"/>
    </x:row>
    <x:row r="22" ht="27" customHeight="1">
      <x:c r="M22" s="120" t="str">
        <x:v>Signed margin (percentage points) = (focal candidate votes − highest OTHER candidate votes) ÷ total EVM votes. A negative value means trailing.</x:v>
      </x:c>
      <x:c r="N22" s="120"/>
      <x:c r="O22" s="120"/>
      <x:c r="P22" s="120"/>
      <x:c r="Q22" s="120"/>
      <x:c r="R22" s="120"/>
      <x:c r="S22" s="120"/>
      <x:c r="T22" s="120"/>
    </x:row>
    <x:row r="24" ht="32" customHeight="1">
      <x:c r="M24" s="123" t="str">
        <x:v>Median margin</x:v>
      </x:c>
      <x:c r="N24" s="124" t="n">
        <x:f>MEDIAN($H$60:$H$402)</x:f>
        <x:v>-0.5646437994722955</x:v>
      </x:c>
      <x:c r="O24" s="123" t="str">
        <x:v>Trail stations</x:v>
      </x:c>
      <x:c r="P24" s="123" t="n">
        <x:f>COUNTIF($H$60:$H$402,"&lt;0")</x:f>
        <x:v>336</x:v>
      </x:c>
      <x:c r="Q24" s="123" t="str">
        <x:v>Lead stations</x:v>
      </x:c>
      <x:c r="R24" s="123" t="n">
        <x:f>COUNTIF($H$60:$H$402,"&gt;0")</x:f>
        <x:v>7</x:v>
      </x:c>
      <x:c r="S24" s="123" t="str">
        <x:v>Near 5pp</x:v>
      </x:c>
      <x:c r="T24" s="123" t="n">
        <x:f>COUNTIFS($H$60:$H$402,"&gt;=-0.05",$H$60:$H$402,"&lt;=0.05",$D$60:$D$402,"&gt;0")</x:f>
        <x:v>0</x:v>
      </x:c>
    </x:row>
    <x:row r="26" ht="43" customHeight="1">
      <x:c r="A26" s="16" t="str">
        <x:v>FOCAL CANDIDATE — VOTE-SHARE HISTOGRAM</x:v>
      </x:c>
      <x:c r="B26" s="16"/>
      <x:c r="C26" s="16"/>
      <x:c r="D26" s="16"/>
      <x:c r="E26" s="16"/>
      <x:c r="F26" s="16"/>
      <x:c r="M26" s="116" t="str">
        <x:v>On 336 valid stations, the focus candidate trailed the strongest rival; on 7, the candidate led. This is candidate-versus-best-rival margin, not the constituency-wide winner–runner-up margin.</x:v>
      </x:c>
      <x:c r="N26" s="116"/>
      <x:c r="O26" s="116"/>
      <x:c r="P26" s="116"/>
      <x:c r="Q26" s="116"/>
      <x:c r="R26" s="116"/>
      <x:c r="S26" s="116"/>
      <x:c r="T26" s="116"/>
    </x:row>
    <x:row r="27" ht="27" customHeight="1">
      <x:c r="A27" s="45" t="str">
        <x:v>Vote-share band</x:v>
      </x:c>
      <x:c r="B27" s="45" t="str">
        <x:v>Station count</x:v>
      </x:c>
      <x:c r="C27" s="45" t="str">
        <x:v>% stations</x:v>
      </x:c>
      <x:c r="D27" s="16" t="str">
        <x:v>VOTE-SHARE × STATION LEADER MATRIX</x:v>
      </x:c>
      <x:c r="E27" s="16"/>
      <x:c r="F27" s="16"/>
      <x:c r="G27" s="16"/>
      <x:c r="H27" s="16"/>
      <x:c r="I27" s="16"/>
      <x:c r="J27" s="16"/>
    </x:row>
    <x:row r="28" ht="27" customHeight="1">
      <x:c r="A28" t="str">
        <x:v>0–5%</x:v>
      </x:c>
      <x:c r="B28" t="n">
        <x:v>227</x:v>
      </x:c>
      <x:c r="C28" s="50" t="n">
        <x:f>IFERROR(B28/$D$7,0)</x:f>
        <x:v>0.6618075801749271</x:v>
      </x:c>
      <x:c r="D28" s="45" t="str">
        <x:v>Focus share</x:v>
      </x:c>
      <x:c r="E28" s="45" t="str">
        <x:v>Focus</x:v>
      </x:c>
      <x:c r="F28" s="45" t="str">
        <x:v>BJP</x:v>
      </x:c>
      <x:c r="G28" s="45" t="str">
        <x:v>BSP</x:v>
      </x:c>
      <x:c r="H28" s="45" t="str">
        <x:v>Other</x:v>
      </x:c>
      <x:c r="I28" s="45" t="str">
        <x:v>All</x:v>
      </x:c>
      <x:c r="M28" s="113" t="str">
        <x:v>03   VOTE SHARE  ×  VOTE MARGIN MATRIX</x:v>
      </x:c>
      <x:c r="N28" s="113"/>
      <x:c r="O28" s="113"/>
      <x:c r="P28" s="113"/>
      <x:c r="Q28" s="113"/>
      <x:c r="R28" s="113"/>
      <x:c r="S28" s="113"/>
      <x:c r="T28" s="113"/>
    </x:row>
    <x:row r="29" ht="42" customHeight="1">
      <x:c r="A29" t="str">
        <x:v>5–10%</x:v>
      </x:c>
      <x:c r="B29" t="n">
        <x:v>68</x:v>
      </x:c>
      <x:c r="C29" s="50" t="n">
        <x:f>IFERROR(B29/$D$7,0)</x:f>
        <x:v>0.19825072886297376</x:v>
      </x:c>
      <x:c r="D29" t="str">
        <x:v>0–5%</x:v>
      </x:c>
      <x:c r="E29" t="n">
        <x:v>0</x:v>
      </x:c>
      <x:c r="F29" t="n">
        <x:v>143</x:v>
      </x:c>
      <x:c r="G29" t="n">
        <x:v>82</x:v>
      </x:c>
      <x:c r="H29" t="n">
        <x:v>2</x:v>
      </x:c>
      <x:c r="I29" t="n">
        <x:v>227</x:v>
      </x:c>
      <x:c r="M29" s="126" t="str">
        <x:v>Share band</x:v>
      </x:c>
      <x:c r="N29" s="126" t="str">
        <x:v>Large deficit</x:v>
      </x:c>
      <x:c r="O29" s="126" t="str">
        <x:v>Moderate deficit</x:v>
      </x:c>
      <x:c r="P29" s="126" t="str">
        <x:v>Narrow deficit</x:v>
      </x:c>
      <x:c r="Q29" s="126" t="str">
        <x:v>Narrow lead/tie</x:v>
      </x:c>
      <x:c r="R29" s="126" t="str">
        <x:v>Moderate lead</x:v>
      </x:c>
      <x:c r="S29" s="126" t="str">
        <x:v>Large lead</x:v>
      </x:c>
      <x:c r="T29" s="126" t="str">
        <x:v>TOTAL</x:v>
      </x:c>
    </x:row>
    <x:row r="30" ht="27" customHeight="1">
      <x:c r="A30" t="str">
        <x:v>10–20%</x:v>
      </x:c>
      <x:c r="B30" t="n">
        <x:v>30</x:v>
      </x:c>
      <x:c r="C30" s="50" t="n">
        <x:f>IFERROR(B30/$D$7,0)</x:f>
        <x:v>0.08746355685131195</x:v>
      </x:c>
      <x:c r="D30" t="str">
        <x:v>5–10%</x:v>
      </x:c>
      <x:c r="E30" t="n">
        <x:v>0</x:v>
      </x:c>
      <x:c r="F30" t="n">
        <x:v>36</x:v>
      </x:c>
      <x:c r="G30" t="n">
        <x:v>31</x:v>
      </x:c>
      <x:c r="H30" t="n">
        <x:v>1</x:v>
      </x:c>
      <x:c r="I30" t="n">
        <x:v>68</x:v>
      </x:c>
      <x:c r="M30" s="127" t="str">
        <x:v>Low</x:v>
      </x:c>
      <x:c r="N30" s="127" t="n">
        <x:f>COUNTIFS($L$60:$L$402,$M30,$M$60:$M$402,N$29)</x:f>
        <x:v>86</x:v>
      </x:c>
      <x:c r="O30" s="127" t="n">
        <x:f>COUNTIFS($L$60:$L$402,$M30,$M$60:$M$402,O$29)</x:f>
        <x:v>0</x:v>
      </x:c>
      <x:c r="P30" s="127" t="n">
        <x:f>COUNTIFS($L$60:$L$402,$M30,$M$60:$M$402,P$29)</x:f>
        <x:v>0</x:v>
      </x:c>
      <x:c r="Q30" s="127" t="n">
        <x:f>COUNTIFS($L$60:$L$402,$M30,$M$60:$M$402,Q$29)</x:f>
        <x:v>0</x:v>
      </x:c>
      <x:c r="R30" s="127" t="n">
        <x:f>COUNTIFS($L$60:$L$402,$M30,$M$60:$M$402,R$29)</x:f>
        <x:v>0</x:v>
      </x:c>
      <x:c r="S30" s="127" t="n">
        <x:f>COUNTIFS($L$60:$L$402,$M30,$M$60:$M$402,S$29)</x:f>
        <x:v>0</x:v>
      </x:c>
      <x:c r="T30" s="127" t="n">
        <x:f>SUM(N30:S30)</x:f>
        <x:v>86</x:v>
      </x:c>
    </x:row>
    <x:row r="31" ht="27" customHeight="1">
      <x:c r="A31" t="str">
        <x:v>20–35%</x:v>
      </x:c>
      <x:c r="B31" t="n">
        <x:v>11</x:v>
      </x:c>
      <x:c r="C31" s="50" t="n">
        <x:f>IFERROR(B31/$D$7,0)</x:f>
        <x:v>0.03206997084548105</x:v>
      </x:c>
      <x:c r="D31" t="str">
        <x:v>10–20%</x:v>
      </x:c>
      <x:c r="E31" t="n">
        <x:v>0</x:v>
      </x:c>
      <x:c r="F31" t="n">
        <x:v>12</x:v>
      </x:c>
      <x:c r="G31" t="n">
        <x:v>18</x:v>
      </x:c>
      <x:c r="H31" t="n">
        <x:v>0</x:v>
      </x:c>
      <x:c r="I31" t="n">
        <x:v>30</x:v>
      </x:c>
      <x:c r="M31" s="128" t="str">
        <x:v>Middle</x:v>
      </x:c>
      <x:c r="N31" s="128" t="n">
        <x:f>COUNTIFS($L$60:$L$402,$M31,$M$60:$M$402,N$29)</x:f>
        <x:v>171</x:v>
      </x:c>
      <x:c r="O31" s="128" t="n">
        <x:f>COUNTIFS($L$60:$L$402,$M31,$M$60:$M$402,O$29)</x:f>
        <x:v>0</x:v>
      </x:c>
      <x:c r="P31" s="128" t="n">
        <x:f>COUNTIFS($L$60:$L$402,$M31,$M$60:$M$402,P$29)</x:f>
        <x:v>0</x:v>
      </x:c>
      <x:c r="Q31" s="128" t="n">
        <x:f>COUNTIFS($L$60:$L$402,$M31,$M$60:$M$402,Q$29)</x:f>
        <x:v>0</x:v>
      </x:c>
      <x:c r="R31" s="128" t="n">
        <x:f>COUNTIFS($L$60:$L$402,$M31,$M$60:$M$402,R$29)</x:f>
        <x:v>0</x:v>
      </x:c>
      <x:c r="S31" s="128" t="n">
        <x:f>COUNTIFS($L$60:$L$402,$M31,$M$60:$M$402,S$29)</x:f>
        <x:v>0</x:v>
      </x:c>
      <x:c r="T31" s="128" t="n">
        <x:f>SUM(N31:S31)</x:f>
        <x:v>171</x:v>
      </x:c>
    </x:row>
    <x:row r="32" ht="27" customHeight="1">
      <x:c r="A32" t="str">
        <x:v>35–50%</x:v>
      </x:c>
      <x:c r="B32" t="n">
        <x:v>1</x:v>
      </x:c>
      <x:c r="C32" s="50" t="n">
        <x:f>IFERROR(B32/$D$7,0)</x:f>
        <x:v>0.0029154518950437317</x:v>
      </x:c>
      <x:c r="D32" t="str">
        <x:v>20–35%</x:v>
      </x:c>
      <x:c r="E32" t="n">
        <x:v>1</x:v>
      </x:c>
      <x:c r="F32" t="n">
        <x:v>3</x:v>
      </x:c>
      <x:c r="G32" t="n">
        <x:v>7</x:v>
      </x:c>
      <x:c r="H32" t="n">
        <x:v>0</x:v>
      </x:c>
      <x:c r="I32" t="n">
        <x:v>11</x:v>
      </x:c>
      <x:c r="M32" s="127" t="str">
        <x:v>High</x:v>
      </x:c>
      <x:c r="N32" s="127" t="n">
        <x:f>COUNTIFS($L$60:$L$402,$M32,$M$60:$M$402,N$29)</x:f>
        <x:v>74</x:v>
      </x:c>
      <x:c r="O32" s="127" t="n">
        <x:f>COUNTIFS($L$60:$L$402,$M32,$M$60:$M$402,O$29)</x:f>
        <x:v>5</x:v>
      </x:c>
      <x:c r="P32" s="127" t="n">
        <x:f>COUNTIFS($L$60:$L$402,$M32,$M$60:$M$402,P$29)</x:f>
        <x:v>0</x:v>
      </x:c>
      <x:c r="Q32" s="127" t="n">
        <x:f>COUNTIFS($L$60:$L$402,$M32,$M$60:$M$402,Q$29)</x:f>
        <x:v>0</x:v>
      </x:c>
      <x:c r="R32" s="127" t="n">
        <x:f>COUNTIFS($L$60:$L$402,$M32,$M$60:$M$402,R$29)</x:f>
        <x:v>1</x:v>
      </x:c>
      <x:c r="S32" s="127" t="n">
        <x:f>COUNTIFS($L$60:$L$402,$M32,$M$60:$M$402,S$29)</x:f>
        <x:v>6</x:v>
      </x:c>
      <x:c r="T32" s="127" t="n">
        <x:f>SUM(N32:S32)</x:f>
        <x:v>86</x:v>
      </x:c>
    </x:row>
    <x:row r="33" ht="27" customHeight="1">
      <x:c r="A33" t="str">
        <x:v>50–100%</x:v>
      </x:c>
      <x:c r="B33" t="n">
        <x:v>6</x:v>
      </x:c>
      <x:c r="C33" s="50" t="n">
        <x:f>IFERROR(B33/$D$7,0)</x:f>
        <x:v>0.01749271137026239</x:v>
      </x:c>
      <x:c r="D33" t="str">
        <x:v>35–50%</x:v>
      </x:c>
      <x:c r="E33" t="n">
        <x:v>0</x:v>
      </x:c>
      <x:c r="F33" t="n">
        <x:v>0</x:v>
      </x:c>
      <x:c r="G33" t="n">
        <x:v>1</x:v>
      </x:c>
      <x:c r="H33" t="n">
        <x:v>0</x:v>
      </x:c>
      <x:c r="I33" t="n">
        <x:v>1</x:v>
      </x:c>
      <x:c r="M33" s="129" t="str">
        <x:v>TOTAL</x:v>
      </x:c>
      <x:c r="N33" s="129" t="n">
        <x:f>SUM(N30:N32)</x:f>
        <x:v>331</x:v>
      </x:c>
      <x:c r="O33" s="129" t="n">
        <x:f>SUM(O30:O32)</x:f>
        <x:v>5</x:v>
      </x:c>
      <x:c r="P33" s="129" t="n">
        <x:f>SUM(P30:P32)</x:f>
        <x:v>0</x:v>
      </x:c>
      <x:c r="Q33" s="129" t="n">
        <x:f>SUM(Q30:Q32)</x:f>
        <x:v>0</x:v>
      </x:c>
      <x:c r="R33" s="129" t="n">
        <x:f>SUM(R30:R32)</x:f>
        <x:v>1</x:v>
      </x:c>
      <x:c r="S33" s="129" t="n">
        <x:f>SUM(S30:S32)</x:f>
        <x:v>6</x:v>
      </x:c>
      <x:c r="T33" s="129" t="n">
        <x:f>SUM(T30:T32)</x:f>
        <x:v>343</x:v>
      </x:c>
    </x:row>
    <x:row r="34">
      <x:c r="D34" t="str">
        <x:v>50–100%</x:v>
      </x:c>
      <x:c r="E34" t="n">
        <x:v>6</x:v>
      </x:c>
      <x:c r="F34" t="n">
        <x:v>0</x:v>
      </x:c>
      <x:c r="G34" t="n">
        <x:v>0</x:v>
      </x:c>
      <x:c r="H34" t="n">
        <x:v>0</x:v>
      </x:c>
      <x:c r="I34" t="n">
        <x:v>6</x:v>
      </x:c>
    </x:row>
    <x:row r="35" ht="43" customHeight="1">
      <x:c r="M35" s="116" t="str">
        <x:v>Matrix reading: even among 86 High-share stations (&gt;Q3), 79 trailed the best rival. High SHARE and positive MARGIN describe different things.</x:v>
      </x:c>
      <x:c r="N35" s="116"/>
      <x:c r="O35" s="116"/>
      <x:c r="P35" s="116"/>
      <x:c r="Q35" s="116"/>
      <x:c r="R35" s="116"/>
      <x:c r="S35" s="116"/>
      <x:c r="T35" s="116"/>
    </x:row>
    <x:row r="36" ht="43" customHeight="1">
      <x:c r="M36" s="116" t="str">
        <x:v>Historical pattern: 86 Low-share stations were also Large-deficit stations; 171 Middle-share stations were Large-deficit stations. These are counts, not reasons for voting.</x:v>
      </x:c>
      <x:c r="N36" s="116"/>
      <x:c r="O36" s="116"/>
      <x:c r="P36" s="116"/>
      <x:c r="Q36" s="116"/>
      <x:c r="R36" s="116"/>
      <x:c r="S36" s="116"/>
      <x:c r="T36" s="116"/>
    </x:row>
    <x:row r="37" ht="43" customHeight="1">
      <x:c r="A37" s="16" t="str">
        <x:v>FOCAL CANDIDATE — LEAD / TRAIL MARGIN HISTOGRAM</x:v>
      </x:c>
      <x:c r="B37" s="16"/>
      <x:c r="C37" s="16"/>
      <x:c r="D37" s="16"/>
      <x:c r="E37" s="16"/>
      <x:c r="F37" s="16"/>
      <x:c r="M37" s="119" t="str">
        <x:v>2027 relevance: old booth identifiers, candidate and alliance changes, and local issues need independent verification before making any current claims. Research gaps can be addressed through records reconciliation and transparent constituency monitoring.</x:v>
      </x:c>
      <x:c r="N37" s="119"/>
      <x:c r="O37" s="119"/>
      <x:c r="P37" s="119"/>
      <x:c r="Q37" s="119"/>
      <x:c r="R37" s="119"/>
      <x:c r="S37" s="119"/>
      <x:c r="T37" s="119"/>
    </x:row>
    <x:row r="38" ht="38" customHeight="1">
      <x:c r="A38" s="45" t="str">
        <x:v>Margin (percentage points)</x:v>
      </x:c>
      <x:c r="B38" s="45" t="str">
        <x:v>Stations</x:v>
      </x:c>
    </x:row>
    <x:row r="39" ht="25" customHeight="1">
      <x:c r="A39" t="str">
        <x:v>Trail &gt;30pp</x:v>
      </x:c>
      <x:c r="B39" t="n">
        <x:v>319</x:v>
      </x:c>
      <x:c r="M39" s="131" t="str">
        <x:v>Margin classes: &lt;−20pp, −20 to −5pp, −5 to &lt;0pp, 0 to +5pp (ties included), &gt;+5 to +20pp, &gt;+20pp.</x:v>
      </x:c>
      <x:c r="N39" s="131"/>
      <x:c r="O39" s="131"/>
      <x:c r="P39" s="131"/>
      <x:c r="Q39" s="131"/>
      <x:c r="R39" s="131"/>
      <x:c r="S39" s="131"/>
      <x:c r="T39" s="131"/>
    </x:row>
    <x:row r="40">
      <x:c r="A40" t="str">
        <x:v>Trail 10–30pp</x:v>
      </x:c>
      <x:c r="B40" t="n">
        <x:v>15</x:v>
      </x:c>
    </x:row>
    <x:row r="41">
      <x:c r="A41" t="str">
        <x:v>Trail 3–10pp</x:v>
      </x:c>
      <x:c r="B41" t="n">
        <x:v>2</x:v>
      </x:c>
    </x:row>
    <x:row r="42" ht="27" customHeight="1">
      <x:c r="A42" t="str">
        <x:v>Within ±3pp</x:v>
      </x:c>
      <x:c r="B42" t="n">
        <x:v>0</x:v>
      </x:c>
      <x:c r="R42" s="135" t="str">
        <x:v>04   CONTINUOUS SHARE HISTOGRAM SOURCE (5pp BINS)</x:v>
      </x:c>
      <x:c r="S42" s="135"/>
      <x:c r="T42" s="135"/>
    </x:row>
    <x:row r="43" ht="28" customHeight="1">
      <x:c r="A43" t="str">
        <x:v>Lead 3–10pp</x:v>
      </x:c>
      <x:c r="B43" t="n">
        <x:v>1</x:v>
      </x:c>
      <x:c r="R43" s="104" t="str">
        <x:v>Vote share band</x:v>
      </x:c>
      <x:c r="S43" s="104" t="str">
        <x:v>Lower bound</x:v>
      </x:c>
      <x:c r="T43" s="104" t="str">
        <x:v>Stations</x:v>
      </x:c>
    </x:row>
    <x:row r="44" ht="20" customHeight="1">
      <x:c r="A44" t="str">
        <x:v>Lead 10–30pp</x:v>
      </x:c>
      <x:c r="B44" t="n">
        <x:v>1</x:v>
      </x:c>
      <x:c r="R44" s="114" t="str">
        <x:v>00–05%</x:v>
      </x:c>
      <x:c r="S44" s="136" t="n">
        <x:v>0</x:v>
      </x:c>
      <x:c r="T44" s="114" t="n">
        <x:f>COUNTIFS($D$60:$D$402,"&gt;0",$E$60:$E$402,"&gt;="&amp;S44,$E$60:$E$402,"&lt;"&amp;S45)</x:f>
        <x:v>227</x:v>
      </x:c>
    </x:row>
    <x:row r="45" ht="20" customHeight="1">
      <x:c r="A45" t="str">
        <x:v>Lead &gt;30pp</x:v>
      </x:c>
      <x:c r="B45" t="n">
        <x:v>5</x:v>
      </x:c>
      <x:c r="R45" s="114" t="str">
        <x:v>05–10%</x:v>
      </x:c>
      <x:c r="S45" s="136" t="n">
        <x:v>0.05</x:v>
      </x:c>
      <x:c r="T45" s="114" t="n">
        <x:f>COUNTIFS($D$60:$D$402,"&gt;0",$E$60:$E$402,"&gt;="&amp;S45,$E$60:$E$402,"&lt;"&amp;S46)</x:f>
        <x:v>68</x:v>
      </x:c>
    </x:row>
    <x:row r="46" ht="20" customHeight="1">
      <x:c r="R46" s="114" t="str">
        <x:v>10–15%</x:v>
      </x:c>
      <x:c r="S46" s="136" t="n">
        <x:v>0.1</x:v>
      </x:c>
      <x:c r="T46" s="114" t="n">
        <x:f>COUNTIFS($D$60:$D$402,"&gt;0",$E$60:$E$402,"&gt;="&amp;S46,$E$60:$E$402,"&lt;"&amp;S47)</x:f>
        <x:v>20</x:v>
      </x:c>
    </x:row>
    <x:row r="47" ht="20" customHeight="1">
      <x:c r="R47" s="114" t="str">
        <x:v>15–20%</x:v>
      </x:c>
      <x:c r="S47" s="136" t="n">
        <x:v>0.15</x:v>
      </x:c>
      <x:c r="T47" s="114" t="n">
        <x:f>COUNTIFS($D$60:$D$402,"&gt;0",$E$60:$E$402,"&gt;="&amp;S47,$E$60:$E$402,"&lt;"&amp;S48)</x:f>
        <x:v>10</x:v>
      </x:c>
    </x:row>
    <x:row r="48" ht="20" customHeight="1">
      <x:c r="R48" s="114" t="str">
        <x:v>20–25%</x:v>
      </x:c>
      <x:c r="S48" s="136" t="n">
        <x:v>0.2</x:v>
      </x:c>
      <x:c r="T48" s="114" t="n">
        <x:f>COUNTIFS($D$60:$D$402,"&gt;0",$E$60:$E$402,"&gt;="&amp;S48,$E$60:$E$402,"&lt;"&amp;S49)</x:f>
        <x:v>4</x:v>
      </x:c>
    </x:row>
    <x:row r="49" ht="20" customHeight="1">
      <x:c r="R49" s="114" t="str">
        <x:v>25–30%</x:v>
      </x:c>
      <x:c r="S49" s="136" t="n">
        <x:v>0.25</x:v>
      </x:c>
      <x:c r="T49" s="114" t="n">
        <x:f>COUNTIFS($D$60:$D$402,"&gt;0",$E$60:$E$402,"&gt;="&amp;S49,$E$60:$E$402,"&lt;"&amp;S50)</x:f>
        <x:v>5</x:v>
      </x:c>
    </x:row>
    <x:row r="50" ht="20" customHeight="1">
      <x:c r="R50" s="114" t="str">
        <x:v>30–35%</x:v>
      </x:c>
      <x:c r="S50" s="136" t="n">
        <x:v>0.3</x:v>
      </x:c>
      <x:c r="T50" s="114" t="n">
        <x:f>COUNTIFS($D$60:$D$402,"&gt;0",$E$60:$E$402,"&gt;="&amp;S50,$E$60:$E$402,"&lt;"&amp;S51)</x:f>
        <x:v>2</x:v>
      </x:c>
    </x:row>
    <x:row r="51" ht="20" customHeight="1">
      <x:c r="R51" s="114" t="str">
        <x:v>35–40%</x:v>
      </x:c>
      <x:c r="S51" s="136" t="n">
        <x:v>0.35</x:v>
      </x:c>
      <x:c r="T51" s="114" t="n">
        <x:f>COUNTIFS($D$60:$D$402,"&gt;0",$E$60:$E$402,"&gt;="&amp;S51,$E$60:$E$402,"&lt;"&amp;S52)</x:f>
        <x:v>1</x:v>
      </x:c>
    </x:row>
    <x:row r="52" ht="20" customHeight="1">
      <x:c r="R52" s="114" t="str">
        <x:v>40–45%</x:v>
      </x:c>
      <x:c r="S52" s="136" t="n">
        <x:v>0.4</x:v>
      </x:c>
      <x:c r="T52" s="114" t="n">
        <x:f>COUNTIFS($D$60:$D$402,"&gt;0",$E$60:$E$402,"&gt;="&amp;S52,$E$60:$E$402,"&lt;"&amp;S53)</x:f>
        <x:v>0</x:v>
      </x:c>
    </x:row>
    <x:row r="53" ht="20" customHeight="1">
      <x:c r="R53" s="114" t="str">
        <x:v>45–50%</x:v>
      </x:c>
      <x:c r="S53" s="136" t="n">
        <x:v>0.45</x:v>
      </x:c>
      <x:c r="T53" s="114" t="n">
        <x:f>COUNTIFS($D$60:$D$402,"&gt;0",$E$60:$E$402,"&gt;="&amp;S53,$E$60:$E$402,"&lt;"&amp;S54)</x:f>
        <x:v>0</x:v>
      </x:c>
    </x:row>
    <x:row r="54" ht="20" customHeight="1">
      <x:c r="R54" s="114" t="str">
        <x:v>50–55%</x:v>
      </x:c>
      <x:c r="S54" s="136" t="n">
        <x:v>0.5</x:v>
      </x:c>
      <x:c r="T54" s="114" t="n">
        <x:f>COUNTIFS($D$60:$D$402,"&gt;0",$E$60:$E$402,"&gt;="&amp;S54,$E$60:$E$402,"&lt;"&amp;S55)</x:f>
        <x:v>1</x:v>
      </x:c>
    </x:row>
    <x:row r="55" ht="20" customHeight="1">
      <x:c r="R55" s="114" t="str">
        <x:v>55–60%</x:v>
      </x:c>
      <x:c r="S55" s="136" t="n">
        <x:v>0.55</x:v>
      </x:c>
      <x:c r="T55" s="114" t="n">
        <x:f>COUNTIFS($D$60:$D$402,"&gt;0",$E$60:$E$402,"&gt;="&amp;S55,$E$60:$E$402,"&lt;"&amp;S56)</x:f>
        <x:v>2</x:v>
      </x:c>
    </x:row>
    <x:row r="56" ht="20" customHeight="1">
      <x:c r="R56" s="114" t="str">
        <x:v>60–65%</x:v>
      </x:c>
      <x:c r="S56" s="136" t="n">
        <x:v>0.6</x:v>
      </x:c>
      <x:c r="T56" s="114" t="n">
        <x:f>COUNTIFS($D$60:$D$402,"&gt;0",$E$60:$E$402,"&gt;="&amp;S56,$E$60:$E$402,"&lt;"&amp;S57)</x:f>
        <x:v>1</x:v>
      </x:c>
    </x:row>
    <x:row r="57" ht="20" customHeight="1">
      <x:c r="R57" s="114" t="str">
        <x:v>65–70%</x:v>
      </x:c>
      <x:c r="S57" s="136" t="n">
        <x:v>0.65</x:v>
      </x:c>
      <x:c r="T57" s="114" t="n">
        <x:f>COUNTIFS($D$60:$D$402,"&gt;0",$E$60:$E$402,"&gt;="&amp;S57,$E$60:$E$402,"&lt;"&amp;S58)</x:f>
        <x:v>1</x:v>
      </x:c>
    </x:row>
    <x:row r="58" ht="20" customHeight="1">
      <x:c r="A58" s="16" t="str">
        <x:v>POLLING-STATION DETAIL — SORT / FILTER BY FOCAL SHARE, MARGIN OR EVM LEADER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R58" s="114" t="str">
        <x:v>70–75%</x:v>
      </x:c>
      <x:c r="S58" s="136" t="n">
        <x:v>0.7</x:v>
      </x:c>
      <x:c r="T58" s="114" t="n">
        <x:f>COUNTIFS($D$60:$D$402,"&gt;0",$E$60:$E$402,"&gt;="&amp;S58,$E$60:$E$402,"&lt;"&amp;S59)</x:f>
        <x:v>0</x:v>
      </x:c>
    </x:row>
    <x:row r="59" ht="20" customHeight="1">
      <x:c r="A59" s="45" t="str">
        <x:v>Station #</x:v>
      </x:c>
      <x:c r="B59" s="45" t="str">
        <x:v>Name (source or unavailable)</x:v>
      </x:c>
      <x:c r="C59" s="45" t="str">
        <x:v>Focus votes</x:v>
      </x:c>
      <x:c r="D59" s="45" t="str">
        <x:v>Total EVM</x:v>
      </x:c>
      <x:c r="E59" s="45" t="str">
        <x:v>Focus share</x:v>
      </x:c>
      <x:c r="F59" s="45" t="str">
        <x:v>Max rival votes</x:v>
      </x:c>
      <x:c r="G59" s="45" t="str">
        <x:v>Lead votes</x:v>
      </x:c>
      <x:c r="H59" s="45" t="str">
        <x:v>Lead pp</x:v>
      </x:c>
      <x:c r="I59" s="45" t="str">
        <x:v>Top candidate (EVM)</x:v>
      </x:c>
      <x:c r="J59" s="45" t="str">
        <x:v>Top party (EVM)</x:v>
      </x:c>
      <x:c r="K59" s="45" t="str">
        <x:v>Data status</x:v>
      </x:c>
      <x:c r="L59" s="132" t="str">
        <x:v>Q1/Q3 Share group</x:v>
      </x:c>
      <x:c r="M59" s="132" t="str">
        <x:v>Signed margin class</x:v>
      </x:c>
      <x:c r="R59" s="114" t="str">
        <x:v>75–80%</x:v>
      </x:c>
      <x:c r="S59" s="136" t="n">
        <x:v>0.75</x:v>
      </x:c>
      <x:c r="T59" s="114" t="n">
        <x:f>COUNTIFS($D$60:$D$402,"&gt;0",$E$60:$E$402,"&gt;="&amp;S59,$E$60:$E$402,"&lt;"&amp;S60)</x:f>
        <x:v>0</x:v>
      </x:c>
    </x:row>
    <x:row r="60" ht="20" customHeight="1">
      <x:c r="A60" t="n">
        <x:v>1</x:v>
      </x:c>
      <x:c r="B60" t="str">
        <x:v>AMICHAND I.C.KASNA K.N.1</x:v>
      </x:c>
      <x:c r="C60" s="83" t="n">
        <x:f>'2017 Form20'!H9</x:f>
        <x:v>39</x:v>
      </x:c>
      <x:c r="D60" s="83" t="n">
        <x:f>'2017 Form20'!D9</x:f>
        <x:v>744</x:v>
      </x:c>
      <x:c r="E60" s="50" t="n">
        <x:f>'2017 Form20'!P9</x:f>
        <x:v>0.05241935483870968</x:v>
      </x:c>
      <x:c r="F60" t="n">
        <x:f>'2017 Form20'!Q9</x:f>
        <x:v>430</x:v>
      </x:c>
      <x:c r="G60" t="n">
        <x:f>'2017 Form20'!R9</x:f>
        <x:v>-391</x:v>
      </x:c>
      <x:c r="H60" s="52" t="n">
        <x:f>'2017 Form20'!S9</x:f>
        <x:v>-0.5255376344086021</x:v>
      </x:c>
      <x:c r="I60" t="str">
        <x:v>Dhirendra Singh</x:v>
      </x:c>
      <x:c r="J60" t="str">
        <x:v>BJP</x:v>
      </x:c>
      <x:c r="K60" t="str">
        <x:v>EVM row</x:v>
      </x:c>
      <x:c r="L60" s="133" t="str">
        <x:f>IF(D60&lt;=0,"No EVM votes",IF(E60&lt;$N$7,"Low",IF(E60&gt;$R$7,"High","Middle")))</x:f>
        <x:v>Middle</x:v>
      </x:c>
      <x:c r="M60" s="133" t="str">
        <x:f>IF(D60&lt;=0,"No EVM votes",IF(H60&lt;-20%,"Large deficit",IF(H60&lt;-5%,"Moderate deficit",IF(H60&lt;0,"Narrow deficit",IF(H60&lt;=5%,"Narrow lead/tie",IF(H60&lt;=20%,"Moderate lead","Large lead"))))))</x:f>
        <x:v>Large deficit</x:v>
      </x:c>
      <x:c r="R60" s="114" t="str">
        <x:v>80–85%</x:v>
      </x:c>
      <x:c r="S60" s="136" t="n">
        <x:v>0.8</x:v>
      </x:c>
      <x:c r="T60" s="114" t="n">
        <x:f>COUNTIFS($D$60:$D$402,"&gt;0",$E$60:$E$402,"&gt;="&amp;S60,$E$60:$E$402,"&lt;"&amp;S61)</x:f>
        <x:v>0</x:v>
      </x:c>
    </x:row>
    <x:row r="61" ht="20" customHeight="1">
      <x:c r="A61" t="n">
        <x:v>2</x:v>
      </x:c>
      <x:c r="B61" t="str">
        <x:v>AMICHAND I.C.KASNA K.N.2</x:v>
      </x:c>
      <x:c r="C61" s="83" t="n">
        <x:f>'2017 Form20'!H10</x:f>
        <x:v>6</x:v>
      </x:c>
      <x:c r="D61" s="83" t="n">
        <x:f>'2017 Form20'!D10</x:f>
        <x:v>761</x:v>
      </x:c>
      <x:c r="E61" s="50" t="n">
        <x:f>'2017 Form20'!P10</x:f>
        <x:v>0.00788436268068331</x:v>
      </x:c>
      <x:c r="F61" t="n">
        <x:f>'2017 Form20'!Q10</x:f>
        <x:v>567</x:v>
      </x:c>
      <x:c r="G61" t="n">
        <x:f>'2017 Form20'!R10</x:f>
        <x:v>-561</x:v>
      </x:c>
      <x:c r="H61" s="52" t="n">
        <x:f>'2017 Form20'!S10</x:f>
        <x:v>-0.7371879106438897</x:v>
      </x:c>
      <x:c r="I61" t="str">
        <x:v>Vedram Bhati</x:v>
      </x:c>
      <x:c r="J61" t="str">
        <x:v>BSP</x:v>
      </x:c>
      <x:c r="K61" t="str">
        <x:v>EVM row</x:v>
      </x:c>
      <x:c r="L61" s="133" t="str">
        <x:f>IF(D61&lt;=0,"No EVM votes",IF(E61&lt;$N$7,"Low",IF(E61&gt;$R$7,"High","Middle")))</x:f>
        <x:v>Low</x:v>
      </x:c>
      <x:c r="M61" s="133" t="str">
        <x:f>IF(D61&lt;=0,"No EVM votes",IF(H61&lt;-20%,"Large deficit",IF(H61&lt;-5%,"Moderate deficit",IF(H61&lt;0,"Narrow deficit",IF(H61&lt;=5%,"Narrow lead/tie",IF(H61&lt;=20%,"Moderate lead","Large lead"))))))</x:f>
        <x:v>Large deficit</x:v>
      </x:c>
      <x:c r="R61" s="114" t="str">
        <x:v>85–90%</x:v>
      </x:c>
      <x:c r="S61" s="136" t="n">
        <x:v>0.85</x:v>
      </x:c>
      <x:c r="T61" s="114" t="n">
        <x:f>COUNTIFS($D$60:$D$402,"&gt;0",$E$60:$E$402,"&gt;="&amp;S61,$E$60:$E$402,"&lt;"&amp;S62)</x:f>
        <x:v>0</x:v>
      </x:c>
    </x:row>
    <x:row r="62" ht="20" customHeight="1">
      <x:c r="A62" t="n">
        <x:v>3</x:v>
      </x:c>
      <x:c r="B62" t="str">
        <x:v>AMICHAND I.C.KASNA K.N. 3</x:v>
      </x:c>
      <x:c r="C62" s="83" t="n">
        <x:f>'2017 Form20'!H11</x:f>
        <x:v>22</x:v>
      </x:c>
      <x:c r="D62" s="83" t="n">
        <x:f>'2017 Form20'!D11</x:f>
        <x:v>656</x:v>
      </x:c>
      <x:c r="E62" s="50" t="n">
        <x:f>'2017 Form20'!P11</x:f>
        <x:v>0.03353658536585366</x:v>
      </x:c>
      <x:c r="F62" t="n">
        <x:f>'2017 Form20'!Q11</x:f>
        <x:v>406</x:v>
      </x:c>
      <x:c r="G62" t="n">
        <x:f>'2017 Form20'!R11</x:f>
        <x:v>-384</x:v>
      </x:c>
      <x:c r="H62" s="52" t="n">
        <x:f>'2017 Form20'!S11</x:f>
        <x:v>-0.5853658536585366</x:v>
      </x:c>
      <x:c r="I62" t="str">
        <x:v>Vedram Bhati</x:v>
      </x:c>
      <x:c r="J62" t="str">
        <x:v>BSP</x:v>
      </x:c>
      <x:c r="K62" t="str">
        <x:v>EVM row</x:v>
      </x:c>
      <x:c r="L62" s="133" t="str">
        <x:f>IF(D62&lt;=0,"No EVM votes",IF(E62&lt;$N$7,"Low",IF(E62&gt;$R$7,"High","Middle")))</x:f>
        <x:v>Middle</x:v>
      </x:c>
      <x:c r="M62" s="133" t="str">
        <x:f>IF(D62&lt;=0,"No EVM votes",IF(H62&lt;-20%,"Large deficit",IF(H62&lt;-5%,"Moderate deficit",IF(H62&lt;0,"Narrow deficit",IF(H62&lt;=5%,"Narrow lead/tie",IF(H62&lt;=20%,"Moderate lead","Large lead"))))))</x:f>
        <x:v>Large deficit</x:v>
      </x:c>
      <x:c r="R62" s="114" t="str">
        <x:v>90–95%</x:v>
      </x:c>
      <x:c r="S62" s="136" t="n">
        <x:v>0.9</x:v>
      </x:c>
      <x:c r="T62" s="114" t="n">
        <x:f>COUNTIFS($D$60:$D$402,"&gt;0",$E$60:$E$402,"&gt;="&amp;S62,$E$60:$E$402,"&lt;"&amp;S63)</x:f>
        <x:v>1</x:v>
      </x:c>
    </x:row>
    <x:row r="63" ht="20" customHeight="1">
      <x:c r="A63" t="n">
        <x:v>4</x:v>
      </x:c>
      <x:c r="B63" t="str">
        <x:v>AMICHAND I.C.KASNA K.N. 4</x:v>
      </x:c>
      <x:c r="C63" s="83" t="n">
        <x:f>'2017 Form20'!H12</x:f>
        <x:v>19</x:v>
      </x:c>
      <x:c r="D63" s="83" t="n">
        <x:f>'2017 Form20'!D12</x:f>
        <x:v>489</x:v>
      </x:c>
      <x:c r="E63" s="50" t="n">
        <x:f>'2017 Form20'!P12</x:f>
        <x:v>0.03885480572597137</x:v>
      </x:c>
      <x:c r="F63" t="n">
        <x:f>'2017 Form20'!Q12</x:f>
        <x:v>297</x:v>
      </x:c>
      <x:c r="G63" t="n">
        <x:f>'2017 Form20'!R12</x:f>
        <x:v>-278</x:v>
      </x:c>
      <x:c r="H63" s="52" t="n">
        <x:f>'2017 Form20'!S12</x:f>
        <x:v>-0.5685071574642127</x:v>
      </x:c>
      <x:c r="I63" t="str">
        <x:v>Dhirendra Singh</x:v>
      </x:c>
      <x:c r="J63" t="str">
        <x:v>BJP</x:v>
      </x:c>
      <x:c r="K63" t="str">
        <x:v>EVM row</x:v>
      </x:c>
      <x:c r="L63" s="133" t="str">
        <x:f>IF(D63&lt;=0,"No EVM votes",IF(E63&lt;$N$7,"Low",IF(E63&gt;$R$7,"High","Middle")))</x:f>
        <x:v>Middle</x:v>
      </x:c>
      <x:c r="M63" s="133" t="str">
        <x:f>IF(D63&lt;=0,"No EVM votes",IF(H63&lt;-20%,"Large deficit",IF(H63&lt;-5%,"Moderate deficit",IF(H63&lt;0,"Narrow deficit",IF(H63&lt;=5%,"Narrow lead/tie",IF(H63&lt;=20%,"Moderate lead","Large lead"))))))</x:f>
        <x:v>Large deficit</x:v>
      </x:c>
      <x:c r="R63" s="114" t="str">
        <x:v>95–100%</x:v>
      </x:c>
      <x:c r="S63" s="136" t="n">
        <x:v>0.95</x:v>
      </x:c>
      <x:c r="T63" s="114" t="n">
        <x:f>COUNTIFS($D$60:$D$402,"&gt;0",$E$60:$E$402,"&gt;="&amp;S63,$E$60:$E$402,"&lt;=1")</x:f>
        <x:v>0</x:v>
      </x:c>
    </x:row>
    <x:row r="64">
      <x:c r="A64" t="n">
        <x:v>5</x:v>
      </x:c>
      <x:c r="B64" t="str">
        <x:v>KENDRYA VIDHYALAY SECTOR P-3 K.N. 1</x:v>
      </x:c>
      <x:c r="C64" s="83" t="n">
        <x:f>'2017 Form20'!H13</x:f>
        <x:v>9</x:v>
      </x:c>
      <x:c r="D64" s="83" t="n">
        <x:f>'2017 Form20'!D13</x:f>
        <x:v>151</x:v>
      </x:c>
      <x:c r="E64" s="50" t="n">
        <x:f>'2017 Form20'!P13</x:f>
        <x:v>0.059602649006622516</x:v>
      </x:c>
      <x:c r="F64" t="n">
        <x:f>'2017 Form20'!Q13</x:f>
        <x:v>111</x:v>
      </x:c>
      <x:c r="G64" t="n">
        <x:f>'2017 Form20'!R13</x:f>
        <x:v>-102</x:v>
      </x:c>
      <x:c r="H64" s="52" t="n">
        <x:f>'2017 Form20'!S13</x:f>
        <x:v>-0.6754966887417219</x:v>
      </x:c>
      <x:c r="I64" t="str">
        <x:v>Dhirendra Singh</x:v>
      </x:c>
      <x:c r="J64" t="str">
        <x:v>BJP</x:v>
      </x:c>
      <x:c r="K64" t="str">
        <x:v>EVM row</x:v>
      </x:c>
      <x:c r="L64" s="133" t="str">
        <x:f>IF(D64&lt;=0,"No EVM votes",IF(E64&lt;$N$7,"Low",IF(E64&gt;$R$7,"High","Middle")))</x:f>
        <x:v>Middle</x:v>
      </x:c>
      <x:c r="M64" s="133" t="str">
        <x:f>IF(D64&lt;=0,"No EVM votes",IF(H64&lt;-20%,"Large deficit",IF(H64&lt;-5%,"Moderate deficit",IF(H64&lt;0,"Narrow deficit",IF(H64&lt;=5%,"Narrow lead/tie",IF(H64&lt;=20%,"Moderate lead","Large lead"))))))</x:f>
        <x:v>Large deficit</x:v>
      </x:c>
    </x:row>
    <x:row r="65">
      <x:c r="A65" t="n">
        <x:v>6</x:v>
      </x:c>
      <x:c r="B65" t="str">
        <x:v>KENDRYA VIDHYALAY SECTOR P-3 K.N. 2</x:v>
      </x:c>
      <x:c r="C65" s="83" t="n">
        <x:f>'2017 Form20'!H14</x:f>
        <x:v>26</x:v>
      </x:c>
      <x:c r="D65" s="83" t="n">
        <x:f>'2017 Form20'!D14</x:f>
        <x:v>540</x:v>
      </x:c>
      <x:c r="E65" s="50" t="n">
        <x:f>'2017 Form20'!P14</x:f>
        <x:v>0.04814814814814815</x:v>
      </x:c>
      <x:c r="F65" t="n">
        <x:f>'2017 Form20'!Q14</x:f>
        <x:v>407</x:v>
      </x:c>
      <x:c r="G65" t="n">
        <x:f>'2017 Form20'!R14</x:f>
        <x:v>-381</x:v>
      </x:c>
      <x:c r="H65" s="52" t="n">
        <x:f>'2017 Form20'!S14</x:f>
        <x:v>-0.7055555555555556</x:v>
      </x:c>
      <x:c r="I65" t="str">
        <x:v>Dhirendra Singh</x:v>
      </x:c>
      <x:c r="J65" t="str">
        <x:v>BJP</x:v>
      </x:c>
      <x:c r="K65" t="str">
        <x:v>EVM row</x:v>
      </x:c>
      <x:c r="L65" s="133" t="str">
        <x:f>IF(D65&lt;=0,"No EVM votes",IF(E65&lt;$N$7,"Low",IF(E65&gt;$R$7,"High","Middle")))</x:f>
        <x:v>Middle</x:v>
      </x:c>
      <x:c r="M65" s="133" t="str">
        <x:f>IF(D65&lt;=0,"No EVM votes",IF(H65&lt;-20%,"Large deficit",IF(H65&lt;-5%,"Moderate deficit",IF(H65&lt;0,"Narrow deficit",IF(H65&lt;=5%,"Narrow lead/tie",IF(H65&lt;=20%,"Moderate lead","Large lead"))))))</x:f>
        <x:v>Large deficit</x:v>
      </x:c>
    </x:row>
    <x:row r="66">
      <x:c r="A66" t="n">
        <x:v>7</x:v>
      </x:c>
      <x:c r="B66" t="str">
        <x:v>KENDRYA VIDHYALAY SECTOR P-3 K.N. 3</x:v>
      </x:c>
      <x:c r="C66" s="83" t="n">
        <x:f>'2017 Form20'!H15</x:f>
        <x:v>36</x:v>
      </x:c>
      <x:c r="D66" s="83" t="n">
        <x:f>'2017 Form20'!D15</x:f>
        <x:v>505</x:v>
      </x:c>
      <x:c r="E66" s="50" t="n">
        <x:f>'2017 Form20'!P15</x:f>
        <x:v>0.07128712871287128</x:v>
      </x:c>
      <x:c r="F66" t="n">
        <x:f>'2017 Form20'!Q15</x:f>
        <x:v>389</x:v>
      </x:c>
      <x:c r="G66" t="n">
        <x:f>'2017 Form20'!R15</x:f>
        <x:v>-353</x:v>
      </x:c>
      <x:c r="H66" s="52" t="n">
        <x:f>'2017 Form20'!S15</x:f>
        <x:v>-0.699009900990099</x:v>
      </x:c>
      <x:c r="I66" t="str">
        <x:v>Dhirendra Singh</x:v>
      </x:c>
      <x:c r="J66" t="str">
        <x:v>BJP</x:v>
      </x:c>
      <x:c r="K66" t="str">
        <x:v>EVM row</x:v>
      </x:c>
      <x:c r="L66" s="133" t="str">
        <x:f>IF(D66&lt;=0,"No EVM votes",IF(E66&lt;$N$7,"Low",IF(E66&gt;$R$7,"High","Middle")))</x:f>
        <x:v>High</x:v>
      </x:c>
      <x:c r="M66" s="133" t="str">
        <x:f>IF(D66&lt;=0,"No EVM votes",IF(H66&lt;-20%,"Large deficit",IF(H66&lt;-5%,"Moderate deficit",IF(H66&lt;0,"Narrow deficit",IF(H66&lt;=5%,"Narrow lead/tie",IF(H66&lt;=20%,"Moderate lead","Large lead"))))))</x:f>
        <x:v>Large deficit</x:v>
      </x:c>
    </x:row>
    <x:row r="67">
      <x:c r="A67" t="n">
        <x:v>8</x:v>
      </x:c>
      <x:c r="B67" t="str">
        <x:v>ARSHLINE PUBLIC SCHOOL SEC.36 K.N. 1</x:v>
      </x:c>
      <x:c r="C67" s="83" t="n">
        <x:f>'2017 Form20'!H16</x:f>
        <x:v>80</x:v>
      </x:c>
      <x:c r="D67" s="83" t="n">
        <x:f>'2017 Form20'!D16</x:f>
        <x:v>658</x:v>
      </x:c>
      <x:c r="E67" s="50" t="n">
        <x:f>'2017 Form20'!P16</x:f>
        <x:v>0.12158054711246201</x:v>
      </x:c>
      <x:c r="F67" t="n">
        <x:f>'2017 Form20'!Q16</x:f>
        <x:v>310</x:v>
      </x:c>
      <x:c r="G67" t="n">
        <x:f>'2017 Form20'!R16</x:f>
        <x:v>-230</x:v>
      </x:c>
      <x:c r="H67" s="52" t="n">
        <x:f>'2017 Form20'!S16</x:f>
        <x:v>-0.3495440729483283</x:v>
      </x:c>
      <x:c r="I67" t="str">
        <x:v>Vedram Bhati</x:v>
      </x:c>
      <x:c r="J67" t="str">
        <x:v>BSP</x:v>
      </x:c>
      <x:c r="K67" t="str">
        <x:v>EVM row</x:v>
      </x:c>
      <x:c r="L67" s="133" t="str">
        <x:f>IF(D67&lt;=0,"No EVM votes",IF(E67&lt;$N$7,"Low",IF(E67&gt;$R$7,"High","Middle")))</x:f>
        <x:v>High</x:v>
      </x:c>
      <x:c r="M67" s="133" t="str">
        <x:f>IF(D67&lt;=0,"No EVM votes",IF(H67&lt;-20%,"Large deficit",IF(H67&lt;-5%,"Moderate deficit",IF(H67&lt;0,"Narrow deficit",IF(H67&lt;=5%,"Narrow lead/tie",IF(H67&lt;=20%,"Moderate lead","Large lead"))))))</x:f>
        <x:v>Large deficit</x:v>
      </x:c>
    </x:row>
    <x:row r="68">
      <x:c r="A68" t="n">
        <x:v>9</x:v>
      </x:c>
      <x:c r="B68" t="str">
        <x:v>ARSHLINE PUBLIC SCHOOL SEC.36 K.N. 2</x:v>
      </x:c>
      <x:c r="C68" s="83" t="n">
        <x:f>'2017 Form20'!H17</x:f>
        <x:v>40</x:v>
      </x:c>
      <x:c r="D68" s="83" t="n">
        <x:f>'2017 Form20'!D17</x:f>
        <x:v>382</x:v>
      </x:c>
      <x:c r="E68" s="50" t="n">
        <x:f>'2017 Form20'!P17</x:f>
        <x:v>0.10471204188481675</x:v>
      </x:c>
      <x:c r="F68" t="n">
        <x:f>'2017 Form20'!Q17</x:f>
        <x:v>280</x:v>
      </x:c>
      <x:c r="G68" t="n">
        <x:f>'2017 Form20'!R17</x:f>
        <x:v>-240</x:v>
      </x:c>
      <x:c r="H68" s="52" t="n">
        <x:f>'2017 Form20'!S17</x:f>
        <x:v>-0.6282722513089005</x:v>
      </x:c>
      <x:c r="I68" t="str">
        <x:v>Dhirendra Singh</x:v>
      </x:c>
      <x:c r="J68" t="str">
        <x:v>BJP</x:v>
      </x:c>
      <x:c r="K68" t="str">
        <x:v>EVM row</x:v>
      </x:c>
      <x:c r="L68" s="133" t="str">
        <x:f>IF(D68&lt;=0,"No EVM votes",IF(E68&lt;$N$7,"Low",IF(E68&gt;$R$7,"High","Middle")))</x:f>
        <x:v>High</x:v>
      </x:c>
      <x:c r="M68" s="133" t="str">
        <x:f>IF(D68&lt;=0,"No EVM votes",IF(H68&lt;-20%,"Large deficit",IF(H68&lt;-5%,"Moderate deficit",IF(H68&lt;0,"Narrow deficit",IF(H68&lt;=5%,"Narrow lead/tie",IF(H68&lt;=20%,"Moderate lead","Large lead"))))))</x:f>
        <x:v>Large deficit</x:v>
      </x:c>
    </x:row>
    <x:row r="69">
      <x:c r="A69" t="n">
        <x:v>10</x:v>
      </x:c>
      <x:c r="B69" t="str">
        <x:v>ARSHLINE PUBLIC SCHOOL SEC.36 K.N. 3</x:v>
      </x:c>
      <x:c r="C69" s="83" t="n">
        <x:f>'2017 Form20'!H18</x:f>
        <x:v>40</x:v>
      </x:c>
      <x:c r="D69" s="83" t="n">
        <x:f>'2017 Form20'!D18</x:f>
        <x:v>504</x:v>
      </x:c>
      <x:c r="E69" s="50" t="n">
        <x:f>'2017 Form20'!P18</x:f>
        <x:v>0.07936507936507936</x:v>
      </x:c>
      <x:c r="F69" t="n">
        <x:f>'2017 Form20'!Q18</x:f>
        <x:v>404</x:v>
      </x:c>
      <x:c r="G69" t="n">
        <x:f>'2017 Form20'!R18</x:f>
        <x:v>-364</x:v>
      </x:c>
      <x:c r="H69" s="52" t="n">
        <x:f>'2017 Form20'!S18</x:f>
        <x:v>-0.7222222222222222</x:v>
      </x:c>
      <x:c r="I69" t="str">
        <x:v>Dhirendra Singh</x:v>
      </x:c>
      <x:c r="J69" t="str">
        <x:v>BJP</x:v>
      </x:c>
      <x:c r="K69" t="str">
        <x:v>EVM row</x:v>
      </x:c>
      <x:c r="L69" s="133" t="str">
        <x:f>IF(D69&lt;=0,"No EVM votes",IF(E69&lt;$N$7,"Low",IF(E69&gt;$R$7,"High","Middle")))</x:f>
        <x:v>High</x:v>
      </x:c>
      <x:c r="M69" s="133" t="str">
        <x:f>IF(D69&lt;=0,"No EVM votes",IF(H69&lt;-20%,"Large deficit",IF(H69&lt;-5%,"Moderate deficit",IF(H69&lt;0,"Narrow deficit",IF(H69&lt;=5%,"Narrow lead/tie",IF(H69&lt;=20%,"Moderate lead","Large lead"))))))</x:f>
        <x:v>Large deficit</x:v>
      </x:c>
    </x:row>
    <x:row r="70">
      <x:c r="A70" t="n">
        <x:v>11</x:v>
      </x:c>
      <x:c r="B70" t="str">
        <x:v>ARSHLINE PUBLIC SCHOOL SEC.36 K.N. 4</x:v>
      </x:c>
      <x:c r="C70" s="83" t="n">
        <x:f>'2017 Form20'!H19</x:f>
        <x:v>72</x:v>
      </x:c>
      <x:c r="D70" s="83" t="n">
        <x:f>'2017 Form20'!D19</x:f>
        <x:v>675</x:v>
      </x:c>
      <x:c r="E70" s="50" t="n">
        <x:f>'2017 Form20'!P19</x:f>
        <x:v>0.10666666666666667</x:v>
      </x:c>
      <x:c r="F70" t="n">
        <x:f>'2017 Form20'!Q19</x:f>
        <x:v>493</x:v>
      </x:c>
      <x:c r="G70" t="n">
        <x:f>'2017 Form20'!R19</x:f>
        <x:v>-421</x:v>
      </x:c>
      <x:c r="H70" s="52" t="n">
        <x:f>'2017 Form20'!S19</x:f>
        <x:v>-0.6237037037037036</x:v>
      </x:c>
      <x:c r="I70" t="str">
        <x:v>Dhirendra Singh</x:v>
      </x:c>
      <x:c r="J70" t="str">
        <x:v>BJP</x:v>
      </x:c>
      <x:c r="K70" t="str">
        <x:v>EVM row</x:v>
      </x:c>
      <x:c r="L70" s="133" t="str">
        <x:f>IF(D70&lt;=0,"No EVM votes",IF(E70&lt;$N$7,"Low",IF(E70&gt;$R$7,"High","Middle")))</x:f>
        <x:v>High</x:v>
      </x:c>
      <x:c r="M70" s="133" t="str">
        <x:f>IF(D70&lt;=0,"No EVM votes",IF(H70&lt;-20%,"Large deficit",IF(H70&lt;-5%,"Moderate deficit",IF(H70&lt;0,"Narrow deficit",IF(H70&lt;=5%,"Narrow lead/tie",IF(H70&lt;=20%,"Moderate lead","Large lead"))))))</x:f>
        <x:v>Large deficit</x:v>
      </x:c>
    </x:row>
    <x:row r="71">
      <x:c r="A71" t="n">
        <x:v>12</x:v>
      </x:c>
      <x:c r="B71" t="str">
        <x:v>PRY. SCHOOL BIRAUNDA R.NO. 1</x:v>
      </x:c>
      <x:c r="C71" s="83" t="n">
        <x:f>'2017 Form20'!H20</x:f>
        <x:v>29</x:v>
      </x:c>
      <x:c r="D71" s="83" t="n">
        <x:f>'2017 Form20'!D20</x:f>
        <x:v>719</x:v>
      </x:c>
      <x:c r="E71" s="50" t="n">
        <x:f>'2017 Form20'!P20</x:f>
        <x:v>0.04033379694019471</x:v>
      </x:c>
      <x:c r="F71" t="n">
        <x:f>'2017 Form20'!Q20</x:f>
        <x:v>424</x:v>
      </x:c>
      <x:c r="G71" t="n">
        <x:f>'2017 Form20'!R20</x:f>
        <x:v>-395</x:v>
      </x:c>
      <x:c r="H71" s="52" t="n">
        <x:f>'2017 Form20'!S20</x:f>
        <x:v>-0.5493741307371349</x:v>
      </x:c>
      <x:c r="I71" t="str">
        <x:v>Dhirendra Singh</x:v>
      </x:c>
      <x:c r="J71" t="str">
        <x:v>BJP</x:v>
      </x:c>
      <x:c r="K71" t="str">
        <x:v>EVM row</x:v>
      </x:c>
      <x:c r="L71" s="133" t="str">
        <x:f>IF(D71&lt;=0,"No EVM votes",IF(E71&lt;$N$7,"Low",IF(E71&gt;$R$7,"High","Middle")))</x:f>
        <x:v>Middle</x:v>
      </x:c>
      <x:c r="M71" s="133" t="str">
        <x:f>IF(D71&lt;=0,"No EVM votes",IF(H71&lt;-20%,"Large deficit",IF(H71&lt;-5%,"Moderate deficit",IF(H71&lt;0,"Narrow deficit",IF(H71&lt;=5%,"Narrow lead/tie",IF(H71&lt;=20%,"Moderate lead","Large lead"))))))</x:f>
        <x:v>Large deficit</x:v>
      </x:c>
    </x:row>
    <x:row r="72">
      <x:c r="A72" t="n">
        <x:v>13</x:v>
      </x:c>
      <x:c r="B72" t="str">
        <x:v>PRY. SCHOOL BIRAUNDA NO. 2</x:v>
      </x:c>
      <x:c r="C72" s="83" t="n">
        <x:f>'2017 Form20'!H21</x:f>
        <x:v>46</x:v>
      </x:c>
      <x:c r="D72" s="83" t="n">
        <x:f>'2017 Form20'!D21</x:f>
        <x:v>479</x:v>
      </x:c>
      <x:c r="E72" s="50" t="n">
        <x:f>'2017 Form20'!P21</x:f>
        <x:v>0.09603340292275574</x:v>
      </x:c>
      <x:c r="F72" t="n">
        <x:f>'2017 Form20'!Q21</x:f>
        <x:v>356</x:v>
      </x:c>
      <x:c r="G72" t="n">
        <x:f>'2017 Form20'!R21</x:f>
        <x:v>-310</x:v>
      </x:c>
      <x:c r="H72" s="52" t="n">
        <x:f>'2017 Form20'!S21</x:f>
        <x:v>-0.6471816283924844</x:v>
      </x:c>
      <x:c r="I72" t="str">
        <x:v>Dhirendra Singh</x:v>
      </x:c>
      <x:c r="J72" t="str">
        <x:v>BJP</x:v>
      </x:c>
      <x:c r="K72" t="str">
        <x:v>EVM row</x:v>
      </x:c>
      <x:c r="L72" s="133" t="str">
        <x:f>IF(D72&lt;=0,"No EVM votes",IF(E72&lt;$N$7,"Low",IF(E72&gt;$R$7,"High","Middle")))</x:f>
        <x:v>High</x:v>
      </x:c>
      <x:c r="M72" s="133" t="str">
        <x:f>IF(D72&lt;=0,"No EVM votes",IF(H72&lt;-20%,"Large deficit",IF(H72&lt;-5%,"Moderate deficit",IF(H72&lt;0,"Narrow deficit",IF(H72&lt;=5%,"Narrow lead/tie",IF(H72&lt;=20%,"Moderate lead","Large lead"))))))</x:f>
        <x:v>Large deficit</x:v>
      </x:c>
    </x:row>
    <x:row r="73">
      <x:c r="A73" t="n">
        <x:v>14</x:v>
      </x:c>
      <x:c r="B73" t="str">
        <x:v>PRY. SCHOOL BIRAUNDA NO. 3</x:v>
      </x:c>
      <x:c r="C73" s="83" t="n">
        <x:f>'2017 Form20'!H22</x:f>
        <x:v>39</x:v>
      </x:c>
      <x:c r="D73" s="83" t="n">
        <x:f>'2017 Form20'!D22</x:f>
        <x:v>401</x:v>
      </x:c>
      <x:c r="E73" s="50" t="n">
        <x:f>'2017 Form20'!P22</x:f>
        <x:v>0.09725685785536159</x:v>
      </x:c>
      <x:c r="F73" t="n">
        <x:f>'2017 Form20'!Q22</x:f>
        <x:v>312</x:v>
      </x:c>
      <x:c r="G73" t="n">
        <x:f>'2017 Form20'!R22</x:f>
        <x:v>-273</x:v>
      </x:c>
      <x:c r="H73" s="52" t="n">
        <x:f>'2017 Form20'!S22</x:f>
        <x:v>-0.6807980049875312</x:v>
      </x:c>
      <x:c r="I73" t="str">
        <x:v>Dhirendra Singh</x:v>
      </x:c>
      <x:c r="J73" t="str">
        <x:v>BJP</x:v>
      </x:c>
      <x:c r="K73" t="str">
        <x:v>EVM row</x:v>
      </x:c>
      <x:c r="L73" s="133" t="str">
        <x:f>IF(D73&lt;=0,"No EVM votes",IF(E73&lt;$N$7,"Low",IF(E73&gt;$R$7,"High","Middle")))</x:f>
        <x:v>High</x:v>
      </x:c>
      <x:c r="M73" s="133" t="str">
        <x:f>IF(D73&lt;=0,"No EVM votes",IF(H73&lt;-20%,"Large deficit",IF(H73&lt;-5%,"Moderate deficit",IF(H73&lt;0,"Narrow deficit",IF(H73&lt;=5%,"Narrow lead/tie",IF(H73&lt;=20%,"Moderate lead","Large lead"))))))</x:f>
        <x:v>Large deficit</x:v>
      </x:c>
    </x:row>
    <x:row r="74">
      <x:c r="A74" t="n">
        <x:v>15</x:v>
      </x:c>
      <x:c r="B74" t="str">
        <x:v>PRY. SCHOOL DADHA K.N. 1</x:v>
      </x:c>
      <x:c r="C74" s="83" t="n">
        <x:f>'2017 Form20'!H23</x:f>
        <x:v>86</x:v>
      </x:c>
      <x:c r="D74" s="83" t="n">
        <x:f>'2017 Form20'!D23</x:f>
        <x:v>866</x:v>
      </x:c>
      <x:c r="E74" s="50" t="n">
        <x:f>'2017 Form20'!P23</x:f>
        <x:v>0.09930715935334873</x:v>
      </x:c>
      <x:c r="F74" t="n">
        <x:f>'2017 Form20'!Q23</x:f>
        <x:v>430</x:v>
      </x:c>
      <x:c r="G74" t="n">
        <x:f>'2017 Form20'!R23</x:f>
        <x:v>-344</x:v>
      </x:c>
      <x:c r="H74" s="52" t="n">
        <x:f>'2017 Form20'!S23</x:f>
        <x:v>-0.3972286374133949</x:v>
      </x:c>
      <x:c r="I74" t="str">
        <x:v>Vedram Bhati</x:v>
      </x:c>
      <x:c r="J74" t="str">
        <x:v>BSP</x:v>
      </x:c>
      <x:c r="K74" t="str">
        <x:v>EVM row</x:v>
      </x:c>
      <x:c r="L74" s="133" t="str">
        <x:f>IF(D74&lt;=0,"No EVM votes",IF(E74&lt;$N$7,"Low",IF(E74&gt;$R$7,"High","Middle")))</x:f>
        <x:v>High</x:v>
      </x:c>
      <x:c r="M74" s="133" t="str">
        <x:f>IF(D74&lt;=0,"No EVM votes",IF(H74&lt;-20%,"Large deficit",IF(H74&lt;-5%,"Moderate deficit",IF(H74&lt;0,"Narrow deficit",IF(H74&lt;=5%,"Narrow lead/tie",IF(H74&lt;=20%,"Moderate lead","Large lead"))))))</x:f>
        <x:v>Large deficit</x:v>
      </x:c>
    </x:row>
    <x:row r="75">
      <x:c r="A75" t="n">
        <x:v>16</x:v>
      </x:c>
      <x:c r="B75" t="str">
        <x:v>PRY. SCHOOL DADHA K.N. 2</x:v>
      </x:c>
      <x:c r="C75" s="83" t="n">
        <x:f>'2017 Form20'!H24</x:f>
        <x:v>26</x:v>
      </x:c>
      <x:c r="D75" s="83" t="n">
        <x:f>'2017 Form20'!D24</x:f>
        <x:v>578</x:v>
      </x:c>
      <x:c r="E75" s="50" t="n">
        <x:f>'2017 Form20'!P24</x:f>
        <x:v>0.04498269896193772</x:v>
      </x:c>
      <x:c r="F75" t="n">
        <x:f>'2017 Form20'!Q24</x:f>
        <x:v>308</x:v>
      </x:c>
      <x:c r="G75" t="n">
        <x:f>'2017 Form20'!R24</x:f>
        <x:v>-282</x:v>
      </x:c>
      <x:c r="H75" s="52" t="n">
        <x:f>'2017 Form20'!S24</x:f>
        <x:v>-0.48788927335640137</x:v>
      </x:c>
      <x:c r="I75" t="str">
        <x:v>Dhirendra Singh</x:v>
      </x:c>
      <x:c r="J75" t="str">
        <x:v>BJP</x:v>
      </x:c>
      <x:c r="K75" t="str">
        <x:v>EVM row</x:v>
      </x:c>
      <x:c r="L75" s="133" t="str">
        <x:f>IF(D75&lt;=0,"No EVM votes",IF(E75&lt;$N$7,"Low",IF(E75&gt;$R$7,"High","Middle")))</x:f>
        <x:v>Middle</x:v>
      </x:c>
      <x:c r="M75" s="133" t="str">
        <x:f>IF(D75&lt;=0,"No EVM votes",IF(H75&lt;-20%,"Large deficit",IF(H75&lt;-5%,"Moderate deficit",IF(H75&lt;0,"Narrow deficit",IF(H75&lt;=5%,"Narrow lead/tie",IF(H75&lt;=20%,"Moderate lead","Large lead"))))))</x:f>
        <x:v>Large deficit</x:v>
      </x:c>
    </x:row>
    <x:row r="76">
      <x:c r="A76" t="n">
        <x:v>17</x:v>
      </x:c>
      <x:c r="B76" t="str">
        <x:v>PRY. SCHOOL SIRSA R.NO.1</x:v>
      </x:c>
      <x:c r="C76" s="83" t="n">
        <x:f>'2017 Form20'!H25</x:f>
        <x:v>40</x:v>
      </x:c>
      <x:c r="D76" s="83" t="n">
        <x:f>'2017 Form20'!D25</x:f>
        <x:v>1025</x:v>
      </x:c>
      <x:c r="E76" s="50" t="n">
        <x:f>'2017 Form20'!P25</x:f>
        <x:v>0.03902439024390244</x:v>
      </x:c>
      <x:c r="F76" t="n">
        <x:f>'2017 Form20'!Q25</x:f>
        <x:v>468</x:v>
      </x:c>
      <x:c r="G76" t="n">
        <x:f>'2017 Form20'!R25</x:f>
        <x:v>-428</x:v>
      </x:c>
      <x:c r="H76" s="52" t="n">
        <x:f>'2017 Form20'!S25</x:f>
        <x:v>-0.4175609756097561</x:v>
      </x:c>
      <x:c r="I76" t="str">
        <x:v>Dhirendra Singh</x:v>
      </x:c>
      <x:c r="J76" t="str">
        <x:v>BJP</x:v>
      </x:c>
      <x:c r="K76" t="str">
        <x:v>EVM row</x:v>
      </x:c>
      <x:c r="L76" s="133" t="str">
        <x:f>IF(D76&lt;=0,"No EVM votes",IF(E76&lt;$N$7,"Low",IF(E76&gt;$R$7,"High","Middle")))</x:f>
        <x:v>Middle</x:v>
      </x:c>
      <x:c r="M76" s="133" t="str">
        <x:f>IF(D76&lt;=0,"No EVM votes",IF(H76&lt;-20%,"Large deficit",IF(H76&lt;-5%,"Moderate deficit",IF(H76&lt;0,"Narrow deficit",IF(H76&lt;=5%,"Narrow lead/tie",IF(H76&lt;=20%,"Moderate lead","Large lead"))))))</x:f>
        <x:v>Large deficit</x:v>
      </x:c>
    </x:row>
    <x:row r="77">
      <x:c r="A77" t="n">
        <x:v>18</x:v>
      </x:c>
      <x:c r="B77" t="str">
        <x:v>PRY. SCHOOL KHANPUR R.NO. 1</x:v>
      </x:c>
      <x:c r="C77" s="83" t="n">
        <x:f>'2017 Form20'!H26</x:f>
        <x:v>31</x:v>
      </x:c>
      <x:c r="D77" s="83" t="n">
        <x:f>'2017 Form20'!D26</x:f>
        <x:v>583</x:v>
      </x:c>
      <x:c r="E77" s="50" t="n">
        <x:f>'2017 Form20'!P26</x:f>
        <x:v>0.05317324185248713</x:v>
      </x:c>
      <x:c r="F77" t="n">
        <x:f>'2017 Form20'!Q26</x:f>
        <x:v>290</x:v>
      </x:c>
      <x:c r="G77" t="n">
        <x:f>'2017 Form20'!R26</x:f>
        <x:v>-259</x:v>
      </x:c>
      <x:c r="H77" s="52" t="n">
        <x:f>'2017 Form20'!S26</x:f>
        <x:v>-0.444253859348199</x:v>
      </x:c>
      <x:c r="I77" t="str">
        <x:v>Vedram Bhati</x:v>
      </x:c>
      <x:c r="J77" t="str">
        <x:v>BSP</x:v>
      </x:c>
      <x:c r="K77" t="str">
        <x:v>EVM row</x:v>
      </x:c>
      <x:c r="L77" s="133" t="str">
        <x:f>IF(D77&lt;=0,"No EVM votes",IF(E77&lt;$N$7,"Low",IF(E77&gt;$R$7,"High","Middle")))</x:f>
        <x:v>Middle</x:v>
      </x:c>
      <x:c r="M77" s="133" t="str">
        <x:f>IF(D77&lt;=0,"No EVM votes",IF(H77&lt;-20%,"Large deficit",IF(H77&lt;-5%,"Moderate deficit",IF(H77&lt;0,"Narrow deficit",IF(H77&lt;=5%,"Narrow lead/tie",IF(H77&lt;=20%,"Moderate lead","Large lead"))))))</x:f>
        <x:v>Large deficit</x:v>
      </x:c>
    </x:row>
    <x:row r="78">
      <x:c r="A78" t="n">
        <x:v>19</x:v>
      </x:c>
      <x:c r="B78" t="str">
        <x:v>PRY. SCHOOL KHANPUR R.NO. 2</x:v>
      </x:c>
      <x:c r="C78" s="83" t="n">
        <x:f>'2017 Form20'!H27</x:f>
        <x:v>39</x:v>
      </x:c>
      <x:c r="D78" s="83" t="n">
        <x:f>'2017 Form20'!D27</x:f>
        <x:v>653</x:v>
      </x:c>
      <x:c r="E78" s="50" t="n">
        <x:f>'2017 Form20'!P27</x:f>
        <x:v>0.05972434915773354</x:v>
      </x:c>
      <x:c r="F78" t="n">
        <x:f>'2017 Form20'!Q27</x:f>
        <x:v>375</x:v>
      </x:c>
      <x:c r="G78" t="n">
        <x:f>'2017 Form20'!R27</x:f>
        <x:v>-336</x:v>
      </x:c>
      <x:c r="H78" s="52" t="n">
        <x:f>'2017 Form20'!S27</x:f>
        <x:v>-0.5145482388973966</x:v>
      </x:c>
      <x:c r="I78" t="str">
        <x:v>Vedram Bhati</x:v>
      </x:c>
      <x:c r="J78" t="str">
        <x:v>BSP</x:v>
      </x:c>
      <x:c r="K78" t="str">
        <x:v>EVM row</x:v>
      </x:c>
      <x:c r="L78" s="133" t="str">
        <x:f>IF(D78&lt;=0,"No EVM votes",IF(E78&lt;$N$7,"Low",IF(E78&gt;$R$7,"High","Middle")))</x:f>
        <x:v>Middle</x:v>
      </x:c>
      <x:c r="M78" s="133" t="str">
        <x:f>IF(D78&lt;=0,"No EVM votes",IF(H78&lt;-20%,"Large deficit",IF(H78&lt;-5%,"Moderate deficit",IF(H78&lt;0,"Narrow deficit",IF(H78&lt;=5%,"Narrow lead/tie",IF(H78&lt;=20%,"Moderate lead","Large lead"))))))</x:f>
        <x:v>Large deficit</x:v>
      </x:c>
    </x:row>
    <x:row r="79">
      <x:c r="A79" t="n">
        <x:v>20</x:v>
      </x:c>
      <x:c r="B79" t="str">
        <x:v>PRY. SCHOOL LUKSAR R.NO. 1</x:v>
      </x:c>
      <x:c r="C79" s="83" t="n">
        <x:f>'2017 Form20'!H28</x:f>
        <x:v>61</x:v>
      </x:c>
      <x:c r="D79" s="83" t="n">
        <x:f>'2017 Form20'!D28</x:f>
        <x:v>743</x:v>
      </x:c>
      <x:c r="E79" s="50" t="n">
        <x:f>'2017 Form20'!P28</x:f>
        <x:v>0.08209959623149395</x:v>
      </x:c>
      <x:c r="F79" t="n">
        <x:f>'2017 Form20'!Q28</x:f>
        <x:v>382</x:v>
      </x:c>
      <x:c r="G79" t="n">
        <x:f>'2017 Form20'!R28</x:f>
        <x:v>-321</x:v>
      </x:c>
      <x:c r="H79" s="52" t="n">
        <x:f>'2017 Form20'!S28</x:f>
        <x:v>-0.43203230148048455</x:v>
      </x:c>
      <x:c r="I79" t="str">
        <x:v>Vedram Bhati</x:v>
      </x:c>
      <x:c r="J79" t="str">
        <x:v>BSP</x:v>
      </x:c>
      <x:c r="K79" t="str">
        <x:v>EVM row</x:v>
      </x:c>
      <x:c r="L79" s="133" t="str">
        <x:f>IF(D79&lt;=0,"No EVM votes",IF(E79&lt;$N$7,"Low",IF(E79&gt;$R$7,"High","Middle")))</x:f>
        <x:v>High</x:v>
      </x:c>
      <x:c r="M79" s="133" t="str">
        <x:f>IF(D79&lt;=0,"No EVM votes",IF(H79&lt;-20%,"Large deficit",IF(H79&lt;-5%,"Moderate deficit",IF(H79&lt;0,"Narrow deficit",IF(H79&lt;=5%,"Narrow lead/tie",IF(H79&lt;=20%,"Moderate lead","Large lead"))))))</x:f>
        <x:v>Large deficit</x:v>
      </x:c>
    </x:row>
    <x:row r="80">
      <x:c r="A80" t="n">
        <x:v>21</x:v>
      </x:c>
      <x:c r="B80" t="str">
        <x:v>PRY. SCHOOL MURSHADPUR R.NO.1</x:v>
      </x:c>
      <x:c r="C80" s="83" t="n">
        <x:f>'2017 Form20'!H29</x:f>
        <x:v>4</x:v>
      </x:c>
      <x:c r="D80" s="83" t="n">
        <x:f>'2017 Form20'!D29</x:f>
        <x:v>514</x:v>
      </x:c>
      <x:c r="E80" s="50" t="n">
        <x:f>'2017 Form20'!P29</x:f>
        <x:v>0.007782101167315175</x:v>
      </x:c>
      <x:c r="F80" t="n">
        <x:f>'2017 Form20'!Q29</x:f>
        <x:v>282</x:v>
      </x:c>
      <x:c r="G80" t="n">
        <x:f>'2017 Form20'!R29</x:f>
        <x:v>-278</x:v>
      </x:c>
      <x:c r="H80" s="52" t="n">
        <x:f>'2017 Form20'!S29</x:f>
        <x:v>-0.5408560311284046</x:v>
      </x:c>
      <x:c r="I80" t="str">
        <x:v>Dhirendra Singh</x:v>
      </x:c>
      <x:c r="J80" t="str">
        <x:v>BJP</x:v>
      </x:c>
      <x:c r="K80" t="str">
        <x:v>EVM row</x:v>
      </x:c>
      <x:c r="L80" s="133" t="str">
        <x:f>IF(D80&lt;=0,"No EVM votes",IF(E80&lt;$N$7,"Low",IF(E80&gt;$R$7,"High","Middle")))</x:f>
        <x:v>Low</x:v>
      </x:c>
      <x:c r="M80" s="133" t="str">
        <x:f>IF(D80&lt;=0,"No EVM votes",IF(H80&lt;-20%,"Large deficit",IF(H80&lt;-5%,"Moderate deficit",IF(H80&lt;0,"Narrow deficit",IF(H80&lt;=5%,"Narrow lead/tie",IF(H80&lt;=20%,"Moderate lead","Large lead"))))))</x:f>
        <x:v>Large deficit</x:v>
      </x:c>
    </x:row>
    <x:row r="81">
      <x:c r="A81" t="n">
        <x:v>22</x:v>
      </x:c>
      <x:c r="B81" t="str">
        <x:v>PRY. SCHOOL GHARBARA R. NO.1</x:v>
      </x:c>
      <x:c r="C81" s="83" t="n">
        <x:f>'2017 Form20'!H30</x:f>
        <x:v>57</x:v>
      </x:c>
      <x:c r="D81" s="83" t="n">
        <x:f>'2017 Form20'!D30</x:f>
        <x:v>1057</x:v>
      </x:c>
      <x:c r="E81" s="50" t="n">
        <x:f>'2017 Form20'!P30</x:f>
        <x:v>0.05392620624408704</x:v>
      </x:c>
      <x:c r="F81" t="n">
        <x:f>'2017 Form20'!Q30</x:f>
        <x:v>477</x:v>
      </x:c>
      <x:c r="G81" t="n">
        <x:f>'2017 Form20'!R30</x:f>
        <x:v>-420</x:v>
      </x:c>
      <x:c r="H81" s="52" t="n">
        <x:f>'2017 Form20'!S30</x:f>
        <x:v>-0.3973509933774834</x:v>
      </x:c>
      <x:c r="I81" t="str">
        <x:v>Vedram Bhati</x:v>
      </x:c>
      <x:c r="J81" t="str">
        <x:v>BSP</x:v>
      </x:c>
      <x:c r="K81" t="str">
        <x:v>EVM row</x:v>
      </x:c>
      <x:c r="L81" s="133" t="str">
        <x:f>IF(D81&lt;=0,"No EVM votes",IF(E81&lt;$N$7,"Low",IF(E81&gt;$R$7,"High","Middle")))</x:f>
        <x:v>Middle</x:v>
      </x:c>
      <x:c r="M81" s="133" t="str">
        <x:f>IF(D81&lt;=0,"No EVM votes",IF(H81&lt;-20%,"Large deficit",IF(H81&lt;-5%,"Moderate deficit",IF(H81&lt;0,"Narrow deficit",IF(H81&lt;=5%,"Narrow lead/tie",IF(H81&lt;=20%,"Moderate lead","Large lead"))))))</x:f>
        <x:v>Large deficit</x:v>
      </x:c>
    </x:row>
    <x:row r="82">
      <x:c r="A82" t="n">
        <x:v>23</x:v>
      </x:c>
      <x:c r="B82" t="str">
        <x:v>J. H. SCHOOL ATAI MURADPUR R.NO.1</x:v>
      </x:c>
      <x:c r="C82" s="83" t="n">
        <x:f>'2017 Form20'!H31</x:f>
        <x:v>7</x:v>
      </x:c>
      <x:c r="D82" s="83" t="n">
        <x:f>'2017 Form20'!D31</x:f>
        <x:v>381</x:v>
      </x:c>
      <x:c r="E82" s="50" t="n">
        <x:f>'2017 Form20'!P31</x:f>
        <x:v>0.01837270341207349</x:v>
      </x:c>
      <x:c r="F82" t="n">
        <x:f>'2017 Form20'!Q31</x:f>
        <x:v>214</x:v>
      </x:c>
      <x:c r="G82" t="n">
        <x:f>'2017 Form20'!R31</x:f>
        <x:v>-207</x:v>
      </x:c>
      <x:c r="H82" s="52" t="n">
        <x:f>'2017 Form20'!S31</x:f>
        <x:v>-0.5433070866141733</x:v>
      </x:c>
      <x:c r="I82" t="str">
        <x:v>Dhirendra Singh</x:v>
      </x:c>
      <x:c r="J82" t="str">
        <x:v>BJP</x:v>
      </x:c>
      <x:c r="K82" t="str">
        <x:v>EVM row</x:v>
      </x:c>
      <x:c r="L82" s="133" t="str">
        <x:f>IF(D82&lt;=0,"No EVM votes",IF(E82&lt;$N$7,"Low",IF(E82&gt;$R$7,"High","Middle")))</x:f>
        <x:v>Middle</x:v>
      </x:c>
      <x:c r="M82" s="133" t="str">
        <x:f>IF(D82&lt;=0,"No EVM votes",IF(H82&lt;-20%,"Large deficit",IF(H82&lt;-5%,"Moderate deficit",IF(H82&lt;0,"Narrow deficit",IF(H82&lt;=5%,"Narrow lead/tie",IF(H82&lt;=20%,"Moderate lead","Large lead"))))))</x:f>
        <x:v>Large deficit</x:v>
      </x:c>
    </x:row>
    <x:row r="83">
      <x:c r="A83" t="n">
        <x:v>24</x:v>
      </x:c>
      <x:c r="B83" t="str">
        <x:v>PRY. SCHOOL IMALIYAKA R.NO.1</x:v>
      </x:c>
      <x:c r="C83" s="83" t="n">
        <x:f>'2017 Form20'!H32</x:f>
        <x:v>66</x:v>
      </x:c>
      <x:c r="D83" s="83" t="n">
        <x:f>'2017 Form20'!D32</x:f>
        <x:v>731</x:v>
      </x:c>
      <x:c r="E83" s="50" t="n">
        <x:f>'2017 Form20'!P32</x:f>
        <x:v>0.09028727770177838</x:v>
      </x:c>
      <x:c r="F83" t="n">
        <x:f>'2017 Form20'!Q32</x:f>
        <x:v>368</x:v>
      </x:c>
      <x:c r="G83" t="n">
        <x:f>'2017 Form20'!R32</x:f>
        <x:v>-302</x:v>
      </x:c>
      <x:c r="H83" s="52" t="n">
        <x:f>'2017 Form20'!S32</x:f>
        <x:v>-0.4131326949384405</x:v>
      </x:c>
      <x:c r="I83" t="str">
        <x:v>Vedram Bhati</x:v>
      </x:c>
      <x:c r="J83" t="str">
        <x:v>BSP</x:v>
      </x:c>
      <x:c r="K83" t="str">
        <x:v>EVM row</x:v>
      </x:c>
      <x:c r="L83" s="133" t="str">
        <x:f>IF(D83&lt;=0,"No EVM votes",IF(E83&lt;$N$7,"Low",IF(E83&gt;$R$7,"High","Middle")))</x:f>
        <x:v>High</x:v>
      </x:c>
      <x:c r="M83" s="133" t="str">
        <x:f>IF(D83&lt;=0,"No EVM votes",IF(H83&lt;-20%,"Large deficit",IF(H83&lt;-5%,"Moderate deficit",IF(H83&lt;0,"Narrow deficit",IF(H83&lt;=5%,"Narrow lead/tie",IF(H83&lt;=20%,"Moderate lead","Large lead"))))))</x:f>
        <x:v>Large deficit</x:v>
      </x:c>
    </x:row>
    <x:row r="84">
      <x:c r="A84" t="n">
        <x:v>25</x:v>
      </x:c>
      <x:c r="B84" t="str">
        <x:v>PRY. SCHOOL IMALIYAKA R.NO.2</x:v>
      </x:c>
      <x:c r="C84" s="83" t="n">
        <x:f>'2017 Form20'!H33</x:f>
        <x:v>23</x:v>
      </x:c>
      <x:c r="D84" s="83" t="n">
        <x:f>'2017 Form20'!D33</x:f>
        <x:v>473</x:v>
      </x:c>
      <x:c r="E84" s="50" t="n">
        <x:f>'2017 Form20'!P33</x:f>
        <x:v>0.048625792811839326</x:v>
      </x:c>
      <x:c r="F84" t="n">
        <x:f>'2017 Form20'!Q33</x:f>
        <x:v>229</x:v>
      </x:c>
      <x:c r="G84" t="n">
        <x:f>'2017 Form20'!R33</x:f>
        <x:v>-206</x:v>
      </x:c>
      <x:c r="H84" s="52" t="n">
        <x:f>'2017 Form20'!S33</x:f>
        <x:v>-0.4355179704016913</x:v>
      </x:c>
      <x:c r="I84" t="str">
        <x:v>Dhirendra Singh</x:v>
      </x:c>
      <x:c r="J84" t="str">
        <x:v>BJP</x:v>
      </x:c>
      <x:c r="K84" t="str">
        <x:v>EVM row</x:v>
      </x:c>
      <x:c r="L84" s="133" t="str">
        <x:f>IF(D84&lt;=0,"No EVM votes",IF(E84&lt;$N$7,"Low",IF(E84&gt;$R$7,"High","Middle")))</x:f>
        <x:v>Middle</x:v>
      </x:c>
      <x:c r="M84" s="133" t="str">
        <x:f>IF(D84&lt;=0,"No EVM votes",IF(H84&lt;-20%,"Large deficit",IF(H84&lt;-5%,"Moderate deficit",IF(H84&lt;0,"Narrow deficit",IF(H84&lt;=5%,"Narrow lead/tie",IF(H84&lt;=20%,"Moderate lead","Large lead"))))))</x:f>
        <x:v>Large deficit</x:v>
      </x:c>
    </x:row>
    <x:row r="85">
      <x:c r="A85" t="n">
        <x:v>26</x:v>
      </x:c>
      <x:c r="B85" t="str">
        <x:v>PRY. SCHOOL LADPURA R.NO. 1</x:v>
      </x:c>
      <x:c r="C85" s="83" t="n">
        <x:f>'2017 Form20'!H34</x:f>
        <x:v>26</x:v>
      </x:c>
      <x:c r="D85" s="83" t="n">
        <x:f>'2017 Form20'!D34</x:f>
        <x:v>870</x:v>
      </x:c>
      <x:c r="E85" s="50" t="n">
        <x:f>'2017 Form20'!P34</x:f>
        <x:v>0.029885057471264367</x:v>
      </x:c>
      <x:c r="F85" t="n">
        <x:f>'2017 Form20'!Q34</x:f>
        <x:v>445</x:v>
      </x:c>
      <x:c r="G85" t="n">
        <x:f>'2017 Form20'!R34</x:f>
        <x:v>-419</x:v>
      </x:c>
      <x:c r="H85" s="52" t="n">
        <x:f>'2017 Form20'!S34</x:f>
        <x:v>-0.48160919540229885</x:v>
      </x:c>
      <x:c r="I85" t="str">
        <x:v>Vedram Bhati</x:v>
      </x:c>
      <x:c r="J85" t="str">
        <x:v>BSP</x:v>
      </x:c>
      <x:c r="K85" t="str">
        <x:v>EVM row</x:v>
      </x:c>
      <x:c r="L85" s="133" t="str">
        <x:f>IF(D85&lt;=0,"No EVM votes",IF(E85&lt;$N$7,"Low",IF(E85&gt;$R$7,"High","Middle")))</x:f>
        <x:v>Middle</x:v>
      </x:c>
      <x:c r="M85" s="133" t="str">
        <x:f>IF(D85&lt;=0,"No EVM votes",IF(H85&lt;-20%,"Large deficit",IF(H85&lt;-5%,"Moderate deficit",IF(H85&lt;0,"Narrow deficit",IF(H85&lt;=5%,"Narrow lead/tie",IF(H85&lt;=20%,"Moderate lead","Large lead"))))))</x:f>
        <x:v>Large deficit</x:v>
      </x:c>
    </x:row>
    <x:row r="86">
      <x:c r="A86" t="n">
        <x:v>27</x:v>
      </x:c>
      <x:c r="B86" t="str">
        <x:v>PRY. SCHOOL LADPURA R.NO. 2</x:v>
      </x:c>
      <x:c r="C86" s="83" t="n">
        <x:f>'2017 Form20'!H35</x:f>
        <x:v>19</x:v>
      </x:c>
      <x:c r="D86" s="83" t="n">
        <x:f>'2017 Form20'!D35</x:f>
        <x:v>450</x:v>
      </x:c>
      <x:c r="E86" s="50" t="n">
        <x:f>'2017 Form20'!P35</x:f>
        <x:v>0.042222222222222223</x:v>
      </x:c>
      <x:c r="F86" t="n">
        <x:f>'2017 Form20'!Q35</x:f>
        <x:v>269</x:v>
      </x:c>
      <x:c r="G86" t="n">
        <x:f>'2017 Form20'!R35</x:f>
        <x:v>-250</x:v>
      </x:c>
      <x:c r="H86" s="52" t="n">
        <x:f>'2017 Form20'!S35</x:f>
        <x:v>-0.5555555555555556</x:v>
      </x:c>
      <x:c r="I86" t="str">
        <x:v>Vedram Bhati</x:v>
      </x:c>
      <x:c r="J86" t="str">
        <x:v>BSP</x:v>
      </x:c>
      <x:c r="K86" t="str">
        <x:v>EVM row</x:v>
      </x:c>
      <x:c r="L86" s="133" t="str">
        <x:f>IF(D86&lt;=0,"No EVM votes",IF(E86&lt;$N$7,"Low",IF(E86&gt;$R$7,"High","Middle")))</x:f>
        <x:v>Middle</x:v>
      </x:c>
      <x:c r="M86" s="133" t="str">
        <x:f>IF(D86&lt;=0,"No EVM votes",IF(H86&lt;-20%,"Large deficit",IF(H86&lt;-5%,"Moderate deficit",IF(H86&lt;0,"Narrow deficit",IF(H86&lt;=5%,"Narrow lead/tie",IF(H86&lt;=20%,"Moderate lead","Large lead"))))))</x:f>
        <x:v>Large deficit</x:v>
      </x:c>
    </x:row>
    <x:row r="87">
      <x:c r="A87" t="n">
        <x:v>28</x:v>
      </x:c>
      <x:c r="B87" t="str">
        <x:v>PRY. SCHOOL LADPURA R.NO. 3</x:v>
      </x:c>
      <x:c r="C87" s="83" t="n">
        <x:f>'2017 Form20'!H36</x:f>
        <x:v>19</x:v>
      </x:c>
      <x:c r="D87" s="83" t="n">
        <x:f>'2017 Form20'!D36</x:f>
        <x:v>528</x:v>
      </x:c>
      <x:c r="E87" s="50" t="n">
        <x:f>'2017 Form20'!P36</x:f>
        <x:v>0.03598484848484849</x:v>
      </x:c>
      <x:c r="F87" t="n">
        <x:f>'2017 Form20'!Q36</x:f>
        <x:v>367</x:v>
      </x:c>
      <x:c r="G87" t="n">
        <x:f>'2017 Form20'!R36</x:f>
        <x:v>-348</x:v>
      </x:c>
      <x:c r="H87" s="52" t="n">
        <x:f>'2017 Form20'!S36</x:f>
        <x:v>-0.6590909090909091</x:v>
      </x:c>
      <x:c r="I87" t="str">
        <x:v>Vedram Bhati</x:v>
      </x:c>
      <x:c r="J87" t="str">
        <x:v>BSP</x:v>
      </x:c>
      <x:c r="K87" t="str">
        <x:v>EVM row</x:v>
      </x:c>
      <x:c r="L87" s="133" t="str">
        <x:f>IF(D87&lt;=0,"No EVM votes",IF(E87&lt;$N$7,"Low",IF(E87&gt;$R$7,"High","Middle")))</x:f>
        <x:v>Middle</x:v>
      </x:c>
      <x:c r="M87" s="133" t="str">
        <x:f>IF(D87&lt;=0,"No EVM votes",IF(H87&lt;-20%,"Large deficit",IF(H87&lt;-5%,"Moderate deficit",IF(H87&lt;0,"Narrow deficit",IF(H87&lt;=5%,"Narrow lead/tie",IF(H87&lt;=20%,"Moderate lead","Large lead"))))))</x:f>
        <x:v>Large deficit</x:v>
      </x:c>
    </x:row>
    <x:row r="88">
      <x:c r="A88" t="n">
        <x:v>29</x:v>
      </x:c>
      <x:c r="B88" t="str">
        <x:v>PRY. SCHOOL GHAGHAULA R.NO. 1</x:v>
      </x:c>
      <x:c r="C88" s="83" t="n">
        <x:f>'2017 Form20'!H37</x:f>
        <x:v>18</x:v>
      </x:c>
      <x:c r="D88" s="83" t="n">
        <x:f>'2017 Form20'!D37</x:f>
        <x:v>486</x:v>
      </x:c>
      <x:c r="E88" s="50" t="n">
        <x:f>'2017 Form20'!P37</x:f>
        <x:v>0.037037037037037035</x:v>
      </x:c>
      <x:c r="F88" t="n">
        <x:f>'2017 Form20'!Q37</x:f>
        <x:v>262</x:v>
      </x:c>
      <x:c r="G88" t="n">
        <x:f>'2017 Form20'!R37</x:f>
        <x:v>-244</x:v>
      </x:c>
      <x:c r="H88" s="52" t="n">
        <x:f>'2017 Form20'!S37</x:f>
        <x:v>-0.5020576131687243</x:v>
      </x:c>
      <x:c r="I88" t="str">
        <x:v>Vedram Bhati</x:v>
      </x:c>
      <x:c r="J88" t="str">
        <x:v>BSP</x:v>
      </x:c>
      <x:c r="K88" t="str">
        <x:v>EVM row</x:v>
      </x:c>
      <x:c r="L88" s="133" t="str">
        <x:f>IF(D88&lt;=0,"No EVM votes",IF(E88&lt;$N$7,"Low",IF(E88&gt;$R$7,"High","Middle")))</x:f>
        <x:v>Middle</x:v>
      </x:c>
      <x:c r="M88" s="133" t="str">
        <x:f>IF(D88&lt;=0,"No EVM votes",IF(H88&lt;-20%,"Large deficit",IF(H88&lt;-5%,"Moderate deficit",IF(H88&lt;0,"Narrow deficit",IF(H88&lt;=5%,"Narrow lead/tie",IF(H88&lt;=20%,"Moderate lead","Large lead"))))))</x:f>
        <x:v>Large deficit</x:v>
      </x:c>
    </x:row>
    <x:row r="89">
      <x:c r="A89" t="n">
        <x:v>30</x:v>
      </x:c>
      <x:c r="B89" t="str">
        <x:v>PRY. SCHOOL GHAGHAULA R.NO. 2</x:v>
      </x:c>
      <x:c r="C89" s="83" t="n">
        <x:f>'2017 Form20'!H38</x:f>
        <x:v>9</x:v>
      </x:c>
      <x:c r="D89" s="83" t="n">
        <x:f>'2017 Form20'!D38</x:f>
        <x:v>500</x:v>
      </x:c>
      <x:c r="E89" s="50" t="n">
        <x:f>'2017 Form20'!P38</x:f>
        <x:v>0.018</x:v>
      </x:c>
      <x:c r="F89" t="n">
        <x:f>'2017 Form20'!Q38</x:f>
        <x:v>278</x:v>
      </x:c>
      <x:c r="G89" t="n">
        <x:f>'2017 Form20'!R38</x:f>
        <x:v>-269</x:v>
      </x:c>
      <x:c r="H89" s="52" t="n">
        <x:f>'2017 Form20'!S38</x:f>
        <x:v>-0.538</x:v>
      </x:c>
      <x:c r="I89" t="str">
        <x:v>Vedram Bhati</x:v>
      </x:c>
      <x:c r="J89" t="str">
        <x:v>BSP</x:v>
      </x:c>
      <x:c r="K89" t="str">
        <x:v>EVM row</x:v>
      </x:c>
      <x:c r="L89" s="133" t="str">
        <x:f>IF(D89&lt;=0,"No EVM votes",IF(E89&lt;$N$7,"Low",IF(E89&gt;$R$7,"High","Middle")))</x:f>
        <x:v>Middle</x:v>
      </x:c>
      <x:c r="M89" s="133" t="str">
        <x:f>IF(D89&lt;=0,"No EVM votes",IF(H89&lt;-20%,"Large deficit",IF(H89&lt;-5%,"Moderate deficit",IF(H89&lt;0,"Narrow deficit",IF(H89&lt;=5%,"Narrow lead/tie",IF(H89&lt;=20%,"Moderate lead","Large lead"))))))</x:f>
        <x:v>Large deficit</x:v>
      </x:c>
    </x:row>
    <x:row r="90">
      <x:c r="A90" t="n">
        <x:v>31</x:v>
      </x:c>
      <x:c r="B90" t="str">
        <x:v>PRY. SCHOOL GHAGHAULA R.NO. 3</x:v>
      </x:c>
      <x:c r="C90" s="83" t="n">
        <x:f>'2017 Form20'!H39</x:f>
        <x:v>4</x:v>
      </x:c>
      <x:c r="D90" s="83" t="n">
        <x:f>'2017 Form20'!D39</x:f>
        <x:v>469</x:v>
      </x:c>
      <x:c r="E90" s="50" t="n">
        <x:f>'2017 Form20'!P39</x:f>
        <x:v>0.008528784648187633</x:v>
      </x:c>
      <x:c r="F90" t="n">
        <x:f>'2017 Form20'!Q39</x:f>
        <x:v>251</x:v>
      </x:c>
      <x:c r="G90" t="n">
        <x:f>'2017 Form20'!R39</x:f>
        <x:v>-247</x:v>
      </x:c>
      <x:c r="H90" s="52" t="n">
        <x:f>'2017 Form20'!S39</x:f>
        <x:v>-0.5266524520255863</x:v>
      </x:c>
      <x:c r="I90" t="str">
        <x:v>Vedram Bhati</x:v>
      </x:c>
      <x:c r="J90" t="str">
        <x:v>BSP</x:v>
      </x:c>
      <x:c r="K90" t="str">
        <x:v>EVM row</x:v>
      </x:c>
      <x:c r="L90" s="133" t="str">
        <x:f>IF(D90&lt;=0,"No EVM votes",IF(E90&lt;$N$7,"Low",IF(E90&gt;$R$7,"High","Middle")))</x:f>
        <x:v>Low</x:v>
      </x:c>
      <x:c r="M90" s="133" t="str">
        <x:f>IF(D90&lt;=0,"No EVM votes",IF(H90&lt;-20%,"Large deficit",IF(H90&lt;-5%,"Moderate deficit",IF(H90&lt;0,"Narrow deficit",IF(H90&lt;=5%,"Narrow lead/tie",IF(H90&lt;=20%,"Moderate lead","Large lead"))))))</x:f>
        <x:v>Large deficit</x:v>
      </x:c>
    </x:row>
    <x:row r="91">
      <x:c r="A91" t="n">
        <x:v>32</x:v>
      </x:c>
      <x:c r="B91" t="str">
        <x:v>PRY. SCHOOL CHEERSI R.NO.1</x:v>
      </x:c>
      <x:c r="C91" s="83" t="n">
        <x:f>'2017 Form20'!H40</x:f>
        <x:v>22</x:v>
      </x:c>
      <x:c r="D91" s="83" t="n">
        <x:f>'2017 Form20'!D40</x:f>
        <x:v>731</x:v>
      </x:c>
      <x:c r="E91" s="50" t="n">
        <x:f>'2017 Form20'!P40</x:f>
        <x:v>0.030095759233926128</x:v>
      </x:c>
      <x:c r="F91" t="n">
        <x:f>'2017 Form20'!Q40</x:f>
        <x:v>317</x:v>
      </x:c>
      <x:c r="G91" t="n">
        <x:f>'2017 Form20'!R40</x:f>
        <x:v>-295</x:v>
      </x:c>
      <x:c r="H91" s="52" t="n">
        <x:f>'2017 Form20'!S40</x:f>
        <x:v>-0.40355677154582764</x:v>
      </x:c>
      <x:c r="I91" t="str">
        <x:v>Vedram Bhati</x:v>
      </x:c>
      <x:c r="J91" t="str">
        <x:v>BSP</x:v>
      </x:c>
      <x:c r="K91" t="str">
        <x:v>EVM row</x:v>
      </x:c>
      <x:c r="L91" s="133" t="str">
        <x:f>IF(D91&lt;=0,"No EVM votes",IF(E91&lt;$N$7,"Low",IF(E91&gt;$R$7,"High","Middle")))</x:f>
        <x:v>Middle</x:v>
      </x:c>
      <x:c r="M91" s="133" t="str">
        <x:f>IF(D91&lt;=0,"No EVM votes",IF(H91&lt;-20%,"Large deficit",IF(H91&lt;-5%,"Moderate deficit",IF(H91&lt;0,"Narrow deficit",IF(H91&lt;=5%,"Narrow lead/tie",IF(H91&lt;=20%,"Moderate lead","Large lead"))))))</x:f>
        <x:v>Large deficit</x:v>
      </x:c>
    </x:row>
    <x:row r="92">
      <x:c r="A92" t="n">
        <x:v>33</x:v>
      </x:c>
      <x:c r="B92" t="str">
        <x:v>PRY. SCHOOL FAZAYALPUR R.NO.1</x:v>
      </x:c>
      <x:c r="C92" s="83" t="n">
        <x:f>'2017 Form20'!H41</x:f>
        <x:v>33</x:v>
      </x:c>
      <x:c r="D92" s="83" t="n">
        <x:f>'2017 Form20'!D41</x:f>
        <x:v>489</x:v>
      </x:c>
      <x:c r="E92" s="50" t="n">
        <x:f>'2017 Form20'!P41</x:f>
        <x:v>0.06748466257668712</x:v>
      </x:c>
      <x:c r="F92" t="n">
        <x:f>'2017 Form20'!Q41</x:f>
        <x:v>252</x:v>
      </x:c>
      <x:c r="G92" t="n">
        <x:f>'2017 Form20'!R41</x:f>
        <x:v>-219</x:v>
      </x:c>
      <x:c r="H92" s="52" t="n">
        <x:f>'2017 Form20'!S41</x:f>
        <x:v>-0.44785276073619634</x:v>
      </x:c>
      <x:c r="I92" t="str">
        <x:v>Vedram Bhati</x:v>
      </x:c>
      <x:c r="J92" t="str">
        <x:v>BSP</x:v>
      </x:c>
      <x:c r="K92" t="str">
        <x:v>EVM row</x:v>
      </x:c>
      <x:c r="L92" s="133" t="str">
        <x:f>IF(D92&lt;=0,"No EVM votes",IF(E92&lt;$N$7,"Low",IF(E92&gt;$R$7,"High","Middle")))</x:f>
        <x:v>Middle</x:v>
      </x:c>
      <x:c r="M92" s="133" t="str">
        <x:f>IF(D92&lt;=0,"No EVM votes",IF(H92&lt;-20%,"Large deficit",IF(H92&lt;-5%,"Moderate deficit",IF(H92&lt;0,"Narrow deficit",IF(H92&lt;=5%,"Narrow lead/tie",IF(H92&lt;=20%,"Moderate lead","Large lead"))))))</x:f>
        <x:v>Large deficit</x:v>
      </x:c>
    </x:row>
    <x:row r="93">
      <x:c r="A93" t="n">
        <x:v>34</x:v>
      </x:c>
      <x:c r="B93" t="str">
        <x:v>PRY. SCHOOL FAZAYALPUR R.NO.2</x:v>
      </x:c>
      <x:c r="C93" s="83" t="n">
        <x:f>'2017 Form20'!H42</x:f>
        <x:v>21</x:v>
      </x:c>
      <x:c r="D93" s="83" t="n">
        <x:f>'2017 Form20'!D42</x:f>
        <x:v>521</x:v>
      </x:c>
      <x:c r="E93" s="50" t="n">
        <x:f>'2017 Form20'!P42</x:f>
        <x:v>0.04030710172744722</x:v>
      </x:c>
      <x:c r="F93" t="n">
        <x:f>'2017 Form20'!Q42</x:f>
        <x:v>257</x:v>
      </x:c>
      <x:c r="G93" t="n">
        <x:f>'2017 Form20'!R42</x:f>
        <x:v>-236</x:v>
      </x:c>
      <x:c r="H93" s="52" t="n">
        <x:f>'2017 Form20'!S42</x:f>
        <x:v>-0.45297504798464494</x:v>
      </x:c>
      <x:c r="I93" t="str">
        <x:v>Vedram Bhati</x:v>
      </x:c>
      <x:c r="J93" t="str">
        <x:v>BSP</x:v>
      </x:c>
      <x:c r="K93" t="str">
        <x:v>EVM row</x:v>
      </x:c>
      <x:c r="L93" s="133" t="str">
        <x:f>IF(D93&lt;=0,"No EVM votes",IF(E93&lt;$N$7,"Low",IF(E93&gt;$R$7,"High","Middle")))</x:f>
        <x:v>Middle</x:v>
      </x:c>
      <x:c r="M93" s="133" t="str">
        <x:f>IF(D93&lt;=0,"No EVM votes",IF(H93&lt;-20%,"Large deficit",IF(H93&lt;-5%,"Moderate deficit",IF(H93&lt;0,"Narrow deficit",IF(H93&lt;=5%,"Narrow lead/tie",IF(H93&lt;=20%,"Moderate lead","Large lead"))))))</x:f>
        <x:v>Large deficit</x:v>
      </x:c>
    </x:row>
    <x:row r="94">
      <x:c r="A94" t="n">
        <x:v>35</x:v>
      </x:c>
      <x:c r="B94" t="str">
        <x:v>PRY. SCHOOL DOLARAZPURA R.NO.1</x:v>
      </x:c>
      <x:c r="C94" s="83" t="n">
        <x:f>'2017 Form20'!H43</x:f>
        <x:v>134</x:v>
      </x:c>
      <x:c r="D94" s="83" t="n">
        <x:f>'2017 Form20'!D43</x:f>
        <x:v>758</x:v>
      </x:c>
      <x:c r="E94" s="50" t="n">
        <x:f>'2017 Form20'!P43</x:f>
        <x:v>0.17678100263852242</x:v>
      </x:c>
      <x:c r="F94" t="n">
        <x:f>'2017 Form20'!Q43</x:f>
        <x:v>366</x:v>
      </x:c>
      <x:c r="G94" t="n">
        <x:f>'2017 Form20'!R43</x:f>
        <x:v>-232</x:v>
      </x:c>
      <x:c r="H94" s="52" t="n">
        <x:f>'2017 Form20'!S43</x:f>
        <x:v>-0.30606860158311344</x:v>
      </x:c>
      <x:c r="I94" t="str">
        <x:v>Vedram Bhati</x:v>
      </x:c>
      <x:c r="J94" t="str">
        <x:v>BSP</x:v>
      </x:c>
      <x:c r="K94" t="str">
        <x:v>EVM row</x:v>
      </x:c>
      <x:c r="L94" s="133" t="str">
        <x:f>IF(D94&lt;=0,"No EVM votes",IF(E94&lt;$N$7,"Low",IF(E94&gt;$R$7,"High","Middle")))</x:f>
        <x:v>High</x:v>
      </x:c>
      <x:c r="M94" s="133" t="str">
        <x:f>IF(D94&lt;=0,"No EVM votes",IF(H94&lt;-20%,"Large deficit",IF(H94&lt;-5%,"Moderate deficit",IF(H94&lt;0,"Narrow deficit",IF(H94&lt;=5%,"Narrow lead/tie",IF(H94&lt;=20%,"Moderate lead","Large lead"))))))</x:f>
        <x:v>Large deficit</x:v>
      </x:c>
    </x:row>
    <x:row r="95">
      <x:c r="A95" t="n">
        <x:v>36</x:v>
      </x:c>
      <x:c r="B95" t="str">
        <x:v>PRY. SCHOOL DOLARAZPURA R.NO.2</x:v>
      </x:c>
      <x:c r="C95" s="83" t="n">
        <x:f>'2017 Form20'!H44</x:f>
        <x:v>126</x:v>
      </x:c>
      <x:c r="D95" s="83" t="n">
        <x:f>'2017 Form20'!D44</x:f>
        <x:v>663</x:v>
      </x:c>
      <x:c r="E95" s="50" t="n">
        <x:f>'2017 Form20'!P44</x:f>
        <x:v>0.19004524886877827</x:v>
      </x:c>
      <x:c r="F95" t="n">
        <x:f>'2017 Form20'!Q44</x:f>
        <x:v>380</x:v>
      </x:c>
      <x:c r="G95" t="n">
        <x:f>'2017 Form20'!R44</x:f>
        <x:v>-254</x:v>
      </x:c>
      <x:c r="H95" s="52" t="n">
        <x:f>'2017 Form20'!S44</x:f>
        <x:v>-0.38310708898944196</x:v>
      </x:c>
      <x:c r="I95" t="str">
        <x:v>Vedram Bhati</x:v>
      </x:c>
      <x:c r="J95" t="str">
        <x:v>BSP</x:v>
      </x:c>
      <x:c r="K95" t="str">
        <x:v>EVM row</x:v>
      </x:c>
      <x:c r="L95" s="133" t="str">
        <x:f>IF(D95&lt;=0,"No EVM votes",IF(E95&lt;$N$7,"Low",IF(E95&gt;$R$7,"High","Middle")))</x:f>
        <x:v>High</x:v>
      </x:c>
      <x:c r="M95" s="133" t="str">
        <x:f>IF(D95&lt;=0,"No EVM votes",IF(H95&lt;-20%,"Large deficit",IF(H95&lt;-5%,"Moderate deficit",IF(H95&lt;0,"Narrow deficit",IF(H95&lt;=5%,"Narrow lead/tie",IF(H95&lt;=20%,"Moderate lead","Large lead"))))))</x:f>
        <x:v>Large deficit</x:v>
      </x:c>
    </x:row>
    <x:row r="96">
      <x:c r="A96" t="n">
        <x:v>37</x:v>
      </x:c>
      <x:c r="B96" t="str">
        <x:v>PRY. SCHOOL SALEHPUR R.NO.1</x:v>
      </x:c>
      <x:c r="C96" s="83" t="n">
        <x:f>'2017 Form20'!H45</x:f>
        <x:v>12</x:v>
      </x:c>
      <x:c r="D96" s="83" t="n">
        <x:f>'2017 Form20'!D45</x:f>
        <x:v>677</x:v>
      </x:c>
      <x:c r="E96" s="50" t="n">
        <x:f>'2017 Form20'!P45</x:f>
        <x:v>0.01772525849335303</x:v>
      </x:c>
      <x:c r="F96" t="n">
        <x:f>'2017 Form20'!Q45</x:f>
        <x:v>503</x:v>
      </x:c>
      <x:c r="G96" t="n">
        <x:f>'2017 Form20'!R45</x:f>
        <x:v>-491</x:v>
      </x:c>
      <x:c r="H96" s="52" t="n">
        <x:f>'2017 Form20'!S45</x:f>
        <x:v>-0.725258493353028</x:v>
      </x:c>
      <x:c r="I96" t="str">
        <x:v>Dhirendra Singh</x:v>
      </x:c>
      <x:c r="J96" t="str">
        <x:v>BJP</x:v>
      </x:c>
      <x:c r="K96" t="str">
        <x:v>EVM row</x:v>
      </x:c>
      <x:c r="L96" s="133" t="str">
        <x:f>IF(D96&lt;=0,"No EVM votes",IF(E96&lt;$N$7,"Low",IF(E96&gt;$R$7,"High","Middle")))</x:f>
        <x:v>Middle</x:v>
      </x:c>
      <x:c r="M96" s="133" t="str">
        <x:f>IF(D96&lt;=0,"No EVM votes",IF(H96&lt;-20%,"Large deficit",IF(H96&lt;-5%,"Moderate deficit",IF(H96&lt;0,"Narrow deficit",IF(H96&lt;=5%,"Narrow lead/tie",IF(H96&lt;=20%,"Moderate lead","Large lead"))))))</x:f>
        <x:v>Large deficit</x:v>
      </x:c>
    </x:row>
    <x:row r="97">
      <x:c r="A97" t="n">
        <x:v>38</x:v>
      </x:c>
      <x:c r="B97" t="str">
        <x:v>PRY. SCHOOL MANDPA R.NO.1</x:v>
      </x:c>
      <x:c r="C97" s="83" t="n">
        <x:f>'2017 Form20'!H46</x:f>
        <x:v>409</x:v>
      </x:c>
      <x:c r="D97" s="83" t="n">
        <x:f>'2017 Form20'!D46</x:f>
        <x:v>683</x:v>
      </x:c>
      <x:c r="E97" s="50" t="n">
        <x:f>'2017 Form20'!P46</x:f>
        <x:v>0.5988286969253295</x:v>
      </x:c>
      <x:c r="F97" t="n">
        <x:f>'2017 Form20'!Q46</x:f>
        <x:v>176</x:v>
      </x:c>
      <x:c r="G97" t="n">
        <x:f>'2017 Form20'!R46</x:f>
        <x:v>233</x:v>
      </x:c>
      <x:c r="H97" s="52" t="n">
        <x:f>'2017 Form20'!S46</x:f>
        <x:v>0.3411420204978038</x:v>
      </x:c>
      <x:c r="I97" t="str">
        <x:v>Narender Nagar</x:v>
      </x:c>
      <x:c r="J97" t="str">
        <x:v>SP</x:v>
      </x:c>
      <x:c r="K97" t="str">
        <x:v>EVM row</x:v>
      </x:c>
      <x:c r="L97" s="133" t="str">
        <x:f>IF(D97&lt;=0,"No EVM votes",IF(E97&lt;$N$7,"Low",IF(E97&gt;$R$7,"High","Middle")))</x:f>
        <x:v>High</x:v>
      </x:c>
      <x:c r="M97" s="133" t="str">
        <x:f>IF(D97&lt;=0,"No EVM votes",IF(H97&lt;-20%,"Large deficit",IF(H97&lt;-5%,"Moderate deficit",IF(H97&lt;0,"Narrow deficit",IF(H97&lt;=5%,"Narrow lead/tie",IF(H97&lt;=20%,"Moderate lead","Large lead"))))))</x:f>
        <x:v>Large lead</x:v>
      </x:c>
    </x:row>
    <x:row r="98">
      <x:c r="A98" t="n">
        <x:v>39</x:v>
      </x:c>
      <x:c r="B98" t="str">
        <x:v>PRY. SCHOOL MANDPA R.NO.2</x:v>
      </x:c>
      <x:c r="C98" s="83" t="n">
        <x:f>'2017 Form20'!H47</x:f>
        <x:v>258</x:v>
      </x:c>
      <x:c r="D98" s="83" t="n">
        <x:f>'2017 Form20'!D47</x:f>
        <x:v>674</x:v>
      </x:c>
      <x:c r="E98" s="50" t="n">
        <x:f>'2017 Form20'!P47</x:f>
        <x:v>0.3827893175074184</x:v>
      </x:c>
      <x:c r="F98" t="n">
        <x:f>'2017 Form20'!Q47</x:f>
        <x:v>322</x:v>
      </x:c>
      <x:c r="G98" t="n">
        <x:f>'2017 Form20'!R47</x:f>
        <x:v>-64</x:v>
      </x:c>
      <x:c r="H98" s="52" t="n">
        <x:f>'2017 Form20'!S47</x:f>
        <x:v>-0.09495548961424333</x:v>
      </x:c>
      <x:c r="I98" t="str">
        <x:v>Vedram Bhati</x:v>
      </x:c>
      <x:c r="J98" t="str">
        <x:v>BSP</x:v>
      </x:c>
      <x:c r="K98" t="str">
        <x:v>EVM row</x:v>
      </x:c>
      <x:c r="L98" s="133" t="str">
        <x:f>IF(D98&lt;=0,"No EVM votes",IF(E98&lt;$N$7,"Low",IF(E98&gt;$R$7,"High","Middle")))</x:f>
        <x:v>High</x:v>
      </x:c>
      <x:c r="M98" s="133" t="str">
        <x:f>IF(D98&lt;=0,"No EVM votes",IF(H98&lt;-20%,"Large deficit",IF(H98&lt;-5%,"Moderate deficit",IF(H98&lt;0,"Narrow deficit",IF(H98&lt;=5%,"Narrow lead/tie",IF(H98&lt;=20%,"Moderate lead","Large lead"))))))</x:f>
        <x:v>Moderate deficit</x:v>
      </x:c>
    </x:row>
    <x:row r="99">
      <x:c r="A99" t="n">
        <x:v>40</x:v>
      </x:c>
      <x:c r="B99" t="str">
        <x:v>PRY. SCHOOL NO. 2 ZAMALPUR NO 2 R.NO.-1</x:v>
      </x:c>
      <x:c r="C99" s="83" t="n">
        <x:f>'2017 Form20'!H48</x:f>
        <x:v>38</x:v>
      </x:c>
      <x:c r="D99" s="83" t="n">
        <x:f>'2017 Form20'!D48</x:f>
        <x:v>877</x:v>
      </x:c>
      <x:c r="E99" s="50" t="n">
        <x:f>'2017 Form20'!P48</x:f>
        <x:v>0.043329532497149374</x:v>
      </x:c>
      <x:c r="F99" t="n">
        <x:f>'2017 Form20'!Q48</x:f>
        <x:v>536</x:v>
      </x:c>
      <x:c r="G99" t="n">
        <x:f>'2017 Form20'!R48</x:f>
        <x:v>-498</x:v>
      </x:c>
      <x:c r="H99" s="52" t="n">
        <x:f>'2017 Form20'!S48</x:f>
        <x:v>-0.5678449258836944</x:v>
      </x:c>
      <x:c r="I99" t="str">
        <x:v>Vedram Bhati</x:v>
      </x:c>
      <x:c r="J99" t="str">
        <x:v>BSP</x:v>
      </x:c>
      <x:c r="K99" t="str">
        <x:v>EVM row</x:v>
      </x:c>
      <x:c r="L99" s="133" t="str">
        <x:f>IF(D99&lt;=0,"No EVM votes",IF(E99&lt;$N$7,"Low",IF(E99&gt;$R$7,"High","Middle")))</x:f>
        <x:v>Middle</x:v>
      </x:c>
      <x:c r="M99" s="133" t="str">
        <x:f>IF(D99&lt;=0,"No EVM votes",IF(H99&lt;-20%,"Large deficit",IF(H99&lt;-5%,"Moderate deficit",IF(H99&lt;0,"Narrow deficit",IF(H99&lt;=5%,"Narrow lead/tie",IF(H99&lt;=20%,"Moderate lead","Large lead"))))))</x:f>
        <x:v>Large deficit</x:v>
      </x:c>
    </x:row>
    <x:row r="100">
      <x:c r="A100" t="n">
        <x:v>41</x:v>
      </x:c>
      <x:c r="B100" t="str">
        <x:v>J. H. SCHOOL RAJPUR KALAN R.NO. 1</x:v>
      </x:c>
      <x:c r="C100" s="83" t="n">
        <x:f>'2017 Form20'!H49</x:f>
        <x:v>67</x:v>
      </x:c>
      <x:c r="D100" s="83" t="n">
        <x:f>'2017 Form20'!D49</x:f>
        <x:v>720</x:v>
      </x:c>
      <x:c r="E100" s="50" t="n">
        <x:f>'2017 Form20'!P49</x:f>
        <x:v>0.09305555555555556</x:v>
      </x:c>
      <x:c r="F100" t="n">
        <x:f>'2017 Form20'!Q49</x:f>
        <x:v>315</x:v>
      </x:c>
      <x:c r="G100" t="n">
        <x:f>'2017 Form20'!R49</x:f>
        <x:v>-248</x:v>
      </x:c>
      <x:c r="H100" s="52" t="n">
        <x:f>'2017 Form20'!S49</x:f>
        <x:v>-0.34444444444444444</x:v>
      </x:c>
      <x:c r="I100" t="str">
        <x:v>Vedram Bhati</x:v>
      </x:c>
      <x:c r="J100" t="str">
        <x:v>BSP</x:v>
      </x:c>
      <x:c r="K100" t="str">
        <x:v>EVM row</x:v>
      </x:c>
      <x:c r="L100" s="133" t="str">
        <x:f>IF(D100&lt;=0,"No EVM votes",IF(E100&lt;$N$7,"Low",IF(E100&gt;$R$7,"High","Middle")))</x:f>
        <x:v>High</x:v>
      </x:c>
      <x:c r="M100" s="133" t="str">
        <x:f>IF(D100&lt;=0,"No EVM votes",IF(H100&lt;-20%,"Large deficit",IF(H100&lt;-5%,"Moderate deficit",IF(H100&lt;0,"Narrow deficit",IF(H100&lt;=5%,"Narrow lead/tie",IF(H100&lt;=20%,"Moderate lead","Large lead"))))))</x:f>
        <x:v>Large deficit</x:v>
      </x:c>
    </x:row>
    <x:row r="101">
      <x:c r="A101" t="n">
        <x:v>42</x:v>
      </x:c>
      <x:c r="B101" t="str">
        <x:v>PRY. SCHOOL CHEETI R.NO.-1</x:v>
      </x:c>
      <x:c r="C101" s="83" t="n">
        <x:f>'2017 Form20'!H50</x:f>
        <x:v>17</x:v>
      </x:c>
      <x:c r="D101" s="83" t="n">
        <x:f>'2017 Form20'!D50</x:f>
        <x:v>809</x:v>
      </x:c>
      <x:c r="E101" s="50" t="n">
        <x:f>'2017 Form20'!P50</x:f>
        <x:v>0.021013597033374538</x:v>
      </x:c>
      <x:c r="F101" t="n">
        <x:f>'2017 Form20'!Q50</x:f>
        <x:v>480</x:v>
      </x:c>
      <x:c r="G101" t="n">
        <x:f>'2017 Form20'!R50</x:f>
        <x:v>-463</x:v>
      </x:c>
      <x:c r="H101" s="52" t="n">
        <x:f>'2017 Form20'!S50</x:f>
        <x:v>-0.5723114956736712</x:v>
      </x:c>
      <x:c r="I101" t="str">
        <x:v>Vedram Bhati</x:v>
      </x:c>
      <x:c r="J101" t="str">
        <x:v>BSP</x:v>
      </x:c>
      <x:c r="K101" t="str">
        <x:v>EVM row</x:v>
      </x:c>
      <x:c r="L101" s="133" t="str">
        <x:f>IF(D101&lt;=0,"No EVM votes",IF(E101&lt;$N$7,"Low",IF(E101&gt;$R$7,"High","Middle")))</x:f>
        <x:v>Middle</x:v>
      </x:c>
      <x:c r="M101" s="133" t="str">
        <x:f>IF(D101&lt;=0,"No EVM votes",IF(H101&lt;-20%,"Large deficit",IF(H101&lt;-5%,"Moderate deficit",IF(H101&lt;0,"Narrow deficit",IF(H101&lt;=5%,"Narrow lead/tie",IF(H101&lt;=20%,"Moderate lead","Large lead"))))))</x:f>
        <x:v>Large deficit</x:v>
      </x:c>
    </x:row>
    <x:row r="102">
      <x:c r="A102" t="n">
        <x:v>43</x:v>
      </x:c>
      <x:c r="B102" t="str">
        <x:v>PRY. SCHOOL CHEETI R.NO-2</x:v>
      </x:c>
      <x:c r="C102" s="83" t="n">
        <x:f>'2017 Form20'!H51</x:f>
        <x:v>44</x:v>
      </x:c>
      <x:c r="D102" s="83" t="n">
        <x:f>'2017 Form20'!D51</x:f>
        <x:v>691</x:v>
      </x:c>
      <x:c r="E102" s="50" t="n">
        <x:f>'2017 Form20'!P51</x:f>
        <x:v>0.06367583212735166</x:v>
      </x:c>
      <x:c r="F102" t="n">
        <x:f>'2017 Form20'!Q51</x:f>
        <x:v>347</x:v>
      </x:c>
      <x:c r="G102" t="n">
        <x:f>'2017 Form20'!R51</x:f>
        <x:v>-303</x:v>
      </x:c>
      <x:c r="H102" s="52" t="n">
        <x:f>'2017 Form20'!S51</x:f>
        <x:v>-0.4384949348769899</x:v>
      </x:c>
      <x:c r="I102" t="str">
        <x:v>Vedram Bhati</x:v>
      </x:c>
      <x:c r="J102" t="str">
        <x:v>BSP</x:v>
      </x:c>
      <x:c r="K102" t="str">
        <x:v>EVM row</x:v>
      </x:c>
      <x:c r="L102" s="133" t="str">
        <x:f>IF(D102&lt;=0,"No EVM votes",IF(E102&lt;$N$7,"Low",IF(E102&gt;$R$7,"High","Middle")))</x:f>
        <x:v>Middle</x:v>
      </x:c>
      <x:c r="M102" s="133" t="str">
        <x:f>IF(D102&lt;=0,"No EVM votes",IF(H102&lt;-20%,"Large deficit",IF(H102&lt;-5%,"Moderate deficit",IF(H102&lt;0,"Narrow deficit",IF(H102&lt;=5%,"Narrow lead/tie",IF(H102&lt;=20%,"Moderate lead","Large lead"))))))</x:f>
        <x:v>Large deficit</x:v>
      </x:c>
    </x:row>
    <x:row r="103">
      <x:c r="A103" t="n">
        <x:v>44</x:v>
      </x:c>
      <x:c r="B103" t="str">
        <x:v>PRY. SCHOOL NAGLA CHEETI R.NO.-1</x:v>
      </x:c>
      <x:c r="C103" s="83" t="n">
        <x:f>'2017 Form20'!H52</x:f>
        <x:v>8</x:v>
      </x:c>
      <x:c r="D103" s="83" t="n">
        <x:f>'2017 Form20'!D52</x:f>
        <x:v>324</x:v>
      </x:c>
      <x:c r="E103" s="50" t="n">
        <x:f>'2017 Form20'!P52</x:f>
        <x:v>0.024691358024691357</x:v>
      </x:c>
      <x:c r="F103" t="n">
        <x:f>'2017 Form20'!Q52</x:f>
        <x:v>178</x:v>
      </x:c>
      <x:c r="G103" t="n">
        <x:f>'2017 Form20'!R52</x:f>
        <x:v>-170</x:v>
      </x:c>
      <x:c r="H103" s="52" t="n">
        <x:f>'2017 Form20'!S52</x:f>
        <x:v>-0.5246913580246914</x:v>
      </x:c>
      <x:c r="I103" t="str">
        <x:v>Vedram Bhati</x:v>
      </x:c>
      <x:c r="J103" t="str">
        <x:v>BSP</x:v>
      </x:c>
      <x:c r="K103" t="str">
        <x:v>EVM row</x:v>
      </x:c>
      <x:c r="L103" s="133" t="str">
        <x:f>IF(D103&lt;=0,"No EVM votes",IF(E103&lt;$N$7,"Low",IF(E103&gt;$R$7,"High","Middle")))</x:f>
        <x:v>Middle</x:v>
      </x:c>
      <x:c r="M103" s="133" t="str">
        <x:f>IF(D103&lt;=0,"No EVM votes",IF(H103&lt;-20%,"Large deficit",IF(H103&lt;-5%,"Moderate deficit",IF(H103&lt;0,"Narrow deficit",IF(H103&lt;=5%,"Narrow lead/tie",IF(H103&lt;=20%,"Moderate lead","Large lead"))))))</x:f>
        <x:v>Large deficit</x:v>
      </x:c>
    </x:row>
    <x:row r="104">
      <x:c r="A104" t="n">
        <x:v>45</x:v>
      </x:c>
      <x:c r="B104" t="str">
        <x:v>PRY. SCHOOL DEVTA R.NO.-1</x:v>
      </x:c>
      <x:c r="C104" s="83" t="n">
        <x:f>'2017 Form20'!H53</x:f>
        <x:v>64</x:v>
      </x:c>
      <x:c r="D104" s="83" t="n">
        <x:f>'2017 Form20'!D53</x:f>
        <x:v>678</x:v>
      </x:c>
      <x:c r="E104" s="50" t="n">
        <x:f>'2017 Form20'!P53</x:f>
        <x:v>0.0943952802359882</x:v>
      </x:c>
      <x:c r="F104" t="n">
        <x:f>'2017 Form20'!Q53</x:f>
        <x:v>351</x:v>
      </x:c>
      <x:c r="G104" t="n">
        <x:f>'2017 Form20'!R53</x:f>
        <x:v>-287</x:v>
      </x:c>
      <x:c r="H104" s="52" t="n">
        <x:f>'2017 Form20'!S53</x:f>
        <x:v>-0.42330383480825956</x:v>
      </x:c>
      <x:c r="I104" t="str">
        <x:v>Vedram Bhati</x:v>
      </x:c>
      <x:c r="J104" t="str">
        <x:v>BSP</x:v>
      </x:c>
      <x:c r="K104" t="str">
        <x:v>EVM row</x:v>
      </x:c>
      <x:c r="L104" s="133" t="str">
        <x:f>IF(D104&lt;=0,"No EVM votes",IF(E104&lt;$N$7,"Low",IF(E104&gt;$R$7,"High","Middle")))</x:f>
        <x:v>High</x:v>
      </x:c>
      <x:c r="M104" s="133" t="str">
        <x:f>IF(D104&lt;=0,"No EVM votes",IF(H104&lt;-20%,"Large deficit",IF(H104&lt;-5%,"Moderate deficit",IF(H104&lt;0,"Narrow deficit",IF(H104&lt;=5%,"Narrow lead/tie",IF(H104&lt;=20%,"Moderate lead","Large lead"))))))</x:f>
        <x:v>Large deficit</x:v>
      </x:c>
    </x:row>
    <x:row r="105">
      <x:c r="A105" t="n">
        <x:v>46</x:v>
      </x:c>
      <x:c r="B105" t="str">
        <x:v>PRY. SCHOOL DEVTA R.NO.-2</x:v>
      </x:c>
      <x:c r="C105" s="83" t="n">
        <x:f>'2017 Form20'!H54</x:f>
        <x:v>10</x:v>
      </x:c>
      <x:c r="D105" s="83" t="n">
        <x:f>'2017 Form20'!D54</x:f>
        <x:v>535</x:v>
      </x:c>
      <x:c r="E105" s="50" t="n">
        <x:f>'2017 Form20'!P54</x:f>
        <x:v>0.018691588785046728</x:v>
      </x:c>
      <x:c r="F105" t="n">
        <x:f>'2017 Form20'!Q54</x:f>
        <x:v>266</x:v>
      </x:c>
      <x:c r="G105" t="n">
        <x:f>'2017 Form20'!R54</x:f>
        <x:v>-256</x:v>
      </x:c>
      <x:c r="H105" s="52" t="n">
        <x:f>'2017 Form20'!S54</x:f>
        <x:v>-0.4785046728971963</x:v>
      </x:c>
      <x:c r="I105" t="str">
        <x:v>Dhirendra Singh</x:v>
      </x:c>
      <x:c r="J105" t="str">
        <x:v>BJP</x:v>
      </x:c>
      <x:c r="K105" t="str">
        <x:v>EVM row</x:v>
      </x:c>
      <x:c r="L105" s="133" t="str">
        <x:f>IF(D105&lt;=0,"No EVM votes",IF(E105&lt;$N$7,"Low",IF(E105&gt;$R$7,"High","Middle")))</x:f>
        <x:v>Middle</x:v>
      </x:c>
      <x:c r="M105" s="133" t="str">
        <x:f>IF(D105&lt;=0,"No EVM votes",IF(H105&lt;-20%,"Large deficit",IF(H105&lt;-5%,"Moderate deficit",IF(H105&lt;0,"Narrow deficit",IF(H105&lt;=5%,"Narrow lead/tie",IF(H105&lt;=20%,"Moderate lead","Large lead"))))))</x:f>
        <x:v>Large deficit</x:v>
      </x:c>
    </x:row>
    <x:row r="106">
      <x:c r="A106" t="n">
        <x:v>47</x:v>
      </x:c>
      <x:c r="B106" t="str">
        <x:v>PATEL I.C. ASTAULI R.NO.-1</x:v>
      </x:c>
      <x:c r="C106" s="83" t="n">
        <x:f>'2017 Form20'!H55</x:f>
        <x:v>168</x:v>
      </x:c>
      <x:c r="D106" s="83" t="n">
        <x:f>'2017 Form20'!D55</x:f>
        <x:v>722</x:v>
      </x:c>
      <x:c r="E106" s="50" t="n">
        <x:f>'2017 Form20'!P55</x:f>
        <x:v>0.23268698060941828</x:v>
      </x:c>
      <x:c r="F106" t="n">
        <x:f>'2017 Form20'!Q55</x:f>
        <x:v>344</x:v>
      </x:c>
      <x:c r="G106" t="n">
        <x:f>'2017 Form20'!R55</x:f>
        <x:v>-176</x:v>
      </x:c>
      <x:c r="H106" s="52" t="n">
        <x:f>'2017 Form20'!S55</x:f>
        <x:v>-0.24376731301939059</x:v>
      </x:c>
      <x:c r="I106" t="str">
        <x:v>Vedram Bhati</x:v>
      </x:c>
      <x:c r="J106" t="str">
        <x:v>BSP</x:v>
      </x:c>
      <x:c r="K106" t="str">
        <x:v>EVM row</x:v>
      </x:c>
      <x:c r="L106" s="133" t="str">
        <x:f>IF(D106&lt;=0,"No EVM votes",IF(E106&lt;$N$7,"Low",IF(E106&gt;$R$7,"High","Middle")))</x:f>
        <x:v>High</x:v>
      </x:c>
      <x:c r="M106" s="133" t="str">
        <x:f>IF(D106&lt;=0,"No EVM votes",IF(H106&lt;-20%,"Large deficit",IF(H106&lt;-5%,"Moderate deficit",IF(H106&lt;0,"Narrow deficit",IF(H106&lt;=5%,"Narrow lead/tie",IF(H106&lt;=20%,"Moderate lead","Large lead"))))))</x:f>
        <x:v>Large deficit</x:v>
      </x:c>
    </x:row>
    <x:row r="107">
      <x:c r="A107" t="n">
        <x:v>48</x:v>
      </x:c>
      <x:c r="B107" t="str">
        <x:v>PATEL I.C. ASTAULI R.NO.-2</x:v>
      </x:c>
      <x:c r="C107" s="83" t="n">
        <x:f>'2017 Form20'!H56</x:f>
        <x:v>260</x:v>
      </x:c>
      <x:c r="D107" s="83" t="n">
        <x:f>'2017 Form20'!D56</x:f>
        <x:v>872</x:v>
      </x:c>
      <x:c r="E107" s="50" t="n">
        <x:f>'2017 Form20'!P56</x:f>
        <x:v>0.2981651376146789</x:v>
      </x:c>
      <x:c r="F107" t="n">
        <x:f>'2017 Form20'!Q56</x:f>
        <x:v>365</x:v>
      </x:c>
      <x:c r="G107" t="n">
        <x:f>'2017 Form20'!R56</x:f>
        <x:v>-105</x:v>
      </x:c>
      <x:c r="H107" s="52" t="n">
        <x:f>'2017 Form20'!S56</x:f>
        <x:v>-0.12041284403669725</x:v>
      </x:c>
      <x:c r="I107" t="str">
        <x:v>Dhirendra Singh</x:v>
      </x:c>
      <x:c r="J107" t="str">
        <x:v>BJP</x:v>
      </x:c>
      <x:c r="K107" t="str">
        <x:v>EVM row</x:v>
      </x:c>
      <x:c r="L107" s="133" t="str">
        <x:f>IF(D107&lt;=0,"No EVM votes",IF(E107&lt;$N$7,"Low",IF(E107&gt;$R$7,"High","Middle")))</x:f>
        <x:v>High</x:v>
      </x:c>
      <x:c r="M107" s="133" t="str">
        <x:f>IF(D107&lt;=0,"No EVM votes",IF(H107&lt;-20%,"Large deficit",IF(H107&lt;-5%,"Moderate deficit",IF(H107&lt;0,"Narrow deficit",IF(H107&lt;=5%,"Narrow lead/tie",IF(H107&lt;=20%,"Moderate lead","Large lead"))))))</x:f>
        <x:v>Moderate deficit</x:v>
      </x:c>
    </x:row>
    <x:row r="108">
      <x:c r="A108" t="n">
        <x:v>49</x:v>
      </x:c>
      <x:c r="B108" t="str">
        <x:v>CH. LAXMINARAYAN I.C. MANDI SHYAM NAGAR URF KHERLI HAFIZPUR R. NO.-1</x:v>
      </x:c>
      <x:c r="C108" s="83" t="n">
        <x:f>'2017 Form20'!H57</x:f>
        <x:v>61</x:v>
      </x:c>
      <x:c r="D108" s="83" t="n">
        <x:f>'2017 Form20'!D57</x:f>
        <x:v>704</x:v>
      </x:c>
      <x:c r="E108" s="50" t="n">
        <x:f>'2017 Form20'!P57</x:f>
        <x:v>0.08664772727272728</x:v>
      </x:c>
      <x:c r="F108" t="n">
        <x:f>'2017 Form20'!Q57</x:f>
        <x:v>350</x:v>
      </x:c>
      <x:c r="G108" t="n">
        <x:f>'2017 Form20'!R57</x:f>
        <x:v>-289</x:v>
      </x:c>
      <x:c r="H108" s="52" t="n">
        <x:f>'2017 Form20'!S57</x:f>
        <x:v>-0.41051136363636365</x:v>
      </x:c>
      <x:c r="I108" t="str">
        <x:v>Vedram Bhati</x:v>
      </x:c>
      <x:c r="J108" t="str">
        <x:v>BSP</x:v>
      </x:c>
      <x:c r="K108" t="str">
        <x:v>EVM row</x:v>
      </x:c>
      <x:c r="L108" s="133" t="str">
        <x:f>IF(D108&lt;=0,"No EVM votes",IF(E108&lt;$N$7,"Low",IF(E108&gt;$R$7,"High","Middle")))</x:f>
        <x:v>High</x:v>
      </x:c>
      <x:c r="M108" s="133" t="str">
        <x:f>IF(D108&lt;=0,"No EVM votes",IF(H108&lt;-20%,"Large deficit",IF(H108&lt;-5%,"Moderate deficit",IF(H108&lt;0,"Narrow deficit",IF(H108&lt;=5%,"Narrow lead/tie",IF(H108&lt;=20%,"Moderate lead","Large lead"))))))</x:f>
        <x:v>Large deficit</x:v>
      </x:c>
    </x:row>
    <x:row r="109">
      <x:c r="A109" t="n">
        <x:v>50</x:v>
      </x:c>
      <x:c r="B109" t="str">
        <x:v>CH. LAXMINARAYAN I.C. MANDI SHYAMNAGAR URF KHERLI HAFIZPUR R.NO.-2</x:v>
      </x:c>
      <x:c r="C109" s="83" t="n">
        <x:f>'2017 Form20'!H58</x:f>
        <x:v>32</x:v>
      </x:c>
      <x:c r="D109" s="83" t="n">
        <x:f>'2017 Form20'!D58</x:f>
        <x:v>822</x:v>
      </x:c>
      <x:c r="E109" s="50" t="n">
        <x:f>'2017 Form20'!P58</x:f>
        <x:v>0.038929440389294405</x:v>
      </x:c>
      <x:c r="F109" t="n">
        <x:f>'2017 Form20'!Q58</x:f>
        <x:v>569</x:v>
      </x:c>
      <x:c r="G109" t="n">
        <x:f>'2017 Form20'!R58</x:f>
        <x:v>-537</x:v>
      </x:c>
      <x:c r="H109" s="52" t="n">
        <x:f>'2017 Form20'!S58</x:f>
        <x:v>-0.6532846715328468</x:v>
      </x:c>
      <x:c r="I109" t="str">
        <x:v>Dhirendra Singh</x:v>
      </x:c>
      <x:c r="J109" t="str">
        <x:v>BJP</x:v>
      </x:c>
      <x:c r="K109" t="str">
        <x:v>EVM row</x:v>
      </x:c>
      <x:c r="L109" s="133" t="str">
        <x:f>IF(D109&lt;=0,"No EVM votes",IF(E109&lt;$N$7,"Low",IF(E109&gt;$R$7,"High","Middle")))</x:f>
        <x:v>Middle</x:v>
      </x:c>
      <x:c r="M109" s="133" t="str">
        <x:f>IF(D109&lt;=0,"No EVM votes",IF(H109&lt;-20%,"Large deficit",IF(H109&lt;-5%,"Moderate deficit",IF(H109&lt;0,"Narrow deficit",IF(H109&lt;=5%,"Narrow lead/tie",IF(H109&lt;=20%,"Moderate lead","Large lead"))))))</x:f>
        <x:v>Large deficit</x:v>
      </x:c>
    </x:row>
    <x:row r="110">
      <x:c r="A110" t="n">
        <x:v>51</x:v>
      </x:c>
      <x:c r="B110" t="str">
        <x:v>CH. LAXMINARAYAN I.C. MANDI SHYAMNAGAR URF KHERLI HAFIZPUR R.NO.-3</x:v>
      </x:c>
      <x:c r="C110" s="83" t="n">
        <x:f>'2017 Form20'!H59</x:f>
        <x:v>11</x:v>
      </x:c>
      <x:c r="D110" s="83" t="n">
        <x:f>'2017 Form20'!D59</x:f>
        <x:v>587</x:v>
      </x:c>
      <x:c r="E110" s="50" t="n">
        <x:f>'2017 Form20'!P59</x:f>
        <x:v>0.018739352640545145</x:v>
      </x:c>
      <x:c r="F110" t="n">
        <x:f>'2017 Form20'!Q59</x:f>
        <x:v>423</x:v>
      </x:c>
      <x:c r="G110" t="n">
        <x:f>'2017 Form20'!R59</x:f>
        <x:v>-412</x:v>
      </x:c>
      <x:c r="H110" s="52" t="n">
        <x:f>'2017 Form20'!S59</x:f>
        <x:v>-0.7018739352640545</x:v>
      </x:c>
      <x:c r="I110" t="str">
        <x:v>Dhirendra Singh</x:v>
      </x:c>
      <x:c r="J110" t="str">
        <x:v>BJP</x:v>
      </x:c>
      <x:c r="K110" t="str">
        <x:v>EVM row</x:v>
      </x:c>
      <x:c r="L110" s="133" t="str">
        <x:f>IF(D110&lt;=0,"No EVM votes",IF(E110&lt;$N$7,"Low",IF(E110&gt;$R$7,"High","Middle")))</x:f>
        <x:v>Middle</x:v>
      </x:c>
      <x:c r="M110" s="133" t="str">
        <x:f>IF(D110&lt;=0,"No EVM votes",IF(H110&lt;-20%,"Large deficit",IF(H110&lt;-5%,"Moderate deficit",IF(H110&lt;0,"Narrow deficit",IF(H110&lt;=5%,"Narrow lead/tie",IF(H110&lt;=20%,"Moderate lead","Large lead"))))))</x:f>
        <x:v>Large deficit</x:v>
      </x:c>
    </x:row>
    <x:row r="111">
      <x:c r="A111" t="n">
        <x:v>52</x:v>
      </x:c>
      <x:c r="B111" t="str">
        <x:v>CH. LAXMI NARAYAN I.C. MANDI SHYAMNAGAR URF KHERLI HAFIZPUR R.NO.-4</x:v>
      </x:c>
      <x:c r="C111" s="83" t="n">
        <x:f>'2017 Form20'!H60</x:f>
        <x:v>5</x:v>
      </x:c>
      <x:c r="D111" s="83" t="n">
        <x:f>'2017 Form20'!D60</x:f>
        <x:v>411</x:v>
      </x:c>
      <x:c r="E111" s="50" t="n">
        <x:f>'2017 Form20'!P60</x:f>
        <x:v>0.012165450121654502</x:v>
      </x:c>
      <x:c r="F111" t="n">
        <x:f>'2017 Form20'!Q60</x:f>
        <x:v>309</x:v>
      </x:c>
      <x:c r="G111" t="n">
        <x:f>'2017 Form20'!R60</x:f>
        <x:v>-304</x:v>
      </x:c>
      <x:c r="H111" s="52" t="n">
        <x:f>'2017 Form20'!S60</x:f>
        <x:v>-0.7396593673965937</x:v>
      </x:c>
      <x:c r="I111" t="str">
        <x:v>Dhirendra Singh</x:v>
      </x:c>
      <x:c r="J111" t="str">
        <x:v>BJP</x:v>
      </x:c>
      <x:c r="K111" t="str">
        <x:v>EVM row</x:v>
      </x:c>
      <x:c r="L111" s="133" t="str">
        <x:f>IF(D111&lt;=0,"No EVM votes",IF(E111&lt;$N$7,"Low",IF(E111&gt;$R$7,"High","Middle")))</x:f>
        <x:v>Low</x:v>
      </x:c>
      <x:c r="M111" s="133" t="str">
        <x:f>IF(D111&lt;=0,"No EVM votes",IF(H111&lt;-20%,"Large deficit",IF(H111&lt;-5%,"Moderate deficit",IF(H111&lt;0,"Narrow deficit",IF(H111&lt;=5%,"Narrow lead/tie",IF(H111&lt;=20%,"Moderate lead","Large lead"))))))</x:f>
        <x:v>Large deficit</x:v>
      </x:c>
    </x:row>
    <x:row r="112">
      <x:c r="A112" t="n">
        <x:v>53</x:v>
      </x:c>
      <x:c r="B112" t="str">
        <x:v>CH. LAXMI NARAYAN I.C. MANDI SHYAMNAGAR URF KHERLI HAFIZPUR R.NO.-5</x:v>
      </x:c>
      <x:c r="C112" s="83" t="n">
        <x:f>'2017 Form20'!H61</x:f>
        <x:v>29</x:v>
      </x:c>
      <x:c r="D112" s="83" t="n">
        <x:f>'2017 Form20'!D61</x:f>
        <x:v>709</x:v>
      </x:c>
      <x:c r="E112" s="50" t="n">
        <x:f>'2017 Form20'!P61</x:f>
        <x:v>0.04090267983074753</x:v>
      </x:c>
      <x:c r="F112" t="n">
        <x:f>'2017 Form20'!Q61</x:f>
        <x:v>423</x:v>
      </x:c>
      <x:c r="G112" t="n">
        <x:f>'2017 Form20'!R61</x:f>
        <x:v>-394</x:v>
      </x:c>
      <x:c r="H112" s="52" t="n">
        <x:f>'2017 Form20'!S61</x:f>
        <x:v>-0.5557122708039492</x:v>
      </x:c>
      <x:c r="I112" t="str">
        <x:v>Dhirendra Singh</x:v>
      </x:c>
      <x:c r="J112" t="str">
        <x:v>BJP</x:v>
      </x:c>
      <x:c r="K112" t="str">
        <x:v>EVM row</x:v>
      </x:c>
      <x:c r="L112" s="133" t="str">
        <x:f>IF(D112&lt;=0,"No EVM votes",IF(E112&lt;$N$7,"Low",IF(E112&gt;$R$7,"High","Middle")))</x:f>
        <x:v>Middle</x:v>
      </x:c>
      <x:c r="M112" s="133" t="str">
        <x:f>IF(D112&lt;=0,"No EVM votes",IF(H112&lt;-20%,"Large deficit",IF(H112&lt;-5%,"Moderate deficit",IF(H112&lt;0,"Narrow deficit",IF(H112&lt;=5%,"Narrow lead/tie",IF(H112&lt;=20%,"Moderate lead","Large lead"))))))</x:f>
        <x:v>Large deficit</x:v>
      </x:c>
    </x:row>
    <x:row r="113">
      <x:c r="A113" t="n">
        <x:v>54</x:v>
      </x:c>
      <x:c r="B113" t="str">
        <x:v>PRY. SCHOOL PANCHAYATAN INAYATPUR R.NO. 1</x:v>
      </x:c>
      <x:c r="C113" s="83" t="n">
        <x:f>'2017 Form20'!H62</x:f>
        <x:v>22</x:v>
      </x:c>
      <x:c r="D113" s="83" t="n">
        <x:f>'2017 Form20'!D62</x:f>
        <x:v>890</x:v>
      </x:c>
      <x:c r="E113" s="50" t="n">
        <x:f>'2017 Form20'!P62</x:f>
        <x:v>0.024719101123595506</x:v>
      </x:c>
      <x:c r="F113" t="n">
        <x:f>'2017 Form20'!Q62</x:f>
        <x:v>636</x:v>
      </x:c>
      <x:c r="G113" t="n">
        <x:f>'2017 Form20'!R62</x:f>
        <x:v>-614</x:v>
      </x:c>
      <x:c r="H113" s="52" t="n">
        <x:f>'2017 Form20'!S62</x:f>
        <x:v>-0.6898876404494382</x:v>
      </x:c>
      <x:c r="I113" t="str">
        <x:v>Vedram Bhati</x:v>
      </x:c>
      <x:c r="J113" t="str">
        <x:v>BSP</x:v>
      </x:c>
      <x:c r="K113" t="str">
        <x:v>EVM row</x:v>
      </x:c>
      <x:c r="L113" s="133" t="str">
        <x:f>IF(D113&lt;=0,"No EVM votes",IF(E113&lt;$N$7,"Low",IF(E113&gt;$R$7,"High","Middle")))</x:f>
        <x:v>Middle</x:v>
      </x:c>
      <x:c r="M113" s="133" t="str">
        <x:f>IF(D113&lt;=0,"No EVM votes",IF(H113&lt;-20%,"Large deficit",IF(H113&lt;-5%,"Moderate deficit",IF(H113&lt;0,"Narrow deficit",IF(H113&lt;=5%,"Narrow lead/tie",IF(H113&lt;=20%,"Moderate lead","Large lead"))))))</x:f>
        <x:v>Large deficit</x:v>
      </x:c>
    </x:row>
    <x:row r="114">
      <x:c r="A114" t="n">
        <x:v>55</x:v>
      </x:c>
      <x:c r="B114" t="str">
        <x:v>UCHCHA PRY. VIDHYALAYA GIRDHARPUR R.NO. 1</x:v>
      </x:c>
      <x:c r="C114" s="83" t="n">
        <x:f>'2017 Form20'!H63</x:f>
        <x:v>8</x:v>
      </x:c>
      <x:c r="D114" s="83" t="n">
        <x:f>'2017 Form20'!D63</x:f>
        <x:v>1101</x:v>
      </x:c>
      <x:c r="E114" s="50" t="n">
        <x:f>'2017 Form20'!P63</x:f>
        <x:v>0.007266121707538601</x:v>
      </x:c>
      <x:c r="F114" t="n">
        <x:f>'2017 Form20'!Q63</x:f>
        <x:v>872</x:v>
      </x:c>
      <x:c r="G114" t="n">
        <x:f>'2017 Form20'!R63</x:f>
        <x:v>-864</x:v>
      </x:c>
      <x:c r="H114" s="52" t="n">
        <x:f>'2017 Form20'!S63</x:f>
        <x:v>-0.784741144414169</x:v>
      </x:c>
      <x:c r="I114" t="str">
        <x:v>Vedram Bhati</x:v>
      </x:c>
      <x:c r="J114" t="str">
        <x:v>BSP</x:v>
      </x:c>
      <x:c r="K114" t="str">
        <x:v>EVM row</x:v>
      </x:c>
      <x:c r="L114" s="133" t="str">
        <x:f>IF(D114&lt;=0,"No EVM votes",IF(E114&lt;$N$7,"Low",IF(E114&gt;$R$7,"High","Middle")))</x:f>
        <x:v>Low</x:v>
      </x:c>
      <x:c r="M114" s="133" t="str">
        <x:f>IF(D114&lt;=0,"No EVM votes",IF(H114&lt;-20%,"Large deficit",IF(H114&lt;-5%,"Moderate deficit",IF(H114&lt;0,"Narrow deficit",IF(H114&lt;=5%,"Narrow lead/tie",IF(H114&lt;=20%,"Moderate lead","Large lead"))))))</x:f>
        <x:v>Large deficit</x:v>
      </x:c>
    </x:row>
    <x:row r="115">
      <x:c r="A115" t="n">
        <x:v>56</x:v>
      </x:c>
      <x:c r="B115" t="str">
        <x:v>PRY. SCHOOL RAUNI R.NO. 1</x:v>
      </x:c>
      <x:c r="C115" s="83" t="n">
        <x:f>'2017 Form20'!H64</x:f>
        <x:v>23</x:v>
      </x:c>
      <x:c r="D115" s="83" t="n">
        <x:f>'2017 Form20'!D64</x:f>
        <x:v>670</x:v>
      </x:c>
      <x:c r="E115" s="50" t="n">
        <x:f>'2017 Form20'!P64</x:f>
        <x:v>0.034328358208955224</x:v>
      </x:c>
      <x:c r="F115" t="n">
        <x:f>'2017 Form20'!Q64</x:f>
        <x:v>480</x:v>
      </x:c>
      <x:c r="G115" t="n">
        <x:f>'2017 Form20'!R64</x:f>
        <x:v>-457</x:v>
      </x:c>
      <x:c r="H115" s="52" t="n">
        <x:f>'2017 Form20'!S64</x:f>
        <x:v>-0.682089552238806</x:v>
      </x:c>
      <x:c r="I115" t="str">
        <x:v>Vedram Bhati</x:v>
      </x:c>
      <x:c r="J115" t="str">
        <x:v>BSP</x:v>
      </x:c>
      <x:c r="K115" t="str">
        <x:v>EVM row</x:v>
      </x:c>
      <x:c r="L115" s="133" t="str">
        <x:f>IF(D115&lt;=0,"No EVM votes",IF(E115&lt;$N$7,"Low",IF(E115&gt;$R$7,"High","Middle")))</x:f>
        <x:v>Middle</x:v>
      </x:c>
      <x:c r="M115" s="133" t="str">
        <x:f>IF(D115&lt;=0,"No EVM votes",IF(H115&lt;-20%,"Large deficit",IF(H115&lt;-5%,"Moderate deficit",IF(H115&lt;0,"Narrow deficit",IF(H115&lt;=5%,"Narrow lead/tie",IF(H115&lt;=20%,"Moderate lead","Large lead"))))))</x:f>
        <x:v>Large deficit</x:v>
      </x:c>
    </x:row>
    <x:row r="116">
      <x:c r="A116" t="n">
        <x:v>57</x:v>
      </x:c>
      <x:c r="B116" t="str">
        <x:v>J. H. SCHOOL SALEMPUR GUJAR R.NO. 1</x:v>
      </x:c>
      <x:c r="C116" s="83" t="n">
        <x:f>'2017 Form20'!H65</x:f>
        <x:v>61</x:v>
      </x:c>
      <x:c r="D116" s="83" t="n">
        <x:f>'2017 Form20'!D65</x:f>
        <x:v>877</x:v>
      </x:c>
      <x:c r="E116" s="50" t="n">
        <x:f>'2017 Form20'!P65</x:f>
        <x:v>0.06955530216647662</x:v>
      </x:c>
      <x:c r="F116" t="n">
        <x:f>'2017 Form20'!Q65</x:f>
        <x:v>398</x:v>
      </x:c>
      <x:c r="G116" t="n">
        <x:f>'2017 Form20'!R65</x:f>
        <x:v>-337</x:v>
      </x:c>
      <x:c r="H116" s="52" t="n">
        <x:f>'2017 Form20'!S65</x:f>
        <x:v>-0.38426453819840367</x:v>
      </x:c>
      <x:c r="I116" t="str">
        <x:v>Dhirendra Singh</x:v>
      </x:c>
      <x:c r="J116" t="str">
        <x:v>BJP</x:v>
      </x:c>
      <x:c r="K116" t="str">
        <x:v>EVM row</x:v>
      </x:c>
      <x:c r="L116" s="133" t="str">
        <x:f>IF(D116&lt;=0,"No EVM votes",IF(E116&lt;$N$7,"Low",IF(E116&gt;$R$7,"High","Middle")))</x:f>
        <x:v>High</x:v>
      </x:c>
      <x:c r="M116" s="133" t="str">
        <x:f>IF(D116&lt;=0,"No EVM votes",IF(H116&lt;-20%,"Large deficit",IF(H116&lt;-5%,"Moderate deficit",IF(H116&lt;0,"Narrow deficit",IF(H116&lt;=5%,"Narrow lead/tie",IF(H116&lt;=20%,"Moderate lead","Large lead"))))))</x:f>
        <x:v>Large deficit</x:v>
      </x:c>
    </x:row>
    <x:row r="117">
      <x:c r="A117" t="n">
        <x:v>58</x:v>
      </x:c>
      <x:c r="B117" t="str">
        <x:v>J. H. SCHOOL SALEMPUR GUJAR R.NO. 2</x:v>
      </x:c>
      <x:c r="C117" s="83" t="n">
        <x:f>'2017 Form20'!H66</x:f>
        <x:v>45</x:v>
      </x:c>
      <x:c r="D117" s="83" t="n">
        <x:f>'2017 Form20'!D66</x:f>
        <x:v>588</x:v>
      </x:c>
      <x:c r="E117" s="50" t="n">
        <x:f>'2017 Form20'!P66</x:f>
        <x:v>0.07653061224489796</x:v>
      </x:c>
      <x:c r="F117" t="n">
        <x:f>'2017 Form20'!Q66</x:f>
        <x:v>292</x:v>
      </x:c>
      <x:c r="G117" t="n">
        <x:f>'2017 Form20'!R66</x:f>
        <x:v>-247</x:v>
      </x:c>
      <x:c r="H117" s="52" t="n">
        <x:f>'2017 Form20'!S66</x:f>
        <x:v>-0.4200680272108844</x:v>
      </x:c>
      <x:c r="I117" t="str">
        <x:v>Vedram Bhati</x:v>
      </x:c>
      <x:c r="J117" t="str">
        <x:v>BSP</x:v>
      </x:c>
      <x:c r="K117" t="str">
        <x:v>EVM row</x:v>
      </x:c>
      <x:c r="L117" s="133" t="str">
        <x:f>IF(D117&lt;=0,"No EVM votes",IF(E117&lt;$N$7,"Low",IF(E117&gt;$R$7,"High","Middle")))</x:f>
        <x:v>High</x:v>
      </x:c>
      <x:c r="M117" s="133" t="str">
        <x:f>IF(D117&lt;=0,"No EVM votes",IF(H117&lt;-20%,"Large deficit",IF(H117&lt;-5%,"Moderate deficit",IF(H117&lt;0,"Narrow deficit",IF(H117&lt;=5%,"Narrow lead/tie",IF(H117&lt;=20%,"Moderate lead","Large lead"))))))</x:f>
        <x:v>Large deficit</x:v>
      </x:c>
    </x:row>
    <x:row r="118">
      <x:c r="A118" t="n">
        <x:v>59</x:v>
      </x:c>
      <x:c r="B118" t="str">
        <x:v>J. H. SCHOOL SALEMPUR GUJAR R.NO. 3</x:v>
      </x:c>
      <x:c r="C118" s="83" t="n">
        <x:f>'2017 Form20'!H67</x:f>
        <x:v>23</x:v>
      </x:c>
      <x:c r="D118" s="83" t="n">
        <x:f>'2017 Form20'!D67</x:f>
        <x:v>568</x:v>
      </x:c>
      <x:c r="E118" s="50" t="n">
        <x:f>'2017 Form20'!P67</x:f>
        <x:v>0.040492957746478875</x:v>
      </x:c>
      <x:c r="F118" t="n">
        <x:f>'2017 Form20'!Q67</x:f>
        <x:v>401</x:v>
      </x:c>
      <x:c r="G118" t="n">
        <x:f>'2017 Form20'!R67</x:f>
        <x:v>-378</x:v>
      </x:c>
      <x:c r="H118" s="52" t="n">
        <x:f>'2017 Form20'!S67</x:f>
        <x:v>-0.6654929577464789</x:v>
      </x:c>
      <x:c r="I118" t="str">
        <x:v>Vedram Bhati</x:v>
      </x:c>
      <x:c r="J118" t="str">
        <x:v>BSP</x:v>
      </x:c>
      <x:c r="K118" t="str">
        <x:v>EVM row</x:v>
      </x:c>
      <x:c r="L118" s="133" t="str">
        <x:f>IF(D118&lt;=0,"No EVM votes",IF(E118&lt;$N$7,"Low",IF(E118&gt;$R$7,"High","Middle")))</x:f>
        <x:v>Middle</x:v>
      </x:c>
      <x:c r="M118" s="133" t="str">
        <x:f>IF(D118&lt;=0,"No EVM votes",IF(H118&lt;-20%,"Large deficit",IF(H118&lt;-5%,"Moderate deficit",IF(H118&lt;0,"Narrow deficit",IF(H118&lt;=5%,"Narrow lead/tie",IF(H118&lt;=20%,"Moderate lead","Large lead"))))))</x:f>
        <x:v>Large deficit</x:v>
      </x:c>
    </x:row>
    <x:row r="119">
      <x:c r="A119" t="n">
        <x:v>60</x:v>
      </x:c>
      <x:c r="B119" t="str">
        <x:v>PRY. SCHOOL AMINABAD URF NYANA R.NO. 1</x:v>
      </x:c>
      <x:c r="C119" s="83" t="n">
        <x:f>'2017 Form20'!H68</x:f>
        <x:v>53</x:v>
      </x:c>
      <x:c r="D119" s="83" t="n">
        <x:f>'2017 Form20'!D68</x:f>
        <x:v>707</x:v>
      </x:c>
      <x:c r="E119" s="50" t="n">
        <x:f>'2017 Form20'!P68</x:f>
        <x:v>0.07496463932107496</x:v>
      </x:c>
      <x:c r="F119" t="n">
        <x:f>'2017 Form20'!Q68</x:f>
        <x:v>405</x:v>
      </x:c>
      <x:c r="G119" t="n">
        <x:f>'2017 Form20'!R68</x:f>
        <x:v>-352</x:v>
      </x:c>
      <x:c r="H119" s="52" t="n">
        <x:f>'2017 Form20'!S68</x:f>
        <x:v>-0.49787835926449786</x:v>
      </x:c>
      <x:c r="I119" t="str">
        <x:v>Dhirendra Singh</x:v>
      </x:c>
      <x:c r="J119" t="str">
        <x:v>BJP</x:v>
      </x:c>
      <x:c r="K119" t="str">
        <x:v>EVM row</x:v>
      </x:c>
      <x:c r="L119" s="133" t="str">
        <x:f>IF(D119&lt;=0,"No EVM votes",IF(E119&lt;$N$7,"Low",IF(E119&gt;$R$7,"High","Middle")))</x:f>
        <x:v>High</x:v>
      </x:c>
      <x:c r="M119" s="133" t="str">
        <x:f>IF(D119&lt;=0,"No EVM votes",IF(H119&lt;-20%,"Large deficit",IF(H119&lt;-5%,"Moderate deficit",IF(H119&lt;0,"Narrow deficit",IF(H119&lt;=5%,"Narrow lead/tie",IF(H119&lt;=20%,"Moderate lead","Large lead"))))))</x:f>
        <x:v>Large deficit</x:v>
      </x:c>
    </x:row>
    <x:row r="120">
      <x:c r="A120" t="n">
        <x:v>61</x:v>
      </x:c>
      <x:c r="B120" t="str">
        <x:v>PRY. SCHOOL RAMPUR MAZRA R.NO. 1</x:v>
      </x:c>
      <x:c r="C120" s="83" t="n">
        <x:f>'2017 Form20'!H69</x:f>
        <x:v>28</x:v>
      </x:c>
      <x:c r="D120" s="83" t="n">
        <x:f>'2017 Form20'!D69</x:f>
        <x:v>972</x:v>
      </x:c>
      <x:c r="E120" s="50" t="n">
        <x:f>'2017 Form20'!P69</x:f>
        <x:v>0.02880658436213992</x:v>
      </x:c>
      <x:c r="F120" t="n">
        <x:f>'2017 Form20'!Q69</x:f>
        <x:v>744</x:v>
      </x:c>
      <x:c r="G120" t="n">
        <x:f>'2017 Form20'!R69</x:f>
        <x:v>-716</x:v>
      </x:c>
      <x:c r="H120" s="52" t="n">
        <x:f>'2017 Form20'!S69</x:f>
        <x:v>-0.7366255144032922</x:v>
      </x:c>
      <x:c r="I120" t="str">
        <x:v>Vedram Bhati</x:v>
      </x:c>
      <x:c r="J120" t="str">
        <x:v>BSP</x:v>
      </x:c>
      <x:c r="K120" t="str">
        <x:v>EVM row</x:v>
      </x:c>
      <x:c r="L120" s="133" t="str">
        <x:f>IF(D120&lt;=0,"No EVM votes",IF(E120&lt;$N$7,"Low",IF(E120&gt;$R$7,"High","Middle")))</x:f>
        <x:v>Middle</x:v>
      </x:c>
      <x:c r="M120" s="133" t="str">
        <x:f>IF(D120&lt;=0,"No EVM votes",IF(H120&lt;-20%,"Large deficit",IF(H120&lt;-5%,"Moderate deficit",IF(H120&lt;0,"Narrow deficit",IF(H120&lt;=5%,"Narrow lead/tie",IF(H120&lt;=20%,"Moderate lead","Large lead"))))))</x:f>
        <x:v>Large deficit</x:v>
      </x:c>
    </x:row>
    <x:row r="121">
      <x:c r="A121" t="n">
        <x:v>62</x:v>
      </x:c>
      <x:c r="B121" t="str">
        <x:v>PRY. SCHOOL KULIPURA R.NO. 1</x:v>
      </x:c>
      <x:c r="C121" s="83" t="n">
        <x:f>'2017 Form20'!H70</x:f>
        <x:v>23</x:v>
      </x:c>
      <x:c r="D121" s="83" t="n">
        <x:f>'2017 Form20'!D70</x:f>
        <x:v>608</x:v>
      </x:c>
      <x:c r="E121" s="50" t="n">
        <x:f>'2017 Form20'!P70</x:f>
        <x:v>0.03782894736842105</x:v>
      </x:c>
      <x:c r="F121" t="n">
        <x:f>'2017 Form20'!Q70</x:f>
        <x:v>348</x:v>
      </x:c>
      <x:c r="G121" t="n">
        <x:f>'2017 Form20'!R70</x:f>
        <x:v>-325</x:v>
      </x:c>
      <x:c r="H121" s="52" t="n">
        <x:f>'2017 Form20'!S70</x:f>
        <x:v>-0.5345394736842105</x:v>
      </x:c>
      <x:c r="I121" t="str">
        <x:v>Vedram Bhati</x:v>
      </x:c>
      <x:c r="J121" t="str">
        <x:v>BSP</x:v>
      </x:c>
      <x:c r="K121" t="str">
        <x:v>EVM row</x:v>
      </x:c>
      <x:c r="L121" s="133" t="str">
        <x:f>IF(D121&lt;=0,"No EVM votes",IF(E121&lt;$N$7,"Low",IF(E121&gt;$R$7,"High","Middle")))</x:f>
        <x:v>Middle</x:v>
      </x:c>
      <x:c r="M121" s="133" t="str">
        <x:f>IF(D121&lt;=0,"No EVM votes",IF(H121&lt;-20%,"Large deficit",IF(H121&lt;-5%,"Moderate deficit",IF(H121&lt;0,"Narrow deficit",IF(H121&lt;=5%,"Narrow lead/tie",IF(H121&lt;=20%,"Moderate lead","Large lead"))))))</x:f>
        <x:v>Large deficit</x:v>
      </x:c>
    </x:row>
    <x:row r="122">
      <x:c r="A122" t="n">
        <x:v>63</x:v>
      </x:c>
      <x:c r="B122" t="str">
        <x:v>RAJENDRA I. C. VILASPUR R.NO. 1</x:v>
      </x:c>
      <x:c r="C122" s="83" t="n">
        <x:f>'2017 Form20'!H71</x:f>
        <x:v>17</x:v>
      </x:c>
      <x:c r="D122" s="83" t="n">
        <x:f>'2017 Form20'!D71</x:f>
        <x:v>872</x:v>
      </x:c>
      <x:c r="E122" s="50" t="n">
        <x:f>'2017 Form20'!P71</x:f>
        <x:v>0.0194954128440367</x:v>
      </x:c>
      <x:c r="F122" t="n">
        <x:f>'2017 Form20'!Q71</x:f>
        <x:v>403</x:v>
      </x:c>
      <x:c r="G122" t="n">
        <x:f>'2017 Form20'!R71</x:f>
        <x:v>-386</x:v>
      </x:c>
      <x:c r="H122" s="52" t="n">
        <x:f>'2017 Form20'!S71</x:f>
        <x:v>-0.4426605504587156</x:v>
      </x:c>
      <x:c r="I122" t="str">
        <x:v>Dhirendra Singh</x:v>
      </x:c>
      <x:c r="J122" t="str">
        <x:v>BJP</x:v>
      </x:c>
      <x:c r="K122" t="str">
        <x:v>EVM row</x:v>
      </x:c>
      <x:c r="L122" s="133" t="str">
        <x:f>IF(D122&lt;=0,"No EVM votes",IF(E122&lt;$N$7,"Low",IF(E122&gt;$R$7,"High","Middle")))</x:f>
        <x:v>Middle</x:v>
      </x:c>
      <x:c r="M122" s="133" t="str">
        <x:f>IF(D122&lt;=0,"No EVM votes",IF(H122&lt;-20%,"Large deficit",IF(H122&lt;-5%,"Moderate deficit",IF(H122&lt;0,"Narrow deficit",IF(H122&lt;=5%,"Narrow lead/tie",IF(H122&lt;=20%,"Moderate lead","Large lead"))))))</x:f>
        <x:v>Large deficit</x:v>
      </x:c>
    </x:row>
    <x:row r="123">
      <x:c r="A123" t="n">
        <x:v>64</x:v>
      </x:c>
      <x:c r="B123" t="str">
        <x:v>RAJENDRA I. C. VILASPUR R.NO. 2</x:v>
      </x:c>
      <x:c r="C123" s="83" t="n">
        <x:f>'2017 Form20'!H72</x:f>
        <x:v>59</x:v>
      </x:c>
      <x:c r="D123" s="83" t="n">
        <x:f>'2017 Form20'!D72</x:f>
        <x:v>596</x:v>
      </x:c>
      <x:c r="E123" s="50" t="n">
        <x:f>'2017 Form20'!P72</x:f>
        <x:v>0.09899328859060402</x:v>
      </x:c>
      <x:c r="F123" t="n">
        <x:f>'2017 Form20'!Q72</x:f>
        <x:v>231</x:v>
      </x:c>
      <x:c r="G123" t="n">
        <x:f>'2017 Form20'!R72</x:f>
        <x:v>-172</x:v>
      </x:c>
      <x:c r="H123" s="52" t="n">
        <x:f>'2017 Form20'!S72</x:f>
        <x:v>-0.28859060402684567</x:v>
      </x:c>
      <x:c r="I123" t="str">
        <x:v>Vedram Bhati</x:v>
      </x:c>
      <x:c r="J123" t="str">
        <x:v>BSP</x:v>
      </x:c>
      <x:c r="K123" t="str">
        <x:v>EVM row</x:v>
      </x:c>
      <x:c r="L123" s="133" t="str">
        <x:f>IF(D123&lt;=0,"No EVM votes",IF(E123&lt;$N$7,"Low",IF(E123&gt;$R$7,"High","Middle")))</x:f>
        <x:v>High</x:v>
      </x:c>
      <x:c r="M123" s="133" t="str">
        <x:f>IF(D123&lt;=0,"No EVM votes",IF(H123&lt;-20%,"Large deficit",IF(H123&lt;-5%,"Moderate deficit",IF(H123&lt;0,"Narrow deficit",IF(H123&lt;=5%,"Narrow lead/tie",IF(H123&lt;=20%,"Moderate lead","Large lead"))))))</x:f>
        <x:v>Large deficit</x:v>
      </x:c>
    </x:row>
    <x:row r="124">
      <x:c r="A124" t="n">
        <x:v>65</x:v>
      </x:c>
      <x:c r="B124" t="str">
        <x:v>RAJENDRA I. C. VILASPUR R.NO. 3</x:v>
      </x:c>
      <x:c r="C124" s="83" t="n">
        <x:f>'2017 Form20'!H73</x:f>
        <x:v>50</x:v>
      </x:c>
      <x:c r="D124" s="83" t="n">
        <x:f>'2017 Form20'!D73</x:f>
        <x:v>608</x:v>
      </x:c>
      <x:c r="E124" s="50" t="n">
        <x:f>'2017 Form20'!P73</x:f>
        <x:v>0.08223684210526316</x:v>
      </x:c>
      <x:c r="F124" t="n">
        <x:f>'2017 Form20'!Q73</x:f>
        <x:v>314</x:v>
      </x:c>
      <x:c r="G124" t="n">
        <x:f>'2017 Form20'!R73</x:f>
        <x:v>-264</x:v>
      </x:c>
      <x:c r="H124" s="52" t="n">
        <x:f>'2017 Form20'!S73</x:f>
        <x:v>-0.4342105263157895</x:v>
      </x:c>
      <x:c r="I124" t="str">
        <x:v>Vedram Bhati</x:v>
      </x:c>
      <x:c r="J124" t="str">
        <x:v>BSP</x:v>
      </x:c>
      <x:c r="K124" t="str">
        <x:v>EVM row</x:v>
      </x:c>
      <x:c r="L124" s="133" t="str">
        <x:f>IF(D124&lt;=0,"No EVM votes",IF(E124&lt;$N$7,"Low",IF(E124&gt;$R$7,"High","Middle")))</x:f>
        <x:v>High</x:v>
      </x:c>
      <x:c r="M124" s="133" t="str">
        <x:f>IF(D124&lt;=0,"No EVM votes",IF(H124&lt;-20%,"Large deficit",IF(H124&lt;-5%,"Moderate deficit",IF(H124&lt;0,"Narrow deficit",IF(H124&lt;=5%,"Narrow lead/tie",IF(H124&lt;=20%,"Moderate lead","Large lead"))))))</x:f>
        <x:v>Large deficit</x:v>
      </x:c>
    </x:row>
    <x:row r="125">
      <x:c r="A125" t="n">
        <x:v>66</x:v>
      </x:c>
      <x:c r="B125" t="str">
        <x:v>RAJENDRA I. C. VILASPUR R.NO. 4</x:v>
      </x:c>
      <x:c r="C125" s="83" t="n">
        <x:f>'2017 Form20'!H74</x:f>
        <x:v>17</x:v>
      </x:c>
      <x:c r="D125" s="83" t="n">
        <x:f>'2017 Form20'!D74</x:f>
        <x:v>606</x:v>
      </x:c>
      <x:c r="E125" s="50" t="n">
        <x:f>'2017 Form20'!P74</x:f>
        <x:v>0.028052805280528052</x:v>
      </x:c>
      <x:c r="F125" t="n">
        <x:f>'2017 Form20'!Q74</x:f>
        <x:v>364</x:v>
      </x:c>
      <x:c r="G125" t="n">
        <x:f>'2017 Form20'!R74</x:f>
        <x:v>-347</x:v>
      </x:c>
      <x:c r="H125" s="52" t="n">
        <x:f>'2017 Form20'!S74</x:f>
        <x:v>-0.5726072607260726</x:v>
      </x:c>
      <x:c r="I125" t="str">
        <x:v>Dhirendra Singh</x:v>
      </x:c>
      <x:c r="J125" t="str">
        <x:v>BJP</x:v>
      </x:c>
      <x:c r="K125" t="str">
        <x:v>EVM row</x:v>
      </x:c>
      <x:c r="L125" s="133" t="str">
        <x:f>IF(D125&lt;=0,"No EVM votes",IF(E125&lt;$N$7,"Low",IF(E125&gt;$R$7,"High","Middle")))</x:f>
        <x:v>Middle</x:v>
      </x:c>
      <x:c r="M125" s="133" t="str">
        <x:f>IF(D125&lt;=0,"No EVM votes",IF(H125&lt;-20%,"Large deficit",IF(H125&lt;-5%,"Moderate deficit",IF(H125&lt;0,"Narrow deficit",IF(H125&lt;=5%,"Narrow lead/tie",IF(H125&lt;=20%,"Moderate lead","Large lead"))))))</x:f>
        <x:v>Large deficit</x:v>
      </x:c>
    </x:row>
    <x:row r="126">
      <x:c r="A126" t="n">
        <x:v>67</x:v>
      </x:c>
      <x:c r="B126" t="str">
        <x:v>RAJENDRA I. C. VILASPUR R.NO. 5</x:v>
      </x:c>
      <x:c r="C126" s="83" t="n">
        <x:f>'2017 Form20'!H75</x:f>
        <x:v>7</x:v>
      </x:c>
      <x:c r="D126" s="83" t="n">
        <x:f>'2017 Form20'!D75</x:f>
        <x:v>341</x:v>
      </x:c>
      <x:c r="E126" s="50" t="n">
        <x:f>'2017 Form20'!P75</x:f>
        <x:v>0.020527859237536656</x:v>
      </x:c>
      <x:c r="F126" t="n">
        <x:f>'2017 Form20'!Q75</x:f>
        <x:v>168</x:v>
      </x:c>
      <x:c r="G126" t="n">
        <x:f>'2017 Form20'!R75</x:f>
        <x:v>-161</x:v>
      </x:c>
      <x:c r="H126" s="52" t="n">
        <x:f>'2017 Form20'!S75</x:f>
        <x:v>-0.47214076246334313</x:v>
      </x:c>
      <x:c r="I126" t="str">
        <x:v>Dhirendra Singh</x:v>
      </x:c>
      <x:c r="J126" t="str">
        <x:v>BJP</x:v>
      </x:c>
      <x:c r="K126" t="str">
        <x:v>EVM row</x:v>
      </x:c>
      <x:c r="L126" s="133" t="str">
        <x:f>IF(D126&lt;=0,"No EVM votes",IF(E126&lt;$N$7,"Low",IF(E126&gt;$R$7,"High","Middle")))</x:f>
        <x:v>Middle</x:v>
      </x:c>
      <x:c r="M126" s="133" t="str">
        <x:f>IF(D126&lt;=0,"No EVM votes",IF(H126&lt;-20%,"Large deficit",IF(H126&lt;-5%,"Moderate deficit",IF(H126&lt;0,"Narrow deficit",IF(H126&lt;=5%,"Narrow lead/tie",IF(H126&lt;=20%,"Moderate lead","Large lead"))))))</x:f>
        <x:v>Large deficit</x:v>
      </x:c>
    </x:row>
    <x:row r="127">
      <x:c r="A127" t="n">
        <x:v>68</x:v>
      </x:c>
      <x:c r="B127" t="str">
        <x:v>RAJENDRA I. C. VILASPUR R.NO. 6</x:v>
      </x:c>
      <x:c r="C127" s="83" t="n">
        <x:f>'2017 Form20'!H76</x:f>
        <x:v>22</x:v>
      </x:c>
      <x:c r="D127" s="83" t="n">
        <x:f>'2017 Form20'!D76</x:f>
        <x:v>424</x:v>
      </x:c>
      <x:c r="E127" s="50" t="n">
        <x:f>'2017 Form20'!P76</x:f>
        <x:v>0.05188679245283019</x:v>
      </x:c>
      <x:c r="F127" t="n">
        <x:f>'2017 Form20'!Q76</x:f>
        <x:v>311</x:v>
      </x:c>
      <x:c r="G127" t="n">
        <x:f>'2017 Form20'!R76</x:f>
        <x:v>-289</x:v>
      </x:c>
      <x:c r="H127" s="52" t="n">
        <x:f>'2017 Form20'!S76</x:f>
        <x:v>-0.6816037735849056</x:v>
      </x:c>
      <x:c r="I127" t="str">
        <x:v>Vedram Bhati</x:v>
      </x:c>
      <x:c r="J127" t="str">
        <x:v>BSP</x:v>
      </x:c>
      <x:c r="K127" t="str">
        <x:v>EVM row</x:v>
      </x:c>
      <x:c r="L127" s="133" t="str">
        <x:f>IF(D127&lt;=0,"No EVM votes",IF(E127&lt;$N$7,"Low",IF(E127&gt;$R$7,"High","Middle")))</x:f>
        <x:v>Middle</x:v>
      </x:c>
      <x:c r="M127" s="133" t="str">
        <x:f>IF(D127&lt;=0,"No EVM votes",IF(H127&lt;-20%,"Large deficit",IF(H127&lt;-5%,"Moderate deficit",IF(H127&lt;0,"Narrow deficit",IF(H127&lt;=5%,"Narrow lead/tie",IF(H127&lt;=20%,"Moderate lead","Large lead"))))))</x:f>
        <x:v>Large deficit</x:v>
      </x:c>
    </x:row>
    <x:row r="128">
      <x:c r="A128" t="n">
        <x:v>69</x:v>
      </x:c>
      <x:c r="B128" t="str">
        <x:v>RAJENDRA I. C. VILASPUR R.NO. 7</x:v>
      </x:c>
      <x:c r="C128" s="83" t="n">
        <x:f>'2017 Form20'!H77</x:f>
        <x:v>62</x:v>
      </x:c>
      <x:c r="D128" s="83" t="n">
        <x:f>'2017 Form20'!D77</x:f>
        <x:v>579</x:v>
      </x:c>
      <x:c r="E128" s="50" t="n">
        <x:f>'2017 Form20'!P77</x:f>
        <x:v>0.1070811744386874</x:v>
      </x:c>
      <x:c r="F128" t="n">
        <x:f>'2017 Form20'!Q77</x:f>
        <x:v>407</x:v>
      </x:c>
      <x:c r="G128" t="n">
        <x:f>'2017 Form20'!R77</x:f>
        <x:v>-345</x:v>
      </x:c>
      <x:c r="H128" s="52" t="n">
        <x:f>'2017 Form20'!S77</x:f>
        <x:v>-0.5958549222797928</x:v>
      </x:c>
      <x:c r="I128" t="str">
        <x:v>Vedram Bhati</x:v>
      </x:c>
      <x:c r="J128" t="str">
        <x:v>BSP</x:v>
      </x:c>
      <x:c r="K128" t="str">
        <x:v>EVM row</x:v>
      </x:c>
      <x:c r="L128" s="133" t="str">
        <x:f>IF(D128&lt;=0,"No EVM votes",IF(E128&lt;$N$7,"Low",IF(E128&gt;$R$7,"High","Middle")))</x:f>
        <x:v>High</x:v>
      </x:c>
      <x:c r="M128" s="133" t="str">
        <x:f>IF(D128&lt;=0,"No EVM votes",IF(H128&lt;-20%,"Large deficit",IF(H128&lt;-5%,"Moderate deficit",IF(H128&lt;0,"Narrow deficit",IF(H128&lt;=5%,"Narrow lead/tie",IF(H128&lt;=20%,"Moderate lead","Large lead"))))))</x:f>
        <x:v>Large deficit</x:v>
      </x:c>
    </x:row>
    <x:row r="129">
      <x:c r="A129" t="n">
        <x:v>70</x:v>
      </x:c>
      <x:c r="B129" t="str">
        <x:v>RAJENDRA I. C. VILASPUR R.NO. 8</x:v>
      </x:c>
      <x:c r="C129" s="83" t="n">
        <x:f>'2017 Form20'!H78</x:f>
        <x:v>38</x:v>
      </x:c>
      <x:c r="D129" s="83" t="n">
        <x:f>'2017 Form20'!D78</x:f>
        <x:v>885</x:v>
      </x:c>
      <x:c r="E129" s="50" t="n">
        <x:f>'2017 Form20'!P78</x:f>
        <x:v>0.04293785310734463</x:v>
      </x:c>
      <x:c r="F129" t="n">
        <x:f>'2017 Form20'!Q78</x:f>
        <x:v>683</x:v>
      </x:c>
      <x:c r="G129" t="n">
        <x:f>'2017 Form20'!R78</x:f>
        <x:v>-645</x:v>
      </x:c>
      <x:c r="H129" s="52" t="n">
        <x:f>'2017 Form20'!S78</x:f>
        <x:v>-0.7288135593220338</x:v>
      </x:c>
      <x:c r="I129" t="str">
        <x:v>Vedram Bhati</x:v>
      </x:c>
      <x:c r="J129" t="str">
        <x:v>BSP</x:v>
      </x:c>
      <x:c r="K129" t="str">
        <x:v>EVM row</x:v>
      </x:c>
      <x:c r="L129" s="133" t="str">
        <x:f>IF(D129&lt;=0,"No EVM votes",IF(E129&lt;$N$7,"Low",IF(E129&gt;$R$7,"High","Middle")))</x:f>
        <x:v>Middle</x:v>
      </x:c>
      <x:c r="M129" s="133" t="str">
        <x:f>IF(D129&lt;=0,"No EVM votes",IF(H129&lt;-20%,"Large deficit",IF(H129&lt;-5%,"Moderate deficit",IF(H129&lt;0,"Narrow deficit",IF(H129&lt;=5%,"Narrow lead/tie",IF(H129&lt;=20%,"Moderate lead","Large lead"))))))</x:f>
        <x:v>Large deficit</x:v>
      </x:c>
    </x:row>
    <x:row r="130">
      <x:c r="A130" t="n">
        <x:v>71</x:v>
      </x:c>
      <x:c r="B130" t="str">
        <x:v>PRY. SCHOOL AZAMPUR GARHI R.NO. 1</x:v>
      </x:c>
      <x:c r="C130" s="83" t="n">
        <x:f>'2017 Form20'!H79</x:f>
        <x:v>9</x:v>
      </x:c>
      <x:c r="D130" s="83" t="n">
        <x:f>'2017 Form20'!D79</x:f>
        <x:v>690</x:v>
      </x:c>
      <x:c r="E130" s="50" t="n">
        <x:f>'2017 Form20'!P79</x:f>
        <x:v>0.013043478260869565</x:v>
      </x:c>
      <x:c r="F130" t="n">
        <x:f>'2017 Form20'!Q79</x:f>
        <x:v>424</x:v>
      </x:c>
      <x:c r="G130" t="n">
        <x:f>'2017 Form20'!R79</x:f>
        <x:v>-415</x:v>
      </x:c>
      <x:c r="H130" s="52" t="n">
        <x:f>'2017 Form20'!S79</x:f>
        <x:v>-0.6014492753623188</x:v>
      </x:c>
      <x:c r="I130" t="str">
        <x:v>Dhirendra Singh</x:v>
      </x:c>
      <x:c r="J130" t="str">
        <x:v>BJP</x:v>
      </x:c>
      <x:c r="K130" t="str">
        <x:v>EVM row</x:v>
      </x:c>
      <x:c r="L130" s="133" t="str">
        <x:f>IF(D130&lt;=0,"No EVM votes",IF(E130&lt;$N$7,"Low",IF(E130&gt;$R$7,"High","Middle")))</x:f>
        <x:v>Low</x:v>
      </x:c>
      <x:c r="M130" s="133" t="str">
        <x:f>IF(D130&lt;=0,"No EVM votes",IF(H130&lt;-20%,"Large deficit",IF(H130&lt;-5%,"Moderate deficit",IF(H130&lt;0,"Narrow deficit",IF(H130&lt;=5%,"Narrow lead/tie",IF(H130&lt;=20%,"Moderate lead","Large lead"))))))</x:f>
        <x:v>Large deficit</x:v>
      </x:c>
    </x:row>
    <x:row r="131">
      <x:c r="A131" t="n">
        <x:v>72</x:v>
      </x:c>
      <x:c r="B131" t="str">
        <x:v>PRY. SCHOOL BANJARPUR R.NO. 1</x:v>
      </x:c>
      <x:c r="C131" s="83" t="n">
        <x:f>'2017 Form20'!H80</x:f>
        <x:v>35</x:v>
      </x:c>
      <x:c r="D131" s="83" t="n">
        <x:f>'2017 Form20'!D80</x:f>
        <x:v>910</x:v>
      </x:c>
      <x:c r="E131" s="50" t="n">
        <x:f>'2017 Form20'!P80</x:f>
        <x:v>0.038461538461538464</x:v>
      </x:c>
      <x:c r="F131" t="n">
        <x:f>'2017 Form20'!Q80</x:f>
        <x:v>533</x:v>
      </x:c>
      <x:c r="G131" t="n">
        <x:f>'2017 Form20'!R80</x:f>
        <x:v>-498</x:v>
      </x:c>
      <x:c r="H131" s="52" t="n">
        <x:f>'2017 Form20'!S80</x:f>
        <x:v>-0.5472527472527473</x:v>
      </x:c>
      <x:c r="I131" t="str">
        <x:v>Vedram Bhati</x:v>
      </x:c>
      <x:c r="J131" t="str">
        <x:v>BSP</x:v>
      </x:c>
      <x:c r="K131" t="str">
        <x:v>EVM row</x:v>
      </x:c>
      <x:c r="L131" s="133" t="str">
        <x:f>IF(D131&lt;=0,"No EVM votes",IF(E131&lt;$N$7,"Low",IF(E131&gt;$R$7,"High","Middle")))</x:f>
        <x:v>Middle</x:v>
      </x:c>
      <x:c r="M131" s="133" t="str">
        <x:f>IF(D131&lt;=0,"No EVM votes",IF(H131&lt;-20%,"Large deficit",IF(H131&lt;-5%,"Moderate deficit",IF(H131&lt;0,"Narrow deficit",IF(H131&lt;=5%,"Narrow lead/tie",IF(H131&lt;=20%,"Moderate lead","Large lead"))))))</x:f>
        <x:v>Large deficit</x:v>
      </x:c>
    </x:row>
    <x:row r="132">
      <x:c r="A132" t="n">
        <x:v>73</x:v>
      </x:c>
      <x:c r="B132" t="str">
        <x:v>PRY. SCHOOL SARAKPUR R.NO. 1</x:v>
      </x:c>
      <x:c r="C132" s="83" t="n">
        <x:f>'2017 Form20'!H81</x:f>
        <x:v>16</x:v>
      </x:c>
      <x:c r="D132" s="83" t="n">
        <x:f>'2017 Form20'!D81</x:f>
        <x:v>516</x:v>
      </x:c>
      <x:c r="E132" s="50" t="n">
        <x:f>'2017 Form20'!P81</x:f>
        <x:v>0.031007751937984496</x:v>
      </x:c>
      <x:c r="F132" t="n">
        <x:f>'2017 Form20'!Q81</x:f>
        <x:v>277</x:v>
      </x:c>
      <x:c r="G132" t="n">
        <x:f>'2017 Form20'!R81</x:f>
        <x:v>-261</x:v>
      </x:c>
      <x:c r="H132" s="52" t="n">
        <x:f>'2017 Form20'!S81</x:f>
        <x:v>-0.5058139534883721</x:v>
      </x:c>
      <x:c r="I132" t="str">
        <x:v>Dhirendra Singh</x:v>
      </x:c>
      <x:c r="J132" t="str">
        <x:v>BJP</x:v>
      </x:c>
      <x:c r="K132" t="str">
        <x:v>EVM row</x:v>
      </x:c>
      <x:c r="L132" s="133" t="str">
        <x:f>IF(D132&lt;=0,"No EVM votes",IF(E132&lt;$N$7,"Low",IF(E132&gt;$R$7,"High","Middle")))</x:f>
        <x:v>Middle</x:v>
      </x:c>
      <x:c r="M132" s="133" t="str">
        <x:f>IF(D132&lt;=0,"No EVM votes",IF(H132&lt;-20%,"Large deficit",IF(H132&lt;-5%,"Moderate deficit",IF(H132&lt;0,"Narrow deficit",IF(H132&lt;=5%,"Narrow lead/tie",IF(H132&lt;=20%,"Moderate lead","Large lead"))))))</x:f>
        <x:v>Large deficit</x:v>
      </x:c>
    </x:row>
    <x:row r="133">
      <x:c r="A133" t="n">
        <x:v>74</x:v>
      </x:c>
      <x:c r="B133" t="str">
        <x:v>PRY. SCHOOL BHATTA R.NO. 1</x:v>
      </x:c>
      <x:c r="C133" s="83" t="n">
        <x:f>'2017 Form20'!H82</x:f>
        <x:v>60</x:v>
      </x:c>
      <x:c r="D133" s="83" t="n">
        <x:f>'2017 Form20'!D82</x:f>
        <x:v>849</x:v>
      </x:c>
      <x:c r="E133" s="50" t="n">
        <x:f>'2017 Form20'!P82</x:f>
        <x:v>0.0706713780918728</x:v>
      </x:c>
      <x:c r="F133" t="n">
        <x:f>'2017 Form20'!Q82</x:f>
        <x:v>443</x:v>
      </x:c>
      <x:c r="G133" t="n">
        <x:f>'2017 Form20'!R82</x:f>
        <x:v>-383</x:v>
      </x:c>
      <x:c r="H133" s="52" t="n">
        <x:f>'2017 Form20'!S82</x:f>
        <x:v>-0.45111896348645464</x:v>
      </x:c>
      <x:c r="I133" t="str">
        <x:v>Dhirendra Singh</x:v>
      </x:c>
      <x:c r="J133" t="str">
        <x:v>BJP</x:v>
      </x:c>
      <x:c r="K133" t="str">
        <x:v>EVM row</x:v>
      </x:c>
      <x:c r="L133" s="133" t="str">
        <x:f>IF(D133&lt;=0,"No EVM votes",IF(E133&lt;$N$7,"Low",IF(E133&gt;$R$7,"High","Middle")))</x:f>
        <x:v>High</x:v>
      </x:c>
      <x:c r="M133" s="133" t="str">
        <x:f>IF(D133&lt;=0,"No EVM votes",IF(H133&lt;-20%,"Large deficit",IF(H133&lt;-5%,"Moderate deficit",IF(H133&lt;0,"Narrow deficit",IF(H133&lt;=5%,"Narrow lead/tie",IF(H133&lt;=20%,"Moderate lead","Large lead"))))))</x:f>
        <x:v>Large deficit</x:v>
      </x:c>
    </x:row>
    <x:row r="134">
      <x:c r="A134" t="n">
        <x:v>75</x:v>
      </x:c>
      <x:c r="B134" t="str">
        <x:v>PRY. SCHOOL BHATTA R.NO. 2</x:v>
      </x:c>
      <x:c r="C134" s="83" t="n">
        <x:f>'2017 Form20'!H83</x:f>
        <x:v>20</x:v>
      </x:c>
      <x:c r="D134" s="83" t="n">
        <x:f>'2017 Form20'!D83</x:f>
        <x:v>417</x:v>
      </x:c>
      <x:c r="E134" s="50" t="n">
        <x:f>'2017 Form20'!P83</x:f>
        <x:v>0.047961630695443645</x:v>
      </x:c>
      <x:c r="F134" t="n">
        <x:f>'2017 Form20'!Q83</x:f>
        <x:v>273</x:v>
      </x:c>
      <x:c r="G134" t="n">
        <x:f>'2017 Form20'!R83</x:f>
        <x:v>-253</x:v>
      </x:c>
      <x:c r="H134" s="52" t="n">
        <x:f>'2017 Form20'!S83</x:f>
        <x:v>-0.6067146282973621</x:v>
      </x:c>
      <x:c r="I134" t="str">
        <x:v>Dhirendra Singh</x:v>
      </x:c>
      <x:c r="J134" t="str">
        <x:v>BJP</x:v>
      </x:c>
      <x:c r="K134" t="str">
        <x:v>EVM row</x:v>
      </x:c>
      <x:c r="L134" s="133" t="str">
        <x:f>IF(D134&lt;=0,"No EVM votes",IF(E134&lt;$N$7,"Low",IF(E134&gt;$R$7,"High","Middle")))</x:f>
        <x:v>Middle</x:v>
      </x:c>
      <x:c r="M134" s="133" t="str">
        <x:f>IF(D134&lt;=0,"No EVM votes",IF(H134&lt;-20%,"Large deficit",IF(H134&lt;-5%,"Moderate deficit",IF(H134&lt;0,"Narrow deficit",IF(H134&lt;=5%,"Narrow lead/tie",IF(H134&lt;=20%,"Moderate lead","Large lead"))))))</x:f>
        <x:v>Large deficit</x:v>
      </x:c>
    </x:row>
    <x:row r="135">
      <x:c r="A135" t="n">
        <x:v>76</x:v>
      </x:c>
      <x:c r="B135" t="str">
        <x:v>PRY. SCHOOL BHATTA R.NO. 3</x:v>
      </x:c>
      <x:c r="C135" s="83" t="n">
        <x:f>'2017 Form20'!H84</x:f>
        <x:v>22</x:v>
      </x:c>
      <x:c r="D135" s="83" t="n">
        <x:f>'2017 Form20'!D84</x:f>
        <x:v>474</x:v>
      </x:c>
      <x:c r="E135" s="50" t="n">
        <x:f>'2017 Form20'!P84</x:f>
        <x:v>0.046413502109704644</x:v>
      </x:c>
      <x:c r="F135" t="n">
        <x:f>'2017 Form20'!Q84</x:f>
        <x:v>215</x:v>
      </x:c>
      <x:c r="G135" t="n">
        <x:f>'2017 Form20'!R84</x:f>
        <x:v>-193</x:v>
      </x:c>
      <x:c r="H135" s="52" t="n">
        <x:f>'2017 Form20'!S84</x:f>
        <x:v>-0.40717299578059074</x:v>
      </x:c>
      <x:c r="I135" t="str">
        <x:v>Vedram Bhati</x:v>
      </x:c>
      <x:c r="J135" t="str">
        <x:v>BSP</x:v>
      </x:c>
      <x:c r="K135" t="str">
        <x:v>EVM row</x:v>
      </x:c>
      <x:c r="L135" s="133" t="str">
        <x:f>IF(D135&lt;=0,"No EVM votes",IF(E135&lt;$N$7,"Low",IF(E135&gt;$R$7,"High","Middle")))</x:f>
        <x:v>Middle</x:v>
      </x:c>
      <x:c r="M135" s="133" t="str">
        <x:f>IF(D135&lt;=0,"No EVM votes",IF(H135&lt;-20%,"Large deficit",IF(H135&lt;-5%,"Moderate deficit",IF(H135&lt;0,"Narrow deficit",IF(H135&lt;=5%,"Narrow lead/tie",IF(H135&lt;=20%,"Moderate lead","Large lead"))))))</x:f>
        <x:v>Large deficit</x:v>
      </x:c>
    </x:row>
    <x:row r="136">
      <x:c r="A136" t="n">
        <x:v>77</x:v>
      </x:c>
      <x:c r="B136" t="str">
        <x:v>PRY. SCHOOL CHUHARPUR BANGAR R.NO. 1</x:v>
      </x:c>
      <x:c r="C136" s="83" t="n">
        <x:f>'2017 Form20'!H85</x:f>
        <x:v>246</x:v>
      </x:c>
      <x:c r="D136" s="83" t="n">
        <x:f>'2017 Form20'!D85</x:f>
        <x:v>771</x:v>
      </x:c>
      <x:c r="E136" s="50" t="n">
        <x:f>'2017 Form20'!P85</x:f>
        <x:v>0.31906614785992216</x:v>
      </x:c>
      <x:c r="F136" t="n">
        <x:f>'2017 Form20'!Q85</x:f>
        <x:v>376</x:v>
      </x:c>
      <x:c r="G136" t="n">
        <x:f>'2017 Form20'!R85</x:f>
        <x:v>-130</x:v>
      </x:c>
      <x:c r="H136" s="52" t="n">
        <x:f>'2017 Form20'!S85</x:f>
        <x:v>-0.16861219195849547</x:v>
      </x:c>
      <x:c r="I136" t="str">
        <x:v>Vedram Bhati</x:v>
      </x:c>
      <x:c r="J136" t="str">
        <x:v>BSP</x:v>
      </x:c>
      <x:c r="K136" t="str">
        <x:v>EVM row</x:v>
      </x:c>
      <x:c r="L136" s="133" t="str">
        <x:f>IF(D136&lt;=0,"No EVM votes",IF(E136&lt;$N$7,"Low",IF(E136&gt;$R$7,"High","Middle")))</x:f>
        <x:v>High</x:v>
      </x:c>
      <x:c r="M136" s="133" t="str">
        <x:f>IF(D136&lt;=0,"No EVM votes",IF(H136&lt;-20%,"Large deficit",IF(H136&lt;-5%,"Moderate deficit",IF(H136&lt;0,"Narrow deficit",IF(H136&lt;=5%,"Narrow lead/tie",IF(H136&lt;=20%,"Moderate lead","Large lead"))))))</x:f>
        <x:v>Moderate deficit</x:v>
      </x:c>
    </x:row>
    <x:row r="137">
      <x:c r="A137" t="n">
        <x:v>78</x:v>
      </x:c>
      <x:c r="B137" t="str">
        <x:v>PRY. PATH. TALRA R.NO. 1</x:v>
      </x:c>
      <x:c r="C137" s="83" t="n">
        <x:f>'2017 Form20'!H86</x:f>
        <x:v>25</x:v>
      </x:c>
      <x:c r="D137" s="83" t="n">
        <x:f>'2017 Form20'!D86</x:f>
        <x:v>805</x:v>
      </x:c>
      <x:c r="E137" s="50" t="n">
        <x:f>'2017 Form20'!P86</x:f>
        <x:v>0.031055900621118012</x:v>
      </x:c>
      <x:c r="F137" t="n">
        <x:f>'2017 Form20'!Q86</x:f>
        <x:v>543</x:v>
      </x:c>
      <x:c r="G137" t="n">
        <x:f>'2017 Form20'!R86</x:f>
        <x:v>-518</x:v>
      </x:c>
      <x:c r="H137" s="52" t="n">
        <x:f>'2017 Form20'!S86</x:f>
        <x:v>-0.6434782608695652</x:v>
      </x:c>
      <x:c r="I137" t="str">
        <x:v>Vedram Bhati</x:v>
      </x:c>
      <x:c r="J137" t="str">
        <x:v>BSP</x:v>
      </x:c>
      <x:c r="K137" t="str">
        <x:v>EVM row</x:v>
      </x:c>
      <x:c r="L137" s="133" t="str">
        <x:f>IF(D137&lt;=0,"No EVM votes",IF(E137&lt;$N$7,"Low",IF(E137&gt;$R$7,"High","Middle")))</x:f>
        <x:v>Middle</x:v>
      </x:c>
      <x:c r="M137" s="133" t="str">
        <x:f>IF(D137&lt;=0,"No EVM votes",IF(H137&lt;-20%,"Large deficit",IF(H137&lt;-5%,"Moderate deficit",IF(H137&lt;0,"Narrow deficit",IF(H137&lt;=5%,"Narrow lead/tie",IF(H137&lt;=20%,"Moderate lead","Large lead"))))))</x:f>
        <x:v>Large deficit</x:v>
      </x:c>
    </x:row>
    <x:row r="138">
      <x:c r="A138" t="n">
        <x:v>79</x:v>
      </x:c>
      <x:c r="B138" t="str">
        <x:v>PRY. SCHOOL HATEVA R.NO. 1</x:v>
      </x:c>
      <x:c r="C138" s="83" t="n">
        <x:f>'2017 Form20'!H87</x:f>
        <x:v>11</x:v>
      </x:c>
      <x:c r="D138" s="83" t="n">
        <x:f>'2017 Form20'!D87</x:f>
        <x:v>870</x:v>
      </x:c>
      <x:c r="E138" s="50" t="n">
        <x:f>'2017 Form20'!P87</x:f>
        <x:v>0.01264367816091954</x:v>
      </x:c>
      <x:c r="F138" t="n">
        <x:f>'2017 Form20'!Q87</x:f>
        <x:v>425</x:v>
      </x:c>
      <x:c r="G138" t="n">
        <x:f>'2017 Form20'!R87</x:f>
        <x:v>-414</x:v>
      </x:c>
      <x:c r="H138" s="52" t="n">
        <x:f>'2017 Form20'!S87</x:f>
        <x:v>-0.47586206896551725</x:v>
      </x:c>
      <x:c r="I138" t="str">
        <x:v>Dhirendra Singh</x:v>
      </x:c>
      <x:c r="J138" t="str">
        <x:v>BJP</x:v>
      </x:c>
      <x:c r="K138" t="str">
        <x:v>EVM row</x:v>
      </x:c>
      <x:c r="L138" s="133" t="str">
        <x:f>IF(D138&lt;=0,"No EVM votes",IF(E138&lt;$N$7,"Low",IF(E138&gt;$R$7,"High","Middle")))</x:f>
        <x:v>Low</x:v>
      </x:c>
      <x:c r="M138" s="133" t="str">
        <x:f>IF(D138&lt;=0,"No EVM votes",IF(H138&lt;-20%,"Large deficit",IF(H138&lt;-5%,"Moderate deficit",IF(H138&lt;0,"Narrow deficit",IF(H138&lt;=5%,"Narrow lead/tie",IF(H138&lt;=20%,"Moderate lead","Large lead"))))))</x:f>
        <x:v>Large deficit</x:v>
      </x:c>
    </x:row>
    <x:row r="139">
      <x:c r="A139" t="n">
        <x:v>80</x:v>
      </x:c>
      <x:c r="B139" t="str">
        <x:v>PRY. SCHOOL DALEL GARH R.NO. 1</x:v>
      </x:c>
      <x:c r="C139" s="83" t="n">
        <x:f>'2017 Form20'!H88</x:f>
        <x:v>21</x:v>
      </x:c>
      <x:c r="D139" s="83" t="n">
        <x:f>'2017 Form20'!D88</x:f>
        <x:v>975</x:v>
      </x:c>
      <x:c r="E139" s="50" t="n">
        <x:f>'2017 Form20'!P88</x:f>
        <x:v>0.021538461538461538</x:v>
      </x:c>
      <x:c r="F139" t="n">
        <x:f>'2017 Form20'!Q88</x:f>
        <x:v>623</x:v>
      </x:c>
      <x:c r="G139" t="n">
        <x:f>'2017 Form20'!R88</x:f>
        <x:v>-602</x:v>
      </x:c>
      <x:c r="H139" s="52" t="n">
        <x:f>'2017 Form20'!S88</x:f>
        <x:v>-0.6174358974358974</x:v>
      </x:c>
      <x:c r="I139" t="str">
        <x:v>Vedram Bhati</x:v>
      </x:c>
      <x:c r="J139" t="str">
        <x:v>BSP</x:v>
      </x:c>
      <x:c r="K139" t="str">
        <x:v>EVM row</x:v>
      </x:c>
      <x:c r="L139" s="133" t="str">
        <x:f>IF(D139&lt;=0,"No EVM votes",IF(E139&lt;$N$7,"Low",IF(E139&gt;$R$7,"High","Middle")))</x:f>
        <x:v>Middle</x:v>
      </x:c>
      <x:c r="M139" s="133" t="str">
        <x:f>IF(D139&lt;=0,"No EVM votes",IF(H139&lt;-20%,"Large deficit",IF(H139&lt;-5%,"Moderate deficit",IF(H139&lt;0,"Narrow deficit",IF(H139&lt;=5%,"Narrow lead/tie",IF(H139&lt;=20%,"Moderate lead","Large lead"))))))</x:f>
        <x:v>Large deficit</x:v>
      </x:c>
    </x:row>
    <x:row r="140">
      <x:c r="A140" t="n">
        <x:v>81</x:v>
      </x:c>
      <x:c r="B140" t="str">
        <x:v>PRY. SCHOOL BAGPUR R.NO. 1</x:v>
      </x:c>
      <x:c r="C140" s="83" t="n">
        <x:f>'2017 Form20'!H89</x:f>
        <x:v>26</x:v>
      </x:c>
      <x:c r="D140" s="83" t="n">
        <x:f>'2017 Form20'!D89</x:f>
        <x:v>718</x:v>
      </x:c>
      <x:c r="E140" s="50" t="n">
        <x:f>'2017 Form20'!P89</x:f>
        <x:v>0.036211699164345405</x:v>
      </x:c>
      <x:c r="F140" t="n">
        <x:f>'2017 Form20'!Q89</x:f>
        <x:v>379</x:v>
      </x:c>
      <x:c r="G140" t="n">
        <x:f>'2017 Form20'!R89</x:f>
        <x:v>-353</x:v>
      </x:c>
      <x:c r="H140" s="52" t="n">
        <x:f>'2017 Form20'!S89</x:f>
        <x:v>-0.49164345403899723</x:v>
      </x:c>
      <x:c r="I140" t="str">
        <x:v>Dhirendra Singh</x:v>
      </x:c>
      <x:c r="J140" t="str">
        <x:v>BJP</x:v>
      </x:c>
      <x:c r="K140" t="str">
        <x:v>EVM row</x:v>
      </x:c>
      <x:c r="L140" s="133" t="str">
        <x:f>IF(D140&lt;=0,"No EVM votes",IF(E140&lt;$N$7,"Low",IF(E140&gt;$R$7,"High","Middle")))</x:f>
        <x:v>Middle</x:v>
      </x:c>
      <x:c r="M140" s="133" t="str">
        <x:f>IF(D140&lt;=0,"No EVM votes",IF(H140&lt;-20%,"Large deficit",IF(H140&lt;-5%,"Moderate deficit",IF(H140&lt;0,"Narrow deficit",IF(H140&lt;=5%,"Narrow lead/tie",IF(H140&lt;=20%,"Moderate lead","Large lead"))))))</x:f>
        <x:v>Large deficit</x:v>
      </x:c>
    </x:row>
    <x:row r="141">
      <x:c r="A141" t="n">
        <x:v>82</x:v>
      </x:c>
      <x:c r="B141" t="str">
        <x:v>PRY. SCHOOL PIPLKA SURATPUR R.NO. 1</x:v>
      </x:c>
      <x:c r="C141" s="83" t="n">
        <x:f>'2017 Form20'!H90</x:f>
        <x:v>4</x:v>
      </x:c>
      <x:c r="D141" s="83" t="n">
        <x:f>'2017 Form20'!D90</x:f>
        <x:v>483</x:v>
      </x:c>
      <x:c r="E141" s="50" t="n">
        <x:f>'2017 Form20'!P90</x:f>
        <x:v>0.008281573498964804</x:v>
      </x:c>
      <x:c r="F141" t="n">
        <x:f>'2017 Form20'!Q90</x:f>
        <x:v>271</x:v>
      </x:c>
      <x:c r="G141" t="n">
        <x:f>'2017 Form20'!R90</x:f>
        <x:v>-267</x:v>
      </x:c>
      <x:c r="H141" s="52" t="n">
        <x:f>'2017 Form20'!S90</x:f>
        <x:v>-0.5527950310559007</x:v>
      </x:c>
      <x:c r="I141" t="str">
        <x:v>Vedram Bhati</x:v>
      </x:c>
      <x:c r="J141" t="str">
        <x:v>BSP</x:v>
      </x:c>
      <x:c r="K141" t="str">
        <x:v>EVM row</x:v>
      </x:c>
      <x:c r="L141" s="133" t="str">
        <x:f>IF(D141&lt;=0,"No EVM votes",IF(E141&lt;$N$7,"Low",IF(E141&gt;$R$7,"High","Middle")))</x:f>
        <x:v>Low</x:v>
      </x:c>
      <x:c r="M141" s="133" t="str">
        <x:f>IF(D141&lt;=0,"No EVM votes",IF(H141&lt;-20%,"Large deficit",IF(H141&lt;-5%,"Moderate deficit",IF(H141&lt;0,"Narrow deficit",IF(H141&lt;=5%,"Narrow lead/tie",IF(H141&lt;=20%,"Moderate lead","Large lead"))))))</x:f>
        <x:v>Large deficit</x:v>
      </x:c>
    </x:row>
    <x:row r="142">
      <x:c r="A142" t="n">
        <x:v>83</x:v>
      </x:c>
      <x:c r="B142" t="str">
        <x:v>PRY. SCHOOL PIPLKA SURATPUR R.NO. 2</x:v>
      </x:c>
      <x:c r="C142" s="83" t="n">
        <x:f>'2017 Form20'!H91</x:f>
        <x:v>10</x:v>
      </x:c>
      <x:c r="D142" s="83" t="n">
        <x:f>'2017 Form20'!D91</x:f>
        <x:v>758</x:v>
      </x:c>
      <x:c r="E142" s="50" t="n">
        <x:f>'2017 Form20'!P91</x:f>
        <x:v>0.013192612137203167</x:v>
      </x:c>
      <x:c r="F142" t="n">
        <x:f>'2017 Form20'!Q91</x:f>
        <x:v>438</x:v>
      </x:c>
      <x:c r="G142" t="n">
        <x:f>'2017 Form20'!R91</x:f>
        <x:v>-428</x:v>
      </x:c>
      <x:c r="H142" s="52" t="n">
        <x:f>'2017 Form20'!S91</x:f>
        <x:v>-0.5646437994722955</x:v>
      </x:c>
      <x:c r="I142" t="str">
        <x:v>Dhirendra Singh</x:v>
      </x:c>
      <x:c r="J142" t="str">
        <x:v>BJP</x:v>
      </x:c>
      <x:c r="K142" t="str">
        <x:v>EVM row</x:v>
      </x:c>
      <x:c r="L142" s="133" t="str">
        <x:f>IF(D142&lt;=0,"No EVM votes",IF(E142&lt;$N$7,"Low",IF(E142&gt;$R$7,"High","Middle")))</x:f>
        <x:v>Low</x:v>
      </x:c>
      <x:c r="M142" s="133" t="str">
        <x:f>IF(D142&lt;=0,"No EVM votes",IF(H142&lt;-20%,"Large deficit",IF(H142&lt;-5%,"Moderate deficit",IF(H142&lt;0,"Narrow deficit",IF(H142&lt;=5%,"Narrow lead/tie",IF(H142&lt;=20%,"Moderate lead","Large lead"))))))</x:f>
        <x:v>Large deficit</x:v>
      </x:c>
    </x:row>
    <x:row r="143">
      <x:c r="A143" t="n">
        <x:v>84</x:v>
      </x:c>
      <x:c r="B143" t="str">
        <x:v>PRY. SCHOOL VISAECH R.NO. 1</x:v>
      </x:c>
      <x:c r="C143" s="83" t="n">
        <x:f>'2017 Form20'!H92</x:f>
        <x:v>10</x:v>
      </x:c>
      <x:c r="D143" s="83" t="n">
        <x:f>'2017 Form20'!D92</x:f>
        <x:v>361</x:v>
      </x:c>
      <x:c r="E143" s="50" t="n">
        <x:f>'2017 Form20'!P92</x:f>
        <x:v>0.027700831024930747</x:v>
      </x:c>
      <x:c r="F143" t="n">
        <x:f>'2017 Form20'!Q92</x:f>
        <x:v>188</x:v>
      </x:c>
      <x:c r="G143" t="n">
        <x:f>'2017 Form20'!R92</x:f>
        <x:v>-178</x:v>
      </x:c>
      <x:c r="H143" s="52" t="n">
        <x:f>'2017 Form20'!S92</x:f>
        <x:v>-0.4930747922437673</x:v>
      </x:c>
      <x:c r="I143" t="str">
        <x:v>Vedram Bhati</x:v>
      </x:c>
      <x:c r="J143" t="str">
        <x:v>BSP</x:v>
      </x:c>
      <x:c r="K143" t="str">
        <x:v>EVM row</x:v>
      </x:c>
      <x:c r="L143" s="133" t="str">
        <x:f>IF(D143&lt;=0,"No EVM votes",IF(E143&lt;$N$7,"Low",IF(E143&gt;$R$7,"High","Middle")))</x:f>
        <x:v>Middle</x:v>
      </x:c>
      <x:c r="M143" s="133" t="str">
        <x:f>IF(D143&lt;=0,"No EVM votes",IF(H143&lt;-20%,"Large deficit",IF(H143&lt;-5%,"Moderate deficit",IF(H143&lt;0,"Narrow deficit",IF(H143&lt;=5%,"Narrow lead/tie",IF(H143&lt;=20%,"Moderate lead","Large lead"))))))</x:f>
        <x:v>Large deficit</x:v>
      </x:c>
    </x:row>
    <x:row r="144">
      <x:c r="A144" t="n">
        <x:v>85</x:v>
      </x:c>
      <x:c r="B144" t="str">
        <x:v>PRY. SCHOOL DADUPUR DANKAUR R.NO. 1</x:v>
      </x:c>
      <x:c r="C144" s="83" t="n">
        <x:f>'2017 Form20'!H93</x:f>
        <x:v>7</x:v>
      </x:c>
      <x:c r="D144" s="83" t="n">
        <x:f>'2017 Form20'!D93</x:f>
        <x:v>856</x:v>
      </x:c>
      <x:c r="E144" s="50" t="n">
        <x:f>'2017 Form20'!P93</x:f>
        <x:v>0.008177570093457943</x:v>
      </x:c>
      <x:c r="F144" t="n">
        <x:f>'2017 Form20'!Q93</x:f>
        <x:v>469</x:v>
      </x:c>
      <x:c r="G144" t="n">
        <x:f>'2017 Form20'!R93</x:f>
        <x:v>-462</x:v>
      </x:c>
      <x:c r="H144" s="52" t="n">
        <x:f>'2017 Form20'!S93</x:f>
        <x:v>-0.5397196261682243</x:v>
      </x:c>
      <x:c r="I144" t="str">
        <x:v>Vedram Bhati</x:v>
      </x:c>
      <x:c r="J144" t="str">
        <x:v>BSP</x:v>
      </x:c>
      <x:c r="K144" t="str">
        <x:v>EVM row</x:v>
      </x:c>
      <x:c r="L144" s="133" t="str">
        <x:f>IF(D144&lt;=0,"No EVM votes",IF(E144&lt;$N$7,"Low",IF(E144&gt;$R$7,"High","Middle")))</x:f>
        <x:v>Low</x:v>
      </x:c>
      <x:c r="M144" s="133" t="str">
        <x:f>IF(D144&lt;=0,"No EVM votes",IF(H144&lt;-20%,"Large deficit",IF(H144&lt;-5%,"Moderate deficit",IF(H144&lt;0,"Narrow deficit",IF(H144&lt;=5%,"Narrow lead/tie",IF(H144&lt;=20%,"Moderate lead","Large lead"))))))</x:f>
        <x:v>Large deficit</x:v>
      </x:c>
    </x:row>
    <x:row r="145">
      <x:c r="A145" t="n">
        <x:v>86</x:v>
      </x:c>
      <x:c r="B145" t="str">
        <x:v>PRY. SCHOOL DADUPUR DANKAUR R.NO. 2</x:v>
      </x:c>
      <x:c r="C145" s="83" t="n">
        <x:f>'2017 Form20'!H94</x:f>
        <x:v>26</x:v>
      </x:c>
      <x:c r="D145" s="83" t="n">
        <x:f>'2017 Form20'!D94</x:f>
        <x:v>825</x:v>
      </x:c>
      <x:c r="E145" s="50" t="n">
        <x:f>'2017 Form20'!P94</x:f>
        <x:v>0.03151515151515152</x:v>
      </x:c>
      <x:c r="F145" t="n">
        <x:f>'2017 Form20'!Q94</x:f>
        <x:v>505</x:v>
      </x:c>
      <x:c r="G145" t="n">
        <x:f>'2017 Form20'!R94</x:f>
        <x:v>-479</x:v>
      </x:c>
      <x:c r="H145" s="52" t="n">
        <x:f>'2017 Form20'!S94</x:f>
        <x:v>-0.5806060606060606</x:v>
      </x:c>
      <x:c r="I145" t="str">
        <x:v>Vedram Bhati</x:v>
      </x:c>
      <x:c r="J145" t="str">
        <x:v>BSP</x:v>
      </x:c>
      <x:c r="K145" t="str">
        <x:v>EVM row</x:v>
      </x:c>
      <x:c r="L145" s="133" t="str">
        <x:f>IF(D145&lt;=0,"No EVM votes",IF(E145&lt;$N$7,"Low",IF(E145&gt;$R$7,"High","Middle")))</x:f>
        <x:v>Middle</x:v>
      </x:c>
      <x:c r="M145" s="133" t="str">
        <x:f>IF(D145&lt;=0,"No EVM votes",IF(H145&lt;-20%,"Large deficit",IF(H145&lt;-5%,"Moderate deficit",IF(H145&lt;0,"Narrow deficit",IF(H145&lt;=5%,"Narrow lead/tie",IF(H145&lt;=20%,"Moderate lead","Large lead"))))))</x:f>
        <x:v>Large deficit</x:v>
      </x:c>
    </x:row>
    <x:row r="146">
      <x:c r="A146" t="n">
        <x:v>87</x:v>
      </x:c>
      <x:c r="B146" t="str">
        <x:v>PRY. SCHOOL AMARPUR R.NO. 1</x:v>
      </x:c>
      <x:c r="C146" s="83" t="n">
        <x:f>'2017 Form20'!H95</x:f>
        <x:v>117</x:v>
      </x:c>
      <x:c r="D146" s="83" t="n">
        <x:f>'2017 Form20'!D95</x:f>
        <x:v>779</x:v>
      </x:c>
      <x:c r="E146" s="50" t="n">
        <x:f>'2017 Form20'!P95</x:f>
        <x:v>0.15019255455712452</x:v>
      </x:c>
      <x:c r="F146" t="n">
        <x:f>'2017 Form20'!Q95</x:f>
        <x:v>438</x:v>
      </x:c>
      <x:c r="G146" t="n">
        <x:f>'2017 Form20'!R95</x:f>
        <x:v>-321</x:v>
      </x:c>
      <x:c r="H146" s="52" t="n">
        <x:f>'2017 Form20'!S95</x:f>
        <x:v>-0.4120667522464698</x:v>
      </x:c>
      <x:c r="I146" t="str">
        <x:v>Vedram Bhati</x:v>
      </x:c>
      <x:c r="J146" t="str">
        <x:v>BSP</x:v>
      </x:c>
      <x:c r="K146" t="str">
        <x:v>EVM row</x:v>
      </x:c>
      <x:c r="L146" s="133" t="str">
        <x:f>IF(D146&lt;=0,"No EVM votes",IF(E146&lt;$N$7,"Low",IF(E146&gt;$R$7,"High","Middle")))</x:f>
        <x:v>High</x:v>
      </x:c>
      <x:c r="M146" s="133" t="str">
        <x:f>IF(D146&lt;=0,"No EVM votes",IF(H146&lt;-20%,"Large deficit",IF(H146&lt;-5%,"Moderate deficit",IF(H146&lt;0,"Narrow deficit",IF(H146&lt;=5%,"Narrow lead/tie",IF(H146&lt;=20%,"Moderate lead","Large lead"))))))</x:f>
        <x:v>Large deficit</x:v>
      </x:c>
    </x:row>
    <x:row r="147">
      <x:c r="A147" t="n">
        <x:v>88</x:v>
      </x:c>
      <x:c r="B147" t="str">
        <x:v>PRY. SCHOOL NANUAKA RAJPUR R.NO. 1</x:v>
      </x:c>
      <x:c r="C147" s="83" t="n">
        <x:f>'2017 Form20'!H96</x:f>
        <x:v>14</x:v>
      </x:c>
      <x:c r="D147" s="83" t="n">
        <x:f>'2017 Form20'!D96</x:f>
        <x:v>423</x:v>
      </x:c>
      <x:c r="E147" s="50" t="n">
        <x:f>'2017 Form20'!P96</x:f>
        <x:v>0.03309692671394799</x:v>
      </x:c>
      <x:c r="F147" t="n">
        <x:f>'2017 Form20'!Q96</x:f>
        <x:v>287</x:v>
      </x:c>
      <x:c r="G147" t="n">
        <x:f>'2017 Form20'!R96</x:f>
        <x:v>-273</x:v>
      </x:c>
      <x:c r="H147" s="52" t="n">
        <x:f>'2017 Form20'!S96</x:f>
        <x:v>-0.6453900709219859</x:v>
      </x:c>
      <x:c r="I147" t="str">
        <x:v>Vedram Bhati</x:v>
      </x:c>
      <x:c r="J147" t="str">
        <x:v>BSP</x:v>
      </x:c>
      <x:c r="K147" t="str">
        <x:v>EVM row</x:v>
      </x:c>
      <x:c r="L147" s="133" t="str">
        <x:f>IF(D147&lt;=0,"No EVM votes",IF(E147&lt;$N$7,"Low",IF(E147&gt;$R$7,"High","Middle")))</x:f>
        <x:v>Middle</x:v>
      </x:c>
      <x:c r="M147" s="133" t="str">
        <x:f>IF(D147&lt;=0,"No EVM votes",IF(H147&lt;-20%,"Large deficit",IF(H147&lt;-5%,"Moderate deficit",IF(H147&lt;0,"Narrow deficit",IF(H147&lt;=5%,"Narrow lead/tie",IF(H147&lt;=20%,"Moderate lead","Large lead"))))))</x:f>
        <x:v>Large deficit</x:v>
      </x:c>
    </x:row>
    <x:row r="148">
      <x:c r="A148" t="n">
        <x:v>89</x:v>
      </x:c>
      <x:c r="B148" t="str">
        <x:v>PRY. SCHOOL NAVADA R.NO. 1</x:v>
      </x:c>
      <x:c r="C148" s="83" t="n">
        <x:f>'2017 Form20'!H97</x:f>
        <x:v>31</x:v>
      </x:c>
      <x:c r="D148" s="83" t="n">
        <x:f>'2017 Form20'!D97</x:f>
        <x:v>796</x:v>
      </x:c>
      <x:c r="E148" s="50" t="n">
        <x:f>'2017 Form20'!P97</x:f>
        <x:v>0.038944723618090454</x:v>
      </x:c>
      <x:c r="F148" t="n">
        <x:f>'2017 Form20'!Q97</x:f>
        <x:v>381</x:v>
      </x:c>
      <x:c r="G148" t="n">
        <x:f>'2017 Form20'!R97</x:f>
        <x:v>-350</x:v>
      </x:c>
      <x:c r="H148" s="52" t="n">
        <x:f>'2017 Form20'!S97</x:f>
        <x:v>-0.4396984924623116</x:v>
      </x:c>
      <x:c r="I148" t="str">
        <x:v>Vedram Bhati</x:v>
      </x:c>
      <x:c r="J148" t="str">
        <x:v>BSP</x:v>
      </x:c>
      <x:c r="K148" t="str">
        <x:v>EVM row</x:v>
      </x:c>
      <x:c r="L148" s="133" t="str">
        <x:f>IF(D148&lt;=0,"No EVM votes",IF(E148&lt;$N$7,"Low",IF(E148&gt;$R$7,"High","Middle")))</x:f>
        <x:v>Middle</x:v>
      </x:c>
      <x:c r="M148" s="133" t="str">
        <x:f>IF(D148&lt;=0,"No EVM votes",IF(H148&lt;-20%,"Large deficit",IF(H148&lt;-5%,"Moderate deficit",IF(H148&lt;0,"Narrow deficit",IF(H148&lt;=5%,"Narrow lead/tie",IF(H148&lt;=20%,"Moderate lead","Large lead"))))))</x:f>
        <x:v>Large deficit</x:v>
      </x:c>
    </x:row>
    <x:row r="149">
      <x:c r="A149" t="n">
        <x:v>90</x:v>
      </x:c>
      <x:c r="B149" t="str">
        <x:v>PRY. SCHOOL NAVADA R.NO. 2</x:v>
      </x:c>
      <x:c r="C149" s="83" t="n">
        <x:f>'2017 Form20'!H98</x:f>
        <x:v>12</x:v>
      </x:c>
      <x:c r="D149" s="83" t="n">
        <x:f>'2017 Form20'!D98</x:f>
        <x:v>741</x:v>
      </x:c>
      <x:c r="E149" s="50" t="n">
        <x:f>'2017 Form20'!P98</x:f>
        <x:v>0.016194331983805668</x:v>
      </x:c>
      <x:c r="F149" t="n">
        <x:f>'2017 Form20'!Q98</x:f>
        <x:v>539</x:v>
      </x:c>
      <x:c r="G149" t="n">
        <x:f>'2017 Form20'!R98</x:f>
        <x:v>-527</x:v>
      </x:c>
      <x:c r="H149" s="52" t="n">
        <x:f>'2017 Form20'!S98</x:f>
        <x:v>-0.7112010796221323</x:v>
      </x:c>
      <x:c r="I149" t="str">
        <x:v>Vedram Bhati</x:v>
      </x:c>
      <x:c r="J149" t="str">
        <x:v>BSP</x:v>
      </x:c>
      <x:c r="K149" t="str">
        <x:v>EVM row</x:v>
      </x:c>
      <x:c r="L149" s="133" t="str">
        <x:f>IF(D149&lt;=0,"No EVM votes",IF(E149&lt;$N$7,"Low",IF(E149&gt;$R$7,"High","Middle")))</x:f>
        <x:v>Middle</x:v>
      </x:c>
      <x:c r="M149" s="133" t="str">
        <x:f>IF(D149&lt;=0,"No EVM votes",IF(H149&lt;-20%,"Large deficit",IF(H149&lt;-5%,"Moderate deficit",IF(H149&lt;0,"Narrow deficit",IF(H149&lt;=5%,"Narrow lead/tie",IF(H149&lt;=20%,"Moderate lead","Large lead"))))))</x:f>
        <x:v>Large deficit</x:v>
      </x:c>
    </x:row>
    <x:row r="150">
      <x:c r="A150" t="n">
        <x:v>91</x:v>
      </x:c>
      <x:c r="B150" t="str">
        <x:v>PRY. SCHOOL KANARSI R.NO. 1</x:v>
      </x:c>
      <x:c r="C150" s="83" t="n">
        <x:f>'2017 Form20'!H99</x:f>
        <x:v>8</x:v>
      </x:c>
      <x:c r="D150" s="83" t="n">
        <x:f>'2017 Form20'!D99</x:f>
        <x:v>726</x:v>
      </x:c>
      <x:c r="E150" s="50" t="n">
        <x:f>'2017 Form20'!P99</x:f>
        <x:v>0.011019283746556474</x:v>
      </x:c>
      <x:c r="F150" t="n">
        <x:f>'2017 Form20'!Q99</x:f>
        <x:v>569</x:v>
      </x:c>
      <x:c r="G150" t="n">
        <x:f>'2017 Form20'!R99</x:f>
        <x:v>-561</x:v>
      </x:c>
      <x:c r="H150" s="52" t="n">
        <x:f>'2017 Form20'!S99</x:f>
        <x:v>-0.7727272727272727</x:v>
      </x:c>
      <x:c r="I150" t="str">
        <x:v>Vedram Bhati</x:v>
      </x:c>
      <x:c r="J150" t="str">
        <x:v>BSP</x:v>
      </x:c>
      <x:c r="K150" t="str">
        <x:v>EVM row</x:v>
      </x:c>
      <x:c r="L150" s="133" t="str">
        <x:f>IF(D150&lt;=0,"No EVM votes",IF(E150&lt;$N$7,"Low",IF(E150&gt;$R$7,"High","Middle")))</x:f>
        <x:v>Low</x:v>
      </x:c>
      <x:c r="M150" s="133" t="str">
        <x:f>IF(D150&lt;=0,"No EVM votes",IF(H150&lt;-20%,"Large deficit",IF(H150&lt;-5%,"Moderate deficit",IF(H150&lt;0,"Narrow deficit",IF(H150&lt;=5%,"Narrow lead/tie",IF(H150&lt;=20%,"Moderate lead","Large lead"))))))</x:f>
        <x:v>Large deficit</x:v>
      </x:c>
    </x:row>
    <x:row r="151">
      <x:c r="A151" t="n">
        <x:v>92</x:v>
      </x:c>
      <x:c r="B151" t="str">
        <x:v>PRY. SCHOOL KANRSA MAZRA KANARSI R.NO. 1</x:v>
      </x:c>
      <x:c r="C151" s="83" t="n">
        <x:f>'2017 Form20'!H100</x:f>
        <x:v>16</x:v>
      </x:c>
      <x:c r="D151" s="83" t="n">
        <x:f>'2017 Form20'!D100</x:f>
        <x:v>611</x:v>
      </x:c>
      <x:c r="E151" s="50" t="n">
        <x:f>'2017 Form20'!P100</x:f>
        <x:v>0.02618657937806874</x:v>
      </x:c>
      <x:c r="F151" t="n">
        <x:f>'2017 Form20'!Q100</x:f>
        <x:v>342</x:v>
      </x:c>
      <x:c r="G151" t="n">
        <x:f>'2017 Form20'!R100</x:f>
        <x:v>-326</x:v>
      </x:c>
      <x:c r="H151" s="52" t="n">
        <x:f>'2017 Form20'!S100</x:f>
        <x:v>-0.5335515548281505</x:v>
      </x:c>
      <x:c r="I151" t="str">
        <x:v>Vedram Bhati</x:v>
      </x:c>
      <x:c r="J151" t="str">
        <x:v>BSP</x:v>
      </x:c>
      <x:c r="K151" t="str">
        <x:v>EVM row</x:v>
      </x:c>
      <x:c r="L151" s="133" t="str">
        <x:f>IF(D151&lt;=0,"No EVM votes",IF(E151&lt;$N$7,"Low",IF(E151&gt;$R$7,"High","Middle")))</x:f>
        <x:v>Middle</x:v>
      </x:c>
      <x:c r="M151" s="133" t="str">
        <x:f>IF(D151&lt;=0,"No EVM votes",IF(H151&lt;-20%,"Large deficit",IF(H151&lt;-5%,"Moderate deficit",IF(H151&lt;0,"Narrow deficit",IF(H151&lt;=5%,"Narrow lead/tie",IF(H151&lt;=20%,"Moderate lead","Large lead"))))))</x:f>
        <x:v>Large deficit</x:v>
      </x:c>
    </x:row>
    <x:row r="152">
      <x:c r="A152" t="n">
        <x:v>93</x:v>
      </x:c>
      <x:c r="B152" t="str">
        <x:v>PRY. SCHOOL KANARSI R.NO. 2</x:v>
      </x:c>
      <x:c r="C152" s="83" t="n">
        <x:f>'2017 Form20'!H101</x:f>
        <x:v>10</x:v>
      </x:c>
      <x:c r="D152" s="83" t="n">
        <x:f>'2017 Form20'!D101</x:f>
        <x:v>635</x:v>
      </x:c>
      <x:c r="E152" s="50" t="n">
        <x:f>'2017 Form20'!P101</x:f>
        <x:v>0.015748031496062992</x:v>
      </x:c>
      <x:c r="F152" t="n">
        <x:f>'2017 Form20'!Q101</x:f>
        <x:v>386</x:v>
      </x:c>
      <x:c r="G152" t="n">
        <x:f>'2017 Form20'!R101</x:f>
        <x:v>-376</x:v>
      </x:c>
      <x:c r="H152" s="52" t="n">
        <x:f>'2017 Form20'!S101</x:f>
        <x:v>-0.5921259842519685</x:v>
      </x:c>
      <x:c r="I152" t="str">
        <x:v>Vedram Bhati</x:v>
      </x:c>
      <x:c r="J152" t="str">
        <x:v>BSP</x:v>
      </x:c>
      <x:c r="K152" t="str">
        <x:v>EVM row</x:v>
      </x:c>
      <x:c r="L152" s="133" t="str">
        <x:f>IF(D152&lt;=0,"No EVM votes",IF(E152&lt;$N$7,"Low",IF(E152&gt;$R$7,"High","Middle")))</x:f>
        <x:v>Low</x:v>
      </x:c>
      <x:c r="M152" s="133" t="str">
        <x:f>IF(D152&lt;=0,"No EVM votes",IF(H152&lt;-20%,"Large deficit",IF(H152&lt;-5%,"Moderate deficit",IF(H152&lt;0,"Narrow deficit",IF(H152&lt;=5%,"Narrow lead/tie",IF(H152&lt;=20%,"Moderate lead","Large lead"))))))</x:f>
        <x:v>Large deficit</x:v>
      </x:c>
    </x:row>
    <x:row r="153">
      <x:c r="A153" t="n">
        <x:v>94</x:v>
      </x:c>
      <x:c r="B153" t="str">
        <x:v>PRY. SCHOOL JUNAIDPUR R.NO. 1</x:v>
      </x:c>
      <x:c r="C153" s="83" t="n">
        <x:f>'2017 Form20'!H102</x:f>
        <x:v>45</x:v>
      </x:c>
      <x:c r="D153" s="83" t="n">
        <x:f>'2017 Form20'!D102</x:f>
        <x:v>555</x:v>
      </x:c>
      <x:c r="E153" s="50" t="n">
        <x:f>'2017 Form20'!P102</x:f>
        <x:v>0.08108108108108109</x:v>
      </x:c>
      <x:c r="F153" t="n">
        <x:f>'2017 Form20'!Q102</x:f>
        <x:v>286</x:v>
      </x:c>
      <x:c r="G153" t="n">
        <x:f>'2017 Form20'!R102</x:f>
        <x:v>-241</x:v>
      </x:c>
      <x:c r="H153" s="52" t="n">
        <x:f>'2017 Form20'!S102</x:f>
        <x:v>-0.43423423423423424</x:v>
      </x:c>
      <x:c r="I153" t="str">
        <x:v>Vedram Bhati</x:v>
      </x:c>
      <x:c r="J153" t="str">
        <x:v>BSP</x:v>
      </x:c>
      <x:c r="K153" t="str">
        <x:v>EVM row</x:v>
      </x:c>
      <x:c r="L153" s="133" t="str">
        <x:f>IF(D153&lt;=0,"No EVM votes",IF(E153&lt;$N$7,"Low",IF(E153&gt;$R$7,"High","Middle")))</x:f>
        <x:v>High</x:v>
      </x:c>
      <x:c r="M153" s="133" t="str">
        <x:f>IF(D153&lt;=0,"No EVM votes",IF(H153&lt;-20%,"Large deficit",IF(H153&lt;-5%,"Moderate deficit",IF(H153&lt;0,"Narrow deficit",IF(H153&lt;=5%,"Narrow lead/tie",IF(H153&lt;=20%,"Moderate lead","Large lead"))))))</x:f>
        <x:v>Large deficit</x:v>
      </x:c>
    </x:row>
    <x:row r="154">
      <x:c r="A154" t="n">
        <x:v>95</x:v>
      </x:c>
      <x:c r="B154" t="str">
        <x:v>PRY. SCHOOL JUNAIDPUR R.NO. 2</x:v>
      </x:c>
      <x:c r="C154" s="83" t="n">
        <x:f>'2017 Form20'!H103</x:f>
        <x:v>30</x:v>
      </x:c>
      <x:c r="D154" s="83" t="n">
        <x:f>'2017 Form20'!D103</x:f>
        <x:v>456</x:v>
      </x:c>
      <x:c r="E154" s="50" t="n">
        <x:f>'2017 Form20'!P103</x:f>
        <x:v>0.06578947368421052</x:v>
      </x:c>
      <x:c r="F154" t="n">
        <x:f>'2017 Form20'!Q103</x:f>
        <x:v>226</x:v>
      </x:c>
      <x:c r="G154" t="n">
        <x:f>'2017 Form20'!R103</x:f>
        <x:v>-196</x:v>
      </x:c>
      <x:c r="H154" s="52" t="n">
        <x:f>'2017 Form20'!S103</x:f>
        <x:v>-0.4298245614035088</x:v>
      </x:c>
      <x:c r="I154" t="str">
        <x:v>Vedram Bhati</x:v>
      </x:c>
      <x:c r="J154" t="str">
        <x:v>BSP</x:v>
      </x:c>
      <x:c r="K154" t="str">
        <x:v>EVM row</x:v>
      </x:c>
      <x:c r="L154" s="133" t="str">
        <x:f>IF(D154&lt;=0,"No EVM votes",IF(E154&lt;$N$7,"Low",IF(E154&gt;$R$7,"High","Middle")))</x:f>
        <x:v>Middle</x:v>
      </x:c>
      <x:c r="M154" s="133" t="str">
        <x:f>IF(D154&lt;=0,"No EVM votes",IF(H154&lt;-20%,"Large deficit",IF(H154&lt;-5%,"Moderate deficit",IF(H154&lt;0,"Narrow deficit",IF(H154&lt;=5%,"Narrow lead/tie",IF(H154&lt;=20%,"Moderate lead","Large lead"))))))</x:f>
        <x:v>Large deficit</x:v>
      </x:c>
    </x:row>
    <x:row r="155">
      <x:c r="A155" t="n">
        <x:v>96</x:v>
      </x:c>
      <x:c r="B155" t="str">
        <x:v>PRY. SCHOOL CHACHULA R.NO. 1</x:v>
      </x:c>
      <x:c r="C155" s="83" t="n">
        <x:f>'2017 Form20'!H104</x:f>
        <x:v>61</x:v>
      </x:c>
      <x:c r="D155" s="83" t="n">
        <x:f>'2017 Form20'!D104</x:f>
        <x:v>753</x:v>
      </x:c>
      <x:c r="E155" s="50" t="n">
        <x:f>'2017 Form20'!P104</x:f>
        <x:v>0.08100929614873838</x:v>
      </x:c>
      <x:c r="F155" t="n">
        <x:f>'2017 Form20'!Q104</x:f>
        <x:v>335</x:v>
      </x:c>
      <x:c r="G155" t="n">
        <x:f>'2017 Form20'!R104</x:f>
        <x:v>-274</x:v>
      </x:c>
      <x:c r="H155" s="52" t="n">
        <x:f>'2017 Form20'!S104</x:f>
        <x:v>-0.36387782204515273</x:v>
      </x:c>
      <x:c r="I155" t="str">
        <x:v>Dhirendra Singh</x:v>
      </x:c>
      <x:c r="J155" t="str">
        <x:v>BJP</x:v>
      </x:c>
      <x:c r="K155" t="str">
        <x:v>EVM row</x:v>
      </x:c>
      <x:c r="L155" s="133" t="str">
        <x:f>IF(D155&lt;=0,"No EVM votes",IF(E155&lt;$N$7,"Low",IF(E155&gt;$R$7,"High","Middle")))</x:f>
        <x:v>High</x:v>
      </x:c>
      <x:c r="M155" s="133" t="str">
        <x:f>IF(D155&lt;=0,"No EVM votes",IF(H155&lt;-20%,"Large deficit",IF(H155&lt;-5%,"Moderate deficit",IF(H155&lt;0,"Narrow deficit",IF(H155&lt;=5%,"Narrow lead/tie",IF(H155&lt;=20%,"Moderate lead","Large lead"))))))</x:f>
        <x:v>Large deficit</x:v>
      </x:c>
    </x:row>
    <x:row r="156">
      <x:c r="A156" t="n">
        <x:v>97</x:v>
      </x:c>
      <x:c r="B156" t="str">
        <x:v>PRY. SCHOOL CHACHULA R.NO. 2</x:v>
      </x:c>
      <x:c r="C156" s="83" t="n">
        <x:f>'2017 Form20'!H105</x:f>
        <x:v>42</x:v>
      </x:c>
      <x:c r="D156" s="83" t="n">
        <x:f>'2017 Form20'!D105</x:f>
        <x:v>400</x:v>
      </x:c>
      <x:c r="E156" s="50" t="n">
        <x:f>'2017 Form20'!P105</x:f>
        <x:v>0.105</x:v>
      </x:c>
      <x:c r="F156" t="n">
        <x:f>'2017 Form20'!Q105</x:f>
        <x:v>244</x:v>
      </x:c>
      <x:c r="G156" t="n">
        <x:f>'2017 Form20'!R105</x:f>
        <x:v>-202</x:v>
      </x:c>
      <x:c r="H156" s="52" t="n">
        <x:f>'2017 Form20'!S105</x:f>
        <x:v>-0.505</x:v>
      </x:c>
      <x:c r="I156" t="str">
        <x:v>Vedram Bhati</x:v>
      </x:c>
      <x:c r="J156" t="str">
        <x:v>BSP</x:v>
      </x:c>
      <x:c r="K156" t="str">
        <x:v>EVM row</x:v>
      </x:c>
      <x:c r="L156" s="133" t="str">
        <x:f>IF(D156&lt;=0,"No EVM votes",IF(E156&lt;$N$7,"Low",IF(E156&gt;$R$7,"High","Middle")))</x:f>
        <x:v>High</x:v>
      </x:c>
      <x:c r="M156" s="133" t="str">
        <x:f>IF(D156&lt;=0,"No EVM votes",IF(H156&lt;-20%,"Large deficit",IF(H156&lt;-5%,"Moderate deficit",IF(H156&lt;0,"Narrow deficit",IF(H156&lt;=5%,"Narrow lead/tie",IF(H156&lt;=20%,"Moderate lead","Large lead"))))))</x:f>
        <x:v>Large deficit</x:v>
      </x:c>
    </x:row>
    <x:row r="157">
      <x:c r="A157" t="n">
        <x:v>98</x:v>
      </x:c>
      <x:c r="B157" t="str">
        <x:v>PRY. SCHOOL ROSHANPUR R.NO. 1</x:v>
      </x:c>
      <x:c r="C157" s="83" t="n">
        <x:f>'2017 Form20'!H106</x:f>
        <x:v>14</x:v>
      </x:c>
      <x:c r="D157" s="83" t="n">
        <x:f>'2017 Form20'!D106</x:f>
        <x:v>550</x:v>
      </x:c>
      <x:c r="E157" s="50" t="n">
        <x:f>'2017 Form20'!P106</x:f>
        <x:v>0.025454545454545455</x:v>
      </x:c>
      <x:c r="F157" t="n">
        <x:f>'2017 Form20'!Q106</x:f>
        <x:v>343</x:v>
      </x:c>
      <x:c r="G157" t="n">
        <x:f>'2017 Form20'!R106</x:f>
        <x:v>-329</x:v>
      </x:c>
      <x:c r="H157" s="52" t="n">
        <x:f>'2017 Form20'!S106</x:f>
        <x:v>-0.5981818181818181</x:v>
      </x:c>
      <x:c r="I157" t="str">
        <x:v>Vedram Bhati</x:v>
      </x:c>
      <x:c r="J157" t="str">
        <x:v>BSP</x:v>
      </x:c>
      <x:c r="K157" t="str">
        <x:v>EVM row</x:v>
      </x:c>
      <x:c r="L157" s="133" t="str">
        <x:f>IF(D157&lt;=0,"No EVM votes",IF(E157&lt;$N$7,"Low",IF(E157&gt;$R$7,"High","Middle")))</x:f>
        <x:v>Middle</x:v>
      </x:c>
      <x:c r="M157" s="133" t="str">
        <x:f>IF(D157&lt;=0,"No EVM votes",IF(H157&lt;-20%,"Large deficit",IF(H157&lt;-5%,"Moderate deficit",IF(H157&lt;0,"Narrow deficit",IF(H157&lt;=5%,"Narrow lead/tie",IF(H157&lt;=20%,"Moderate lead","Large lead"))))))</x:f>
        <x:v>Large deficit</x:v>
      </x:c>
    </x:row>
    <x:row r="158">
      <x:c r="A158" t="n">
        <x:v>99</x:v>
      </x:c>
      <x:c r="B158" t="str">
        <x:v>PRY. SCHOOL DHANAURI R.NO. 1</x:v>
      </x:c>
      <x:c r="C158" s="83" t="n">
        <x:f>'2017 Form20'!H107</x:f>
        <x:v>16</x:v>
      </x:c>
      <x:c r="D158" s="83" t="n">
        <x:f>'2017 Form20'!D107</x:f>
        <x:v>709</x:v>
      </x:c>
      <x:c r="E158" s="50" t="n">
        <x:f>'2017 Form20'!P107</x:f>
        <x:v>0.022566995768688293</x:v>
      </x:c>
      <x:c r="F158" t="n">
        <x:f>'2017 Form20'!Q107</x:f>
        <x:v>439</x:v>
      </x:c>
      <x:c r="G158" t="n">
        <x:f>'2017 Form20'!R107</x:f>
        <x:v>-423</x:v>
      </x:c>
      <x:c r="H158" s="52" t="n">
        <x:f>'2017 Form20'!S107</x:f>
        <x:v>-0.5966149506346967</x:v>
      </x:c>
      <x:c r="I158" t="str">
        <x:v>Dhirendra Singh</x:v>
      </x:c>
      <x:c r="J158" t="str">
        <x:v>BJP</x:v>
      </x:c>
      <x:c r="K158" t="str">
        <x:v>EVM row</x:v>
      </x:c>
      <x:c r="L158" s="133" t="str">
        <x:f>IF(D158&lt;=0,"No EVM votes",IF(E158&lt;$N$7,"Low",IF(E158&gt;$R$7,"High","Middle")))</x:f>
        <x:v>Middle</x:v>
      </x:c>
      <x:c r="M158" s="133" t="str">
        <x:f>IF(D158&lt;=0,"No EVM votes",IF(H158&lt;-20%,"Large deficit",IF(H158&lt;-5%,"Moderate deficit",IF(H158&lt;0,"Narrow deficit",IF(H158&lt;=5%,"Narrow lead/tie",IF(H158&lt;=20%,"Moderate lead","Large lead"))))))</x:f>
        <x:v>Large deficit</x:v>
      </x:c>
    </x:row>
    <x:row r="159">
      <x:c r="A159" t="n">
        <x:v>100</x:v>
      </x:c>
      <x:c r="B159" t="str">
        <x:v>PRY. SCHOOL DHANAURI R.NO. 2</x:v>
      </x:c>
      <x:c r="C159" s="83" t="n">
        <x:f>'2017 Form20'!H108</x:f>
        <x:v>19</x:v>
      </x:c>
      <x:c r="D159" s="83" t="n">
        <x:f>'2017 Form20'!D108</x:f>
        <x:v>495</x:v>
      </x:c>
      <x:c r="E159" s="50" t="n">
        <x:f>'2017 Form20'!P108</x:f>
        <x:v>0.03838383838383838</x:v>
      </x:c>
      <x:c r="F159" t="n">
        <x:f>'2017 Form20'!Q108</x:f>
        <x:v>345</x:v>
      </x:c>
      <x:c r="G159" t="n">
        <x:f>'2017 Form20'!R108</x:f>
        <x:v>-326</x:v>
      </x:c>
      <x:c r="H159" s="52" t="n">
        <x:f>'2017 Form20'!S108</x:f>
        <x:v>-0.6585858585858586</x:v>
      </x:c>
      <x:c r="I159" t="str">
        <x:v>Dhirendra Singh</x:v>
      </x:c>
      <x:c r="J159" t="str">
        <x:v>BJP</x:v>
      </x:c>
      <x:c r="K159" t="str">
        <x:v>EVM row</x:v>
      </x:c>
      <x:c r="L159" s="133" t="str">
        <x:f>IF(D159&lt;=0,"No EVM votes",IF(E159&lt;$N$7,"Low",IF(E159&gt;$R$7,"High","Middle")))</x:f>
        <x:v>Middle</x:v>
      </x:c>
      <x:c r="M159" s="133" t="str">
        <x:f>IF(D159&lt;=0,"No EVM votes",IF(H159&lt;-20%,"Large deficit",IF(H159&lt;-5%,"Moderate deficit",IF(H159&lt;0,"Narrow deficit",IF(H159&lt;=5%,"Narrow lead/tie",IF(H159&lt;=20%,"Moderate lead","Large lead"))))))</x:f>
        <x:v>Large deficit</x:v>
      </x:c>
    </x:row>
    <x:row r="160">
      <x:c r="A160" t="n">
        <x:v>101</x:v>
      </x:c>
      <x:c r="B160" t="str">
        <x:v>SUNHARI LAL BALMUKUND I. C. DHANAURI R.NO. 1</x:v>
      </x:c>
      <x:c r="C160" s="83" t="n">
        <x:f>'2017 Form20'!H109</x:f>
        <x:v>36</x:v>
      </x:c>
      <x:c r="D160" s="83" t="n">
        <x:f>'2017 Form20'!D109</x:f>
        <x:v>580</x:v>
      </x:c>
      <x:c r="E160" s="50" t="n">
        <x:f>'2017 Form20'!P109</x:f>
        <x:v>0.06206896551724138</x:v>
      </x:c>
      <x:c r="F160" t="n">
        <x:f>'2017 Form20'!Q109</x:f>
        <x:v>300</x:v>
      </x:c>
      <x:c r="G160" t="n">
        <x:f>'2017 Form20'!R109</x:f>
        <x:v>-264</x:v>
      </x:c>
      <x:c r="H160" s="52" t="n">
        <x:f>'2017 Form20'!S109</x:f>
        <x:v>-0.45517241379310347</x:v>
      </x:c>
      <x:c r="I160" t="str">
        <x:v>Dhirendra Singh</x:v>
      </x:c>
      <x:c r="J160" t="str">
        <x:v>BJP</x:v>
      </x:c>
      <x:c r="K160" t="str">
        <x:v>EVM row</x:v>
      </x:c>
      <x:c r="L160" s="133" t="str">
        <x:f>IF(D160&lt;=0,"No EVM votes",IF(E160&lt;$N$7,"Low",IF(E160&gt;$R$7,"High","Middle")))</x:f>
        <x:v>Middle</x:v>
      </x:c>
      <x:c r="M160" s="133" t="str">
        <x:f>IF(D160&lt;=0,"No EVM votes",IF(H160&lt;-20%,"Large deficit",IF(H160&lt;-5%,"Moderate deficit",IF(H160&lt;0,"Narrow deficit",IF(H160&lt;=5%,"Narrow lead/tie",IF(H160&lt;=20%,"Moderate lead","Large lead"))))))</x:f>
        <x:v>Large deficit</x:v>
      </x:c>
    </x:row>
    <x:row r="161">
      <x:c r="A161" t="n">
        <x:v>102</x:v>
      </x:c>
      <x:c r="B161" t="str">
        <x:v>SUNHARI LAL BALMUKUND I. C. DHANAURI R.NO. 2</x:v>
      </x:c>
      <x:c r="C161" s="83" t="n">
        <x:f>'2017 Form20'!H110</x:f>
        <x:v>15</x:v>
      </x:c>
      <x:c r="D161" s="83" t="n">
        <x:f>'2017 Form20'!D110</x:f>
        <x:v>501</x:v>
      </x:c>
      <x:c r="E161" s="50" t="n">
        <x:f>'2017 Form20'!P110</x:f>
        <x:v>0.029940119760479042</x:v>
      </x:c>
      <x:c r="F161" t="n">
        <x:f>'2017 Form20'!Q110</x:f>
        <x:v>314</x:v>
      </x:c>
      <x:c r="G161" t="n">
        <x:f>'2017 Form20'!R110</x:f>
        <x:v>-299</x:v>
      </x:c>
      <x:c r="H161" s="52" t="n">
        <x:f>'2017 Form20'!S110</x:f>
        <x:v>-0.5968063872255489</x:v>
      </x:c>
      <x:c r="I161" t="str">
        <x:v>Dhirendra Singh</x:v>
      </x:c>
      <x:c r="J161" t="str">
        <x:v>BJP</x:v>
      </x:c>
      <x:c r="K161" t="str">
        <x:v>EVM row</x:v>
      </x:c>
      <x:c r="L161" s="133" t="str">
        <x:f>IF(D161&lt;=0,"No EVM votes",IF(E161&lt;$N$7,"Low",IF(E161&gt;$R$7,"High","Middle")))</x:f>
        <x:v>Middle</x:v>
      </x:c>
      <x:c r="M161" s="133" t="str">
        <x:f>IF(D161&lt;=0,"No EVM votes",IF(H161&lt;-20%,"Large deficit",IF(H161&lt;-5%,"Moderate deficit",IF(H161&lt;0,"Narrow deficit",IF(H161&lt;=5%,"Narrow lead/tie",IF(H161&lt;=20%,"Moderate lead","Large lead"))))))</x:f>
        <x:v>Large deficit</x:v>
      </x:c>
    </x:row>
    <x:row r="162">
      <x:c r="A162" t="n">
        <x:v>103</x:v>
      </x:c>
      <x:c r="B162" t="str">
        <x:v>PRY. PATY. THASRANA R.NO. 1</x:v>
      </x:c>
      <x:c r="C162" s="83" t="n">
        <x:f>'2017 Form20'!H111</x:f>
        <x:v>26</x:v>
      </x:c>
      <x:c r="D162" s="83" t="n">
        <x:f>'2017 Form20'!D111</x:f>
        <x:v>697</x:v>
      </x:c>
      <x:c r="E162" s="50" t="n">
        <x:f>'2017 Form20'!P111</x:f>
        <x:v>0.03730272596843615</x:v>
      </x:c>
      <x:c r="F162" t="n">
        <x:f>'2017 Form20'!Q111</x:f>
        <x:v>396</x:v>
      </x:c>
      <x:c r="G162" t="n">
        <x:f>'2017 Form20'!R111</x:f>
        <x:v>-370</x:v>
      </x:c>
      <x:c r="H162" s="52" t="n">
        <x:f>'2017 Form20'!S111</x:f>
        <x:v>-0.5308464849354376</x:v>
      </x:c>
      <x:c r="I162" t="str">
        <x:v>Dhirendra Singh</x:v>
      </x:c>
      <x:c r="J162" t="str">
        <x:v>BJP</x:v>
      </x:c>
      <x:c r="K162" t="str">
        <x:v>EVM row</x:v>
      </x:c>
      <x:c r="L162" s="133" t="str">
        <x:f>IF(D162&lt;=0,"No EVM votes",IF(E162&lt;$N$7,"Low",IF(E162&gt;$R$7,"High","Middle")))</x:f>
        <x:v>Middle</x:v>
      </x:c>
      <x:c r="M162" s="133" t="str">
        <x:f>IF(D162&lt;=0,"No EVM votes",IF(H162&lt;-20%,"Large deficit",IF(H162&lt;-5%,"Moderate deficit",IF(H162&lt;0,"Narrow deficit",IF(H162&lt;=5%,"Narrow lead/tie",IF(H162&lt;=20%,"Moderate lead","Large lead"))))))</x:f>
        <x:v>Large deficit</x:v>
      </x:c>
    </x:row>
    <x:row r="163">
      <x:c r="A163" t="n">
        <x:v>104</x:v>
      </x:c>
      <x:c r="B163" t="str">
        <x:v>PRY. SCHOOL CHANGAULI R.NO. 1</x:v>
      </x:c>
      <x:c r="C163" s="83" t="n">
        <x:f>'2017 Form20'!H112</x:f>
        <x:v>10</x:v>
      </x:c>
      <x:c r="D163" s="83" t="n">
        <x:f>'2017 Form20'!D112</x:f>
        <x:v>536</x:v>
      </x:c>
      <x:c r="E163" s="50" t="n">
        <x:f>'2017 Form20'!P112</x:f>
        <x:v>0.018656716417910446</x:v>
      </x:c>
      <x:c r="F163" t="n">
        <x:f>'2017 Form20'!Q112</x:f>
        <x:v>384</x:v>
      </x:c>
      <x:c r="G163" t="n">
        <x:f>'2017 Form20'!R112</x:f>
        <x:v>-374</x:v>
      </x:c>
      <x:c r="H163" s="52" t="n">
        <x:f>'2017 Form20'!S112</x:f>
        <x:v>-0.6977611940298507</x:v>
      </x:c>
      <x:c r="I163" t="str">
        <x:v>Dhirendra Singh</x:v>
      </x:c>
      <x:c r="J163" t="str">
        <x:v>BJP</x:v>
      </x:c>
      <x:c r="K163" t="str">
        <x:v>EVM row</x:v>
      </x:c>
      <x:c r="L163" s="133" t="str">
        <x:f>IF(D163&lt;=0,"No EVM votes",IF(E163&lt;$N$7,"Low",IF(E163&gt;$R$7,"High","Middle")))</x:f>
        <x:v>Middle</x:v>
      </x:c>
      <x:c r="M163" s="133" t="str">
        <x:f>IF(D163&lt;=0,"No EVM votes",IF(H163&lt;-20%,"Large deficit",IF(H163&lt;-5%,"Moderate deficit",IF(H163&lt;0,"Narrow deficit",IF(H163&lt;=5%,"Narrow lead/tie",IF(H163&lt;=20%,"Moderate lead","Large lead"))))))</x:f>
        <x:v>Large deficit</x:v>
      </x:c>
    </x:row>
    <x:row r="164">
      <x:c r="A164" t="n">
        <x:v>105</x:v>
      </x:c>
      <x:c r="B164" t="str">
        <x:v>PRY. SCHOOL USMANPUR R.NO. 1</x:v>
      </x:c>
      <x:c r="C164" s="83" t="n">
        <x:f>'2017 Form20'!H113</x:f>
        <x:v>84</x:v>
      </x:c>
      <x:c r="D164" s="83" t="n">
        <x:f>'2017 Form20'!D113</x:f>
        <x:v>621</x:v>
      </x:c>
      <x:c r="E164" s="50" t="n">
        <x:f>'2017 Form20'!P113</x:f>
        <x:v>0.13526570048309178</x:v>
      </x:c>
      <x:c r="F164" t="n">
        <x:f>'2017 Form20'!Q113</x:f>
        <x:v>274</x:v>
      </x:c>
      <x:c r="G164" t="n">
        <x:f>'2017 Form20'!R113</x:f>
        <x:v>-190</x:v>
      </x:c>
      <x:c r="H164" s="52" t="n">
        <x:f>'2017 Form20'!S113</x:f>
        <x:v>-0.3059581320450886</x:v>
      </x:c>
      <x:c r="I164" t="str">
        <x:v>Vedram Bhati</x:v>
      </x:c>
      <x:c r="J164" t="str">
        <x:v>BSP</x:v>
      </x:c>
      <x:c r="K164" t="str">
        <x:v>EVM row</x:v>
      </x:c>
      <x:c r="L164" s="133" t="str">
        <x:f>IF(D164&lt;=0,"No EVM votes",IF(E164&lt;$N$7,"Low",IF(E164&gt;$R$7,"High","Middle")))</x:f>
        <x:v>High</x:v>
      </x:c>
      <x:c r="M164" s="133" t="str">
        <x:f>IF(D164&lt;=0,"No EVM votes",IF(H164&lt;-20%,"Large deficit",IF(H164&lt;-5%,"Moderate deficit",IF(H164&lt;0,"Narrow deficit",IF(H164&lt;=5%,"Narrow lead/tie",IF(H164&lt;=20%,"Moderate lead","Large lead"))))))</x:f>
        <x:v>Large deficit</x:v>
      </x:c>
    </x:row>
    <x:row r="165">
      <x:c r="A165" t="n">
        <x:v>106</x:v>
      </x:c>
      <x:c r="B165" t="str">
        <x:v>PRY. SCHOOL USMANPUR R.NO. 2</x:v>
      </x:c>
      <x:c r="C165" s="83" t="n">
        <x:f>'2017 Form20'!H114</x:f>
        <x:v>114</x:v>
      </x:c>
      <x:c r="D165" s="83" t="n">
        <x:f>'2017 Form20'!D114</x:f>
        <x:v>795</x:v>
      </x:c>
      <x:c r="E165" s="50" t="n">
        <x:f>'2017 Form20'!P114</x:f>
        <x:v>0.14339622641509434</x:v>
      </x:c>
      <x:c r="F165" t="n">
        <x:f>'2017 Form20'!Q114</x:f>
        <x:v>383</x:v>
      </x:c>
      <x:c r="G165" t="n">
        <x:f>'2017 Form20'!R114</x:f>
        <x:v>-269</x:v>
      </x:c>
      <x:c r="H165" s="52" t="n">
        <x:f>'2017 Form20'!S114</x:f>
        <x:v>-0.3383647798742138</x:v>
      </x:c>
      <x:c r="I165" t="str">
        <x:v>Vedram Bhati</x:v>
      </x:c>
      <x:c r="J165" t="str">
        <x:v>BSP</x:v>
      </x:c>
      <x:c r="K165" t="str">
        <x:v>EVM row</x:v>
      </x:c>
      <x:c r="L165" s="133" t="str">
        <x:f>IF(D165&lt;=0,"No EVM votes",IF(E165&lt;$N$7,"Low",IF(E165&gt;$R$7,"High","Middle")))</x:f>
        <x:v>High</x:v>
      </x:c>
      <x:c r="M165" s="133" t="str">
        <x:f>IF(D165&lt;=0,"No EVM votes",IF(H165&lt;-20%,"Large deficit",IF(H165&lt;-5%,"Moderate deficit",IF(H165&lt;0,"Narrow deficit",IF(H165&lt;=5%,"Narrow lead/tie",IF(H165&lt;=20%,"Moderate lead","Large lead"))))))</x:f>
        <x:v>Large deficit</x:v>
      </x:c>
    </x:row>
    <x:row r="166">
      <x:c r="A166" t="n">
        <x:v>107</x:v>
      </x:c>
      <x:c r="B166" t="str">
        <x:v>PRY. SCHOOL MUTAINA R.NO. 1</x:v>
      </x:c>
      <x:c r="C166" s="83" t="n">
        <x:f>'2017 Form20'!H115</x:f>
        <x:v>14</x:v>
      </x:c>
      <x:c r="D166" s="83" t="n">
        <x:f>'2017 Form20'!D115</x:f>
        <x:v>668</x:v>
      </x:c>
      <x:c r="E166" s="50" t="n">
        <x:f>'2017 Form20'!P115</x:f>
        <x:v>0.020958083832335328</x:v>
      </x:c>
      <x:c r="F166" t="n">
        <x:f>'2017 Form20'!Q115</x:f>
        <x:v>374</x:v>
      </x:c>
      <x:c r="G166" t="n">
        <x:f>'2017 Form20'!R115</x:f>
        <x:v>-360</x:v>
      </x:c>
      <x:c r="H166" s="52" t="n">
        <x:f>'2017 Form20'!S115</x:f>
        <x:v>-0.5389221556886228</x:v>
      </x:c>
      <x:c r="I166" t="str">
        <x:v>Dhirendra Singh</x:v>
      </x:c>
      <x:c r="J166" t="str">
        <x:v>BJP</x:v>
      </x:c>
      <x:c r="K166" t="str">
        <x:v>EVM row</x:v>
      </x:c>
      <x:c r="L166" s="133" t="str">
        <x:f>IF(D166&lt;=0,"No EVM votes",IF(E166&lt;$N$7,"Low",IF(E166&gt;$R$7,"High","Middle")))</x:f>
        <x:v>Middle</x:v>
      </x:c>
      <x:c r="M166" s="133" t="str">
        <x:f>IF(D166&lt;=0,"No EVM votes",IF(H166&lt;-20%,"Large deficit",IF(H166&lt;-5%,"Moderate deficit",IF(H166&lt;0,"Narrow deficit",IF(H166&lt;=5%,"Narrow lead/tie",IF(H166&lt;=20%,"Moderate lead","Large lead"))))))</x:f>
        <x:v>Large deficit</x:v>
      </x:c>
    </x:row>
    <x:row r="167">
      <x:c r="A167" t="n">
        <x:v>108</x:v>
      </x:c>
      <x:c r="B167" t="str">
        <x:v>KISAN I. C. PARSAUL R.NO. 1</x:v>
      </x:c>
      <x:c r="C167" s="83" t="n">
        <x:f>'2017 Form20'!H116</x:f>
        <x:v>95</x:v>
      </x:c>
      <x:c r="D167" s="83" t="n">
        <x:f>'2017 Form20'!D116</x:f>
        <x:v>731</x:v>
      </x:c>
      <x:c r="E167" s="50" t="n">
        <x:f>'2017 Form20'!P116</x:f>
        <x:v>0.12995896032831739</x:v>
      </x:c>
      <x:c r="F167" t="n">
        <x:f>'2017 Form20'!Q116</x:f>
        <x:v>416</x:v>
      </x:c>
      <x:c r="G167" t="n">
        <x:f>'2017 Form20'!R116</x:f>
        <x:v>-321</x:v>
      </x:c>
      <x:c r="H167" s="52" t="n">
        <x:f>'2017 Form20'!S116</x:f>
        <x:v>-0.43912448700410395</x:v>
      </x:c>
      <x:c r="I167" t="str">
        <x:v>Dhirendra Singh</x:v>
      </x:c>
      <x:c r="J167" t="str">
        <x:v>BJP</x:v>
      </x:c>
      <x:c r="K167" t="str">
        <x:v>EVM row</x:v>
      </x:c>
      <x:c r="L167" s="133" t="str">
        <x:f>IF(D167&lt;=0,"No EVM votes",IF(E167&lt;$N$7,"Low",IF(E167&gt;$R$7,"High","Middle")))</x:f>
        <x:v>High</x:v>
      </x:c>
      <x:c r="M167" s="133" t="str">
        <x:f>IF(D167&lt;=0,"No EVM votes",IF(H167&lt;-20%,"Large deficit",IF(H167&lt;-5%,"Moderate deficit",IF(H167&lt;0,"Narrow deficit",IF(H167&lt;=5%,"Narrow lead/tie",IF(H167&lt;=20%,"Moderate lead","Large lead"))))))</x:f>
        <x:v>Large deficit</x:v>
      </x:c>
    </x:row>
    <x:row r="168">
      <x:c r="A168" t="n">
        <x:v>109</x:v>
      </x:c>
      <x:c r="B168" t="str">
        <x:v>KISAN I. C. PARSAUL R.NO. 2</x:v>
      </x:c>
      <x:c r="C168" s="83" t="n">
        <x:f>'2017 Form20'!H117</x:f>
        <x:v>41</x:v>
      </x:c>
      <x:c r="D168" s="83" t="n">
        <x:f>'2017 Form20'!D117</x:f>
        <x:v>547</x:v>
      </x:c>
      <x:c r="E168" s="50" t="n">
        <x:f>'2017 Form20'!P117</x:f>
        <x:v>0.07495429616087751</x:v>
      </x:c>
      <x:c r="F168" t="n">
        <x:f>'2017 Form20'!Q117</x:f>
        <x:v>251</x:v>
      </x:c>
      <x:c r="G168" t="n">
        <x:f>'2017 Form20'!R117</x:f>
        <x:v>-210</x:v>
      </x:c>
      <x:c r="H168" s="52" t="n">
        <x:f>'2017 Form20'!S117</x:f>
        <x:v>-0.38391224862888484</x:v>
      </x:c>
      <x:c r="I168" t="str">
        <x:v>Dhirendra Singh</x:v>
      </x:c>
      <x:c r="J168" t="str">
        <x:v>BJP</x:v>
      </x:c>
      <x:c r="K168" t="str">
        <x:v>EVM row</x:v>
      </x:c>
      <x:c r="L168" s="133" t="str">
        <x:f>IF(D168&lt;=0,"No EVM votes",IF(E168&lt;$N$7,"Low",IF(E168&gt;$R$7,"High","Middle")))</x:f>
        <x:v>High</x:v>
      </x:c>
      <x:c r="M168" s="133" t="str">
        <x:f>IF(D168&lt;=0,"No EVM votes",IF(H168&lt;-20%,"Large deficit",IF(H168&lt;-5%,"Moderate deficit",IF(H168&lt;0,"Narrow deficit",IF(H168&lt;=5%,"Narrow lead/tie",IF(H168&lt;=20%,"Moderate lead","Large lead"))))))</x:f>
        <x:v>Large deficit</x:v>
      </x:c>
    </x:row>
    <x:row r="169">
      <x:c r="A169" t="n">
        <x:v>110</x:v>
      </x:c>
      <x:c r="B169" t="str">
        <x:v>KISAN I. C. PARSAUL R.NO.3</x:v>
      </x:c>
      <x:c r="C169" s="83" t="n">
        <x:f>'2017 Form20'!H118</x:f>
        <x:v>17</x:v>
      </x:c>
      <x:c r="D169" s="83" t="n">
        <x:f>'2017 Form20'!D118</x:f>
        <x:v>532</x:v>
      </x:c>
      <x:c r="E169" s="50" t="n">
        <x:f>'2017 Form20'!P118</x:f>
        <x:v>0.03195488721804511</x:v>
      </x:c>
      <x:c r="F169" t="n">
        <x:f>'2017 Form20'!Q118</x:f>
        <x:v>278</x:v>
      </x:c>
      <x:c r="G169" t="n">
        <x:f>'2017 Form20'!R118</x:f>
        <x:v>-261</x:v>
      </x:c>
      <x:c r="H169" s="52" t="n">
        <x:f>'2017 Form20'!S118</x:f>
        <x:v>-0.4906015037593985</x:v>
      </x:c>
      <x:c r="I169" t="str">
        <x:v>Dhirendra Singh</x:v>
      </x:c>
      <x:c r="J169" t="str">
        <x:v>BJP</x:v>
      </x:c>
      <x:c r="K169" t="str">
        <x:v>EVM row</x:v>
      </x:c>
      <x:c r="L169" s="133" t="str">
        <x:f>IF(D169&lt;=0,"No EVM votes",IF(E169&lt;$N$7,"Low",IF(E169&gt;$R$7,"High","Middle")))</x:f>
        <x:v>Middle</x:v>
      </x:c>
      <x:c r="M169" s="133" t="str">
        <x:f>IF(D169&lt;=0,"No EVM votes",IF(H169&lt;-20%,"Large deficit",IF(H169&lt;-5%,"Moderate deficit",IF(H169&lt;0,"Narrow deficit",IF(H169&lt;=5%,"Narrow lead/tie",IF(H169&lt;=20%,"Moderate lead","Large lead"))))))</x:f>
        <x:v>Large deficit</x:v>
      </x:c>
    </x:row>
    <x:row r="170">
      <x:c r="A170" t="n">
        <x:v>111</x:v>
      </x:c>
      <x:c r="B170" t="str">
        <x:v>KISAN I. C. PARSAUL R.NO.4</x:v>
      </x:c>
      <x:c r="C170" s="83" t="n">
        <x:f>'2017 Form20'!H119</x:f>
        <x:v>16</x:v>
      </x:c>
      <x:c r="D170" s="83" t="n">
        <x:f>'2017 Form20'!D119</x:f>
        <x:v>461</x:v>
      </x:c>
      <x:c r="E170" s="50" t="n">
        <x:f>'2017 Form20'!P119</x:f>
        <x:v>0.03470715835140998</x:v>
      </x:c>
      <x:c r="F170" t="n">
        <x:f>'2017 Form20'!Q119</x:f>
        <x:v>206</x:v>
      </x:c>
      <x:c r="G170" t="n">
        <x:f>'2017 Form20'!R119</x:f>
        <x:v>-190</x:v>
      </x:c>
      <x:c r="H170" s="52" t="n">
        <x:f>'2017 Form20'!S119</x:f>
        <x:v>-0.4121475054229935</x:v>
      </x:c>
      <x:c r="I170" t="str">
        <x:v>Dhirendra Singh</x:v>
      </x:c>
      <x:c r="J170" t="str">
        <x:v>BJP</x:v>
      </x:c>
      <x:c r="K170" t="str">
        <x:v>EVM row</x:v>
      </x:c>
      <x:c r="L170" s="133" t="str">
        <x:f>IF(D170&lt;=0,"No EVM votes",IF(E170&lt;$N$7,"Low",IF(E170&gt;$R$7,"High","Middle")))</x:f>
        <x:v>Middle</x:v>
      </x:c>
      <x:c r="M170" s="133" t="str">
        <x:f>IF(D170&lt;=0,"No EVM votes",IF(H170&lt;-20%,"Large deficit",IF(H170&lt;-5%,"Moderate deficit",IF(H170&lt;0,"Narrow deficit",IF(H170&lt;=5%,"Narrow lead/tie",IF(H170&lt;=20%,"Moderate lead","Large lead"))))))</x:f>
        <x:v>Large deficit</x:v>
      </x:c>
    </x:row>
    <x:row r="171">
      <x:c r="A171" t="n">
        <x:v>112</x:v>
      </x:c>
      <x:c r="B171" t="str">
        <x:v>PRY. SCHOOL ACHCHHEPUR R.NO. 1</x:v>
      </x:c>
      <x:c r="C171" s="83" t="n">
        <x:f>'2017 Form20'!H120</x:f>
        <x:v>6</x:v>
      </x:c>
      <x:c r="D171" s="83" t="n">
        <x:f>'2017 Form20'!D120</x:f>
        <x:v>684</x:v>
      </x:c>
      <x:c r="E171" s="50" t="n">
        <x:f>'2017 Form20'!P120</x:f>
        <x:v>0.008771929824561403</x:v>
      </x:c>
      <x:c r="F171" t="n">
        <x:f>'2017 Form20'!Q120</x:f>
        <x:v>650</x:v>
      </x:c>
      <x:c r="G171" t="n">
        <x:f>'2017 Form20'!R120</x:f>
        <x:v>-644</x:v>
      </x:c>
      <x:c r="H171" s="52" t="n">
        <x:f>'2017 Form20'!S120</x:f>
        <x:v>-0.9415204678362573</x:v>
      </x:c>
      <x:c r="I171" t="str">
        <x:v>Dhirendra Singh</x:v>
      </x:c>
      <x:c r="J171" t="str">
        <x:v>BJP</x:v>
      </x:c>
      <x:c r="K171" t="str">
        <x:v>EVM row</x:v>
      </x:c>
      <x:c r="L171" s="133" t="str">
        <x:f>IF(D171&lt;=0,"No EVM votes",IF(E171&lt;$N$7,"Low",IF(E171&gt;$R$7,"High","Middle")))</x:f>
        <x:v>Low</x:v>
      </x:c>
      <x:c r="M171" s="133" t="str">
        <x:f>IF(D171&lt;=0,"No EVM votes",IF(H171&lt;-20%,"Large deficit",IF(H171&lt;-5%,"Moderate deficit",IF(H171&lt;0,"Narrow deficit",IF(H171&lt;=5%,"Narrow lead/tie",IF(H171&lt;=20%,"Moderate lead","Large lead"))))))</x:f>
        <x:v>Large deficit</x:v>
      </x:c>
    </x:row>
    <x:row r="172">
      <x:c r="A172" t="n">
        <x:v>113</x:v>
      </x:c>
      <x:c r="B172" t="str">
        <x:v>PRY. SCHOOL ACHCHHEPUR R.NO. 2</x:v>
      </x:c>
      <x:c r="C172" s="83" t="n">
        <x:f>'2017 Form20'!H121</x:f>
        <x:v>17</x:v>
      </x:c>
      <x:c r="D172" s="83" t="n">
        <x:f>'2017 Form20'!D121</x:f>
        <x:v>676</x:v>
      </x:c>
      <x:c r="E172" s="50" t="n">
        <x:f>'2017 Form20'!P121</x:f>
        <x:v>0.02514792899408284</x:v>
      </x:c>
      <x:c r="F172" t="n">
        <x:f>'2017 Form20'!Q121</x:f>
        <x:v>607</x:v>
      </x:c>
      <x:c r="G172" t="n">
        <x:f>'2017 Form20'!R121</x:f>
        <x:v>-590</x:v>
      </x:c>
      <x:c r="H172" s="52" t="n">
        <x:f>'2017 Form20'!S121</x:f>
        <x:v>-0.8727810650887574</x:v>
      </x:c>
      <x:c r="I172" t="str">
        <x:v>Dhirendra Singh</x:v>
      </x:c>
      <x:c r="J172" t="str">
        <x:v>BJP</x:v>
      </x:c>
      <x:c r="K172" t="str">
        <x:v>EVM row</x:v>
      </x:c>
      <x:c r="L172" s="133" t="str">
        <x:f>IF(D172&lt;=0,"No EVM votes",IF(E172&lt;$N$7,"Low",IF(E172&gt;$R$7,"High","Middle")))</x:f>
        <x:v>Middle</x:v>
      </x:c>
      <x:c r="M172" s="133" t="str">
        <x:f>IF(D172&lt;=0,"No EVM votes",IF(H172&lt;-20%,"Large deficit",IF(H172&lt;-5%,"Moderate deficit",IF(H172&lt;0,"Narrow deficit",IF(H172&lt;=5%,"Narrow lead/tie",IF(H172&lt;=20%,"Moderate lead","Large lead"))))))</x:f>
        <x:v>Large deficit</x:v>
      </x:c>
    </x:row>
    <x:row r="173">
      <x:c r="A173" t="n">
        <x:v>114</x:v>
      </x:c>
      <x:c r="B173" t="str">
        <x:v>PRY. SCHOOL CHANDPUR R.NO. 1</x:v>
      </x:c>
      <x:c r="C173" s="83" t="n">
        <x:f>'2017 Form20'!H122</x:f>
        <x:v>19</x:v>
      </x:c>
      <x:c r="D173" s="83" t="n">
        <x:f>'2017 Form20'!D122</x:f>
        <x:v>473</x:v>
      </x:c>
      <x:c r="E173" s="50" t="n">
        <x:f>'2017 Form20'!P122</x:f>
        <x:v>0.040169133192389</x:v>
      </x:c>
      <x:c r="F173" t="n">
        <x:f>'2017 Form20'!Q122</x:f>
        <x:v>378</x:v>
      </x:c>
      <x:c r="G173" t="n">
        <x:f>'2017 Form20'!R122</x:f>
        <x:v>-359</x:v>
      </x:c>
      <x:c r="H173" s="52" t="n">
        <x:f>'2017 Form20'!S122</x:f>
        <x:v>-0.758985200845666</x:v>
      </x:c>
      <x:c r="I173" t="str">
        <x:v>Dhirendra Singh</x:v>
      </x:c>
      <x:c r="J173" t="str">
        <x:v>BJP</x:v>
      </x:c>
      <x:c r="K173" t="str">
        <x:v>EVM row</x:v>
      </x:c>
      <x:c r="L173" s="133" t="str">
        <x:f>IF(D173&lt;=0,"No EVM votes",IF(E173&lt;$N$7,"Low",IF(E173&gt;$R$7,"High","Middle")))</x:f>
        <x:v>Middle</x:v>
      </x:c>
      <x:c r="M173" s="133" t="str">
        <x:f>IF(D173&lt;=0,"No EVM votes",IF(H173&lt;-20%,"Large deficit",IF(H173&lt;-5%,"Moderate deficit",IF(H173&lt;0,"Narrow deficit",IF(H173&lt;=5%,"Narrow lead/tie",IF(H173&lt;=20%,"Moderate lead","Large lead"))))))</x:f>
        <x:v>Large deficit</x:v>
      </x:c>
    </x:row>
    <x:row r="174">
      <x:c r="A174" t="n">
        <x:v>115</x:v>
      </x:c>
      <x:c r="B174" t="str">
        <x:v>PRY. PATH. NILAUNI R.NO. 1</x:v>
      </x:c>
      <x:c r="C174" s="83" t="n">
        <x:f>'2017 Form20'!H123</x:f>
        <x:v>14</x:v>
      </x:c>
      <x:c r="D174" s="83" t="n">
        <x:f>'2017 Form20'!D123</x:f>
        <x:v>615</x:v>
      </x:c>
      <x:c r="E174" s="50" t="n">
        <x:f>'2017 Form20'!P123</x:f>
        <x:v>0.022764227642276424</x:v>
      </x:c>
      <x:c r="F174" t="n">
        <x:f>'2017 Form20'!Q123</x:f>
        <x:v>281</x:v>
      </x:c>
      <x:c r="G174" t="n">
        <x:f>'2017 Form20'!R123</x:f>
        <x:v>-267</x:v>
      </x:c>
      <x:c r="H174" s="52" t="n">
        <x:f>'2017 Form20'!S123</x:f>
        <x:v>-0.43414634146341463</x:v>
      </x:c>
      <x:c r="I174" t="str">
        <x:v>Dhirendra Singh</x:v>
      </x:c>
      <x:c r="J174" t="str">
        <x:v>BJP</x:v>
      </x:c>
      <x:c r="K174" t="str">
        <x:v>EVM row</x:v>
      </x:c>
      <x:c r="L174" s="133" t="str">
        <x:f>IF(D174&lt;=0,"No EVM votes",IF(E174&lt;$N$7,"Low",IF(E174&gt;$R$7,"High","Middle")))</x:f>
        <x:v>Middle</x:v>
      </x:c>
      <x:c r="M174" s="133" t="str">
        <x:f>IF(D174&lt;=0,"No EVM votes",IF(H174&lt;-20%,"Large deficit",IF(H174&lt;-5%,"Moderate deficit",IF(H174&lt;0,"Narrow deficit",IF(H174&lt;=5%,"Narrow lead/tie",IF(H174&lt;=20%,"Moderate lead","Large lead"))))))</x:f>
        <x:v>Large deficit</x:v>
      </x:c>
    </x:row>
    <x:row r="175">
      <x:c r="A175" t="n">
        <x:v>116</x:v>
      </x:c>
      <x:c r="B175" t="str">
        <x:v>PRY. PATH. NILAUNI R.NO. 2</x:v>
      </x:c>
      <x:c r="C175" s="83" t="n">
        <x:f>'2017 Form20'!H124</x:f>
        <x:v>16</x:v>
      </x:c>
      <x:c r="D175" s="83" t="n">
        <x:f>'2017 Form20'!D124</x:f>
        <x:v>620</x:v>
      </x:c>
      <x:c r="E175" s="50" t="n">
        <x:f>'2017 Form20'!P124</x:f>
        <x:v>0.025806451612903226</x:v>
      </x:c>
      <x:c r="F175" t="n">
        <x:f>'2017 Form20'!Q124</x:f>
        <x:v>358</x:v>
      </x:c>
      <x:c r="G175" t="n">
        <x:f>'2017 Form20'!R124</x:f>
        <x:v>-342</x:v>
      </x:c>
      <x:c r="H175" s="52" t="n">
        <x:f>'2017 Form20'!S124</x:f>
        <x:v>-0.5516129032258065</x:v>
      </x:c>
      <x:c r="I175" t="str">
        <x:v>Dhirendra Singh</x:v>
      </x:c>
      <x:c r="J175" t="str">
        <x:v>BJP</x:v>
      </x:c>
      <x:c r="K175" t="str">
        <x:v>EVM row</x:v>
      </x:c>
      <x:c r="L175" s="133" t="str">
        <x:f>IF(D175&lt;=0,"No EVM votes",IF(E175&lt;$N$7,"Low",IF(E175&gt;$R$7,"High","Middle")))</x:f>
        <x:v>Middle</x:v>
      </x:c>
      <x:c r="M175" s="133" t="str">
        <x:f>IF(D175&lt;=0,"No EVM votes",IF(H175&lt;-20%,"Large deficit",IF(H175&lt;-5%,"Moderate deficit",IF(H175&lt;0,"Narrow deficit",IF(H175&lt;=5%,"Narrow lead/tie",IF(H175&lt;=20%,"Moderate lead","Large lead"))))))</x:f>
        <x:v>Large deficit</x:v>
      </x:c>
    </x:row>
    <x:row r="176">
      <x:c r="A176" t="n">
        <x:v>117</x:v>
      </x:c>
      <x:c r="B176" t="str">
        <x:v>PRY. SCHOOL SHAHPUR R.NO. 1</x:v>
      </x:c>
      <x:c r="C176" s="83" t="n">
        <x:f>'2017 Form20'!H125</x:f>
        <x:v>3</x:v>
      </x:c>
      <x:c r="D176" s="83" t="n">
        <x:f>'2017 Form20'!D125</x:f>
        <x:v>415</x:v>
      </x:c>
      <x:c r="E176" s="50" t="n">
        <x:f>'2017 Form20'!P125</x:f>
        <x:v>0.007228915662650603</x:v>
      </x:c>
      <x:c r="F176" t="n">
        <x:f>'2017 Form20'!Q125</x:f>
        <x:v>213</x:v>
      </x:c>
      <x:c r="G176" t="n">
        <x:f>'2017 Form20'!R125</x:f>
        <x:v>-210</x:v>
      </x:c>
      <x:c r="H176" s="52" t="n">
        <x:f>'2017 Form20'!S125</x:f>
        <x:v>-0.5060240963855421</x:v>
      </x:c>
      <x:c r="I176" t="str">
        <x:v>Vedram Bhati</x:v>
      </x:c>
      <x:c r="J176" t="str">
        <x:v>BSP</x:v>
      </x:c>
      <x:c r="K176" t="str">
        <x:v>EVM row</x:v>
      </x:c>
      <x:c r="L176" s="133" t="str">
        <x:f>IF(D176&lt;=0,"No EVM votes",IF(E176&lt;$N$7,"Low",IF(E176&gt;$R$7,"High","Middle")))</x:f>
        <x:v>Low</x:v>
      </x:c>
      <x:c r="M176" s="133" t="str">
        <x:f>IF(D176&lt;=0,"No EVM votes",IF(H176&lt;-20%,"Large deficit",IF(H176&lt;-5%,"Moderate deficit",IF(H176&lt;0,"Narrow deficit",IF(H176&lt;=5%,"Narrow lead/tie",IF(H176&lt;=20%,"Moderate lead","Large lead"))))))</x:f>
        <x:v>Large deficit</x:v>
      </x:c>
    </x:row>
    <x:row r="177">
      <x:c r="A177" t="n">
        <x:v>118</x:v>
      </x:c>
      <x:c r="B177" t="str">
        <x:v>PRY. SCHOOL MIRZAPUR R.NO. 1</x:v>
      </x:c>
      <x:c r="C177" s="83" t="n">
        <x:f>'2017 Form20'!H126</x:f>
        <x:v>25</x:v>
      </x:c>
      <x:c r="D177" s="83" t="n">
        <x:f>'2017 Form20'!D126</x:f>
        <x:v>976</x:v>
      </x:c>
      <x:c r="E177" s="50" t="n">
        <x:f>'2017 Form20'!P126</x:f>
        <x:v>0.025614754098360656</x:v>
      </x:c>
      <x:c r="F177" t="n">
        <x:f>'2017 Form20'!Q126</x:f>
        <x:v>759</x:v>
      </x:c>
      <x:c r="G177" t="n">
        <x:f>'2017 Form20'!R126</x:f>
        <x:v>-734</x:v>
      </x:c>
      <x:c r="H177" s="52" t="n">
        <x:f>'2017 Form20'!S126</x:f>
        <x:v>-0.7520491803278688</x:v>
      </x:c>
      <x:c r="I177" t="str">
        <x:v>Dhirendra Singh</x:v>
      </x:c>
      <x:c r="J177" t="str">
        <x:v>BJP</x:v>
      </x:c>
      <x:c r="K177" t="str">
        <x:v>EVM row</x:v>
      </x:c>
      <x:c r="L177" s="133" t="str">
        <x:f>IF(D177&lt;=0,"No EVM votes",IF(E177&lt;$N$7,"Low",IF(E177&gt;$R$7,"High","Middle")))</x:f>
        <x:v>Middle</x:v>
      </x:c>
      <x:c r="M177" s="133" t="str">
        <x:f>IF(D177&lt;=0,"No EVM votes",IF(H177&lt;-20%,"Large deficit",IF(H177&lt;-5%,"Moderate deficit",IF(H177&lt;0,"Narrow deficit",IF(H177&lt;=5%,"Narrow lead/tie",IF(H177&lt;=20%,"Moderate lead","Large lead"))))))</x:f>
        <x:v>Large deficit</x:v>
      </x:c>
    </x:row>
    <x:row r="178">
      <x:c r="A178" t="n">
        <x:v>119</x:v>
      </x:c>
      <x:c r="B178" t="str">
        <x:v>SHRI HARDWARI LAL JANHIT H.S. SCHOOL MIRZAPUR R.NO. 1</x:v>
      </x:c>
      <x:c r="C178" s="83" t="n">
        <x:f>'2017 Form20'!H127</x:f>
        <x:v>16</x:v>
      </x:c>
      <x:c r="D178" s="83" t="n">
        <x:f>'2017 Form20'!D127</x:f>
        <x:v>1129</x:v>
      </x:c>
      <x:c r="E178" s="50" t="n">
        <x:f>'2017 Form20'!P127</x:f>
        <x:v>0.0141718334809566</x:v>
      </x:c>
      <x:c r="F178" t="n">
        <x:f>'2017 Form20'!Q127</x:f>
        <x:v>906</x:v>
      </x:c>
      <x:c r="G178" t="n">
        <x:f>'2017 Form20'!R127</x:f>
        <x:v>-890</x:v>
      </x:c>
      <x:c r="H178" s="52" t="n">
        <x:f>'2017 Form20'!S127</x:f>
        <x:v>-0.7883082373782108</x:v>
      </x:c>
      <x:c r="I178" t="str">
        <x:v>Dhirendra Singh</x:v>
      </x:c>
      <x:c r="J178" t="str">
        <x:v>BJP</x:v>
      </x:c>
      <x:c r="K178" t="str">
        <x:v>EVM row</x:v>
      </x:c>
      <x:c r="L178" s="133" t="str">
        <x:f>IF(D178&lt;=0,"No EVM votes",IF(E178&lt;$N$7,"Low",IF(E178&gt;$R$7,"High","Middle")))</x:f>
        <x:v>Low</x:v>
      </x:c>
      <x:c r="M178" s="133" t="str">
        <x:f>IF(D178&lt;=0,"No EVM votes",IF(H178&lt;-20%,"Large deficit",IF(H178&lt;-5%,"Moderate deficit",IF(H178&lt;0,"Narrow deficit",IF(H178&lt;=5%,"Narrow lead/tie",IF(H178&lt;=20%,"Moderate lead","Large lead"))))))</x:f>
        <x:v>Large deficit</x:v>
      </x:c>
    </x:row>
    <x:row r="179">
      <x:c r="A179" t="n">
        <x:v>120</x:v>
      </x:c>
      <x:c r="B179" t="str">
        <x:v>SHRI HARDWARI LAL JANHIT H.S. SCHOOL MIRZAPUR R.NO.2</x:v>
      </x:c>
      <x:c r="C179" s="83" t="n">
        <x:f>'2017 Form20'!H128</x:f>
        <x:v>3</x:v>
      </x:c>
      <x:c r="D179" s="83" t="n">
        <x:f>'2017 Form20'!D128</x:f>
        <x:v>633</x:v>
      </x:c>
      <x:c r="E179" s="50" t="n">
        <x:f>'2017 Form20'!P128</x:f>
        <x:v>0.004739336492890996</x:v>
      </x:c>
      <x:c r="F179" t="n">
        <x:f>'2017 Form20'!Q128</x:f>
        <x:v>434</x:v>
      </x:c>
      <x:c r="G179" t="n">
        <x:f>'2017 Form20'!R128</x:f>
        <x:v>-431</x:v>
      </x:c>
      <x:c r="H179" s="52" t="n">
        <x:f>'2017 Form20'!S128</x:f>
        <x:v>-0.6808846761453397</x:v>
      </x:c>
      <x:c r="I179" t="str">
        <x:v>Dhirendra Singh</x:v>
      </x:c>
      <x:c r="J179" t="str">
        <x:v>BJP</x:v>
      </x:c>
      <x:c r="K179" t="str">
        <x:v>EVM row</x:v>
      </x:c>
      <x:c r="L179" s="133" t="str">
        <x:f>IF(D179&lt;=0,"No EVM votes",IF(E179&lt;$N$7,"Low",IF(E179&gt;$R$7,"High","Middle")))</x:f>
        <x:v>Low</x:v>
      </x:c>
      <x:c r="M179" s="133" t="str">
        <x:f>IF(D179&lt;=0,"No EVM votes",IF(H179&lt;-20%,"Large deficit",IF(H179&lt;-5%,"Moderate deficit",IF(H179&lt;0,"Narrow deficit",IF(H179&lt;=5%,"Narrow lead/tie",IF(H179&lt;=20%,"Moderate lead","Large lead"))))))</x:f>
        <x:v>Large deficit</x:v>
      </x:c>
    </x:row>
    <x:row r="180">
      <x:c r="A180" t="n">
        <x:v>121</x:v>
      </x:c>
      <x:c r="B180" t="str">
        <x:v>SHRI HARDWARI LAL JANHIT H.S. SCHOOL MIRZAPUR R.NO. 3</x:v>
      </x:c>
      <x:c r="C180" s="83" t="n">
        <x:f>'2017 Form20'!H129</x:f>
        <x:v>6</x:v>
      </x:c>
      <x:c r="D180" s="83" t="n">
        <x:f>'2017 Form20'!D129</x:f>
        <x:v>386</x:v>
      </x:c>
      <x:c r="E180" s="50" t="n">
        <x:f>'2017 Form20'!P129</x:f>
        <x:v>0.015544041450777202</x:v>
      </x:c>
      <x:c r="F180" t="n">
        <x:f>'2017 Form20'!Q129</x:f>
        <x:v>297</x:v>
      </x:c>
      <x:c r="G180" t="n">
        <x:f>'2017 Form20'!R129</x:f>
        <x:v>-291</x:v>
      </x:c>
      <x:c r="H180" s="52" t="n">
        <x:f>'2017 Form20'!S129</x:f>
        <x:v>-0.7538860103626943</x:v>
      </x:c>
      <x:c r="I180" t="str">
        <x:v>Dhirendra Singh</x:v>
      </x:c>
      <x:c r="J180" t="str">
        <x:v>BJP</x:v>
      </x:c>
      <x:c r="K180" t="str">
        <x:v>EVM row</x:v>
      </x:c>
      <x:c r="L180" s="133" t="str">
        <x:f>IF(D180&lt;=0,"No EVM votes",IF(E180&lt;$N$7,"Low",IF(E180&gt;$R$7,"High","Middle")))</x:f>
        <x:v>Low</x:v>
      </x:c>
      <x:c r="M180" s="133" t="str">
        <x:f>IF(D180&lt;=0,"No EVM votes",IF(H180&lt;-20%,"Large deficit",IF(H180&lt;-5%,"Moderate deficit",IF(H180&lt;0,"Narrow deficit",IF(H180&lt;=5%,"Narrow lead/tie",IF(H180&lt;=20%,"Moderate lead","Large lead"))))))</x:f>
        <x:v>Large deficit</x:v>
      </x:c>
    </x:row>
    <x:row r="181">
      <x:c r="A181" t="n">
        <x:v>122</x:v>
      </x:c>
      <x:c r="B181" t="str">
        <x:v>PRY. SCHOOL CHAPARGARH R.NO.2</x:v>
      </x:c>
      <x:c r="C181" s="83" t="n">
        <x:f>'2017 Form20'!H130</x:f>
        <x:v>23</x:v>
      </x:c>
      <x:c r="D181" s="83" t="n">
        <x:f>'2017 Form20'!D130</x:f>
        <x:v>453</x:v>
      </x:c>
      <x:c r="E181" s="50" t="n">
        <x:f>'2017 Form20'!P130</x:f>
        <x:v>0.05077262693156733</x:v>
      </x:c>
      <x:c r="F181" t="n">
        <x:f>'2017 Form20'!Q130</x:f>
        <x:v>347</x:v>
      </x:c>
      <x:c r="G181" t="n">
        <x:f>'2017 Form20'!R130</x:f>
        <x:v>-324</x:v>
      </x:c>
      <x:c r="H181" s="52" t="n">
        <x:f>'2017 Form20'!S130</x:f>
        <x:v>-0.7152317880794702</x:v>
      </x:c>
      <x:c r="I181" t="str">
        <x:v>Vedram Bhati</x:v>
      </x:c>
      <x:c r="J181" t="str">
        <x:v>BSP</x:v>
      </x:c>
      <x:c r="K181" t="str">
        <x:v>EVM row</x:v>
      </x:c>
      <x:c r="L181" s="133" t="str">
        <x:f>IF(D181&lt;=0,"No EVM votes",IF(E181&lt;$N$7,"Low",IF(E181&gt;$R$7,"High","Middle")))</x:f>
        <x:v>Middle</x:v>
      </x:c>
      <x:c r="M181" s="133" t="str">
        <x:f>IF(D181&lt;=0,"No EVM votes",IF(H181&lt;-20%,"Large deficit",IF(H181&lt;-5%,"Moderate deficit",IF(H181&lt;0,"Narrow deficit",IF(H181&lt;=5%,"Narrow lead/tie",IF(H181&lt;=20%,"Moderate lead","Large lead"))))))</x:f>
        <x:v>Large deficit</x:v>
      </x:c>
    </x:row>
    <x:row r="182">
      <x:c r="A182" t="n">
        <x:v>123</x:v>
      </x:c>
      <x:c r="B182" t="str">
        <x:v>PRY. SCHOOL RAMPUR BANGAR R.NO. 1</x:v>
      </x:c>
      <x:c r="C182" s="83" t="n">
        <x:f>'2017 Form20'!H131</x:f>
        <x:v>17</x:v>
      </x:c>
      <x:c r="D182" s="83" t="n">
        <x:f>'2017 Form20'!D131</x:f>
        <x:v>690</x:v>
      </x:c>
      <x:c r="E182" s="50" t="n">
        <x:f>'2017 Form20'!P131</x:f>
        <x:v>0.02463768115942029</x:v>
      </x:c>
      <x:c r="F182" t="n">
        <x:f>'2017 Form20'!Q131</x:f>
        <x:v>586</x:v>
      </x:c>
      <x:c r="G182" t="n">
        <x:f>'2017 Form20'!R131</x:f>
        <x:v>-569</x:v>
      </x:c>
      <x:c r="H182" s="52" t="n">
        <x:f>'2017 Form20'!S131</x:f>
        <x:v>-0.8246376811594203</x:v>
      </x:c>
      <x:c r="I182" t="str">
        <x:v>Dhirendra Singh</x:v>
      </x:c>
      <x:c r="J182" t="str">
        <x:v>BJP</x:v>
      </x:c>
      <x:c r="K182" t="str">
        <x:v>EVM row</x:v>
      </x:c>
      <x:c r="L182" s="133" t="str">
        <x:f>IF(D182&lt;=0,"No EVM votes",IF(E182&lt;$N$7,"Low",IF(E182&gt;$R$7,"High","Middle")))</x:f>
        <x:v>Middle</x:v>
      </x:c>
      <x:c r="M182" s="133" t="str">
        <x:f>IF(D182&lt;=0,"No EVM votes",IF(H182&lt;-20%,"Large deficit",IF(H182&lt;-5%,"Moderate deficit",IF(H182&lt;0,"Narrow deficit",IF(H182&lt;=5%,"Narrow lead/tie",IF(H182&lt;=20%,"Moderate lead","Large lead"))))))</x:f>
        <x:v>Large deficit</x:v>
      </x:c>
    </x:row>
    <x:row r="183">
      <x:c r="A183" t="n">
        <x:v>124</x:v>
      </x:c>
      <x:c r="B183" t="str">
        <x:v>PRY. PATH. ACHCHHEJA BUJURG R.NO. 1</x:v>
      </x:c>
      <x:c r="C183" s="83" t="n">
        <x:f>'2017 Form20'!H132</x:f>
        <x:v>41</x:v>
      </x:c>
      <x:c r="D183" s="83" t="n">
        <x:f>'2017 Form20'!D132</x:f>
        <x:v>993</x:v>
      </x:c>
      <x:c r="E183" s="50" t="n">
        <x:f>'2017 Form20'!P132</x:f>
        <x:v>0.041289023162134945</x:v>
      </x:c>
      <x:c r="F183" t="n">
        <x:f>'2017 Form20'!Q132</x:f>
        <x:v>494</x:v>
      </x:c>
      <x:c r="G183" t="n">
        <x:f>'2017 Form20'!R132</x:f>
        <x:v>-453</x:v>
      </x:c>
      <x:c r="H183" s="52" t="n">
        <x:f>'2017 Form20'!S132</x:f>
        <x:v>-0.4561933534743202</x:v>
      </x:c>
      <x:c r="I183" t="str">
        <x:v>Vedram Bhati</x:v>
      </x:c>
      <x:c r="J183" t="str">
        <x:v>BSP</x:v>
      </x:c>
      <x:c r="K183" t="str">
        <x:v>EVM row</x:v>
      </x:c>
      <x:c r="L183" s="133" t="str">
        <x:f>IF(D183&lt;=0,"No EVM votes",IF(E183&lt;$N$7,"Low",IF(E183&gt;$R$7,"High","Middle")))</x:f>
        <x:v>Middle</x:v>
      </x:c>
      <x:c r="M183" s="133" t="str">
        <x:f>IF(D183&lt;=0,"No EVM votes",IF(H183&lt;-20%,"Large deficit",IF(H183&lt;-5%,"Moderate deficit",IF(H183&lt;0,"Narrow deficit",IF(H183&lt;=5%,"Narrow lead/tie",IF(H183&lt;=20%,"Moderate lead","Large lead"))))))</x:f>
        <x:v>Large deficit</x:v>
      </x:c>
    </x:row>
    <x:row r="184">
      <x:c r="A184" t="n">
        <x:v>125</x:v>
      </x:c>
      <x:c r="B184" t="str">
        <x:v>PRY. SCHOOL DUNGARPUR REELKA R.NO. 1</x:v>
      </x:c>
      <x:c r="C184" s="83" t="n">
        <x:f>'2017 Form20'!H133</x:f>
        <x:v>36</x:v>
      </x:c>
      <x:c r="D184" s="83" t="n">
        <x:f>'2017 Form20'!D133</x:f>
        <x:v>624</x:v>
      </x:c>
      <x:c r="E184" s="50" t="n">
        <x:f>'2017 Form20'!P133</x:f>
        <x:v>0.057692307692307696</x:v>
      </x:c>
      <x:c r="F184" t="n">
        <x:f>'2017 Form20'!Q133</x:f>
        <x:v>385</x:v>
      </x:c>
      <x:c r="G184" t="n">
        <x:f>'2017 Form20'!R133</x:f>
        <x:v>-349</x:v>
      </x:c>
      <x:c r="H184" s="52" t="n">
        <x:f>'2017 Form20'!S133</x:f>
        <x:v>-0.5592948717948718</x:v>
      </x:c>
      <x:c r="I184" t="str">
        <x:v>Vedram Bhati</x:v>
      </x:c>
      <x:c r="J184" t="str">
        <x:v>BSP</x:v>
      </x:c>
      <x:c r="K184" t="str">
        <x:v>EVM row</x:v>
      </x:c>
      <x:c r="L184" s="133" t="str">
        <x:f>IF(D184&lt;=0,"No EVM votes",IF(E184&lt;$N$7,"Low",IF(E184&gt;$R$7,"High","Middle")))</x:f>
        <x:v>Middle</x:v>
      </x:c>
      <x:c r="M184" s="133" t="str">
        <x:f>IF(D184&lt;=0,"No EVM votes",IF(H184&lt;-20%,"Large deficit",IF(H184&lt;-5%,"Moderate deficit",IF(H184&lt;0,"Narrow deficit",IF(H184&lt;=5%,"Narrow lead/tie",IF(H184&lt;=20%,"Moderate lead","Large lead"))))))</x:f>
        <x:v>Large deficit</x:v>
      </x:c>
    </x:row>
    <x:row r="185">
      <x:c r="A185" t="n">
        <x:v>126</x:v>
      </x:c>
      <x:c r="B185" t="str">
        <x:v>PRY. SCHOOL DUNGARPUR REELKA R.NO. 2</x:v>
      </x:c>
      <x:c r="C185" s="83" t="n">
        <x:f>'2017 Form20'!H134</x:f>
        <x:v>22</x:v>
      </x:c>
      <x:c r="D185" s="83" t="n">
        <x:f>'2017 Form20'!D134</x:f>
        <x:v>642</x:v>
      </x:c>
      <x:c r="E185" s="50" t="n">
        <x:f>'2017 Form20'!P134</x:f>
        <x:v>0.03426791277258567</x:v>
      </x:c>
      <x:c r="F185" t="n">
        <x:f>'2017 Form20'!Q134</x:f>
        <x:v>484</x:v>
      </x:c>
      <x:c r="G185" t="n">
        <x:f>'2017 Form20'!R134</x:f>
        <x:v>-462</x:v>
      </x:c>
      <x:c r="H185" s="52" t="n">
        <x:f>'2017 Form20'!S134</x:f>
        <x:v>-0.719626168224299</x:v>
      </x:c>
      <x:c r="I185" t="str">
        <x:v>Vedram Bhati</x:v>
      </x:c>
      <x:c r="J185" t="str">
        <x:v>BSP</x:v>
      </x:c>
      <x:c r="K185" t="str">
        <x:v>EVM row</x:v>
      </x:c>
      <x:c r="L185" s="133" t="str">
        <x:f>IF(D185&lt;=0,"No EVM votes",IF(E185&lt;$N$7,"Low",IF(E185&gt;$R$7,"High","Middle")))</x:f>
        <x:v>Middle</x:v>
      </x:c>
      <x:c r="M185" s="133" t="str">
        <x:f>IF(D185&lt;=0,"No EVM votes",IF(H185&lt;-20%,"Large deficit",IF(H185&lt;-5%,"Moderate deficit",IF(H185&lt;0,"Narrow deficit",IF(H185&lt;=5%,"Narrow lead/tie",IF(H185&lt;=20%,"Moderate lead","Large lead"))))))</x:f>
        <x:v>Large deficit</x:v>
      </x:c>
    </x:row>
    <x:row r="186">
      <x:c r="A186" t="n">
        <x:v>127</x:v>
      </x:c>
      <x:c r="B186" t="str">
        <x:v>PRY. SCHOOL MOHAMMADPUR GUJAR R.NO. 1</x:v>
      </x:c>
      <x:c r="C186" s="83" t="n">
        <x:f>'2017 Form20'!H135</x:f>
        <x:v>657</x:v>
      </x:c>
      <x:c r="D186" s="83" t="n">
        <x:f>'2017 Form20'!D135</x:f>
        <x:v>698</x:v>
      </x:c>
      <x:c r="E186" s="50" t="n">
        <x:f>'2017 Form20'!P135</x:f>
        <x:v>0.9412607449856734</x:v>
      </x:c>
      <x:c r="F186" t="n">
        <x:f>'2017 Form20'!Q135</x:f>
        <x:v>20</x:v>
      </x:c>
      <x:c r="G186" t="n">
        <x:f>'2017 Form20'!R135</x:f>
        <x:v>637</x:v>
      </x:c>
      <x:c r="H186" s="52" t="n">
        <x:f>'2017 Form20'!S135</x:f>
        <x:v>0.9126074498567335</x:v>
      </x:c>
      <x:c r="I186" t="str">
        <x:v>Narender Nagar</x:v>
      </x:c>
      <x:c r="J186" t="str">
        <x:v>SP</x:v>
      </x:c>
      <x:c r="K186" t="str">
        <x:v>EVM row</x:v>
      </x:c>
      <x:c r="L186" s="133" t="str">
        <x:f>IF(D186&lt;=0,"No EVM votes",IF(E186&lt;$N$7,"Low",IF(E186&gt;$R$7,"High","Middle")))</x:f>
        <x:v>High</x:v>
      </x:c>
      <x:c r="M186" s="133" t="str">
        <x:f>IF(D186&lt;=0,"No EVM votes",IF(H186&lt;-20%,"Large deficit",IF(H186&lt;-5%,"Moderate deficit",IF(H186&lt;0,"Narrow deficit",IF(H186&lt;=5%,"Narrow lead/tie",IF(H186&lt;=20%,"Moderate lead","Large lead"))))))</x:f>
        <x:v>Large lead</x:v>
      </x:c>
    </x:row>
    <x:row r="187">
      <x:c r="A187" t="n">
        <x:v>128</x:v>
      </x:c>
      <x:c r="B187" t="str">
        <x:v>BIHARI LAL I. C. DANKAUR PURVA R.NO. 1</x:v>
      </x:c>
      <x:c r="C187" s="83" t="n">
        <x:f>'2017 Form20'!H136</x:f>
        <x:v>22</x:v>
      </x:c>
      <x:c r="D187" s="83" t="n">
        <x:f>'2017 Form20'!D136</x:f>
        <x:v>767</x:v>
      </x:c>
      <x:c r="E187" s="50" t="n">
        <x:f>'2017 Form20'!P136</x:f>
        <x:v>0.028683181225554105</x:v>
      </x:c>
      <x:c r="F187" t="n">
        <x:f>'2017 Form20'!Q136</x:f>
        <x:v>539</x:v>
      </x:c>
      <x:c r="G187" t="n">
        <x:f>'2017 Form20'!R136</x:f>
        <x:v>-517</x:v>
      </x:c>
      <x:c r="H187" s="52" t="n">
        <x:f>'2017 Form20'!S136</x:f>
        <x:v>-0.6740547588005215</x:v>
      </x:c>
      <x:c r="I187" t="str">
        <x:v>Dhirendra Singh</x:v>
      </x:c>
      <x:c r="J187" t="str">
        <x:v>BJP</x:v>
      </x:c>
      <x:c r="K187" t="str">
        <x:v>EVM row</x:v>
      </x:c>
      <x:c r="L187" s="133" t="str">
        <x:f>IF(D187&lt;=0,"No EVM votes",IF(E187&lt;$N$7,"Low",IF(E187&gt;$R$7,"High","Middle")))</x:f>
        <x:v>Middle</x:v>
      </x:c>
      <x:c r="M187" s="133" t="str">
        <x:f>IF(D187&lt;=0,"No EVM votes",IF(H187&lt;-20%,"Large deficit",IF(H187&lt;-5%,"Moderate deficit",IF(H187&lt;0,"Narrow deficit",IF(H187&lt;=5%,"Narrow lead/tie",IF(H187&lt;=20%,"Moderate lead","Large lead"))))))</x:f>
        <x:v>Large deficit</x:v>
      </x:c>
    </x:row>
    <x:row r="188">
      <x:c r="A188" t="n">
        <x:v>129</x:v>
      </x:c>
      <x:c r="B188" t="str">
        <x:v>BIHARI LAL I. C. DANKAUR PURVA R.NO. 2</x:v>
      </x:c>
      <x:c r="C188" s="83" t="n">
        <x:f>'2017 Form20'!H137</x:f>
        <x:v>33</x:v>
      </x:c>
      <x:c r="D188" s="83" t="n">
        <x:f>'2017 Form20'!D137</x:f>
        <x:v>676</x:v>
      </x:c>
      <x:c r="E188" s="50" t="n">
        <x:f>'2017 Form20'!P137</x:f>
        <x:v>0.04881656804733728</x:v>
      </x:c>
      <x:c r="F188" t="n">
        <x:f>'2017 Form20'!Q137</x:f>
        <x:v>339</x:v>
      </x:c>
      <x:c r="G188" t="n">
        <x:f>'2017 Form20'!R137</x:f>
        <x:v>-306</x:v>
      </x:c>
      <x:c r="H188" s="52" t="n">
        <x:f>'2017 Form20'!S137</x:f>
        <x:v>-0.4526627218934911</x:v>
      </x:c>
      <x:c r="I188" t="str">
        <x:v>Dhirendra Singh</x:v>
      </x:c>
      <x:c r="J188" t="str">
        <x:v>BJP</x:v>
      </x:c>
      <x:c r="K188" t="str">
        <x:v>EVM row</x:v>
      </x:c>
      <x:c r="L188" s="133" t="str">
        <x:f>IF(D188&lt;=0,"No EVM votes",IF(E188&lt;$N$7,"Low",IF(E188&gt;$R$7,"High","Middle")))</x:f>
        <x:v>Middle</x:v>
      </x:c>
      <x:c r="M188" s="133" t="str">
        <x:f>IF(D188&lt;=0,"No EVM votes",IF(H188&lt;-20%,"Large deficit",IF(H188&lt;-5%,"Moderate deficit",IF(H188&lt;0,"Narrow deficit",IF(H188&lt;=5%,"Narrow lead/tie",IF(H188&lt;=20%,"Moderate lead","Large lead"))))))</x:f>
        <x:v>Large deficit</x:v>
      </x:c>
    </x:row>
    <x:row r="189">
      <x:c r="A189" t="n">
        <x:v>130</x:v>
      </x:c>
      <x:c r="B189" t="str">
        <x:v>BIHARI LAL I. C. DANKAUR PURVA R.NO. 3</x:v>
      </x:c>
      <x:c r="C189" s="83" t="n">
        <x:f>'2017 Form20'!H138</x:f>
        <x:v>48</x:v>
      </x:c>
      <x:c r="D189" s="83" t="n">
        <x:f>'2017 Form20'!D138</x:f>
        <x:v>780</x:v>
      </x:c>
      <x:c r="E189" s="50" t="n">
        <x:f>'2017 Form20'!P138</x:f>
        <x:v>0.06153846153846154</x:v>
      </x:c>
      <x:c r="F189" t="n">
        <x:f>'2017 Form20'!Q138</x:f>
        <x:v>357</x:v>
      </x:c>
      <x:c r="G189" t="n">
        <x:f>'2017 Form20'!R138</x:f>
        <x:v>-309</x:v>
      </x:c>
      <x:c r="H189" s="52" t="n">
        <x:f>'2017 Form20'!S138</x:f>
        <x:v>-0.39615384615384613</x:v>
      </x:c>
      <x:c r="I189" t="str">
        <x:v>Vedram Bhati</x:v>
      </x:c>
      <x:c r="J189" t="str">
        <x:v>BSP</x:v>
      </x:c>
      <x:c r="K189" t="str">
        <x:v>EVM row</x:v>
      </x:c>
      <x:c r="L189" s="133" t="str">
        <x:f>IF(D189&lt;=0,"No EVM votes",IF(E189&lt;$N$7,"Low",IF(E189&gt;$R$7,"High","Middle")))</x:f>
        <x:v>Middle</x:v>
      </x:c>
      <x:c r="M189" s="133" t="str">
        <x:f>IF(D189&lt;=0,"No EVM votes",IF(H189&lt;-20%,"Large deficit",IF(H189&lt;-5%,"Moderate deficit",IF(H189&lt;0,"Narrow deficit",IF(H189&lt;=5%,"Narrow lead/tie",IF(H189&lt;=20%,"Moderate lead","Large lead"))))))</x:f>
        <x:v>Large deficit</x:v>
      </x:c>
    </x:row>
    <x:row r="190">
      <x:c r="A190" t="n">
        <x:v>131</x:v>
      </x:c>
      <x:c r="B190" t="str">
        <x:v>BIHARI LAL I. C. DANKAUR PURVA R.NO. 4</x:v>
      </x:c>
      <x:c r="C190" s="83" t="n">
        <x:f>'2017 Form20'!H139</x:f>
        <x:v>14</x:v>
      </x:c>
      <x:c r="D190" s="83" t="n">
        <x:f>'2017 Form20'!D139</x:f>
        <x:v>531</x:v>
      </x:c>
      <x:c r="E190" s="50" t="n">
        <x:f>'2017 Form20'!P139</x:f>
        <x:v>0.026365348399246705</x:v>
      </x:c>
      <x:c r="F190" t="n">
        <x:f>'2017 Form20'!Q139</x:f>
        <x:v>371</x:v>
      </x:c>
      <x:c r="G190" t="n">
        <x:f>'2017 Form20'!R139</x:f>
        <x:v>-357</x:v>
      </x:c>
      <x:c r="H190" s="52" t="n">
        <x:f>'2017 Form20'!S139</x:f>
        <x:v>-0.672316384180791</x:v>
      </x:c>
      <x:c r="I190" t="str">
        <x:v>Dhirendra Singh</x:v>
      </x:c>
      <x:c r="J190" t="str">
        <x:v>BJP</x:v>
      </x:c>
      <x:c r="K190" t="str">
        <x:v>EVM row</x:v>
      </x:c>
      <x:c r="L190" s="133" t="str">
        <x:f>IF(D190&lt;=0,"No EVM votes",IF(E190&lt;$N$7,"Low",IF(E190&gt;$R$7,"High","Middle")))</x:f>
        <x:v>Middle</x:v>
      </x:c>
      <x:c r="M190" s="133" t="str">
        <x:f>IF(D190&lt;=0,"No EVM votes",IF(H190&lt;-20%,"Large deficit",IF(H190&lt;-5%,"Moderate deficit",IF(H190&lt;0,"Narrow deficit",IF(H190&lt;=5%,"Narrow lead/tie",IF(H190&lt;=20%,"Moderate lead","Large lead"))))))</x:f>
        <x:v>Large deficit</x:v>
      </x:c>
    </x:row>
    <x:row r="191">
      <x:c r="A191" t="n">
        <x:v>132</x:v>
      </x:c>
      <x:c r="B191" t="str">
        <x:v>BIHARI LAL I. C. DANKAUR PURVA R.NO. 5</x:v>
      </x:c>
      <x:c r="C191" s="83" t="n">
        <x:f>'2017 Form20'!H140</x:f>
        <x:v>97</x:v>
      </x:c>
      <x:c r="D191" s="83" t="n">
        <x:f>'2017 Form20'!D140</x:f>
        <x:v>812</x:v>
      </x:c>
      <x:c r="E191" s="50" t="n">
        <x:f>'2017 Form20'!P140</x:f>
        <x:v>0.11945812807881774</x:v>
      </x:c>
      <x:c r="F191" t="n">
        <x:f>'2017 Form20'!Q140</x:f>
        <x:v>431</x:v>
      </x:c>
      <x:c r="G191" t="n">
        <x:f>'2017 Form20'!R140</x:f>
        <x:v>-334</x:v>
      </x:c>
      <x:c r="H191" s="52" t="n">
        <x:f>'2017 Form20'!S140</x:f>
        <x:v>-0.41133004926108374</x:v>
      </x:c>
      <x:c r="I191" t="str">
        <x:v>Vedram Bhati</x:v>
      </x:c>
      <x:c r="J191" t="str">
        <x:v>BSP</x:v>
      </x:c>
      <x:c r="K191" t="str">
        <x:v>EVM row</x:v>
      </x:c>
      <x:c r="L191" s="133" t="str">
        <x:f>IF(D191&lt;=0,"No EVM votes",IF(E191&lt;$N$7,"Low",IF(E191&gt;$R$7,"High","Middle")))</x:f>
        <x:v>High</x:v>
      </x:c>
      <x:c r="M191" s="133" t="str">
        <x:f>IF(D191&lt;=0,"No EVM votes",IF(H191&lt;-20%,"Large deficit",IF(H191&lt;-5%,"Moderate deficit",IF(H191&lt;0,"Narrow deficit",IF(H191&lt;=5%,"Narrow lead/tie",IF(H191&lt;=20%,"Moderate lead","Large lead"))))))</x:f>
        <x:v>Large deficit</x:v>
      </x:c>
    </x:row>
    <x:row r="192">
      <x:c r="A192" t="n">
        <x:v>133</x:v>
      </x:c>
      <x:c r="B192" t="str">
        <x:v>BIHARI LAL I. C. DANKAUR PURVA R.NO. 6</x:v>
      </x:c>
      <x:c r="C192" s="83" t="n">
        <x:f>'2017 Form20'!H141</x:f>
        <x:v>68</x:v>
      </x:c>
      <x:c r="D192" s="83" t="n">
        <x:f>'2017 Form20'!D141</x:f>
        <x:v>902</x:v>
      </x:c>
      <x:c r="E192" s="50" t="n">
        <x:f>'2017 Form20'!P141</x:f>
        <x:v>0.07538802660753881</x:v>
      </x:c>
      <x:c r="F192" t="n">
        <x:f>'2017 Form20'!Q141</x:f>
        <x:v>503</x:v>
      </x:c>
      <x:c r="G192" t="n">
        <x:f>'2017 Form20'!R141</x:f>
        <x:v>-435</x:v>
      </x:c>
      <x:c r="H192" s="52" t="n">
        <x:f>'2017 Form20'!S141</x:f>
        <x:v>-0.48226164079822614</x:v>
      </x:c>
      <x:c r="I192" t="str">
        <x:v>Vedram Bhati</x:v>
      </x:c>
      <x:c r="J192" t="str">
        <x:v>BSP</x:v>
      </x:c>
      <x:c r="K192" t="str">
        <x:v>EVM row</x:v>
      </x:c>
      <x:c r="L192" s="133" t="str">
        <x:f>IF(D192&lt;=0,"No EVM votes",IF(E192&lt;$N$7,"Low",IF(E192&gt;$R$7,"High","Middle")))</x:f>
        <x:v>High</x:v>
      </x:c>
      <x:c r="M192" s="133" t="str">
        <x:f>IF(D192&lt;=0,"No EVM votes",IF(H192&lt;-20%,"Large deficit",IF(H192&lt;-5%,"Moderate deficit",IF(H192&lt;0,"Narrow deficit",IF(H192&lt;=5%,"Narrow lead/tie",IF(H192&lt;=20%,"Moderate lead","Large lead"))))))</x:f>
        <x:v>Large deficit</x:v>
      </x:c>
    </x:row>
    <x:row r="193">
      <x:c r="A193" t="n">
        <x:v>134</x:v>
      </x:c>
      <x:c r="B193" t="str">
        <x:v>PURVA M.V. T.A. DANKAUR R.NO. 1</x:v>
      </x:c>
      <x:c r="C193" s="83" t="n">
        <x:f>'2017 Form20'!H142</x:f>
        <x:v>20</x:v>
      </x:c>
      <x:c r="D193" s="83" t="n">
        <x:f>'2017 Form20'!D142</x:f>
        <x:v>803</x:v>
      </x:c>
      <x:c r="E193" s="50" t="n">
        <x:f>'2017 Form20'!P142</x:f>
        <x:v>0.024906600249066</x:v>
      </x:c>
      <x:c r="F193" t="n">
        <x:f>'2017 Form20'!Q142</x:f>
        <x:v>546</x:v>
      </x:c>
      <x:c r="G193" t="n">
        <x:f>'2017 Form20'!R142</x:f>
        <x:v>-526</x:v>
      </x:c>
      <x:c r="H193" s="52" t="n">
        <x:f>'2017 Form20'!S142</x:f>
        <x:v>-0.6550435865504358</x:v>
      </x:c>
      <x:c r="I193" t="str">
        <x:v>Vedram Bhati</x:v>
      </x:c>
      <x:c r="J193" t="str">
        <x:v>BSP</x:v>
      </x:c>
      <x:c r="K193" t="str">
        <x:v>EVM row</x:v>
      </x:c>
      <x:c r="L193" s="133" t="str">
        <x:f>IF(D193&lt;=0,"No EVM votes",IF(E193&lt;$N$7,"Low",IF(E193&gt;$R$7,"High","Middle")))</x:f>
        <x:v>Middle</x:v>
      </x:c>
      <x:c r="M193" s="133" t="str">
        <x:f>IF(D193&lt;=0,"No EVM votes",IF(H193&lt;-20%,"Large deficit",IF(H193&lt;-5%,"Moderate deficit",IF(H193&lt;0,"Narrow deficit",IF(H193&lt;=5%,"Narrow lead/tie",IF(H193&lt;=20%,"Moderate lead","Large lead"))))))</x:f>
        <x:v>Large deficit</x:v>
      </x:c>
    </x:row>
    <x:row r="194">
      <x:c r="A194" t="n">
        <x:v>135</x:v>
      </x:c>
      <x:c r="B194" t="str">
        <x:v>PURVA M.V. T.A. DANKAUR R.NO. 2</x:v>
      </x:c>
      <x:c r="C194" s="83" t="n">
        <x:f>'2017 Form20'!H143</x:f>
        <x:v>18</x:v>
      </x:c>
      <x:c r="D194" s="83" t="n">
        <x:f>'2017 Form20'!D143</x:f>
        <x:v>573</x:v>
      </x:c>
      <x:c r="E194" s="50" t="n">
        <x:f>'2017 Form20'!P143</x:f>
        <x:v>0.031413612565445025</x:v>
      </x:c>
      <x:c r="F194" t="n">
        <x:f>'2017 Form20'!Q143</x:f>
        <x:v>323</x:v>
      </x:c>
      <x:c r="G194" t="n">
        <x:f>'2017 Form20'!R143</x:f>
        <x:v>-305</x:v>
      </x:c>
      <x:c r="H194" s="52" t="n">
        <x:f>'2017 Form20'!S143</x:f>
        <x:v>-0.5322862129144852</x:v>
      </x:c>
      <x:c r="I194" t="str">
        <x:v>Dhirendra Singh</x:v>
      </x:c>
      <x:c r="J194" t="str">
        <x:v>BJP</x:v>
      </x:c>
      <x:c r="K194" t="str">
        <x:v>EVM row</x:v>
      </x:c>
      <x:c r="L194" s="133" t="str">
        <x:f>IF(D194&lt;=0,"No EVM votes",IF(E194&lt;$N$7,"Low",IF(E194&gt;$R$7,"High","Middle")))</x:f>
        <x:v>Middle</x:v>
      </x:c>
      <x:c r="M194" s="133" t="str">
        <x:f>IF(D194&lt;=0,"No EVM votes",IF(H194&lt;-20%,"Large deficit",IF(H194&lt;-5%,"Moderate deficit",IF(H194&lt;0,"Narrow deficit",IF(H194&lt;=5%,"Narrow lead/tie",IF(H194&lt;=20%,"Moderate lead","Large lead"))))))</x:f>
        <x:v>Large deficit</x:v>
      </x:c>
    </x:row>
    <x:row r="195">
      <x:c r="A195" t="n">
        <x:v>136</x:v>
      </x:c>
      <x:c r="B195" t="str">
        <x:v>PURVA M.V. T.A. DANKAUR R.NO. 3</x:v>
      </x:c>
      <x:c r="C195" s="83" t="n">
        <x:f>'2017 Form20'!H144</x:f>
        <x:v>18</x:v>
      </x:c>
      <x:c r="D195" s="83" t="n">
        <x:f>'2017 Form20'!D144</x:f>
        <x:v>527</x:v>
      </x:c>
      <x:c r="E195" s="50" t="n">
        <x:f>'2017 Form20'!P144</x:f>
        <x:v>0.03415559772296015</x:v>
      </x:c>
      <x:c r="F195" t="n">
        <x:f>'2017 Form20'!Q144</x:f>
        <x:v>253</x:v>
      </x:c>
      <x:c r="G195" t="n">
        <x:f>'2017 Form20'!R144</x:f>
        <x:v>-235</x:v>
      </x:c>
      <x:c r="H195" s="52" t="n">
        <x:f>'2017 Form20'!S144</x:f>
        <x:v>-0.4459203036053131</x:v>
      </x:c>
      <x:c r="I195" t="str">
        <x:v>Dhirendra Singh</x:v>
      </x:c>
      <x:c r="J195" t="str">
        <x:v>BJP</x:v>
      </x:c>
      <x:c r="K195" t="str">
        <x:v>EVM row</x:v>
      </x:c>
      <x:c r="L195" s="133" t="str">
        <x:f>IF(D195&lt;=0,"No EVM votes",IF(E195&lt;$N$7,"Low",IF(E195&gt;$R$7,"High","Middle")))</x:f>
        <x:v>Middle</x:v>
      </x:c>
      <x:c r="M195" s="133" t="str">
        <x:f>IF(D195&lt;=0,"No EVM votes",IF(H195&lt;-20%,"Large deficit",IF(H195&lt;-5%,"Moderate deficit",IF(H195&lt;0,"Narrow deficit",IF(H195&lt;=5%,"Narrow lead/tie",IF(H195&lt;=20%,"Moderate lead","Large lead"))))))</x:f>
        <x:v>Large deficit</x:v>
      </x:c>
    </x:row>
    <x:row r="196">
      <x:c r="A196" t="n">
        <x:v>137</x:v>
      </x:c>
      <x:c r="B196" t="str">
        <x:v>PRY. VIDHYALAYA NO. 1 T.A. DANKAUR R.NO. 1</x:v>
      </x:c>
      <x:c r="C196" s="83" t="n">
        <x:f>'2017 Form20'!H145</x:f>
        <x:v>63</x:v>
      </x:c>
      <x:c r="D196" s="83" t="n">
        <x:f>'2017 Form20'!D145</x:f>
        <x:v>703</x:v>
      </x:c>
      <x:c r="E196" s="50" t="n">
        <x:f>'2017 Form20'!P145</x:f>
        <x:v>0.08961593172119488</x:v>
      </x:c>
      <x:c r="F196" t="n">
        <x:f>'2017 Form20'!Q145</x:f>
        <x:v>350</x:v>
      </x:c>
      <x:c r="G196" t="n">
        <x:f>'2017 Form20'!R145</x:f>
        <x:v>-287</x:v>
      </x:c>
      <x:c r="H196" s="52" t="n">
        <x:f>'2017 Form20'!S145</x:f>
        <x:v>-0.40825035561877665</x:v>
      </x:c>
      <x:c r="I196" t="str">
        <x:v>Dhirendra Singh</x:v>
      </x:c>
      <x:c r="J196" t="str">
        <x:v>BJP</x:v>
      </x:c>
      <x:c r="K196" t="str">
        <x:v>EVM row</x:v>
      </x:c>
      <x:c r="L196" s="133" t="str">
        <x:f>IF(D196&lt;=0,"No EVM votes",IF(E196&lt;$N$7,"Low",IF(E196&gt;$R$7,"High","Middle")))</x:f>
        <x:v>High</x:v>
      </x:c>
      <x:c r="M196" s="133" t="str">
        <x:f>IF(D196&lt;=0,"No EVM votes",IF(H196&lt;-20%,"Large deficit",IF(H196&lt;-5%,"Moderate deficit",IF(H196&lt;0,"Narrow deficit",IF(H196&lt;=5%,"Narrow lead/tie",IF(H196&lt;=20%,"Moderate lead","Large lead"))))))</x:f>
        <x:v>Large deficit</x:v>
      </x:c>
    </x:row>
    <x:row r="197">
      <x:c r="A197" t="n">
        <x:v>138</x:v>
      </x:c>
      <x:c r="B197" t="str">
        <x:v>PRY. VIDHYALAYA NO. 1 T.A. DANKAUR R.NO. 2</x:v>
      </x:c>
      <x:c r="C197" s="83" t="n">
        <x:f>'2017 Form20'!H146</x:f>
        <x:v>27</x:v>
      </x:c>
      <x:c r="D197" s="83" t="n">
        <x:f>'2017 Form20'!D146</x:f>
        <x:v>735</x:v>
      </x:c>
      <x:c r="E197" s="50" t="n">
        <x:f>'2017 Form20'!P146</x:f>
        <x:v>0.036734693877551024</x:v>
      </x:c>
      <x:c r="F197" t="n">
        <x:f>'2017 Form20'!Q146</x:f>
        <x:v>575</x:v>
      </x:c>
      <x:c r="G197" t="n">
        <x:f>'2017 Form20'!R146</x:f>
        <x:v>-548</x:v>
      </x:c>
      <x:c r="H197" s="52" t="n">
        <x:f>'2017 Form20'!S146</x:f>
        <x:v>-0.745578231292517</x:v>
      </x:c>
      <x:c r="I197" t="str">
        <x:v>Dhirendra Singh</x:v>
      </x:c>
      <x:c r="J197" t="str">
        <x:v>BJP</x:v>
      </x:c>
      <x:c r="K197" t="str">
        <x:v>EVM row</x:v>
      </x:c>
      <x:c r="L197" s="133" t="str">
        <x:f>IF(D197&lt;=0,"No EVM votes",IF(E197&lt;$N$7,"Low",IF(E197&gt;$R$7,"High","Middle")))</x:f>
        <x:v>Middle</x:v>
      </x:c>
      <x:c r="M197" s="133" t="str">
        <x:f>IF(D197&lt;=0,"No EVM votes",IF(H197&lt;-20%,"Large deficit",IF(H197&lt;-5%,"Moderate deficit",IF(H197&lt;0,"Narrow deficit",IF(H197&lt;=5%,"Narrow lead/tie",IF(H197&lt;=20%,"Moderate lead","Large lead"))))))</x:f>
        <x:v>Large deficit</x:v>
      </x:c>
    </x:row>
    <x:row r="198">
      <x:c r="A198" t="n">
        <x:v>139</x:v>
      </x:c>
      <x:c r="B198" t="str">
        <x:v>किसान आ0इ0का0 दनकौर क0न0 1 KISAN ADHYATMIK I.C. DANKARU R.NO. 1</x:v>
      </x:c>
      <x:c r="C198" s="83" t="n">
        <x:f>'2017 Form20'!H147</x:f>
        <x:v>23</x:v>
      </x:c>
      <x:c r="D198" s="83" t="n">
        <x:f>'2017 Form20'!D147</x:f>
        <x:v>479</x:v>
      </x:c>
      <x:c r="E198" s="50" t="n">
        <x:f>'2017 Form20'!P147</x:f>
        <x:v>0.04801670146137787</x:v>
      </x:c>
      <x:c r="F198" t="n">
        <x:f>'2017 Form20'!Q147</x:f>
        <x:v>254</x:v>
      </x:c>
      <x:c r="G198" t="n">
        <x:f>'2017 Form20'!R147</x:f>
        <x:v>-231</x:v>
      </x:c>
      <x:c r="H198" s="52" t="n">
        <x:f>'2017 Form20'!S147</x:f>
        <x:v>-0.4822546972860125</x:v>
      </x:c>
      <x:c r="I198" t="str">
        <x:v>Vedram Bhati</x:v>
      </x:c>
      <x:c r="J198" t="str">
        <x:v>BSP</x:v>
      </x:c>
      <x:c r="K198" t="str">
        <x:v>EVM row</x:v>
      </x:c>
      <x:c r="L198" s="133" t="str">
        <x:f>IF(D198&lt;=0,"No EVM votes",IF(E198&lt;$N$7,"Low",IF(E198&gt;$R$7,"High","Middle")))</x:f>
        <x:v>Middle</x:v>
      </x:c>
      <x:c r="M198" s="133" t="str">
        <x:f>IF(D198&lt;=0,"No EVM votes",IF(H198&lt;-20%,"Large deficit",IF(H198&lt;-5%,"Moderate deficit",IF(H198&lt;0,"Narrow deficit",IF(H198&lt;=5%,"Narrow lead/tie",IF(H198&lt;=20%,"Moderate lead","Large lead"))))))</x:f>
        <x:v>Large deficit</x:v>
      </x:c>
    </x:row>
    <x:row r="199">
      <x:c r="A199" t="n">
        <x:v>140</x:v>
      </x:c>
      <x:c r="B199" t="str">
        <x:v>KISAN ADHYATMIK I.C. DANKARU R.NO.2</x:v>
      </x:c>
      <x:c r="C199" s="83" t="n">
        <x:f>'2017 Form20'!H148</x:f>
        <x:v>22</x:v>
      </x:c>
      <x:c r="D199" s="83" t="n">
        <x:f>'2017 Form20'!D148</x:f>
        <x:v>284</x:v>
      </x:c>
      <x:c r="E199" s="50" t="n">
        <x:f>'2017 Form20'!P148</x:f>
        <x:v>0.07746478873239436</x:v>
      </x:c>
      <x:c r="F199" t="n">
        <x:f>'2017 Form20'!Q148</x:f>
        <x:v>133</x:v>
      </x:c>
      <x:c r="G199" t="n">
        <x:f>'2017 Form20'!R148</x:f>
        <x:v>-111</x:v>
      </x:c>
      <x:c r="H199" s="52" t="n">
        <x:f>'2017 Form20'!S148</x:f>
        <x:v>-0.3908450704225352</x:v>
      </x:c>
      <x:c r="I199" t="str">
        <x:v>Dhirendra Singh</x:v>
      </x:c>
      <x:c r="J199" t="str">
        <x:v>BJP</x:v>
      </x:c>
      <x:c r="K199" t="str">
        <x:v>EVM row</x:v>
      </x:c>
      <x:c r="L199" s="133" t="str">
        <x:f>IF(D199&lt;=0,"No EVM votes",IF(E199&lt;$N$7,"Low",IF(E199&gt;$R$7,"High","Middle")))</x:f>
        <x:v>High</x:v>
      </x:c>
      <x:c r="M199" s="133" t="str">
        <x:f>IF(D199&lt;=0,"No EVM votes",IF(H199&lt;-20%,"Large deficit",IF(H199&lt;-5%,"Moderate deficit",IF(H199&lt;0,"Narrow deficit",IF(H199&lt;=5%,"Narrow lead/tie",IF(H199&lt;=20%,"Moderate lead","Large lead"))))))</x:f>
        <x:v>Large deficit</x:v>
      </x:c>
    </x:row>
    <x:row r="200">
      <x:c r="A200" t="n">
        <x:v>141</x:v>
      </x:c>
      <x:c r="B200" t="str">
        <x:v>KISAN ADHYATMIK I.C. DANKARU R.NO. 3</x:v>
      </x:c>
      <x:c r="C200" s="83" t="n">
        <x:f>'2017 Form20'!H149</x:f>
        <x:v>14</x:v>
      </x:c>
      <x:c r="D200" s="83" t="n">
        <x:f>'2017 Form20'!D149</x:f>
        <x:v>223</x:v>
      </x:c>
      <x:c r="E200" s="50" t="n">
        <x:f>'2017 Form20'!P149</x:f>
        <x:v>0.06278026905829596</x:v>
      </x:c>
      <x:c r="F200" t="n">
        <x:f>'2017 Form20'!Q149</x:f>
        <x:v>154</x:v>
      </x:c>
      <x:c r="G200" t="n">
        <x:f>'2017 Form20'!R149</x:f>
        <x:v>-140</x:v>
      </x:c>
      <x:c r="H200" s="52" t="n">
        <x:f>'2017 Form20'!S149</x:f>
        <x:v>-0.6278026905829597</x:v>
      </x:c>
      <x:c r="I200" t="str">
        <x:v>Vedram Bhati</x:v>
      </x:c>
      <x:c r="J200" t="str">
        <x:v>BSP</x:v>
      </x:c>
      <x:c r="K200" t="str">
        <x:v>EVM row</x:v>
      </x:c>
      <x:c r="L200" s="133" t="str">
        <x:f>IF(D200&lt;=0,"No EVM votes",IF(E200&lt;$N$7,"Low",IF(E200&gt;$R$7,"High","Middle")))</x:f>
        <x:v>Middle</x:v>
      </x:c>
      <x:c r="M200" s="133" t="str">
        <x:f>IF(D200&lt;=0,"No EVM votes",IF(H200&lt;-20%,"Large deficit",IF(H200&lt;-5%,"Moderate deficit",IF(H200&lt;0,"Narrow deficit",IF(H200&lt;=5%,"Narrow lead/tie",IF(H200&lt;=20%,"Moderate lead","Large lead"))))))</x:f>
        <x:v>Large deficit</x:v>
      </x:c>
    </x:row>
    <x:row r="201">
      <x:c r="A201" t="n">
        <x:v>142</x:v>
      </x:c>
      <x:c r="B201" t="str">
        <x:v>PRY. SCHOOL GUNPURA R.NO. 1</x:v>
      </x:c>
      <x:c r="C201" s="83" t="n">
        <x:f>'2017 Form20'!H150</x:f>
        <x:v>23</x:v>
      </x:c>
      <x:c r="D201" s="83" t="n">
        <x:f>'2017 Form20'!D150</x:f>
        <x:v>287</x:v>
      </x:c>
      <x:c r="E201" s="50" t="n">
        <x:f>'2017 Form20'!P150</x:f>
        <x:v>0.08013937282229965</x:v>
      </x:c>
      <x:c r="F201" t="n">
        <x:f>'2017 Form20'!Q150</x:f>
        <x:v>139</x:v>
      </x:c>
      <x:c r="G201" t="n">
        <x:f>'2017 Form20'!R150</x:f>
        <x:v>-116</x:v>
      </x:c>
      <x:c r="H201" s="52" t="n">
        <x:f>'2017 Form20'!S150</x:f>
        <x:v>-0.40418118466898956</x:v>
      </x:c>
      <x:c r="I201" t="str">
        <x:v>Vedram Bhati</x:v>
      </x:c>
      <x:c r="J201" t="str">
        <x:v>BSP</x:v>
      </x:c>
      <x:c r="K201" t="str">
        <x:v>EVM row</x:v>
      </x:c>
      <x:c r="L201" s="133" t="str">
        <x:f>IF(D201&lt;=0,"No EVM votes",IF(E201&lt;$N$7,"Low",IF(E201&gt;$R$7,"High","Middle")))</x:f>
        <x:v>High</x:v>
      </x:c>
      <x:c r="M201" s="133" t="str">
        <x:f>IF(D201&lt;=0,"No EVM votes",IF(H201&lt;-20%,"Large deficit",IF(H201&lt;-5%,"Moderate deficit",IF(H201&lt;0,"Narrow deficit",IF(H201&lt;=5%,"Narrow lead/tie",IF(H201&lt;=20%,"Moderate lead","Large lead"))))))</x:f>
        <x:v>Large deficit</x:v>
      </x:c>
    </x:row>
    <x:row r="202">
      <x:c r="A202" t="n">
        <x:v>143</x:v>
      </x:c>
      <x:c r="B202" t="str">
        <x:v>PRY. SCHOOL ATTA GUJRAN R.NO. 1</x:v>
      </x:c>
      <x:c r="C202" s="83" t="n">
        <x:f>'2017 Form20'!H151</x:f>
        <x:v>51</x:v>
      </x:c>
      <x:c r="D202" s="83" t="n">
        <x:f>'2017 Form20'!D151</x:f>
        <x:v>936</x:v>
      </x:c>
      <x:c r="E202" s="50" t="n">
        <x:f>'2017 Form20'!P151</x:f>
        <x:v>0.05448717948717949</x:v>
      </x:c>
      <x:c r="F202" t="n">
        <x:f>'2017 Form20'!Q151</x:f>
        <x:v>475</x:v>
      </x:c>
      <x:c r="G202" t="n">
        <x:f>'2017 Form20'!R151</x:f>
        <x:v>-424</x:v>
      </x:c>
      <x:c r="H202" s="52" t="n">
        <x:f>'2017 Form20'!S151</x:f>
        <x:v>-0.452991452991453</x:v>
      </x:c>
      <x:c r="I202" t="str">
        <x:v>Vedram Bhati</x:v>
      </x:c>
      <x:c r="J202" t="str">
        <x:v>BSP</x:v>
      </x:c>
      <x:c r="K202" t="str">
        <x:v>EVM row</x:v>
      </x:c>
      <x:c r="L202" s="133" t="str">
        <x:f>IF(D202&lt;=0,"No EVM votes",IF(E202&lt;$N$7,"Low",IF(E202&gt;$R$7,"High","Middle")))</x:f>
        <x:v>Middle</x:v>
      </x:c>
      <x:c r="M202" s="133" t="str">
        <x:f>IF(D202&lt;=0,"No EVM votes",IF(H202&lt;-20%,"Large deficit",IF(H202&lt;-5%,"Moderate deficit",IF(H202&lt;0,"Narrow deficit",IF(H202&lt;=5%,"Narrow lead/tie",IF(H202&lt;=20%,"Moderate lead","Large lead"))))))</x:f>
        <x:v>Large deficit</x:v>
      </x:c>
    </x:row>
    <x:row r="203">
      <x:c r="A203" t="n">
        <x:v>144</x:v>
      </x:c>
      <x:c r="B203" t="str">
        <x:v>PRY. SCHOOL ATTA GUJRAN R.NO.2</x:v>
      </x:c>
      <x:c r="C203" s="83" t="n">
        <x:f>'2017 Form20'!H152</x:f>
        <x:v>11</x:v>
      </x:c>
      <x:c r="D203" s="83" t="n">
        <x:f>'2017 Form20'!D152</x:f>
        <x:v>619</x:v>
      </x:c>
      <x:c r="E203" s="50" t="n">
        <x:f>'2017 Form20'!P152</x:f>
        <x:v>0.017770597738287562</x:v>
      </x:c>
      <x:c r="F203" t="n">
        <x:f>'2017 Form20'!Q152</x:f>
        <x:v>532</x:v>
      </x:c>
      <x:c r="G203" t="n">
        <x:f>'2017 Form20'!R152</x:f>
        <x:v>-521</x:v>
      </x:c>
      <x:c r="H203" s="52" t="n">
        <x:f>'2017 Form20'!S152</x:f>
        <x:v>-0.8416801292407108</x:v>
      </x:c>
      <x:c r="I203" t="str">
        <x:v>Vedram Bhati</x:v>
      </x:c>
      <x:c r="J203" t="str">
        <x:v>BSP</x:v>
      </x:c>
      <x:c r="K203" t="str">
        <x:v>EVM row</x:v>
      </x:c>
      <x:c r="L203" s="133" t="str">
        <x:f>IF(D203&lt;=0,"No EVM votes",IF(E203&lt;$N$7,"Low",IF(E203&gt;$R$7,"High","Middle")))</x:f>
        <x:v>Middle</x:v>
      </x:c>
      <x:c r="M203" s="133" t="str">
        <x:f>IF(D203&lt;=0,"No EVM votes",IF(H203&lt;-20%,"Large deficit",IF(H203&lt;-5%,"Moderate deficit",IF(H203&lt;0,"Narrow deficit",IF(H203&lt;=5%,"Narrow lead/tie",IF(H203&lt;=20%,"Moderate lead","Large lead"))))))</x:f>
        <x:v>Large deficit</x:v>
      </x:c>
    </x:row>
    <x:row r="204">
      <x:c r="A204" t="n">
        <x:v>145</x:v>
      </x:c>
      <x:c r="B204" t="str">
        <x:v>PRY. SCHOOL JAGANPUR AFZALPUR R.NO.</x:v>
      </x:c>
      <x:c r="C204" s="83" t="n">
        <x:f>'2017 Form20'!H153</x:f>
        <x:v>33</x:v>
      </x:c>
      <x:c r="D204" s="83" t="n">
        <x:f>'2017 Form20'!D153</x:f>
        <x:v>449</x:v>
      </x:c>
      <x:c r="E204" s="50" t="n">
        <x:f>'2017 Form20'!P153</x:f>
        <x:v>0.07349665924276169</x:v>
      </x:c>
      <x:c r="F204" t="n">
        <x:f>'2017 Form20'!Q153</x:f>
        <x:v>264</x:v>
      </x:c>
      <x:c r="G204" t="n">
        <x:f>'2017 Form20'!R153</x:f>
        <x:v>-231</x:v>
      </x:c>
      <x:c r="H204" s="52" t="n">
        <x:f>'2017 Form20'!S153</x:f>
        <x:v>-0.5144766146993318</x:v>
      </x:c>
      <x:c r="I204" t="str">
        <x:v>Vedram Bhati</x:v>
      </x:c>
      <x:c r="J204" t="str">
        <x:v>BSP</x:v>
      </x:c>
      <x:c r="K204" t="str">
        <x:v>EVM row</x:v>
      </x:c>
      <x:c r="L204" s="133" t="str">
        <x:f>IF(D204&lt;=0,"No EVM votes",IF(E204&lt;$N$7,"Low",IF(E204&gt;$R$7,"High","Middle")))</x:f>
        <x:v>High</x:v>
      </x:c>
      <x:c r="M204" s="133" t="str">
        <x:f>IF(D204&lt;=0,"No EVM votes",IF(H204&lt;-20%,"Large deficit",IF(H204&lt;-5%,"Moderate deficit",IF(H204&lt;0,"Narrow deficit",IF(H204&lt;=5%,"Narrow lead/tie",IF(H204&lt;=20%,"Moderate lead","Large lead"))))))</x:f>
        <x:v>Large deficit</x:v>
      </x:c>
    </x:row>
    <x:row r="205">
      <x:c r="A205" t="n">
        <x:v>146</x:v>
      </x:c>
      <x:c r="B205" t="str">
        <x:v>PRY. SCHOOL ORANGPUR R.NO. 1</x:v>
      </x:c>
      <x:c r="C205" s="83" t="n">
        <x:f>'2017 Form20'!H154</x:f>
        <x:v>45</x:v>
      </x:c>
      <x:c r="D205" s="83" t="n">
        <x:f>'2017 Form20'!D154</x:f>
        <x:v>653</x:v>
      </x:c>
      <x:c r="E205" s="50" t="n">
        <x:f>'2017 Form20'!P154</x:f>
        <x:v>0.06891271056661562</x:v>
      </x:c>
      <x:c r="F205" t="n">
        <x:f>'2017 Form20'!Q154</x:f>
        <x:v>401</x:v>
      </x:c>
      <x:c r="G205" t="n">
        <x:f>'2017 Form20'!R154</x:f>
        <x:v>-356</x:v>
      </x:c>
      <x:c r="H205" s="52" t="n">
        <x:f>'2017 Form20'!S154</x:f>
        <x:v>-0.5451761102603369</x:v>
      </x:c>
      <x:c r="I205" t="str">
        <x:v>Vedram Bhati</x:v>
      </x:c>
      <x:c r="J205" t="str">
        <x:v>BSP</x:v>
      </x:c>
      <x:c r="K205" t="str">
        <x:v>EVM row</x:v>
      </x:c>
      <x:c r="L205" s="133" t="str">
        <x:f>IF(D205&lt;=0,"No EVM votes",IF(E205&lt;$N$7,"Low",IF(E205&gt;$R$7,"High","Middle")))</x:f>
        <x:v>Middle</x:v>
      </x:c>
      <x:c r="M205" s="133" t="str">
        <x:f>IF(D205&lt;=0,"No EVM votes",IF(H205&lt;-20%,"Large deficit",IF(H205&lt;-5%,"Moderate deficit",IF(H205&lt;0,"Narrow deficit",IF(H205&lt;=5%,"Narrow lead/tie",IF(H205&lt;=20%,"Moderate lead","Large lead"))))))</x:f>
        <x:v>Large deficit</x:v>
      </x:c>
    </x:row>
    <x:row r="206">
      <x:c r="A206" t="n">
        <x:v>147</x:v>
      </x:c>
      <x:c r="B206" t="str">
        <x:v>PRY. SCHOOL FATEHPUR ATTA R.NO. 1</x:v>
      </x:c>
      <x:c r="C206" s="83" t="n">
        <x:f>'2017 Form20'!H155</x:f>
        <x:v>109</x:v>
      </x:c>
      <x:c r="D206" s="83" t="n">
        <x:f>'2017 Form20'!D155</x:f>
        <x:v>967</x:v>
      </x:c>
      <x:c r="E206" s="50" t="n">
        <x:f>'2017 Form20'!P155</x:f>
        <x:v>0.11271975180972078</x:v>
      </x:c>
      <x:c r="F206" t="n">
        <x:f>'2017 Form20'!Q155</x:f>
        <x:v>457</x:v>
      </x:c>
      <x:c r="G206" t="n">
        <x:f>'2017 Form20'!R155</x:f>
        <x:v>-348</x:v>
      </x:c>
      <x:c r="H206" s="52" t="n">
        <x:f>'2017 Form20'!S155</x:f>
        <x:v>-0.35987590486039295</x:v>
      </x:c>
      <x:c r="I206" t="str">
        <x:v>Dhirendra Singh</x:v>
      </x:c>
      <x:c r="J206" t="str">
        <x:v>BJP</x:v>
      </x:c>
      <x:c r="K206" t="str">
        <x:v>EVM row</x:v>
      </x:c>
      <x:c r="L206" s="133" t="str">
        <x:f>IF(D206&lt;=0,"No EVM votes",IF(E206&lt;$N$7,"Low",IF(E206&gt;$R$7,"High","Middle")))</x:f>
        <x:v>High</x:v>
      </x:c>
      <x:c r="M206" s="133" t="str">
        <x:f>IF(D206&lt;=0,"No EVM votes",IF(H206&lt;-20%,"Large deficit",IF(H206&lt;-5%,"Moderate deficit",IF(H206&lt;0,"Narrow deficit",IF(H206&lt;=5%,"Narrow lead/tie",IF(H206&lt;=20%,"Moderate lead","Large lead"))))))</x:f>
        <x:v>Large deficit</x:v>
      </x:c>
    </x:row>
    <x:row r="207">
      <x:c r="A207" t="n">
        <x:v>148</x:v>
      </x:c>
      <x:c r="B207" t="str">
        <x:v>PRY. SCHOOL FATEHPUR ATTA R.NO. 2</x:v>
      </x:c>
      <x:c r="C207" s="83" t="n">
        <x:f>'2017 Form20'!H156</x:f>
        <x:v>90</x:v>
      </x:c>
      <x:c r="D207" s="83" t="n">
        <x:f>'2017 Form20'!D156</x:f>
        <x:v>501</x:v>
      </x:c>
      <x:c r="E207" s="50" t="n">
        <x:f>'2017 Form20'!P156</x:f>
        <x:v>0.17964071856287425</x:v>
      </x:c>
      <x:c r="F207" t="n">
        <x:f>'2017 Form20'!Q156</x:f>
        <x:v>265</x:v>
      </x:c>
      <x:c r="G207" t="n">
        <x:f>'2017 Form20'!R156</x:f>
        <x:v>-175</x:v>
      </x:c>
      <x:c r="H207" s="52" t="n">
        <x:f>'2017 Form20'!S156</x:f>
        <x:v>-0.34930139720558884</x:v>
      </x:c>
      <x:c r="I207" t="str">
        <x:v>Vedram Bhati</x:v>
      </x:c>
      <x:c r="J207" t="str">
        <x:v>BSP</x:v>
      </x:c>
      <x:c r="K207" t="str">
        <x:v>EVM row</x:v>
      </x:c>
      <x:c r="L207" s="133" t="str">
        <x:f>IF(D207&lt;=0,"No EVM votes",IF(E207&lt;$N$7,"Low",IF(E207&gt;$R$7,"High","Middle")))</x:f>
        <x:v>High</x:v>
      </x:c>
      <x:c r="M207" s="133" t="str">
        <x:f>IF(D207&lt;=0,"No EVM votes",IF(H207&lt;-20%,"Large deficit",IF(H207&lt;-5%,"Moderate deficit",IF(H207&lt;0,"Narrow deficit",IF(H207&lt;=5%,"Narrow lead/tie",IF(H207&lt;=20%,"Moderate lead","Large lead"))))))</x:f>
        <x:v>Large deficit</x:v>
      </x:c>
    </x:row>
    <x:row r="208">
      <x:c r="A208" t="n">
        <x:v>149</x:v>
      </x:c>
      <x:c r="B208" t="str">
        <x:v>PRY. SCHOOL SALARPUR R.NO. 1</x:v>
      </x:c>
      <x:c r="C208" s="83" t="n">
        <x:f>'2017 Form20'!H157</x:f>
        <x:v>23</x:v>
      </x:c>
      <x:c r="D208" s="83" t="n">
        <x:f>'2017 Form20'!D157</x:f>
        <x:v>970</x:v>
      </x:c>
      <x:c r="E208" s="50" t="n">
        <x:f>'2017 Form20'!P157</x:f>
        <x:v>0.023711340206185566</x:v>
      </x:c>
      <x:c r="F208" t="n">
        <x:f>'2017 Form20'!Q157</x:f>
        <x:v>712</x:v>
      </x:c>
      <x:c r="G208" t="n">
        <x:f>'2017 Form20'!R157</x:f>
        <x:v>-689</x:v>
      </x:c>
      <x:c r="H208" s="52" t="n">
        <x:f>'2017 Form20'!S157</x:f>
        <x:v>-0.7103092783505155</x:v>
      </x:c>
      <x:c r="I208" t="str">
        <x:v>Vedram Bhati</x:v>
      </x:c>
      <x:c r="J208" t="str">
        <x:v>BSP</x:v>
      </x:c>
      <x:c r="K208" t="str">
        <x:v>EVM row</x:v>
      </x:c>
      <x:c r="L208" s="133" t="str">
        <x:f>IF(D208&lt;=0,"No EVM votes",IF(E208&lt;$N$7,"Low",IF(E208&gt;$R$7,"High","Middle")))</x:f>
        <x:v>Middle</x:v>
      </x:c>
      <x:c r="M208" s="133" t="str">
        <x:f>IF(D208&lt;=0,"No EVM votes",IF(H208&lt;-20%,"Large deficit",IF(H208&lt;-5%,"Moderate deficit",IF(H208&lt;0,"Narrow deficit",IF(H208&lt;=5%,"Narrow lead/tie",IF(H208&lt;=20%,"Moderate lead","Large lead"))))))</x:f>
        <x:v>Large deficit</x:v>
      </x:c>
    </x:row>
    <x:row r="209">
      <x:c r="A209" t="n">
        <x:v>150</x:v>
      </x:c>
      <x:c r="B209" t="str">
        <x:v>PRY. SCHOOL MUNJKHERA R.NO. 1</x:v>
      </x:c>
      <x:c r="C209" s="83" t="n">
        <x:f>'2017 Form20'!H158</x:f>
        <x:v>101</x:v>
      </x:c>
      <x:c r="D209" s="83" t="n">
        <x:f>'2017 Form20'!D158</x:f>
        <x:v>634</x:v>
      </x:c>
      <x:c r="E209" s="50" t="n">
        <x:f>'2017 Form20'!P158</x:f>
        <x:v>0.15930599369085174</x:v>
      </x:c>
      <x:c r="F209" t="n">
        <x:f>'2017 Form20'!Q158</x:f>
        <x:v>238</x:v>
      </x:c>
      <x:c r="G209" t="n">
        <x:f>'2017 Form20'!R158</x:f>
        <x:v>-137</x:v>
      </x:c>
      <x:c r="H209" s="52" t="n">
        <x:f>'2017 Form20'!S158</x:f>
        <x:v>-0.21608832807570977</x:v>
      </x:c>
      <x:c r="I209" t="str">
        <x:v>Dhirendra Singh</x:v>
      </x:c>
      <x:c r="J209" t="str">
        <x:v>BJP</x:v>
      </x:c>
      <x:c r="K209" t="str">
        <x:v>EVM row</x:v>
      </x:c>
      <x:c r="L209" s="133" t="str">
        <x:f>IF(D209&lt;=0,"No EVM votes",IF(E209&lt;$N$7,"Low",IF(E209&gt;$R$7,"High","Middle")))</x:f>
        <x:v>High</x:v>
      </x:c>
      <x:c r="M209" s="133" t="str">
        <x:f>IF(D209&lt;=0,"No EVM votes",IF(H209&lt;-20%,"Large deficit",IF(H209&lt;-5%,"Moderate deficit",IF(H209&lt;0,"Narrow deficit",IF(H209&lt;=5%,"Narrow lead/tie",IF(H209&lt;=20%,"Moderate lead","Large lead"))))))</x:f>
        <x:v>Large deficit</x:v>
      </x:c>
    </x:row>
    <x:row r="210">
      <x:c r="A210" t="n">
        <x:v>151</x:v>
      </x:c>
      <x:c r="B210" t="str">
        <x:v>PRY. SCHOOL BALLUKHERA MAZRA MUNJKHERA R.NO. 1</x:v>
      </x:c>
      <x:c r="C210" s="83" t="n">
        <x:f>'2017 Form20'!H159</x:f>
        <x:v>6</x:v>
      </x:c>
      <x:c r="D210" s="83" t="n">
        <x:f>'2017 Form20'!D159</x:f>
        <x:v>758</x:v>
      </x:c>
      <x:c r="E210" s="50" t="n">
        <x:f>'2017 Form20'!P159</x:f>
        <x:v>0.0079155672823219</x:v>
      </x:c>
      <x:c r="F210" t="n">
        <x:f>'2017 Form20'!Q159</x:f>
        <x:v>718</x:v>
      </x:c>
      <x:c r="G210" t="n">
        <x:f>'2017 Form20'!R159</x:f>
        <x:v>-712</x:v>
      </x:c>
      <x:c r="H210" s="52" t="n">
        <x:f>'2017 Form20'!S159</x:f>
        <x:v>-0.9393139841688655</x:v>
      </x:c>
      <x:c r="I210" t="str">
        <x:v>Vedram Bhati</x:v>
      </x:c>
      <x:c r="J210" t="str">
        <x:v>BSP</x:v>
      </x:c>
      <x:c r="K210" t="str">
        <x:v>EVM row</x:v>
      </x:c>
      <x:c r="L210" s="133" t="str">
        <x:f>IF(D210&lt;=0,"No EVM votes",IF(E210&lt;$N$7,"Low",IF(E210&gt;$R$7,"High","Middle")))</x:f>
        <x:v>Low</x:v>
      </x:c>
      <x:c r="M210" s="133" t="str">
        <x:f>IF(D210&lt;=0,"No EVM votes",IF(H210&lt;-20%,"Large deficit",IF(H210&lt;-5%,"Moderate deficit",IF(H210&lt;0,"Narrow deficit",IF(H210&lt;=5%,"Narrow lead/tie",IF(H210&lt;=20%,"Moderate lead","Large lead"))))))</x:f>
        <x:v>Large deficit</x:v>
      </x:c>
    </x:row>
    <x:row r="211">
      <x:c r="A211" t="n">
        <x:v>152</x:v>
      </x:c>
      <x:c r="B211" t="str">
        <x:v>PRY. SCHOOL DERIN KHUBAN MAZRA MUNJKHERA R.NO. 1</x:v>
      </x:c>
      <x:c r="C211" s="83" t="n">
        <x:f>'2017 Form20'!H160</x:f>
        <x:v>97</x:v>
      </x:c>
      <x:c r="D211" s="83" t="n">
        <x:f>'2017 Form20'!D160</x:f>
        <x:v>428</x:v>
      </x:c>
      <x:c r="E211" s="50" t="n">
        <x:f>'2017 Form20'!P160</x:f>
        <x:v>0.2266355140186916</x:v>
      </x:c>
      <x:c r="F211" t="n">
        <x:f>'2017 Form20'!Q160</x:f>
        <x:v>183</x:v>
      </x:c>
      <x:c r="G211" t="n">
        <x:f>'2017 Form20'!R160</x:f>
        <x:v>-86</x:v>
      </x:c>
      <x:c r="H211" s="52" t="n">
        <x:f>'2017 Form20'!S160</x:f>
        <x:v>-0.20093457943925233</x:v>
      </x:c>
      <x:c r="I211" t="str">
        <x:v>Vedram Bhati</x:v>
      </x:c>
      <x:c r="J211" t="str">
        <x:v>BSP</x:v>
      </x:c>
      <x:c r="K211" t="str">
        <x:v>EVM row</x:v>
      </x:c>
      <x:c r="L211" s="133" t="str">
        <x:f>IF(D211&lt;=0,"No EVM votes",IF(E211&lt;$N$7,"Low",IF(E211&gt;$R$7,"High","Middle")))</x:f>
        <x:v>High</x:v>
      </x:c>
      <x:c r="M211" s="133" t="str">
        <x:f>IF(D211&lt;=0,"No EVM votes",IF(H211&lt;-20%,"Large deficit",IF(H211&lt;-5%,"Moderate deficit",IF(H211&lt;0,"Narrow deficit",IF(H211&lt;=5%,"Narrow lead/tie",IF(H211&lt;=20%,"Moderate lead","Large lead"))))))</x:f>
        <x:v>Large deficit</x:v>
      </x:c>
    </x:row>
    <x:row r="212">
      <x:c r="A212" t="n">
        <x:v>153</x:v>
      </x:c>
      <x:c r="B212" t="str">
        <x:v>PRY. SCHOOL KHERLI BHAV R.NO. 1</x:v>
      </x:c>
      <x:c r="C212" s="83" t="n">
        <x:f>'2017 Form20'!H161</x:f>
        <x:v>45</x:v>
      </x:c>
      <x:c r="D212" s="83" t="n">
        <x:f>'2017 Form20'!D161</x:f>
        <x:v>820</x:v>
      </x:c>
      <x:c r="E212" s="50" t="n">
        <x:f>'2017 Form20'!P161</x:f>
        <x:v>0.054878048780487805</x:v>
      </x:c>
      <x:c r="F212" t="n">
        <x:f>'2017 Form20'!Q161</x:f>
        <x:v>366</x:v>
      </x:c>
      <x:c r="G212" t="n">
        <x:f>'2017 Form20'!R161</x:f>
        <x:v>-321</x:v>
      </x:c>
      <x:c r="H212" s="52" t="n">
        <x:f>'2017 Form20'!S161</x:f>
        <x:v>-0.39146341463414636</x:v>
      </x:c>
      <x:c r="I212" t="str">
        <x:v>Dhirendra Singh</x:v>
      </x:c>
      <x:c r="J212" t="str">
        <x:v>BJP</x:v>
      </x:c>
      <x:c r="K212" t="str">
        <x:v>EVM row</x:v>
      </x:c>
      <x:c r="L212" s="133" t="str">
        <x:f>IF(D212&lt;=0,"No EVM votes",IF(E212&lt;$N$7,"Low",IF(E212&gt;$R$7,"High","Middle")))</x:f>
        <x:v>Middle</x:v>
      </x:c>
      <x:c r="M212" s="133" t="str">
        <x:f>IF(D212&lt;=0,"No EVM votes",IF(H212&lt;-20%,"Large deficit",IF(H212&lt;-5%,"Moderate deficit",IF(H212&lt;0,"Narrow deficit",IF(H212&lt;=5%,"Narrow lead/tie",IF(H212&lt;=20%,"Moderate lead","Large lead"))))))</x:f>
        <x:v>Large deficit</x:v>
      </x:c>
    </x:row>
    <x:row r="213">
      <x:c r="A213" t="n">
        <x:v>154</x:v>
      </x:c>
      <x:c r="B213" t="str">
        <x:v>PRY. SCHOOL KHERLI BHAV R.NO. 2</x:v>
      </x:c>
      <x:c r="C213" s="83" t="n">
        <x:f>'2017 Form20'!H162</x:f>
        <x:v>27</x:v>
      </x:c>
      <x:c r="D213" s="83" t="n">
        <x:f>'2017 Form20'!D162</x:f>
        <x:v>533</x:v>
      </x:c>
      <x:c r="E213" s="50" t="n">
        <x:f>'2017 Form20'!P162</x:f>
        <x:v>0.05065666041275797</x:v>
      </x:c>
      <x:c r="F213" t="n">
        <x:f>'2017 Form20'!Q162</x:f>
        <x:v>353</x:v>
      </x:c>
      <x:c r="G213" t="n">
        <x:f>'2017 Form20'!R162</x:f>
        <x:v>-326</x:v>
      </x:c>
      <x:c r="H213" s="52" t="n">
        <x:f>'2017 Form20'!S162</x:f>
        <x:v>-0.6116322701688556</x:v>
      </x:c>
      <x:c r="I213" t="str">
        <x:v>Dhirendra Singh</x:v>
      </x:c>
      <x:c r="J213" t="str">
        <x:v>BJP</x:v>
      </x:c>
      <x:c r="K213" t="str">
        <x:v>EVM row</x:v>
      </x:c>
      <x:c r="L213" s="133" t="str">
        <x:f>IF(D213&lt;=0,"No EVM votes",IF(E213&lt;$N$7,"Low",IF(E213&gt;$R$7,"High","Middle")))</x:f>
        <x:v>Middle</x:v>
      </x:c>
      <x:c r="M213" s="133" t="str">
        <x:f>IF(D213&lt;=0,"No EVM votes",IF(H213&lt;-20%,"Large deficit",IF(H213&lt;-5%,"Moderate deficit",IF(H213&lt;0,"Narrow deficit",IF(H213&lt;=5%,"Narrow lead/tie",IF(H213&lt;=20%,"Moderate lead","Large lead"))))))</x:f>
        <x:v>Large deficit</x:v>
      </x:c>
    </x:row>
    <x:row r="214">
      <x:c r="A214" t="n">
        <x:v>155</x:v>
      </x:c>
      <x:c r="B214" t="str">
        <x:v>PRY. SCHOOL LATIFPUR R.NO. 1</x:v>
      </x:c>
      <x:c r="C214" s="83" t="n">
        <x:f>'2017 Form20'!H163</x:f>
        <x:v>30</x:v>
      </x:c>
      <x:c r="D214" s="83" t="n">
        <x:f>'2017 Form20'!D163</x:f>
        <x:v>739</x:v>
      </x:c>
      <x:c r="E214" s="50" t="n">
        <x:f>'2017 Form20'!P163</x:f>
        <x:v>0.04059539918809202</x:v>
      </x:c>
      <x:c r="F214" t="n">
        <x:f>'2017 Form20'!Q163</x:f>
        <x:v>443</x:v>
      </x:c>
      <x:c r="G214" t="n">
        <x:f>'2017 Form20'!R163</x:f>
        <x:v>-413</x:v>
      </x:c>
      <x:c r="H214" s="52" t="n">
        <x:f>'2017 Form20'!S163</x:f>
        <x:v>-0.5588633288227334</x:v>
      </x:c>
      <x:c r="I214" t="str">
        <x:v>Dhirendra Singh</x:v>
      </x:c>
      <x:c r="J214" t="str">
        <x:v>BJP</x:v>
      </x:c>
      <x:c r="K214" t="str">
        <x:v>EVM row</x:v>
      </x:c>
      <x:c r="L214" s="133" t="str">
        <x:f>IF(D214&lt;=0,"No EVM votes",IF(E214&lt;$N$7,"Low",IF(E214&gt;$R$7,"High","Middle")))</x:f>
        <x:v>Middle</x:v>
      </x:c>
      <x:c r="M214" s="133" t="str">
        <x:f>IF(D214&lt;=0,"No EVM votes",IF(H214&lt;-20%,"Large deficit",IF(H214&lt;-5%,"Moderate deficit",IF(H214&lt;0,"Narrow deficit",IF(H214&lt;=5%,"Narrow lead/tie",IF(H214&lt;=20%,"Moderate lead","Large lead"))))))</x:f>
        <x:v>Large deficit</x:v>
      </x:c>
    </x:row>
    <x:row r="215">
      <x:c r="A215" t="n">
        <x:v>156</x:v>
      </x:c>
      <x:c r="B215" t="str">
        <x:v>PRY. SCHOOL KADALPUR R.NO. 1</x:v>
      </x:c>
      <x:c r="C215" s="83" t="n">
        <x:f>'2017 Form20'!H164</x:f>
        <x:v>185</x:v>
      </x:c>
      <x:c r="D215" s="83" t="n">
        <x:f>'2017 Form20'!D164</x:f>
        <x:v>700</x:v>
      </x:c>
      <x:c r="E215" s="50" t="n">
        <x:f>'2017 Form20'!P164</x:f>
        <x:v>0.2642857142857143</x:v>
      </x:c>
      <x:c r="F215" t="n">
        <x:f>'2017 Form20'!Q164</x:f>
        <x:v>255</x:v>
      </x:c>
      <x:c r="G215" t="n">
        <x:f>'2017 Form20'!R164</x:f>
        <x:v>-70</x:v>
      </x:c>
      <x:c r="H215" s="52" t="n">
        <x:f>'2017 Form20'!S164</x:f>
        <x:v>-0.1</x:v>
      </x:c>
      <x:c r="I215" t="str">
        <x:v>Dhirendra Singh</x:v>
      </x:c>
      <x:c r="J215" t="str">
        <x:v>BJP</x:v>
      </x:c>
      <x:c r="K215" t="str">
        <x:v>EVM row</x:v>
      </x:c>
      <x:c r="L215" s="133" t="str">
        <x:f>IF(D215&lt;=0,"No EVM votes",IF(E215&lt;$N$7,"Low",IF(E215&gt;$R$7,"High","Middle")))</x:f>
        <x:v>High</x:v>
      </x:c>
      <x:c r="M215" s="133" t="str">
        <x:f>IF(D215&lt;=0,"No EVM votes",IF(H215&lt;-20%,"Large deficit",IF(H215&lt;-5%,"Moderate deficit",IF(H215&lt;0,"Narrow deficit",IF(H215&lt;=5%,"Narrow lead/tie",IF(H215&lt;=20%,"Moderate lead","Large lead"))))))</x:f>
        <x:v>Moderate deficit</x:v>
      </x:c>
    </x:row>
    <x:row r="216">
      <x:c r="A216" t="n">
        <x:v>157</x:v>
      </x:c>
      <x:c r="B216" t="str">
        <x:v>PRY. SCHOOL KADALPUR R.NO. 2</x:v>
      </x:c>
      <x:c r="C216" s="83" t="n">
        <x:f>'2017 Form20'!H165</x:f>
        <x:v>142</x:v>
      </x:c>
      <x:c r="D216" s="83" t="n">
        <x:f>'2017 Form20'!D165</x:f>
        <x:v>556</x:v>
      </x:c>
      <x:c r="E216" s="50" t="n">
        <x:f>'2017 Form20'!P165</x:f>
        <x:v>0.25539568345323743</x:v>
      </x:c>
      <x:c r="F216" t="n">
        <x:f>'2017 Form20'!Q165</x:f>
        <x:v>204</x:v>
      </x:c>
      <x:c r="G216" t="n">
        <x:f>'2017 Form20'!R165</x:f>
        <x:v>-62</x:v>
      </x:c>
      <x:c r="H216" s="52" t="n">
        <x:f>'2017 Form20'!S165</x:f>
        <x:v>-0.11151079136690648</x:v>
      </x:c>
      <x:c r="I216" t="str">
        <x:v>Vedram Bhati</x:v>
      </x:c>
      <x:c r="J216" t="str">
        <x:v>BSP</x:v>
      </x:c>
      <x:c r="K216" t="str">
        <x:v>EVM row</x:v>
      </x:c>
      <x:c r="L216" s="133" t="str">
        <x:f>IF(D216&lt;=0,"No EVM votes",IF(E216&lt;$N$7,"Low",IF(E216&gt;$R$7,"High","Middle")))</x:f>
        <x:v>High</x:v>
      </x:c>
      <x:c r="M216" s="133" t="str">
        <x:f>IF(D216&lt;=0,"No EVM votes",IF(H216&lt;-20%,"Large deficit",IF(H216&lt;-5%,"Moderate deficit",IF(H216&lt;0,"Narrow deficit",IF(H216&lt;=5%,"Narrow lead/tie",IF(H216&lt;=20%,"Moderate lead","Large lead"))))))</x:f>
        <x:v>Moderate deficit</x:v>
      </x:c>
    </x:row>
    <x:row r="217">
      <x:c r="A217" t="n">
        <x:v>158</x:v>
      </x:c>
      <x:c r="B217" t="str">
        <x:v>PRY. SCHOOL MAKANPUR BANGAR R.NO. 1</x:v>
      </x:c>
      <x:c r="C217" s="83" t="n">
        <x:f>'2017 Form20'!H166</x:f>
        <x:v>6</x:v>
      </x:c>
      <x:c r="D217" s="83" t="n">
        <x:f>'2017 Form20'!D166</x:f>
        <x:v>712</x:v>
      </x:c>
      <x:c r="E217" s="50" t="n">
        <x:f>'2017 Form20'!P166</x:f>
        <x:v>0.008426966292134831</x:v>
      </x:c>
      <x:c r="F217" t="n">
        <x:f>'2017 Form20'!Q166</x:f>
        <x:v>405</x:v>
      </x:c>
      <x:c r="G217" t="n">
        <x:f>'2017 Form20'!R166</x:f>
        <x:v>-399</x:v>
      </x:c>
      <x:c r="H217" s="52" t="n">
        <x:f>'2017 Form20'!S166</x:f>
        <x:v>-0.5603932584269663</x:v>
      </x:c>
      <x:c r="I217" t="str">
        <x:v>Dhirendra Singh</x:v>
      </x:c>
      <x:c r="J217" t="str">
        <x:v>BJP</x:v>
      </x:c>
      <x:c r="K217" t="str">
        <x:v>EVM row</x:v>
      </x:c>
      <x:c r="L217" s="133" t="str">
        <x:f>IF(D217&lt;=0,"No EVM votes",IF(E217&lt;$N$7,"Low",IF(E217&gt;$R$7,"High","Middle")))</x:f>
        <x:v>Low</x:v>
      </x:c>
      <x:c r="M217" s="133" t="str">
        <x:f>IF(D217&lt;=0,"No EVM votes",IF(H217&lt;-20%,"Large deficit",IF(H217&lt;-5%,"Moderate deficit",IF(H217&lt;0,"Narrow deficit",IF(H217&lt;=5%,"Narrow lead/tie",IF(H217&lt;=20%,"Moderate lead","Large lead"))))))</x:f>
        <x:v>Large deficit</x:v>
      </x:c>
    </x:row>
    <x:row r="218">
      <x:c r="A218" t="n">
        <x:v>159</x:v>
      </x:c>
      <x:c r="B218" t="str">
        <x:v>PRY. SCHOOL MAKANUR KHADAR R.NO. 1</x:v>
      </x:c>
      <x:c r="C218" s="83" t="n">
        <x:f>'2017 Form20'!H167</x:f>
        <x:v>5</x:v>
      </x:c>
      <x:c r="D218" s="83" t="n">
        <x:f>'2017 Form20'!D167</x:f>
        <x:v>811</x:v>
      </x:c>
      <x:c r="E218" s="50" t="n">
        <x:f>'2017 Form20'!P167</x:f>
        <x:v>0.006165228113440197</x:v>
      </x:c>
      <x:c r="F218" t="n">
        <x:f>'2017 Form20'!Q167</x:f>
        <x:v>655</x:v>
      </x:c>
      <x:c r="G218" t="n">
        <x:f>'2017 Form20'!R167</x:f>
        <x:v>-650</x:v>
      </x:c>
      <x:c r="H218" s="52" t="n">
        <x:f>'2017 Form20'!S167</x:f>
        <x:v>-0.8014796547472256</x:v>
      </x:c>
      <x:c r="I218" t="str">
        <x:v>Dhirendra Singh</x:v>
      </x:c>
      <x:c r="J218" t="str">
        <x:v>BJP</x:v>
      </x:c>
      <x:c r="K218" t="str">
        <x:v>EVM row</x:v>
      </x:c>
      <x:c r="L218" s="133" t="str">
        <x:f>IF(D218&lt;=0,"No EVM votes",IF(E218&lt;$N$7,"Low",IF(E218&gt;$R$7,"High","Middle")))</x:f>
        <x:v>Low</x:v>
      </x:c>
      <x:c r="M218" s="133" t="str">
        <x:f>IF(D218&lt;=0,"No EVM votes",IF(H218&lt;-20%,"Large deficit",IF(H218&lt;-5%,"Moderate deficit",IF(H218&lt;0,"Narrow deficit",IF(H218&lt;=5%,"Narrow lead/tie",IF(H218&lt;=20%,"Moderate lead","Large lead"))))))</x:f>
        <x:v>Large deficit</x:v>
      </x:c>
    </x:row>
    <x:row r="219">
      <x:c r="A219" t="n">
        <x:v>160</x:v>
      </x:c>
      <x:c r="B219" t="str">
        <x:v>PRY. SCHOOL RAMPUR KHADAR R.NO. 1</x:v>
      </x:c>
      <x:c r="C219" s="83" t="n">
        <x:f>'2017 Form20'!H168</x:f>
        <x:v>2</x:v>
      </x:c>
      <x:c r="D219" s="83" t="n">
        <x:f>'2017 Form20'!D168</x:f>
        <x:v>597</x:v>
      </x:c>
      <x:c r="E219" s="50" t="n">
        <x:f>'2017 Form20'!P168</x:f>
        <x:v>0.0033500837520938024</x:v>
      </x:c>
      <x:c r="F219" t="n">
        <x:f>'2017 Form20'!Q168</x:f>
        <x:v>583</x:v>
      </x:c>
      <x:c r="G219" t="n">
        <x:f>'2017 Form20'!R168</x:f>
        <x:v>-581</x:v>
      </x:c>
      <x:c r="H219" s="52" t="n">
        <x:f>'2017 Form20'!S168</x:f>
        <x:v>-0.9731993299832495</x:v>
      </x:c>
      <x:c r="I219" t="str">
        <x:v>Dhirendra Singh</x:v>
      </x:c>
      <x:c r="J219" t="str">
        <x:v>BJP</x:v>
      </x:c>
      <x:c r="K219" t="str">
        <x:v>EVM row</x:v>
      </x:c>
      <x:c r="L219" s="133" t="str">
        <x:f>IF(D219&lt;=0,"No EVM votes",IF(E219&lt;$N$7,"Low",IF(E219&gt;$R$7,"High","Middle")))</x:f>
        <x:v>Low</x:v>
      </x:c>
      <x:c r="M219" s="133" t="str">
        <x:f>IF(D219&lt;=0,"No EVM votes",IF(H219&lt;-20%,"Large deficit",IF(H219&lt;-5%,"Moderate deficit",IF(H219&lt;0,"Narrow deficit",IF(H219&lt;=5%,"Narrow lead/tie",IF(H219&lt;=20%,"Moderate lead","Large lead"))))))</x:f>
        <x:v>Large deficit</x:v>
      </x:c>
    </x:row>
    <x:row r="220">
      <x:c r="A220" t="n">
        <x:v>161</x:v>
      </x:c>
      <x:c r="B220" t="str">
        <x:v>PRY. SCHOOL MOHAMMADABAD KHERA R.NO. 1</x:v>
      </x:c>
      <x:c r="C220" s="83" t="n">
        <x:f>'2017 Form20'!H169</x:f>
        <x:v>11</x:v>
      </x:c>
      <x:c r="D220" s="83" t="n">
        <x:f>'2017 Form20'!D169</x:f>
        <x:v>830</x:v>
      </x:c>
      <x:c r="E220" s="50" t="n">
        <x:f>'2017 Form20'!P169</x:f>
        <x:v>0.01325301204819277</x:v>
      </x:c>
      <x:c r="F220" t="n">
        <x:f>'2017 Form20'!Q169</x:f>
        <x:v>674</x:v>
      </x:c>
      <x:c r="G220" t="n">
        <x:f>'2017 Form20'!R169</x:f>
        <x:v>-663</x:v>
      </x:c>
      <x:c r="H220" s="52" t="n">
        <x:f>'2017 Form20'!S169</x:f>
        <x:v>-0.7987951807228916</x:v>
      </x:c>
      <x:c r="I220" t="str">
        <x:v>Dhirendra Singh</x:v>
      </x:c>
      <x:c r="J220" t="str">
        <x:v>BJP</x:v>
      </x:c>
      <x:c r="K220" t="str">
        <x:v>EVM row</x:v>
      </x:c>
      <x:c r="L220" s="133" t="str">
        <x:f>IF(D220&lt;=0,"No EVM votes",IF(E220&lt;$N$7,"Low",IF(E220&gt;$R$7,"High","Middle")))</x:f>
        <x:v>Low</x:v>
      </x:c>
      <x:c r="M220" s="133" t="str">
        <x:f>IF(D220&lt;=0,"No EVM votes",IF(H220&lt;-20%,"Large deficit",IF(H220&lt;-5%,"Moderate deficit",IF(H220&lt;0,"Narrow deficit",IF(H220&lt;=5%,"Narrow lead/tie",IF(H220&lt;=20%,"Moderate lead","Large lead"))))))</x:f>
        <x:v>Large deficit</x:v>
      </x:c>
    </x:row>
    <x:row r="221">
      <x:c r="A221" t="n">
        <x:v>162</x:v>
      </x:c>
      <x:c r="B221" t="str">
        <x:v>PRY. SCHOOL MOHAMMADABAD KHERA R.NO. 2</x:v>
      </x:c>
      <x:c r="C221" s="83" t="n">
        <x:f>'2017 Form20'!H170</x:f>
        <x:v>5</x:v>
      </x:c>
      <x:c r="D221" s="83" t="n">
        <x:f>'2017 Form20'!D170</x:f>
        <x:v>442</x:v>
      </x:c>
      <x:c r="E221" s="50" t="n">
        <x:f>'2017 Form20'!P170</x:f>
        <x:v>0.011312217194570135</x:v>
      </x:c>
      <x:c r="F221" t="n">
        <x:f>'2017 Form20'!Q170</x:f>
        <x:v>326</x:v>
      </x:c>
      <x:c r="G221" t="n">
        <x:f>'2017 Form20'!R170</x:f>
        <x:v>-321</x:v>
      </x:c>
      <x:c r="H221" s="52" t="n">
        <x:f>'2017 Form20'!S170</x:f>
        <x:v>-0.7262443438914027</x:v>
      </x:c>
      <x:c r="I221" t="str">
        <x:v>Dhirendra Singh</x:v>
      </x:c>
      <x:c r="J221" t="str">
        <x:v>BJP</x:v>
      </x:c>
      <x:c r="K221" t="str">
        <x:v>EVM row</x:v>
      </x:c>
      <x:c r="L221" s="133" t="str">
        <x:f>IF(D221&lt;=0,"No EVM votes",IF(E221&lt;$N$7,"Low",IF(E221&gt;$R$7,"High","Middle")))</x:f>
        <x:v>Low</x:v>
      </x:c>
      <x:c r="M221" s="133" t="str">
        <x:f>IF(D221&lt;=0,"No EVM votes",IF(H221&lt;-20%,"Large deficit",IF(H221&lt;-5%,"Moderate deficit",IF(H221&lt;0,"Narrow deficit",IF(H221&lt;=5%,"Narrow lead/tie",IF(H221&lt;=20%,"Moderate lead","Large lead"))))))</x:f>
        <x:v>Large deficit</x:v>
      </x:c>
    </x:row>
    <x:row r="222">
      <x:c r="A222" t="n">
        <x:v>163</x:v>
      </x:c>
      <x:c r="B222" t="str">
        <x:v>PRY. SCHOOL TAQIPUR BANGAR R.NO. 1</x:v>
      </x:c>
      <x:c r="C222" s="83" t="n">
        <x:f>'2017 Form20'!H171</x:f>
        <x:v>0</x:v>
      </x:c>
      <x:c r="D222" s="83" t="n">
        <x:f>'2017 Form20'!D171</x:f>
        <x:v>232</x:v>
      </x:c>
      <x:c r="E222" s="50" t="n">
        <x:f>'2017 Form20'!P171</x:f>
        <x:v>0</x:v>
      </x:c>
      <x:c r="F222" t="n">
        <x:f>'2017 Form20'!Q171</x:f>
        <x:v>200</x:v>
      </x:c>
      <x:c r="G222" t="n">
        <x:f>'2017 Form20'!R171</x:f>
        <x:v>-200</x:v>
      </x:c>
      <x:c r="H222" s="52" t="n">
        <x:f>'2017 Form20'!S171</x:f>
        <x:v>-0.8620689655172413</x:v>
      </x:c>
      <x:c r="I222" t="str">
        <x:v>Dhirendra Singh</x:v>
      </x:c>
      <x:c r="J222" t="str">
        <x:v>BJP</x:v>
      </x:c>
      <x:c r="K222" t="str">
        <x:v>EVM row</x:v>
      </x:c>
      <x:c r="L222" s="133" t="str">
        <x:f>IF(D222&lt;=0,"No EVM votes",IF(E222&lt;$N$7,"Low",IF(E222&gt;$R$7,"High","Middle")))</x:f>
        <x:v>Low</x:v>
      </x:c>
      <x:c r="M222" s="133" t="str">
        <x:f>IF(D222&lt;=0,"No EVM votes",IF(H222&lt;-20%,"Large deficit",IF(H222&lt;-5%,"Moderate deficit",IF(H222&lt;0,"Narrow deficit",IF(H222&lt;=5%,"Narrow lead/tie",IF(H222&lt;=20%,"Moderate lead","Large lead"))))))</x:f>
        <x:v>Large deficit</x:v>
      </x:c>
    </x:row>
    <x:row r="223">
      <x:c r="A223" t="n">
        <x:v>164</x:v>
      </x:c>
      <x:c r="B223" t="str">
        <x:v>PRY. SCHOOL ANWARGARH BANGAR R.NO. 1</x:v>
      </x:c>
      <x:c r="C223" s="83" t="n">
        <x:f>'2017 Form20'!H172</x:f>
        <x:v>52</x:v>
      </x:c>
      <x:c r="D223" s="83" t="n">
        <x:f>'2017 Form20'!D172</x:f>
        <x:v>640</x:v>
      </x:c>
      <x:c r="E223" s="50" t="n">
        <x:f>'2017 Form20'!P172</x:f>
        <x:v>0.08125</x:v>
      </x:c>
      <x:c r="F223" t="n">
        <x:f>'2017 Form20'!Q172</x:f>
        <x:v>448</x:v>
      </x:c>
      <x:c r="G223" t="n">
        <x:f>'2017 Form20'!R172</x:f>
        <x:v>-396</x:v>
      </x:c>
      <x:c r="H223" s="52" t="n">
        <x:f>'2017 Form20'!S172</x:f>
        <x:v>-0.61875</x:v>
      </x:c>
      <x:c r="I223" t="str">
        <x:v>Dhirendra Singh</x:v>
      </x:c>
      <x:c r="J223" t="str">
        <x:v>BJP</x:v>
      </x:c>
      <x:c r="K223" t="str">
        <x:v>EVM row</x:v>
      </x:c>
      <x:c r="L223" s="133" t="str">
        <x:f>IF(D223&lt;=0,"No EVM votes",IF(E223&lt;$N$7,"Low",IF(E223&gt;$R$7,"High","Middle")))</x:f>
        <x:v>High</x:v>
      </x:c>
      <x:c r="M223" s="133" t="str">
        <x:f>IF(D223&lt;=0,"No EVM votes",IF(H223&lt;-20%,"Large deficit",IF(H223&lt;-5%,"Moderate deficit",IF(H223&lt;0,"Narrow deficit",IF(H223&lt;=5%,"Narrow lead/tie",IF(H223&lt;=20%,"Moderate lead","Large lead"))))))</x:f>
        <x:v>Large deficit</x:v>
      </x:c>
    </x:row>
    <x:row r="224">
      <x:c r="A224" t="n">
        <x:v>165</x:v>
      </x:c>
      <x:c r="B224" t="str">
        <x:v>J. H. SCHOOL RAUNIJA R.NO. 1</x:v>
      </x:c>
      <x:c r="C224" s="83" t="n">
        <x:f>'2017 Form20'!H173</x:f>
        <x:v>12</x:v>
      </x:c>
      <x:c r="D224" s="83" t="n">
        <x:f>'2017 Form20'!D173</x:f>
        <x:v>767</x:v>
      </x:c>
      <x:c r="E224" s="50" t="n">
        <x:f>'2017 Form20'!P173</x:f>
        <x:v>0.01564537157757497</x:v>
      </x:c>
      <x:c r="F224" t="n">
        <x:f>'2017 Form20'!Q173</x:f>
        <x:v>726</x:v>
      </x:c>
      <x:c r="G224" t="n">
        <x:f>'2017 Form20'!R173</x:f>
        <x:v>-714</x:v>
      </x:c>
      <x:c r="H224" s="52" t="n">
        <x:f>'2017 Form20'!S173</x:f>
        <x:v>-0.9308996088657105</x:v>
      </x:c>
      <x:c r="I224" t="str">
        <x:v>Dhirendra Singh</x:v>
      </x:c>
      <x:c r="J224" t="str">
        <x:v>BJP</x:v>
      </x:c>
      <x:c r="K224" t="str">
        <x:v>EVM row</x:v>
      </x:c>
      <x:c r="L224" s="133" t="str">
        <x:f>IF(D224&lt;=0,"No EVM votes",IF(E224&lt;$N$7,"Low",IF(E224&gt;$R$7,"High","Middle")))</x:f>
        <x:v>Low</x:v>
      </x:c>
      <x:c r="M224" s="133" t="str">
        <x:f>IF(D224&lt;=0,"No EVM votes",IF(H224&lt;-20%,"Large deficit",IF(H224&lt;-5%,"Moderate deficit",IF(H224&lt;0,"Narrow deficit",IF(H224&lt;=5%,"Narrow lead/tie",IF(H224&lt;=20%,"Moderate lead","Large lead"))))))</x:f>
        <x:v>Large deficit</x:v>
      </x:c>
    </x:row>
    <x:row r="225">
      <x:c r="A225" t="n">
        <x:v>166</x:v>
      </x:c>
      <x:c r="B225" t="str">
        <x:v>J. H. SCHOOL RAUNIJA R.NO. 2</x:v>
      </x:c>
      <x:c r="C225" s="83" t="n">
        <x:f>'2017 Form20'!H174</x:f>
        <x:v>16</x:v>
      </x:c>
      <x:c r="D225" s="83" t="n">
        <x:f>'2017 Form20'!D174</x:f>
        <x:v>572</x:v>
      </x:c>
      <x:c r="E225" s="50" t="n">
        <x:f>'2017 Form20'!P174</x:f>
        <x:v>0.027972027972027972</x:v>
      </x:c>
      <x:c r="F225" t="n">
        <x:f>'2017 Form20'!Q174</x:f>
        <x:v>522</x:v>
      </x:c>
      <x:c r="G225" t="n">
        <x:f>'2017 Form20'!R174</x:f>
        <x:v>-506</x:v>
      </x:c>
      <x:c r="H225" s="52" t="n">
        <x:f>'2017 Form20'!S174</x:f>
        <x:v>-0.8846153846153846</x:v>
      </x:c>
      <x:c r="I225" t="str">
        <x:v>Dhirendra Singh</x:v>
      </x:c>
      <x:c r="J225" t="str">
        <x:v>BJP</x:v>
      </x:c>
      <x:c r="K225" t="str">
        <x:v>EVM row</x:v>
      </x:c>
      <x:c r="L225" s="133" t="str">
        <x:f>IF(D225&lt;=0,"No EVM votes",IF(E225&lt;$N$7,"Low",IF(E225&gt;$R$7,"High","Middle")))</x:f>
        <x:v>Middle</x:v>
      </x:c>
      <x:c r="M225" s="133" t="str">
        <x:f>IF(D225&lt;=0,"No EVM votes",IF(H225&lt;-20%,"Large deficit",IF(H225&lt;-5%,"Moderate deficit",IF(H225&lt;0,"Narrow deficit",IF(H225&lt;=5%,"Narrow lead/tie",IF(H225&lt;=20%,"Moderate lead","Large lead"))))))</x:f>
        <x:v>Large deficit</x:v>
      </x:c>
    </x:row>
    <x:row r="226">
      <x:c r="A226" t="n">
        <x:v>167</x:v>
      </x:c>
      <x:c r="B226" t="str">
        <x:v>J. H. SCHOOL RAUNIJA R.NO. 3</x:v>
      </x:c>
      <x:c r="C226" s="83" t="n">
        <x:f>'2017 Form20'!H175</x:f>
        <x:v>5</x:v>
      </x:c>
      <x:c r="D226" s="83" t="n">
        <x:f>'2017 Form20'!D175</x:f>
        <x:v>692</x:v>
      </x:c>
      <x:c r="E226" s="50" t="n">
        <x:f>'2017 Form20'!P175</x:f>
        <x:v>0.0072254335260115606</x:v>
      </x:c>
      <x:c r="F226" t="n">
        <x:f>'2017 Form20'!Q175</x:f>
        <x:v>341</x:v>
      </x:c>
      <x:c r="G226" t="n">
        <x:f>'2017 Form20'!R175</x:f>
        <x:v>-336</x:v>
      </x:c>
      <x:c r="H226" s="52" t="n">
        <x:f>'2017 Form20'!S175</x:f>
        <x:v>-0.48554913294797686</x:v>
      </x:c>
      <x:c r="I226" t="str">
        <x:v>Dhirendra Singh</x:v>
      </x:c>
      <x:c r="J226" t="str">
        <x:v>BJP</x:v>
      </x:c>
      <x:c r="K226" t="str">
        <x:v>EVM row</x:v>
      </x:c>
      <x:c r="L226" s="133" t="str">
        <x:f>IF(D226&lt;=0,"No EVM votes",IF(E226&lt;$N$7,"Low",IF(E226&gt;$R$7,"High","Middle")))</x:f>
        <x:v>Low</x:v>
      </x:c>
      <x:c r="M226" s="133" t="str">
        <x:f>IF(D226&lt;=0,"No EVM votes",IF(H226&lt;-20%,"Large deficit",IF(H226&lt;-5%,"Moderate deficit",IF(H226&lt;0,"Narrow deficit",IF(H226&lt;=5%,"Narrow lead/tie",IF(H226&lt;=20%,"Moderate lead","Large lead"))))))</x:f>
        <x:v>Large deficit</x:v>
      </x:c>
    </x:row>
    <x:row r="227">
      <x:c r="A227" t="n">
        <x:v>168</x:v>
      </x:c>
      <x:c r="B227" t="str">
        <x:v>PRY. SCHOOL RUSTAMPUR R.NO. 1</x:v>
      </x:c>
      <x:c r="C227" s="83" t="n">
        <x:f>'2017 Form20'!H176</x:f>
        <x:v>1</x:v>
      </x:c>
      <x:c r="D227" s="83" t="n">
        <x:f>'2017 Form20'!D176</x:f>
        <x:v>914</x:v>
      </x:c>
      <x:c r="E227" s="50" t="n">
        <x:f>'2017 Form20'!P176</x:f>
        <x:v>0.0010940919037199124</x:v>
      </x:c>
      <x:c r="F227" t="n">
        <x:f>'2017 Form20'!Q176</x:f>
        <x:v>739</x:v>
      </x:c>
      <x:c r="G227" t="n">
        <x:f>'2017 Form20'!R176</x:f>
        <x:v>-738</x:v>
      </x:c>
      <x:c r="H227" s="52" t="n">
        <x:f>'2017 Form20'!S176</x:f>
        <x:v>-0.8074398249452954</x:v>
      </x:c>
      <x:c r="I227" t="str">
        <x:v>Dhirendra Singh</x:v>
      </x:c>
      <x:c r="J227" t="str">
        <x:v>BJP</x:v>
      </x:c>
      <x:c r="K227" t="str">
        <x:v>EVM row</x:v>
      </x:c>
      <x:c r="L227" s="133" t="str">
        <x:f>IF(D227&lt;=0,"No EVM votes",IF(E227&lt;$N$7,"Low",IF(E227&gt;$R$7,"High","Middle")))</x:f>
        <x:v>Low</x:v>
      </x:c>
      <x:c r="M227" s="133" t="str">
        <x:f>IF(D227&lt;=0,"No EVM votes",IF(H227&lt;-20%,"Large deficit",IF(H227&lt;-5%,"Moderate deficit",IF(H227&lt;0,"Narrow deficit",IF(H227&lt;=5%,"Narrow lead/tie",IF(H227&lt;=20%,"Moderate lead","Large lead"))))))</x:f>
        <x:v>Large deficit</x:v>
      </x:c>
    </x:row>
    <x:row r="228">
      <x:c r="A228" t="n">
        <x:v>169</x:v>
      </x:c>
      <x:c r="B228" t="str">
        <x:v>PRY. SCHOOL CHAKJALALABAD R.NO. 1</x:v>
      </x:c>
      <x:c r="C228" s="83" t="n">
        <x:f>'2017 Form20'!H177</x:f>
        <x:v>2</x:v>
      </x:c>
      <x:c r="D228" s="83" t="n">
        <x:f>'2017 Form20'!D177</x:f>
        <x:v>275</x:v>
      </x:c>
      <x:c r="E228" s="50" t="n">
        <x:f>'2017 Form20'!P177</x:f>
        <x:v>0.007272727272727273</x:v>
      </x:c>
      <x:c r="F228" t="n">
        <x:f>'2017 Form20'!Q177</x:f>
        <x:v>250</x:v>
      </x:c>
      <x:c r="G228" t="n">
        <x:f>'2017 Form20'!R177</x:f>
        <x:v>-248</x:v>
      </x:c>
      <x:c r="H228" s="52" t="n">
        <x:f>'2017 Form20'!S177</x:f>
        <x:v>-0.9018181818181819</x:v>
      </x:c>
      <x:c r="I228" t="str">
        <x:v>Vedram Bhati</x:v>
      </x:c>
      <x:c r="J228" t="str">
        <x:v>BSP</x:v>
      </x:c>
      <x:c r="K228" t="str">
        <x:v>EVM row</x:v>
      </x:c>
      <x:c r="L228" s="133" t="str">
        <x:f>IF(D228&lt;=0,"No EVM votes",IF(E228&lt;$N$7,"Low",IF(E228&gt;$R$7,"High","Middle")))</x:f>
        <x:v>Low</x:v>
      </x:c>
      <x:c r="M228" s="133" t="str">
        <x:f>IF(D228&lt;=0,"No EVM votes",IF(H228&lt;-20%,"Large deficit",IF(H228&lt;-5%,"Moderate deficit",IF(H228&lt;0,"Narrow deficit",IF(H228&lt;=5%,"Narrow lead/tie",IF(H228&lt;=20%,"Moderate lead","Large lead"))))))</x:f>
        <x:v>Large deficit</x:v>
      </x:c>
    </x:row>
    <x:row r="229">
      <x:c r="A229" t="n">
        <x:v>170</x:v>
      </x:c>
      <x:c r="B229" t="str">
        <x:v>PRY. SCHOOL NAGLA PADAM SINGH R.NO. 1</x:v>
      </x:c>
      <x:c r="C229" s="83" t="n">
        <x:f>'2017 Form20'!H178</x:f>
        <x:v>6</x:v>
      </x:c>
      <x:c r="D229" s="83" t="n">
        <x:f>'2017 Form20'!D178</x:f>
        <x:v>947</x:v>
      </x:c>
      <x:c r="E229" s="50" t="n">
        <x:f>'2017 Form20'!P178</x:f>
        <x:v>0.006335797254487857</x:v>
      </x:c>
      <x:c r="F229" t="n">
        <x:f>'2017 Form20'!Q178</x:f>
        <x:v>675</x:v>
      </x:c>
      <x:c r="G229" t="n">
        <x:f>'2017 Form20'!R178</x:f>
        <x:v>-669</x:v>
      </x:c>
      <x:c r="H229" s="52" t="n">
        <x:f>'2017 Form20'!S178</x:f>
        <x:v>-0.706441393875396</x:v>
      </x:c>
      <x:c r="I229" t="str">
        <x:v>Vedram Bhati</x:v>
      </x:c>
      <x:c r="J229" t="str">
        <x:v>BSP</x:v>
      </x:c>
      <x:c r="K229" t="str">
        <x:v>EVM row</x:v>
      </x:c>
      <x:c r="L229" s="133" t="str">
        <x:f>IF(D229&lt;=0,"No EVM votes",IF(E229&lt;$N$7,"Low",IF(E229&gt;$R$7,"High","Middle")))</x:f>
        <x:v>Low</x:v>
      </x:c>
      <x:c r="M229" s="133" t="str">
        <x:f>IF(D229&lt;=0,"No EVM votes",IF(H229&lt;-20%,"Large deficit",IF(H229&lt;-5%,"Moderate deficit",IF(H229&lt;0,"Narrow deficit",IF(H229&lt;=5%,"Narrow lead/tie",IF(H229&lt;=20%,"Moderate lead","Large lead"))))))</x:f>
        <x:v>Large deficit</x:v>
      </x:c>
    </x:row>
    <x:row r="230">
      <x:c r="A230" t="n">
        <x:v>171</x:v>
      </x:c>
      <x:c r="B230" t="str">
        <x:v>PRY. SCHOOL PACHOKARA R.NO. 1</x:v>
      </x:c>
      <x:c r="C230" s="83" t="n">
        <x:f>'2017 Form20'!H179</x:f>
        <x:v>2</x:v>
      </x:c>
      <x:c r="D230" s="83" t="n">
        <x:f>'2017 Form20'!D179</x:f>
        <x:v>549</x:v>
      </x:c>
      <x:c r="E230" s="50" t="n">
        <x:f>'2017 Form20'!P179</x:f>
        <x:v>0.0036429872495446266</x:v>
      </x:c>
      <x:c r="F230" t="n">
        <x:f>'2017 Form20'!Q179</x:f>
        <x:v>275</x:v>
      </x:c>
      <x:c r="G230" t="n">
        <x:f>'2017 Form20'!R179</x:f>
        <x:v>-273</x:v>
      </x:c>
      <x:c r="H230" s="52" t="n">
        <x:f>'2017 Form20'!S179</x:f>
        <x:v>-0.4972677595628415</x:v>
      </x:c>
      <x:c r="I230" t="str">
        <x:v>Kamal Sharma</x:v>
      </x:c>
      <x:c r="J230" t="str">
        <x:v>RLD</x:v>
      </x:c>
      <x:c r="K230" t="str">
        <x:v>EVM row</x:v>
      </x:c>
      <x:c r="L230" s="133" t="str">
        <x:f>IF(D230&lt;=0,"No EVM votes",IF(E230&lt;$N$7,"Low",IF(E230&gt;$R$7,"High","Middle")))</x:f>
        <x:v>Low</x:v>
      </x:c>
      <x:c r="M230" s="133" t="str">
        <x:f>IF(D230&lt;=0,"No EVM votes",IF(H230&lt;-20%,"Large deficit",IF(H230&lt;-5%,"Moderate deficit",IF(H230&lt;0,"Narrow deficit",IF(H230&lt;=5%,"Narrow lead/tie",IF(H230&lt;=20%,"Moderate lead","Large lead"))))))</x:f>
        <x:v>Large deficit</x:v>
      </x:c>
    </x:row>
    <x:row r="231">
      <x:c r="A231" t="n">
        <x:v>172</x:v>
      </x:c>
      <x:c r="B231" t="str">
        <x:v>PRY. SCHOOL UTRAWALI R.NO. 1</x:v>
      </x:c>
      <x:c r="C231" s="83" t="n">
        <x:f>'2017 Form20'!H180</x:f>
        <x:v>7</x:v>
      </x:c>
      <x:c r="D231" s="83" t="n">
        <x:f>'2017 Form20'!D180</x:f>
        <x:v>832</x:v>
      </x:c>
      <x:c r="E231" s="50" t="n">
        <x:f>'2017 Form20'!P180</x:f>
        <x:v>0.008413461538461538</x:v>
      </x:c>
      <x:c r="F231" t="n">
        <x:f>'2017 Form20'!Q180</x:f>
        <x:v>521</x:v>
      </x:c>
      <x:c r="G231" t="n">
        <x:f>'2017 Form20'!R180</x:f>
        <x:v>-514</x:v>
      </x:c>
      <x:c r="H231" s="52" t="n">
        <x:f>'2017 Form20'!S180</x:f>
        <x:v>-0.6177884615384616</x:v>
      </x:c>
      <x:c r="I231" t="str">
        <x:v>Vedram Bhati</x:v>
      </x:c>
      <x:c r="J231" t="str">
        <x:v>BSP</x:v>
      </x:c>
      <x:c r="K231" t="str">
        <x:v>EVM row</x:v>
      </x:c>
      <x:c r="L231" s="133" t="str">
        <x:f>IF(D231&lt;=0,"No EVM votes",IF(E231&lt;$N$7,"Low",IF(E231&gt;$R$7,"High","Middle")))</x:f>
        <x:v>Low</x:v>
      </x:c>
      <x:c r="M231" s="133" t="str">
        <x:f>IF(D231&lt;=0,"No EVM votes",IF(H231&lt;-20%,"Large deficit",IF(H231&lt;-5%,"Moderate deficit",IF(H231&lt;0,"Narrow deficit",IF(H231&lt;=5%,"Narrow lead/tie",IF(H231&lt;=20%,"Moderate lead","Large lead"))))))</x:f>
        <x:v>Large deficit</x:v>
      </x:c>
    </x:row>
    <x:row r="232">
      <x:c r="A232" t="n">
        <x:v>173</x:v>
      </x:c>
      <x:c r="B232" t="str">
        <x:v>PRY. SCHOOL RASULPUR IKBAIL R.NO. 1</x:v>
      </x:c>
      <x:c r="C232" s="83" t="n">
        <x:f>'2017 Form20'!H181</x:f>
        <x:v>2</x:v>
      </x:c>
      <x:c r="D232" s="83" t="n">
        <x:f>'2017 Form20'!D181</x:f>
        <x:v>103</x:v>
      </x:c>
      <x:c r="E232" s="50" t="n">
        <x:f>'2017 Form20'!P181</x:f>
        <x:v>0.019417475728155338</x:v>
      </x:c>
      <x:c r="F232" t="n">
        <x:f>'2017 Form20'!Q181</x:f>
        <x:v>89</x:v>
      </x:c>
      <x:c r="G232" t="n">
        <x:f>'2017 Form20'!R181</x:f>
        <x:v>-87</x:v>
      </x:c>
      <x:c r="H232" s="52" t="n">
        <x:f>'2017 Form20'!S181</x:f>
        <x:v>-0.8446601941747572</x:v>
      </x:c>
      <x:c r="I232" t="str">
        <x:v>Dhirendra Singh</x:v>
      </x:c>
      <x:c r="J232" t="str">
        <x:v>BJP</x:v>
      </x:c>
      <x:c r="K232" t="str">
        <x:v>EVM row</x:v>
      </x:c>
      <x:c r="L232" s="133" t="str">
        <x:f>IF(D232&lt;=0,"No EVM votes",IF(E232&lt;$N$7,"Low",IF(E232&gt;$R$7,"High","Middle")))</x:f>
        <x:v>Middle</x:v>
      </x:c>
      <x:c r="M232" s="133" t="str">
        <x:f>IF(D232&lt;=0,"No EVM votes",IF(H232&lt;-20%,"Large deficit",IF(H232&lt;-5%,"Moderate deficit",IF(H232&lt;0,"Narrow deficit",IF(H232&lt;=5%,"Narrow lead/tie",IF(H232&lt;=20%,"Moderate lead","Large lead"))))))</x:f>
        <x:v>Large deficit</x:v>
      </x:c>
    </x:row>
    <x:row r="233">
      <x:c r="A233" t="n">
        <x:v>174</x:v>
      </x:c>
      <x:c r="B233" t="str">
        <x:v>PRY. SCHOOL MOHAMMADPUR JADON R.NO. 1</x:v>
      </x:c>
      <x:c r="C233" s="83" t="n">
        <x:f>'2017 Form20'!H182</x:f>
        <x:v>16</x:v>
      </x:c>
      <x:c r="D233" s="83" t="n">
        <x:f>'2017 Form20'!D182</x:f>
        <x:v>687</x:v>
      </x:c>
      <x:c r="E233" s="50" t="n">
        <x:f>'2017 Form20'!P182</x:f>
        <x:v>0.023289665211062592</x:v>
      </x:c>
      <x:c r="F233" t="n">
        <x:f>'2017 Form20'!Q182</x:f>
        <x:v>525</x:v>
      </x:c>
      <x:c r="G233" t="n">
        <x:f>'2017 Form20'!R182</x:f>
        <x:v>-509</x:v>
      </x:c>
      <x:c r="H233" s="52" t="n">
        <x:f>'2017 Form20'!S182</x:f>
        <x:v>-0.7409024745269287</x:v>
      </x:c>
      <x:c r="I233" t="str">
        <x:v>Vedram Bhati</x:v>
      </x:c>
      <x:c r="J233" t="str">
        <x:v>BSP</x:v>
      </x:c>
      <x:c r="K233" t="str">
        <x:v>EVM row</x:v>
      </x:c>
      <x:c r="L233" s="133" t="str">
        <x:f>IF(D233&lt;=0,"No EVM votes",IF(E233&lt;$N$7,"Low",IF(E233&gt;$R$7,"High","Middle")))</x:f>
        <x:v>Middle</x:v>
      </x:c>
      <x:c r="M233" s="133" t="str">
        <x:f>IF(D233&lt;=0,"No EVM votes",IF(H233&lt;-20%,"Large deficit",IF(H233&lt;-5%,"Moderate deficit",IF(H233&lt;0,"Narrow deficit",IF(H233&lt;=5%,"Narrow lead/tie",IF(H233&lt;=20%,"Moderate lead","Large lead"))))))</x:f>
        <x:v>Large deficit</x:v>
      </x:c>
    </x:row>
    <x:row r="234">
      <x:c r="A234" t="n">
        <x:v>175</x:v>
      </x:c>
      <x:c r="B234" t="str">
        <x:v>PRY. SCHOOL MOHAMMADPUR JADON R.NO. 2</x:v>
      </x:c>
      <x:c r="C234" s="83" t="n">
        <x:f>'2017 Form20'!H183</x:f>
        <x:v>30</x:v>
      </x:c>
      <x:c r="D234" s="83" t="n">
        <x:f>'2017 Form20'!D183</x:f>
        <x:v>315</x:v>
      </x:c>
      <x:c r="E234" s="50" t="n">
        <x:f>'2017 Form20'!P183</x:f>
        <x:v>0.09523809523809523</x:v>
      </x:c>
      <x:c r="F234" t="n">
        <x:f>'2017 Form20'!Q183</x:f>
        <x:v>234</x:v>
      </x:c>
      <x:c r="G234" t="n">
        <x:f>'2017 Form20'!R183</x:f>
        <x:v>-204</x:v>
      </x:c>
      <x:c r="H234" s="52" t="n">
        <x:f>'2017 Form20'!S183</x:f>
        <x:v>-0.6476190476190476</x:v>
      </x:c>
      <x:c r="I234" t="str">
        <x:v>Dhirendra Singh</x:v>
      </x:c>
      <x:c r="J234" t="str">
        <x:v>BJP</x:v>
      </x:c>
      <x:c r="K234" t="str">
        <x:v>EVM row</x:v>
      </x:c>
      <x:c r="L234" s="133" t="str">
        <x:f>IF(D234&lt;=0,"No EVM votes",IF(E234&lt;$N$7,"Low",IF(E234&gt;$R$7,"High","Middle")))</x:f>
        <x:v>High</x:v>
      </x:c>
      <x:c r="M234" s="133" t="str">
        <x:f>IF(D234&lt;=0,"No EVM votes",IF(H234&lt;-20%,"Large deficit",IF(H234&lt;-5%,"Moderate deficit",IF(H234&lt;0,"Narrow deficit",IF(H234&lt;=5%,"Narrow lead/tie",IF(H234&lt;=20%,"Moderate lead","Large lead"))))))</x:f>
        <x:v>Large deficit</x:v>
      </x:c>
    </x:row>
    <x:row r="235">
      <x:c r="A235" t="n">
        <x:v>176</x:v>
      </x:c>
      <x:c r="B235" t="str">
        <x:v>PRY. SCHOOL DOOGALI R.NO. 1</x:v>
      </x:c>
      <x:c r="C235" s="83" t="n">
        <x:f>'2017 Form20'!H184</x:f>
        <x:v>4</x:v>
      </x:c>
      <x:c r="D235" s="83" t="n">
        <x:f>'2017 Form20'!D184</x:f>
        <x:v>551</x:v>
      </x:c>
      <x:c r="E235" s="50" t="n">
        <x:f>'2017 Form20'!P184</x:f>
        <x:v>0.007259528130671506</x:v>
      </x:c>
      <x:c r="F235" t="n">
        <x:f>'2017 Form20'!Q184</x:f>
        <x:v>289</x:v>
      </x:c>
      <x:c r="G235" t="n">
        <x:f>'2017 Form20'!R184</x:f>
        <x:v>-285</x:v>
      </x:c>
      <x:c r="H235" s="52" t="n">
        <x:f>'2017 Form20'!S184</x:f>
        <x:v>-0.5172413793103449</x:v>
      </x:c>
      <x:c r="I235" t="str">
        <x:v>Vedram Bhati</x:v>
      </x:c>
      <x:c r="J235" t="str">
        <x:v>BSP</x:v>
      </x:c>
      <x:c r="K235" t="str">
        <x:v>EVM row</x:v>
      </x:c>
      <x:c r="L235" s="133" t="str">
        <x:f>IF(D235&lt;=0,"No EVM votes",IF(E235&lt;$N$7,"Low",IF(E235&gt;$R$7,"High","Middle")))</x:f>
        <x:v>Low</x:v>
      </x:c>
      <x:c r="M235" s="133" t="str">
        <x:f>IF(D235&lt;=0,"No EVM votes",IF(H235&lt;-20%,"Large deficit",IF(H235&lt;-5%,"Moderate deficit",IF(H235&lt;0,"Narrow deficit",IF(H235&lt;=5%,"Narrow lead/tie",IF(H235&lt;=20%,"Moderate lead","Large lead"))))))</x:f>
        <x:v>Large deficit</x:v>
      </x:c>
    </x:row>
    <x:row r="236">
      <x:c r="A236" t="n">
        <x:v>177</x:v>
      </x:c>
      <x:c r="B236" t="str">
        <x:v>PRY. SCHOOL HAZIPUR R.NO. 1</x:v>
      </x:c>
      <x:c r="C236" s="83" t="n">
        <x:f>'2017 Form20'!H185</x:f>
        <x:v>2</x:v>
      </x:c>
      <x:c r="D236" s="83" t="n">
        <x:f>'2017 Form20'!D185</x:f>
        <x:v>219</x:v>
      </x:c>
      <x:c r="E236" s="50" t="n">
        <x:f>'2017 Form20'!P185</x:f>
        <x:v>0.0091324200913242</x:v>
      </x:c>
      <x:c r="F236" t="n">
        <x:f>'2017 Form20'!Q185</x:f>
        <x:v>106</x:v>
      </x:c>
      <x:c r="G236" t="n">
        <x:f>'2017 Form20'!R185</x:f>
        <x:v>-104</x:v>
      </x:c>
      <x:c r="H236" s="52" t="n">
        <x:f>'2017 Form20'!S185</x:f>
        <x:v>-0.4748858447488584</x:v>
      </x:c>
      <x:c r="I236" t="str">
        <x:v>Dhirendra Singh</x:v>
      </x:c>
      <x:c r="J236" t="str">
        <x:v>BJP</x:v>
      </x:c>
      <x:c r="K236" t="str">
        <x:v>EVM row</x:v>
      </x:c>
      <x:c r="L236" s="133" t="str">
        <x:f>IF(D236&lt;=0,"No EVM votes",IF(E236&lt;$N$7,"Low",IF(E236&gt;$R$7,"High","Middle")))</x:f>
        <x:v>Low</x:v>
      </x:c>
      <x:c r="M236" s="133" t="str">
        <x:f>IF(D236&lt;=0,"No EVM votes",IF(H236&lt;-20%,"Large deficit",IF(H236&lt;-5%,"Moderate deficit",IF(H236&lt;0,"Narrow deficit",IF(H236&lt;=5%,"Narrow lead/tie",IF(H236&lt;=20%,"Moderate lead","Large lead"))))))</x:f>
        <x:v>Large deficit</x:v>
      </x:c>
    </x:row>
    <x:row r="237">
      <x:c r="A237" t="n">
        <x:v>178</x:v>
      </x:c>
      <x:c r="B237" t="str">
        <x:v>INTER COLLEGE T.A. RABUPURA R.NO. 1</x:v>
      </x:c>
      <x:c r="C237" s="83" t="n">
        <x:f>'2017 Form20'!H186</x:f>
        <x:v>12</x:v>
      </x:c>
      <x:c r="D237" s="83" t="n">
        <x:f>'2017 Form20'!D186</x:f>
        <x:v>512</x:v>
      </x:c>
      <x:c r="E237" s="50" t="n">
        <x:f>'2017 Form20'!P186</x:f>
        <x:v>0.0234375</x:v>
      </x:c>
      <x:c r="F237" t="n">
        <x:f>'2017 Form20'!Q186</x:f>
        <x:v>258</x:v>
      </x:c>
      <x:c r="G237" t="n">
        <x:f>'2017 Form20'!R186</x:f>
        <x:v>-246</x:v>
      </x:c>
      <x:c r="H237" s="52" t="n">
        <x:f>'2017 Form20'!S186</x:f>
        <x:v>-0.48046875</x:v>
      </x:c>
      <x:c r="I237" t="str">
        <x:v>Dhirendra Singh</x:v>
      </x:c>
      <x:c r="J237" t="str">
        <x:v>BJP</x:v>
      </x:c>
      <x:c r="K237" t="str">
        <x:v>EVM row</x:v>
      </x:c>
      <x:c r="L237" s="133" t="str">
        <x:f>IF(D237&lt;=0,"No EVM votes",IF(E237&lt;$N$7,"Low",IF(E237&gt;$R$7,"High","Middle")))</x:f>
        <x:v>Middle</x:v>
      </x:c>
      <x:c r="M237" s="133" t="str">
        <x:f>IF(D237&lt;=0,"No EVM votes",IF(H237&lt;-20%,"Large deficit",IF(H237&lt;-5%,"Moderate deficit",IF(H237&lt;0,"Narrow deficit",IF(H237&lt;=5%,"Narrow lead/tie",IF(H237&lt;=20%,"Moderate lead","Large lead"))))))</x:f>
        <x:v>Large deficit</x:v>
      </x:c>
    </x:row>
    <x:row r="238">
      <x:c r="A238" t="n">
        <x:v>179</x:v>
      </x:c>
      <x:c r="B238" t="str">
        <x:v>INTER COLLEGE T.A. RABUPURA R.NO. 2</x:v>
      </x:c>
      <x:c r="C238" s="83" t="n">
        <x:f>'2017 Form20'!H187</x:f>
        <x:v>2</x:v>
      </x:c>
      <x:c r="D238" s="83" t="n">
        <x:f>'2017 Form20'!D187</x:f>
        <x:v>454</x:v>
      </x:c>
      <x:c r="E238" s="50" t="n">
        <x:f>'2017 Form20'!P187</x:f>
        <x:v>0.004405286343612335</x:v>
      </x:c>
      <x:c r="F238" t="n">
        <x:f>'2017 Form20'!Q187</x:f>
        <x:v>286</x:v>
      </x:c>
      <x:c r="G238" t="n">
        <x:f>'2017 Form20'!R187</x:f>
        <x:v>-284</x:v>
      </x:c>
      <x:c r="H238" s="52" t="n">
        <x:f>'2017 Form20'!S187</x:f>
        <x:v>-0.6255506607929515</x:v>
      </x:c>
      <x:c r="I238" t="str">
        <x:v>Vedram Bhati</x:v>
      </x:c>
      <x:c r="J238" t="str">
        <x:v>BSP</x:v>
      </x:c>
      <x:c r="K238" t="str">
        <x:v>EVM row</x:v>
      </x:c>
      <x:c r="L238" s="133" t="str">
        <x:f>IF(D238&lt;=0,"No EVM votes",IF(E238&lt;$N$7,"Low",IF(E238&gt;$R$7,"High","Middle")))</x:f>
        <x:v>Low</x:v>
      </x:c>
      <x:c r="M238" s="133" t="str">
        <x:f>IF(D238&lt;=0,"No EVM votes",IF(H238&lt;-20%,"Large deficit",IF(H238&lt;-5%,"Moderate deficit",IF(H238&lt;0,"Narrow deficit",IF(H238&lt;=5%,"Narrow lead/tie",IF(H238&lt;=20%,"Moderate lead","Large lead"))))))</x:f>
        <x:v>Large deficit</x:v>
      </x:c>
    </x:row>
    <x:row r="239">
      <x:c r="A239" t="n">
        <x:v>180</x:v>
      </x:c>
      <x:c r="B239" t="str">
        <x:v>INTER COLLEGE T.A. RABUPURA R.NO. 3</x:v>
      </x:c>
      <x:c r="C239" s="83" t="n">
        <x:f>'2017 Form20'!H188</x:f>
        <x:v>5</x:v>
      </x:c>
      <x:c r="D239" s="83" t="n">
        <x:f>'2017 Form20'!D188</x:f>
        <x:v>437</x:v>
      </x:c>
      <x:c r="E239" s="50" t="n">
        <x:f>'2017 Form20'!P188</x:f>
        <x:v>0.011441647597254004</x:v>
      </x:c>
      <x:c r="F239" t="n">
        <x:f>'2017 Form20'!Q188</x:f>
        <x:v>372</x:v>
      </x:c>
      <x:c r="G239" t="n">
        <x:f>'2017 Form20'!R188</x:f>
        <x:v>-367</x:v>
      </x:c>
      <x:c r="H239" s="52" t="n">
        <x:f>'2017 Form20'!S188</x:f>
        <x:v>-0.8398169336384439</x:v>
      </x:c>
      <x:c r="I239" t="str">
        <x:v>Vedram Bhati</x:v>
      </x:c>
      <x:c r="J239" t="str">
        <x:v>BSP</x:v>
      </x:c>
      <x:c r="K239" t="str">
        <x:v>EVM row</x:v>
      </x:c>
      <x:c r="L239" s="133" t="str">
        <x:f>IF(D239&lt;=0,"No EVM votes",IF(E239&lt;$N$7,"Low",IF(E239&gt;$R$7,"High","Middle")))</x:f>
        <x:v>Low</x:v>
      </x:c>
      <x:c r="M239" s="133" t="str">
        <x:f>IF(D239&lt;=0,"No EVM votes",IF(H239&lt;-20%,"Large deficit",IF(H239&lt;-5%,"Moderate deficit",IF(H239&lt;0,"Narrow deficit",IF(H239&lt;=5%,"Narrow lead/tie",IF(H239&lt;=20%,"Moderate lead","Large lead"))))))</x:f>
        <x:v>Large deficit</x:v>
      </x:c>
    </x:row>
    <x:row r="240">
      <x:c r="A240" t="n">
        <x:v>181</x:v>
      </x:c>
      <x:c r="B240" t="str">
        <x:v>INTER COLLEGE T.A. RABUPURA R.NO. 4</x:v>
      </x:c>
      <x:c r="C240" s="83" t="n">
        <x:f>'2017 Form20'!H189</x:f>
        <x:v>10</x:v>
      </x:c>
      <x:c r="D240" s="83" t="n">
        <x:f>'2017 Form20'!D189</x:f>
        <x:v>578</x:v>
      </x:c>
      <x:c r="E240" s="50" t="n">
        <x:f>'2017 Form20'!P189</x:f>
        <x:v>0.01730103806228374</x:v>
      </x:c>
      <x:c r="F240" t="n">
        <x:f>'2017 Form20'!Q189</x:f>
        <x:v>304</x:v>
      </x:c>
      <x:c r="G240" t="n">
        <x:f>'2017 Form20'!R189</x:f>
        <x:v>-294</x:v>
      </x:c>
      <x:c r="H240" s="52" t="n">
        <x:f>'2017 Form20'!S189</x:f>
        <x:v>-0.5086505190311419</x:v>
      </x:c>
      <x:c r="I240" t="str">
        <x:v>Vedram Bhati</x:v>
      </x:c>
      <x:c r="J240" t="str">
        <x:v>BSP</x:v>
      </x:c>
      <x:c r="K240" t="str">
        <x:v>EVM row</x:v>
      </x:c>
      <x:c r="L240" s="133" t="str">
        <x:f>IF(D240&lt;=0,"No EVM votes",IF(E240&lt;$N$7,"Low",IF(E240&gt;$R$7,"High","Middle")))</x:f>
        <x:v>Middle</x:v>
      </x:c>
      <x:c r="M240" s="133" t="str">
        <x:f>IF(D240&lt;=0,"No EVM votes",IF(H240&lt;-20%,"Large deficit",IF(H240&lt;-5%,"Moderate deficit",IF(H240&lt;0,"Narrow deficit",IF(H240&lt;=5%,"Narrow lead/tie",IF(H240&lt;=20%,"Moderate lead","Large lead"))))))</x:f>
        <x:v>Large deficit</x:v>
      </x:c>
    </x:row>
    <x:row r="241">
      <x:c r="A241" t="n">
        <x:v>182</x:v>
      </x:c>
      <x:c r="B241" t="str">
        <x:v>INTER COLLEGE T.A. RABUPURA R.NO. 5</x:v>
      </x:c>
      <x:c r="C241" s="83" t="n">
        <x:f>'2017 Form20'!H190</x:f>
        <x:v>20</x:v>
      </x:c>
      <x:c r="D241" s="83" t="n">
        <x:f>'2017 Form20'!D190</x:f>
        <x:v>733</x:v>
      </x:c>
      <x:c r="E241" s="50" t="n">
        <x:f>'2017 Form20'!P190</x:f>
        <x:v>0.027285129604365622</x:v>
      </x:c>
      <x:c r="F241" t="n">
        <x:f>'2017 Form20'!Q190</x:f>
        <x:v>515</x:v>
      </x:c>
      <x:c r="G241" t="n">
        <x:f>'2017 Form20'!R190</x:f>
        <x:v>-495</x:v>
      </x:c>
      <x:c r="H241" s="52" t="n">
        <x:f>'2017 Form20'!S190</x:f>
        <x:v>-0.6753069577080492</x:v>
      </x:c>
      <x:c r="I241" t="str">
        <x:v>Dhirendra Singh</x:v>
      </x:c>
      <x:c r="J241" t="str">
        <x:v>BJP</x:v>
      </x:c>
      <x:c r="K241" t="str">
        <x:v>EVM row</x:v>
      </x:c>
      <x:c r="L241" s="133" t="str">
        <x:f>IF(D241&lt;=0,"No EVM votes",IF(E241&lt;$N$7,"Low",IF(E241&gt;$R$7,"High","Middle")))</x:f>
        <x:v>Middle</x:v>
      </x:c>
      <x:c r="M241" s="133" t="str">
        <x:f>IF(D241&lt;=0,"No EVM votes",IF(H241&lt;-20%,"Large deficit",IF(H241&lt;-5%,"Moderate deficit",IF(H241&lt;0,"Narrow deficit",IF(H241&lt;=5%,"Narrow lead/tie",IF(H241&lt;=20%,"Moderate lead","Large lead"))))))</x:f>
        <x:v>Large deficit</x:v>
      </x:c>
    </x:row>
    <x:row r="242">
      <x:c r="A242" t="n">
        <x:v>183</x:v>
      </x:c>
      <x:c r="B242" t="str">
        <x:v>INTER COLLEGE T.A. RABUPURA R.NO. 6</x:v>
      </x:c>
      <x:c r="C242" s="83" t="n">
        <x:f>'2017 Form20'!H191</x:f>
        <x:v>22</x:v>
      </x:c>
      <x:c r="D242" s="83" t="n">
        <x:f>'2017 Form20'!D191</x:f>
        <x:v>507</x:v>
      </x:c>
      <x:c r="E242" s="50" t="n">
        <x:f>'2017 Form20'!P191</x:f>
        <x:v>0.04339250493096647</x:v>
      </x:c>
      <x:c r="F242" t="n">
        <x:f>'2017 Form20'!Q191</x:f>
        <x:v>312</x:v>
      </x:c>
      <x:c r="G242" t="n">
        <x:f>'2017 Form20'!R191</x:f>
        <x:v>-290</x:v>
      </x:c>
      <x:c r="H242" s="52" t="n">
        <x:f>'2017 Form20'!S191</x:f>
        <x:v>-0.571992110453649</x:v>
      </x:c>
      <x:c r="I242" t="str">
        <x:v>Dhirendra Singh</x:v>
      </x:c>
      <x:c r="J242" t="str">
        <x:v>BJP</x:v>
      </x:c>
      <x:c r="K242" t="str">
        <x:v>EVM row</x:v>
      </x:c>
      <x:c r="L242" s="133" t="str">
        <x:f>IF(D242&lt;=0,"No EVM votes",IF(E242&lt;$N$7,"Low",IF(E242&gt;$R$7,"High","Middle")))</x:f>
        <x:v>Middle</x:v>
      </x:c>
      <x:c r="M242" s="133" t="str">
        <x:f>IF(D242&lt;=0,"No EVM votes",IF(H242&lt;-20%,"Large deficit",IF(H242&lt;-5%,"Moderate deficit",IF(H242&lt;0,"Narrow deficit",IF(H242&lt;=5%,"Narrow lead/tie",IF(H242&lt;=20%,"Moderate lead","Large lead"))))))</x:f>
        <x:v>Large deficit</x:v>
      </x:c>
    </x:row>
    <x:row r="243">
      <x:c r="A243" t="n">
        <x:v>184</x:v>
      </x:c>
      <x:c r="B243" t="str">
        <x:v>INTER COLLEGE T.A. RABUPURA R.NO. 7</x:v>
      </x:c>
      <x:c r="C243" s="83" t="n">
        <x:f>'2017 Form20'!H192</x:f>
        <x:v>6</x:v>
      </x:c>
      <x:c r="D243" s="83" t="n">
        <x:f>'2017 Form20'!D192</x:f>
        <x:v>498</x:v>
      </x:c>
      <x:c r="E243" s="50" t="n">
        <x:f>'2017 Form20'!P192</x:f>
        <x:v>0.012048192771084338</x:v>
      </x:c>
      <x:c r="F243" t="n">
        <x:f>'2017 Form20'!Q192</x:f>
        <x:v>419</x:v>
      </x:c>
      <x:c r="G243" t="n">
        <x:f>'2017 Form20'!R192</x:f>
        <x:v>-413</x:v>
      </x:c>
      <x:c r="H243" s="52" t="n">
        <x:f>'2017 Form20'!S192</x:f>
        <x:v>-0.8293172690763052</x:v>
      </x:c>
      <x:c r="I243" t="str">
        <x:v>Dhirendra Singh</x:v>
      </x:c>
      <x:c r="J243" t="str">
        <x:v>BJP</x:v>
      </x:c>
      <x:c r="K243" t="str">
        <x:v>EVM row</x:v>
      </x:c>
      <x:c r="L243" s="133" t="str">
        <x:f>IF(D243&lt;=0,"No EVM votes",IF(E243&lt;$N$7,"Low",IF(E243&gt;$R$7,"High","Middle")))</x:f>
        <x:v>Low</x:v>
      </x:c>
      <x:c r="M243" s="133" t="str">
        <x:f>IF(D243&lt;=0,"No EVM votes",IF(H243&lt;-20%,"Large deficit",IF(H243&lt;-5%,"Moderate deficit",IF(H243&lt;0,"Narrow deficit",IF(H243&lt;=5%,"Narrow lead/tie",IF(H243&lt;=20%,"Moderate lead","Large lead"))))))</x:f>
        <x:v>Large deficit</x:v>
      </x:c>
    </x:row>
    <x:row r="244">
      <x:c r="A244" t="n">
        <x:v>185</x:v>
      </x:c>
      <x:c r="B244" t="str">
        <x:v>INTER COLLEGE T.A. RABUPURA R.NO. 8</x:v>
      </x:c>
      <x:c r="C244" s="83" t="n">
        <x:f>'2017 Form20'!H193</x:f>
        <x:v>24</x:v>
      </x:c>
      <x:c r="D244" s="83" t="n">
        <x:f>'2017 Form20'!D193</x:f>
        <x:v>800</x:v>
      </x:c>
      <x:c r="E244" s="50" t="n">
        <x:f>'2017 Form20'!P193</x:f>
        <x:v>0.03</x:v>
      </x:c>
      <x:c r="F244" t="n">
        <x:f>'2017 Form20'!Q193</x:f>
        <x:v>459</x:v>
      </x:c>
      <x:c r="G244" t="n">
        <x:f>'2017 Form20'!R193</x:f>
        <x:v>-435</x:v>
      </x:c>
      <x:c r="H244" s="52" t="n">
        <x:f>'2017 Form20'!S193</x:f>
        <x:v>-0.54375</x:v>
      </x:c>
      <x:c r="I244" t="str">
        <x:v>Dhirendra Singh</x:v>
      </x:c>
      <x:c r="J244" t="str">
        <x:v>BJP</x:v>
      </x:c>
      <x:c r="K244" t="str">
        <x:v>EVM row</x:v>
      </x:c>
      <x:c r="L244" s="133" t="str">
        <x:f>IF(D244&lt;=0,"No EVM votes",IF(E244&lt;$N$7,"Low",IF(E244&gt;$R$7,"High","Middle")))</x:f>
        <x:v>Middle</x:v>
      </x:c>
      <x:c r="M244" s="133" t="str">
        <x:f>IF(D244&lt;=0,"No EVM votes",IF(H244&lt;-20%,"Large deficit",IF(H244&lt;-5%,"Moderate deficit",IF(H244&lt;0,"Narrow deficit",IF(H244&lt;=5%,"Narrow lead/tie",IF(H244&lt;=20%,"Moderate lead","Large lead"))))))</x:f>
        <x:v>Large deficit</x:v>
      </x:c>
    </x:row>
    <x:row r="245">
      <x:c r="A245" t="n">
        <x:v>186</x:v>
      </x:c>
      <x:c r="B245" t="str">
        <x:v>SARSWATI SHISHU MANDIR I.C. RABUPURA R. N. 1</x:v>
      </x:c>
      <x:c r="C245" s="83" t="n">
        <x:f>'2017 Form20'!H194</x:f>
        <x:v>7</x:v>
      </x:c>
      <x:c r="D245" s="83" t="n">
        <x:f>'2017 Form20'!D194</x:f>
        <x:v>467</x:v>
      </x:c>
      <x:c r="E245" s="50" t="n">
        <x:f>'2017 Form20'!P194</x:f>
        <x:v>0.014989293361884369</x:v>
      </x:c>
      <x:c r="F245" t="n">
        <x:f>'2017 Form20'!Q194</x:f>
        <x:v>320</x:v>
      </x:c>
      <x:c r="G245" t="n">
        <x:f>'2017 Form20'!R194</x:f>
        <x:v>-313</x:v>
      </x:c>
      <x:c r="H245" s="52" t="n">
        <x:f>'2017 Form20'!S194</x:f>
        <x:v>-0.6702355460385439</x:v>
      </x:c>
      <x:c r="I245" t="str">
        <x:v>Dhirendra Singh</x:v>
      </x:c>
      <x:c r="J245" t="str">
        <x:v>BJP</x:v>
      </x:c>
      <x:c r="K245" t="str">
        <x:v>EVM row</x:v>
      </x:c>
      <x:c r="L245" s="133" t="str">
        <x:f>IF(D245&lt;=0,"No EVM votes",IF(E245&lt;$N$7,"Low",IF(E245&gt;$R$7,"High","Middle")))</x:f>
        <x:v>Low</x:v>
      </x:c>
      <x:c r="M245" s="133" t="str">
        <x:f>IF(D245&lt;=0,"No EVM votes",IF(H245&lt;-20%,"Large deficit",IF(H245&lt;-5%,"Moderate deficit",IF(H245&lt;0,"Narrow deficit",IF(H245&lt;=5%,"Narrow lead/tie",IF(H245&lt;=20%,"Moderate lead","Large lead"))))))</x:f>
        <x:v>Large deficit</x:v>
      </x:c>
    </x:row>
    <x:row r="246">
      <x:c r="A246" t="n">
        <x:v>187</x:v>
      </x:c>
      <x:c r="B246" t="str">
        <x:v>SARSWATI SHISHU MANDIR I.C. RABUPURA R. N. 2</x:v>
      </x:c>
      <x:c r="C246" s="83" t="n">
        <x:f>'2017 Form20'!H195</x:f>
        <x:v>12</x:v>
      </x:c>
      <x:c r="D246" s="83" t="n">
        <x:f>'2017 Form20'!D195</x:f>
        <x:v>493</x:v>
      </x:c>
      <x:c r="E246" s="50" t="n">
        <x:f>'2017 Form20'!P195</x:f>
        <x:v>0.02434077079107505</x:v>
      </x:c>
      <x:c r="F246" t="n">
        <x:f>'2017 Form20'!Q195</x:f>
        <x:v>259</x:v>
      </x:c>
      <x:c r="G246" t="n">
        <x:f>'2017 Form20'!R195</x:f>
        <x:v>-247</x:v>
      </x:c>
      <x:c r="H246" s="52" t="n">
        <x:f>'2017 Form20'!S195</x:f>
        <x:v>-0.5010141987829615</x:v>
      </x:c>
      <x:c r="I246" t="str">
        <x:v>Dhirendra Singh</x:v>
      </x:c>
      <x:c r="J246" t="str">
        <x:v>BJP</x:v>
      </x:c>
      <x:c r="K246" t="str">
        <x:v>EVM row</x:v>
      </x:c>
      <x:c r="L246" s="133" t="str">
        <x:f>IF(D246&lt;=0,"No EVM votes",IF(E246&lt;$N$7,"Low",IF(E246&gt;$R$7,"High","Middle")))</x:f>
        <x:v>Middle</x:v>
      </x:c>
      <x:c r="M246" s="133" t="str">
        <x:f>IF(D246&lt;=0,"No EVM votes",IF(H246&lt;-20%,"Large deficit",IF(H246&lt;-5%,"Moderate deficit",IF(H246&lt;0,"Narrow deficit",IF(H246&lt;=5%,"Narrow lead/tie",IF(H246&lt;=20%,"Moderate lead","Large lead"))))))</x:f>
        <x:v>Large deficit</x:v>
      </x:c>
    </x:row>
    <x:row r="247">
      <x:c r="A247" t="n">
        <x:v>188</x:v>
      </x:c>
      <x:c r="B247" t="str">
        <x:v>PRY. SCHOOL T.A. RABUPURA R.NO. 1</x:v>
      </x:c>
      <x:c r="C247" s="83" t="n">
        <x:f>'2017 Form20'!H196</x:f>
        <x:v>13</x:v>
      </x:c>
      <x:c r="D247" s="83" t="n">
        <x:f>'2017 Form20'!D196</x:f>
        <x:v>485</x:v>
      </x:c>
      <x:c r="E247" s="50" t="n">
        <x:f>'2017 Form20'!P196</x:f>
        <x:v>0.026804123711340205</x:v>
      </x:c>
      <x:c r="F247" t="n">
        <x:f>'2017 Form20'!Q196</x:f>
        <x:v>379</x:v>
      </x:c>
      <x:c r="G247" t="n">
        <x:f>'2017 Form20'!R196</x:f>
        <x:v>-366</x:v>
      </x:c>
      <x:c r="H247" s="52" t="n">
        <x:f>'2017 Form20'!S196</x:f>
        <x:v>-0.7546391752577319</x:v>
      </x:c>
      <x:c r="I247" t="str">
        <x:v>Dhirendra Singh</x:v>
      </x:c>
      <x:c r="J247" t="str">
        <x:v>BJP</x:v>
      </x:c>
      <x:c r="K247" t="str">
        <x:v>EVM row</x:v>
      </x:c>
      <x:c r="L247" s="133" t="str">
        <x:f>IF(D247&lt;=0,"No EVM votes",IF(E247&lt;$N$7,"Low",IF(E247&gt;$R$7,"High","Middle")))</x:f>
        <x:v>Middle</x:v>
      </x:c>
      <x:c r="M247" s="133" t="str">
        <x:f>IF(D247&lt;=0,"No EVM votes",IF(H247&lt;-20%,"Large deficit",IF(H247&lt;-5%,"Moderate deficit",IF(H247&lt;0,"Narrow deficit",IF(H247&lt;=5%,"Narrow lead/tie",IF(H247&lt;=20%,"Moderate lead","Large lead"))))))</x:f>
        <x:v>Large deficit</x:v>
      </x:c>
    </x:row>
    <x:row r="248">
      <x:c r="A248" t="n">
        <x:v>189</x:v>
      </x:c>
      <x:c r="B248" t="str">
        <x:v>PRY. SCHOOL T.A. RABUPURA R.NO. 2</x:v>
      </x:c>
      <x:c r="C248" s="83" t="n">
        <x:f>'2017 Form20'!H197</x:f>
        <x:v>18</x:v>
      </x:c>
      <x:c r="D248" s="83" t="n">
        <x:f>'2017 Form20'!D197</x:f>
        <x:v>600</x:v>
      </x:c>
      <x:c r="E248" s="50" t="n">
        <x:f>'2017 Form20'!P197</x:f>
        <x:v>0.03</x:v>
      </x:c>
      <x:c r="F248" t="n">
        <x:f>'2017 Form20'!Q197</x:f>
        <x:v>428</x:v>
      </x:c>
      <x:c r="G248" t="n">
        <x:f>'2017 Form20'!R197</x:f>
        <x:v>-410</x:v>
      </x:c>
      <x:c r="H248" s="52" t="n">
        <x:f>'2017 Form20'!S197</x:f>
        <x:v>-0.6833333333333333</x:v>
      </x:c>
      <x:c r="I248" t="str">
        <x:v>Dhirendra Singh</x:v>
      </x:c>
      <x:c r="J248" t="str">
        <x:v>BJP</x:v>
      </x:c>
      <x:c r="K248" t="str">
        <x:v>EVM row</x:v>
      </x:c>
      <x:c r="L248" s="133" t="str">
        <x:f>IF(D248&lt;=0,"No EVM votes",IF(E248&lt;$N$7,"Low",IF(E248&gt;$R$7,"High","Middle")))</x:f>
        <x:v>Middle</x:v>
      </x:c>
      <x:c r="M248" s="133" t="str">
        <x:f>IF(D248&lt;=0,"No EVM votes",IF(H248&lt;-20%,"Large deficit",IF(H248&lt;-5%,"Moderate deficit",IF(H248&lt;0,"Narrow deficit",IF(H248&lt;=5%,"Narrow lead/tie",IF(H248&lt;=20%,"Moderate lead","Large lead"))))))</x:f>
        <x:v>Large deficit</x:v>
      </x:c>
    </x:row>
    <x:row r="249">
      <x:c r="A249" t="n">
        <x:v>190</x:v>
      </x:c>
      <x:c r="B249" t="str">
        <x:v>PRY. SCHOOL T.A. RABUPURA R.NO. 3</x:v>
      </x:c>
      <x:c r="C249" s="83" t="n">
        <x:f>'2017 Form20'!H198</x:f>
        <x:v>31</x:v>
      </x:c>
      <x:c r="D249" s="83" t="n">
        <x:f>'2017 Form20'!D198</x:f>
        <x:v>564</x:v>
      </x:c>
      <x:c r="E249" s="50" t="n">
        <x:f>'2017 Form20'!P198</x:f>
        <x:v>0.0549645390070922</x:v>
      </x:c>
      <x:c r="F249" t="n">
        <x:f>'2017 Form20'!Q198</x:f>
        <x:v>303</x:v>
      </x:c>
      <x:c r="G249" t="n">
        <x:f>'2017 Form20'!R198</x:f>
        <x:v>-272</x:v>
      </x:c>
      <x:c r="H249" s="52" t="n">
        <x:f>'2017 Form20'!S198</x:f>
        <x:v>-0.48226950354609927</x:v>
      </x:c>
      <x:c r="I249" t="str">
        <x:v>Dhirendra Singh</x:v>
      </x:c>
      <x:c r="J249" t="str">
        <x:v>BJP</x:v>
      </x:c>
      <x:c r="K249" t="str">
        <x:v>EVM row</x:v>
      </x:c>
      <x:c r="L249" s="133" t="str">
        <x:f>IF(D249&lt;=0,"No EVM votes",IF(E249&lt;$N$7,"Low",IF(E249&gt;$R$7,"High","Middle")))</x:f>
        <x:v>Middle</x:v>
      </x:c>
      <x:c r="M249" s="133" t="str">
        <x:f>IF(D249&lt;=0,"No EVM votes",IF(H249&lt;-20%,"Large deficit",IF(H249&lt;-5%,"Moderate deficit",IF(H249&lt;0,"Narrow deficit",IF(H249&lt;=5%,"Narrow lead/tie",IF(H249&lt;=20%,"Moderate lead","Large lead"))))))</x:f>
        <x:v>Large deficit</x:v>
      </x:c>
    </x:row>
    <x:row r="250">
      <x:c r="A250" t="n">
        <x:v>191</x:v>
      </x:c>
      <x:c r="B250" t="str">
        <x:v>PRY. SCHOOL BHAIPUR BRAHMNAN R.NO. 1</x:v>
      </x:c>
      <x:c r="C250" s="83" t="n">
        <x:f>'2017 Form20'!H199</x:f>
        <x:v>22</x:v>
      </x:c>
      <x:c r="D250" s="83" t="n">
        <x:f>'2017 Form20'!D199</x:f>
        <x:v>677</x:v>
      </x:c>
      <x:c r="E250" s="50" t="n">
        <x:f>'2017 Form20'!P199</x:f>
        <x:v>0.03249630723781388</x:v>
      </x:c>
      <x:c r="F250" t="n">
        <x:f>'2017 Form20'!Q199</x:f>
        <x:v>531</x:v>
      </x:c>
      <x:c r="G250" t="n">
        <x:f>'2017 Form20'!R199</x:f>
        <x:v>-509</x:v>
      </x:c>
      <x:c r="H250" s="52" t="n">
        <x:f>'2017 Form20'!S199</x:f>
        <x:v>-0.7518463810930576</x:v>
      </x:c>
      <x:c r="I250" t="str">
        <x:v>Dhirendra Singh</x:v>
      </x:c>
      <x:c r="J250" t="str">
        <x:v>BJP</x:v>
      </x:c>
      <x:c r="K250" t="str">
        <x:v>EVM row</x:v>
      </x:c>
      <x:c r="L250" s="133" t="str">
        <x:f>IF(D250&lt;=0,"No EVM votes",IF(E250&lt;$N$7,"Low",IF(E250&gt;$R$7,"High","Middle")))</x:f>
        <x:v>Middle</x:v>
      </x:c>
      <x:c r="M250" s="133" t="str">
        <x:f>IF(D250&lt;=0,"No EVM votes",IF(H250&lt;-20%,"Large deficit",IF(H250&lt;-5%,"Moderate deficit",IF(H250&lt;0,"Narrow deficit",IF(H250&lt;=5%,"Narrow lead/tie",IF(H250&lt;=20%,"Moderate lead","Large lead"))))))</x:f>
        <x:v>Large deficit</x:v>
      </x:c>
    </x:row>
    <x:row r="251">
      <x:c r="A251" t="n">
        <x:v>192</x:v>
      </x:c>
      <x:c r="B251" t="str">
        <x:v>J.H. SCHOOL BHAIPUR BRAHMNAN R.NO. 1</x:v>
      </x:c>
      <x:c r="C251" s="83" t="n">
        <x:f>'2017 Form20'!H200</x:f>
        <x:v>3</x:v>
      </x:c>
      <x:c r="D251" s="83" t="n">
        <x:f>'2017 Form20'!D200</x:f>
        <x:v>495</x:v>
      </x:c>
      <x:c r="E251" s="50" t="n">
        <x:f>'2017 Form20'!P200</x:f>
        <x:v>0.006060606060606061</x:v>
      </x:c>
      <x:c r="F251" t="n">
        <x:f>'2017 Form20'!Q200</x:f>
        <x:v>223</x:v>
      </x:c>
      <x:c r="G251" t="n">
        <x:f>'2017 Form20'!R200</x:f>
        <x:v>-220</x:v>
      </x:c>
      <x:c r="H251" s="52" t="n">
        <x:f>'2017 Form20'!S200</x:f>
        <x:v>-0.4444444444444444</x:v>
      </x:c>
      <x:c r="I251" t="str">
        <x:v>Dhirendra Singh</x:v>
      </x:c>
      <x:c r="J251" t="str">
        <x:v>BJP</x:v>
      </x:c>
      <x:c r="K251" t="str">
        <x:v>EVM row</x:v>
      </x:c>
      <x:c r="L251" s="133" t="str">
        <x:f>IF(D251&lt;=0,"No EVM votes",IF(E251&lt;$N$7,"Low",IF(E251&gt;$R$7,"High","Middle")))</x:f>
        <x:v>Low</x:v>
      </x:c>
      <x:c r="M251" s="133" t="str">
        <x:f>IF(D251&lt;=0,"No EVM votes",IF(H251&lt;-20%,"Large deficit",IF(H251&lt;-5%,"Moderate deficit",IF(H251&lt;0,"Narrow deficit",IF(H251&lt;=5%,"Narrow lead/tie",IF(H251&lt;=20%,"Moderate lead","Large lead"))))))</x:f>
        <x:v>Large deficit</x:v>
      </x:c>
    </x:row>
    <x:row r="252">
      <x:c r="A252" t="n">
        <x:v>193</x:v>
      </x:c>
      <x:c r="B252" t="str">
        <x:v>J.H. SCHOOL BHAIPUR BRAHMNAN R.NO. 2</x:v>
      </x:c>
      <x:c r="C252" s="83" t="n">
        <x:f>'2017 Form20'!H201</x:f>
        <x:v>5</x:v>
      </x:c>
      <x:c r="D252" s="83" t="n">
        <x:f>'2017 Form20'!D201</x:f>
        <x:v>326</x:v>
      </x:c>
      <x:c r="E252" s="50" t="n">
        <x:f>'2017 Form20'!P201</x:f>
        <x:v>0.015337423312883436</x:v>
      </x:c>
      <x:c r="F252" t="n">
        <x:f>'2017 Form20'!Q201</x:f>
        <x:v>214</x:v>
      </x:c>
      <x:c r="G252" t="n">
        <x:f>'2017 Form20'!R201</x:f>
        <x:v>-209</x:v>
      </x:c>
      <x:c r="H252" s="52" t="n">
        <x:f>'2017 Form20'!S201</x:f>
        <x:v>-0.6411042944785276</x:v>
      </x:c>
      <x:c r="I252" t="str">
        <x:v>Dhirendra Singh</x:v>
      </x:c>
      <x:c r="J252" t="str">
        <x:v>BJP</x:v>
      </x:c>
      <x:c r="K252" t="str">
        <x:v>EVM row</x:v>
      </x:c>
      <x:c r="L252" s="133" t="str">
        <x:f>IF(D252&lt;=0,"No EVM votes",IF(E252&lt;$N$7,"Low",IF(E252&gt;$R$7,"High","Middle")))</x:f>
        <x:v>Low</x:v>
      </x:c>
      <x:c r="M252" s="133" t="str">
        <x:f>IF(D252&lt;=0,"No EVM votes",IF(H252&lt;-20%,"Large deficit",IF(H252&lt;-5%,"Moderate deficit",IF(H252&lt;0,"Narrow deficit",IF(H252&lt;=5%,"Narrow lead/tie",IF(H252&lt;=20%,"Moderate lead","Large lead"))))))</x:f>
        <x:v>Large deficit</x:v>
      </x:c>
    </x:row>
    <x:row r="253">
      <x:c r="A253" t="n">
        <x:v>194</x:v>
      </x:c>
      <x:c r="B253" t="str">
        <x:v>PRY. SCHOOL MENHADIPUR BANGAR R.NO. 1</x:v>
      </x:c>
      <x:c r="C253" s="83" t="n">
        <x:f>'2017 Form20'!H202</x:f>
        <x:v>265</x:v>
      </x:c>
      <x:c r="D253" s="83" t="n">
        <x:f>'2017 Form20'!D202</x:f>
        <x:v>773</x:v>
      </x:c>
      <x:c r="E253" s="50" t="n">
        <x:f>'2017 Form20'!P202</x:f>
        <x:v>0.3428201811125485</x:v>
      </x:c>
      <x:c r="F253" t="n">
        <x:f>'2017 Form20'!Q202</x:f>
        <x:v>209</x:v>
      </x:c>
      <x:c r="G253" t="n">
        <x:f>'2017 Form20'!R202</x:f>
        <x:v>56</x:v>
      </x:c>
      <x:c r="H253" s="52" t="n">
        <x:f>'2017 Form20'!S202</x:f>
        <x:v>0.0724450194049159</x:v>
      </x:c>
      <x:c r="I253" t="str">
        <x:v>Narender Nagar</x:v>
      </x:c>
      <x:c r="J253" t="str">
        <x:v>SP</x:v>
      </x:c>
      <x:c r="K253" t="str">
        <x:v>EVM row</x:v>
      </x:c>
      <x:c r="L253" s="133" t="str">
        <x:f>IF(D253&lt;=0,"No EVM votes",IF(E253&lt;$N$7,"Low",IF(E253&gt;$R$7,"High","Middle")))</x:f>
        <x:v>High</x:v>
      </x:c>
      <x:c r="M253" s="133" t="str">
        <x:f>IF(D253&lt;=0,"No EVM votes",IF(H253&lt;-20%,"Large deficit",IF(H253&lt;-5%,"Moderate deficit",IF(H253&lt;0,"Narrow deficit",IF(H253&lt;=5%,"Narrow lead/tie",IF(H253&lt;=20%,"Moderate lead","Large lead"))))))</x:f>
        <x:v>Moderate lead</x:v>
      </x:c>
    </x:row>
    <x:row r="254">
      <x:c r="A254" t="n">
        <x:v>195</x:v>
      </x:c>
      <x:c r="B254" t="str">
        <x:v>PRY. SCHOOL MENHADIPUR BANGAR R.NO. 2</x:v>
      </x:c>
      <x:c r="C254" s="83" t="n">
        <x:f>'2017 Form20'!H203</x:f>
        <x:v>469</x:v>
      </x:c>
      <x:c r="D254" s="83" t="n">
        <x:f>'2017 Form20'!D203</x:f>
        <x:v>856</x:v>
      </x:c>
      <x:c r="E254" s="50" t="n">
        <x:f>'2017 Form20'!P203</x:f>
        <x:v>0.5478971962616822</x:v>
      </x:c>
      <x:c r="F254" t="n">
        <x:f>'2017 Form20'!Q203</x:f>
        <x:v>225</x:v>
      </x:c>
      <x:c r="G254" t="n">
        <x:f>'2017 Form20'!R203</x:f>
        <x:v>244</x:v>
      </x:c>
      <x:c r="H254" s="52" t="n">
        <x:f>'2017 Form20'!S203</x:f>
        <x:v>0.2850467289719626</x:v>
      </x:c>
      <x:c r="I254" t="str">
        <x:v>Narender Nagar</x:v>
      </x:c>
      <x:c r="J254" t="str">
        <x:v>SP</x:v>
      </x:c>
      <x:c r="K254" t="str">
        <x:v>EVM row</x:v>
      </x:c>
      <x:c r="L254" s="133" t="str">
        <x:f>IF(D254&lt;=0,"No EVM votes",IF(E254&lt;$N$7,"Low",IF(E254&gt;$R$7,"High","Middle")))</x:f>
        <x:v>High</x:v>
      </x:c>
      <x:c r="M254" s="133" t="str">
        <x:f>IF(D254&lt;=0,"No EVM votes",IF(H254&lt;-20%,"Large deficit",IF(H254&lt;-5%,"Moderate deficit",IF(H254&lt;0,"Narrow deficit",IF(H254&lt;=5%,"Narrow lead/tie",IF(H254&lt;=20%,"Moderate lead","Large lead"))))))</x:f>
        <x:v>Large lead</x:v>
      </x:c>
    </x:row>
    <x:row r="255">
      <x:c r="A255" t="n">
        <x:v>196</x:v>
      </x:c>
      <x:c r="B255" t="str">
        <x:v>PRY. SCHOOL MENHADIPUR BANGAR R.NO. 3</x:v>
      </x:c>
      <x:c r="C255" s="83" t="n">
        <x:f>'2017 Form20'!H204</x:f>
        <x:v>5</x:v>
      </x:c>
      <x:c r="D255" s="83" t="n">
        <x:f>'2017 Form20'!D204</x:f>
        <x:v>196</x:v>
      </x:c>
      <x:c r="E255" s="50" t="n">
        <x:f>'2017 Form20'!P204</x:f>
        <x:v>0.025510204081632654</x:v>
      </x:c>
      <x:c r="F255" t="n">
        <x:f>'2017 Form20'!Q204</x:f>
        <x:v>173</x:v>
      </x:c>
      <x:c r="G255" t="n">
        <x:f>'2017 Form20'!R204</x:f>
        <x:v>-168</x:v>
      </x:c>
      <x:c r="H255" s="52" t="n">
        <x:f>'2017 Form20'!S204</x:f>
        <x:v>-0.8571428571428571</x:v>
      </x:c>
      <x:c r="I255" t="str">
        <x:v>Dhirendra Singh</x:v>
      </x:c>
      <x:c r="J255" t="str">
        <x:v>BJP</x:v>
      </x:c>
      <x:c r="K255" t="str">
        <x:v>EVM row</x:v>
      </x:c>
      <x:c r="L255" s="133" t="str">
        <x:f>IF(D255&lt;=0,"No EVM votes",IF(E255&lt;$N$7,"Low",IF(E255&gt;$R$7,"High","Middle")))</x:f>
        <x:v>Middle</x:v>
      </x:c>
      <x:c r="M255" s="133" t="str">
        <x:f>IF(D255&lt;=0,"No EVM votes",IF(H255&lt;-20%,"Large deficit",IF(H255&lt;-5%,"Moderate deficit",IF(H255&lt;0,"Narrow deficit",IF(H255&lt;=5%,"Narrow lead/tie",IF(H255&lt;=20%,"Moderate lead","Large lead"))))))</x:f>
        <x:v>Large deficit</x:v>
      </x:c>
    </x:row>
    <x:row r="256">
      <x:c r="A256" t="n">
        <x:v>197</x:v>
      </x:c>
      <x:c r="B256" t="str">
        <x:v>PRY. SCHOOL SIRAULI BANGAR R.NO. 1</x:v>
      </x:c>
      <x:c r="C256" s="83" t="n">
        <x:f>'2017 Form20'!H205</x:f>
        <x:v>61</x:v>
      </x:c>
      <x:c r="D256" s="83" t="n">
        <x:f>'2017 Form20'!D205</x:f>
        <x:v>814</x:v>
      </x:c>
      <x:c r="E256" s="50" t="n">
        <x:f>'2017 Form20'!P205</x:f>
        <x:v>0.07493857493857493</x:v>
      </x:c>
      <x:c r="F256" t="n">
        <x:f>'2017 Form20'!Q205</x:f>
        <x:v>461</x:v>
      </x:c>
      <x:c r="G256" t="n">
        <x:f>'2017 Form20'!R205</x:f>
        <x:v>-400</x:v>
      </x:c>
      <x:c r="H256" s="52" t="n">
        <x:f>'2017 Form20'!S205</x:f>
        <x:v>-0.4914004914004914</x:v>
      </x:c>
      <x:c r="I256" t="str">
        <x:v>Dhirendra Singh</x:v>
      </x:c>
      <x:c r="J256" t="str">
        <x:v>BJP</x:v>
      </x:c>
      <x:c r="K256" t="str">
        <x:v>EVM row</x:v>
      </x:c>
      <x:c r="L256" s="133" t="str">
        <x:f>IF(D256&lt;=0,"No EVM votes",IF(E256&lt;$N$7,"Low",IF(E256&gt;$R$7,"High","Middle")))</x:f>
        <x:v>High</x:v>
      </x:c>
      <x:c r="M256" s="133" t="str">
        <x:f>IF(D256&lt;=0,"No EVM votes",IF(H256&lt;-20%,"Large deficit",IF(H256&lt;-5%,"Moderate deficit",IF(H256&lt;0,"Narrow deficit",IF(H256&lt;=5%,"Narrow lead/tie",IF(H256&lt;=20%,"Moderate lead","Large lead"))))))</x:f>
        <x:v>Large deficit</x:v>
      </x:c>
    </x:row>
    <x:row r="257">
      <x:c r="A257" t="n">
        <x:v>198</x:v>
      </x:c>
      <x:c r="B257" t="str">
        <x:v>PRY. SCHOOL DHANPURA R.NO. 1</x:v>
      </x:c>
      <x:c r="C257" s="83" t="n">
        <x:f>'2017 Form20'!H206</x:f>
        <x:v>158</x:v>
      </x:c>
      <x:c r="D257" s="83" t="n">
        <x:f>'2017 Form20'!D206</x:f>
        <x:v>255</x:v>
      </x:c>
      <x:c r="E257" s="50" t="n">
        <x:f>'2017 Form20'!P206</x:f>
        <x:v>0.6196078431372549</x:v>
      </x:c>
      <x:c r="F257" t="n">
        <x:f>'2017 Form20'!Q206</x:f>
        <x:v>74</x:v>
      </x:c>
      <x:c r="G257" t="n">
        <x:f>'2017 Form20'!R206</x:f>
        <x:v>84</x:v>
      </x:c>
      <x:c r="H257" s="52" t="n">
        <x:f>'2017 Form20'!S206</x:f>
        <x:v>0.32941176470588235</x:v>
      </x:c>
      <x:c r="I257" t="str">
        <x:v>Narender Nagar</x:v>
      </x:c>
      <x:c r="J257" t="str">
        <x:v>SP</x:v>
      </x:c>
      <x:c r="K257" t="str">
        <x:v>EVM row</x:v>
      </x:c>
      <x:c r="L257" s="133" t="str">
        <x:f>IF(D257&lt;=0,"No EVM votes",IF(E257&lt;$N$7,"Low",IF(E257&gt;$R$7,"High","Middle")))</x:f>
        <x:v>High</x:v>
      </x:c>
      <x:c r="M257" s="133" t="str">
        <x:f>IF(D257&lt;=0,"No EVM votes",IF(H257&lt;-20%,"Large deficit",IF(H257&lt;-5%,"Moderate deficit",IF(H257&lt;0,"Narrow deficit",IF(H257&lt;=5%,"Narrow lead/tie",IF(H257&lt;=20%,"Moderate lead","Large lead"))))))</x:f>
        <x:v>Large lead</x:v>
      </x:c>
    </x:row>
    <x:row r="258">
      <x:c r="A258" t="n">
        <x:v>199</x:v>
      </x:c>
      <x:c r="B258" t="str">
        <x:v>PRY. SCHOOL TIRTHALI R.NO. 1</x:v>
      </x:c>
      <x:c r="C258" s="83" t="n">
        <x:f>'2017 Form20'!H207</x:f>
        <x:v>28</x:v>
      </x:c>
      <x:c r="D258" s="83" t="n">
        <x:f>'2017 Form20'!D207</x:f>
        <x:v>474</x:v>
      </x:c>
      <x:c r="E258" s="50" t="n">
        <x:f>'2017 Form20'!P207</x:f>
        <x:v>0.05907172995780591</x:v>
      </x:c>
      <x:c r="F258" t="n">
        <x:f>'2017 Form20'!Q207</x:f>
        <x:v>261</x:v>
      </x:c>
      <x:c r="G258" t="n">
        <x:f>'2017 Form20'!R207</x:f>
        <x:v>-233</x:v>
      </x:c>
      <x:c r="H258" s="52" t="n">
        <x:f>'2017 Form20'!S207</x:f>
        <x:v>-0.49156118143459915</x:v>
      </x:c>
      <x:c r="I258" t="str">
        <x:v>Dhirendra Singh</x:v>
      </x:c>
      <x:c r="J258" t="str">
        <x:v>BJP</x:v>
      </x:c>
      <x:c r="K258" t="str">
        <x:v>EVM row</x:v>
      </x:c>
      <x:c r="L258" s="133" t="str">
        <x:f>IF(D258&lt;=0,"No EVM votes",IF(E258&lt;$N$7,"Low",IF(E258&gt;$R$7,"High","Middle")))</x:f>
        <x:v>Middle</x:v>
      </x:c>
      <x:c r="M258" s="133" t="str">
        <x:f>IF(D258&lt;=0,"No EVM votes",IF(H258&lt;-20%,"Large deficit",IF(H258&lt;-5%,"Moderate deficit",IF(H258&lt;0,"Narrow deficit",IF(H258&lt;=5%,"Narrow lead/tie",IF(H258&lt;=20%,"Moderate lead","Large lead"))))))</x:f>
        <x:v>Large deficit</x:v>
      </x:c>
    </x:row>
    <x:row r="259">
      <x:c r="A259" t="n">
        <x:v>200</x:v>
      </x:c>
      <x:c r="B259" t="str">
        <x:v>PRY. SCHOOL TIRTHALI R.NO. 2</x:v>
      </x:c>
      <x:c r="C259" s="83" t="n">
        <x:f>'2017 Form20'!H208</x:f>
        <x:v>44</x:v>
      </x:c>
      <x:c r="D259" s="83" t="n">
        <x:f>'2017 Form20'!D208</x:f>
        <x:v>459</x:v>
      </x:c>
      <x:c r="E259" s="50" t="n">
        <x:f>'2017 Form20'!P208</x:f>
        <x:v>0.09586056644880174</x:v>
      </x:c>
      <x:c r="F259" t="n">
        <x:f>'2017 Form20'!Q208</x:f>
        <x:v>202</x:v>
      </x:c>
      <x:c r="G259" t="n">
        <x:f>'2017 Form20'!R208</x:f>
        <x:v>-158</x:v>
      </x:c>
      <x:c r="H259" s="52" t="n">
        <x:f>'2017 Form20'!S208</x:f>
        <x:v>-0.3442265795206972</x:v>
      </x:c>
      <x:c r="I259" t="str">
        <x:v>Dhirendra Singh</x:v>
      </x:c>
      <x:c r="J259" t="str">
        <x:v>BJP</x:v>
      </x:c>
      <x:c r="K259" t="str">
        <x:v>EVM row</x:v>
      </x:c>
      <x:c r="L259" s="133" t="str">
        <x:f>IF(D259&lt;=0,"No EVM votes",IF(E259&lt;$N$7,"Low",IF(E259&gt;$R$7,"High","Middle")))</x:f>
        <x:v>High</x:v>
      </x:c>
      <x:c r="M259" s="133" t="str">
        <x:f>IF(D259&lt;=0,"No EVM votes",IF(H259&lt;-20%,"Large deficit",IF(H259&lt;-5%,"Moderate deficit",IF(H259&lt;0,"Narrow deficit",IF(H259&lt;=5%,"Narrow lead/tie",IF(H259&lt;=20%,"Moderate lead","Large lead"))))))</x:f>
        <x:v>Large deficit</x:v>
      </x:c>
    </x:row>
    <x:row r="260">
      <x:c r="A260" t="n">
        <x:v>201</x:v>
      </x:c>
      <x:c r="B260" t="str">
        <x:v>J.H. SCHOOL TIRTHALI R.NO. 1</x:v>
      </x:c>
      <x:c r="C260" s="83" t="n">
        <x:f>'2017 Form20'!H209</x:f>
        <x:v>27</x:v>
      </x:c>
      <x:c r="D260" s="83" t="n">
        <x:f>'2017 Form20'!D209</x:f>
        <x:v>542</x:v>
      </x:c>
      <x:c r="E260" s="50" t="n">
        <x:f>'2017 Form20'!P209</x:f>
        <x:v>0.04981549815498155</x:v>
      </x:c>
      <x:c r="F260" t="n">
        <x:f>'2017 Form20'!Q209</x:f>
        <x:v>251</x:v>
      </x:c>
      <x:c r="G260" t="n">
        <x:f>'2017 Form20'!R209</x:f>
        <x:v>-224</x:v>
      </x:c>
      <x:c r="H260" s="52" t="n">
        <x:f>'2017 Form20'!S209</x:f>
        <x:v>-0.4132841328413284</x:v>
      </x:c>
      <x:c r="I260" t="str">
        <x:v>Vedram Bhati</x:v>
      </x:c>
      <x:c r="J260" t="str">
        <x:v>BSP</x:v>
      </x:c>
      <x:c r="K260" t="str">
        <x:v>EVM row</x:v>
      </x:c>
      <x:c r="L260" s="133" t="str">
        <x:f>IF(D260&lt;=0,"No EVM votes",IF(E260&lt;$N$7,"Low",IF(E260&gt;$R$7,"High","Middle")))</x:f>
        <x:v>Middle</x:v>
      </x:c>
      <x:c r="M260" s="133" t="str">
        <x:f>IF(D260&lt;=0,"No EVM votes",IF(H260&lt;-20%,"Large deficit",IF(H260&lt;-5%,"Moderate deficit",IF(H260&lt;0,"Narrow deficit",IF(H260&lt;=5%,"Narrow lead/tie",IF(H260&lt;=20%,"Moderate lead","Large lead"))))))</x:f>
        <x:v>Large deficit</x:v>
      </x:c>
    </x:row>
    <x:row r="261">
      <x:c r="A261" t="n">
        <x:v>202</x:v>
      </x:c>
      <x:c r="B261" t="str">
        <x:v>J.H. SCHOOL TIRTHALI R.NO. 2</x:v>
      </x:c>
      <x:c r="C261" s="83" t="n">
        <x:f>'2017 Form20'!H210</x:f>
        <x:v>1</x:v>
      </x:c>
      <x:c r="D261" s="83" t="n">
        <x:f>'2017 Form20'!D210</x:f>
        <x:v>473</x:v>
      </x:c>
      <x:c r="E261" s="50" t="n">
        <x:f>'2017 Form20'!P210</x:f>
        <x:v>0.0021141649048625794</x:v>
      </x:c>
      <x:c r="F261" t="n">
        <x:f>'2017 Form20'!Q210</x:f>
        <x:v>300</x:v>
      </x:c>
      <x:c r="G261" t="n">
        <x:f>'2017 Form20'!R210</x:f>
        <x:v>-299</x:v>
      </x:c>
      <x:c r="H261" s="52" t="n">
        <x:f>'2017 Form20'!S210</x:f>
        <x:v>-0.6321353065539113</x:v>
      </x:c>
      <x:c r="I261" t="str">
        <x:v>Vedram Bhati</x:v>
      </x:c>
      <x:c r="J261" t="str">
        <x:v>BSP</x:v>
      </x:c>
      <x:c r="K261" t="str">
        <x:v>EVM row</x:v>
      </x:c>
      <x:c r="L261" s="133" t="str">
        <x:f>IF(D261&lt;=0,"No EVM votes",IF(E261&lt;$N$7,"Low",IF(E261&gt;$R$7,"High","Middle")))</x:f>
        <x:v>Low</x:v>
      </x:c>
      <x:c r="M261" s="133" t="str">
        <x:f>IF(D261&lt;=0,"No EVM votes",IF(H261&lt;-20%,"Large deficit",IF(H261&lt;-5%,"Moderate deficit",IF(H261&lt;0,"Narrow deficit",IF(H261&lt;=5%,"Narrow lead/tie",IF(H261&lt;=20%,"Moderate lead","Large lead"))))))</x:f>
        <x:v>Large deficit</x:v>
      </x:c>
    </x:row>
    <x:row r="262">
      <x:c r="A262" t="n">
        <x:v>203</x:v>
      </x:c>
      <x:c r="B262" t="str">
        <x:v>PRY. SCHOOL BHUNNATAGA R.NO. 1</x:v>
      </x:c>
      <x:c r="C262" s="83" t="n">
        <x:f>'2017 Form20'!H211</x:f>
        <x:v>10</x:v>
      </x:c>
      <x:c r="D262" s="83" t="n">
        <x:f>'2017 Form20'!D211</x:f>
        <x:v>886</x:v>
      </x:c>
      <x:c r="E262" s="50" t="n">
        <x:f>'2017 Form20'!P211</x:f>
        <x:v>0.011286681715575621</x:v>
      </x:c>
      <x:c r="F262" t="n">
        <x:f>'2017 Form20'!Q211</x:f>
        <x:v>477</x:v>
      </x:c>
      <x:c r="G262" t="n">
        <x:f>'2017 Form20'!R211</x:f>
        <x:v>-467</x:v>
      </x:c>
      <x:c r="H262" s="52" t="n">
        <x:f>'2017 Form20'!S211</x:f>
        <x:v>-0.5270880361173815</x:v>
      </x:c>
      <x:c r="I262" t="str">
        <x:v>Dhirendra Singh</x:v>
      </x:c>
      <x:c r="J262" t="str">
        <x:v>BJP</x:v>
      </x:c>
      <x:c r="K262" t="str">
        <x:v>EVM row</x:v>
      </x:c>
      <x:c r="L262" s="133" t="str">
        <x:f>IF(D262&lt;=0,"No EVM votes",IF(E262&lt;$N$7,"Low",IF(E262&gt;$R$7,"High","Middle")))</x:f>
        <x:v>Low</x:v>
      </x:c>
      <x:c r="M262" s="133" t="str">
        <x:f>IF(D262&lt;=0,"No EVM votes",IF(H262&lt;-20%,"Large deficit",IF(H262&lt;-5%,"Moderate deficit",IF(H262&lt;0,"Narrow deficit",IF(H262&lt;=5%,"Narrow lead/tie",IF(H262&lt;=20%,"Moderate lead","Large lead"))))))</x:f>
        <x:v>Large deficit</x:v>
      </x:c>
    </x:row>
    <x:row r="263">
      <x:c r="A263" t="n">
        <x:v>204</x:v>
      </x:c>
      <x:c r="B263" t="str">
        <x:v>PRY. SCHOOL MAKSOODPUR R.NO. 1</x:v>
      </x:c>
      <x:c r="C263" s="83" t="n">
        <x:f>'2017 Form20'!H212</x:f>
        <x:v>11</x:v>
      </x:c>
      <x:c r="D263" s="83" t="n">
        <x:f>'2017 Form20'!D212</x:f>
        <x:v>336</x:v>
      </x:c>
      <x:c r="E263" s="50" t="n">
        <x:f>'2017 Form20'!P212</x:f>
        <x:v>0.03273809523809524</x:v>
      </x:c>
      <x:c r="F263" t="n">
        <x:f>'2017 Form20'!Q212</x:f>
        <x:v>207</x:v>
      </x:c>
      <x:c r="G263" t="n">
        <x:f>'2017 Form20'!R212</x:f>
        <x:v>-196</x:v>
      </x:c>
      <x:c r="H263" s="52" t="n">
        <x:f>'2017 Form20'!S212</x:f>
        <x:v>-0.5833333333333334</x:v>
      </x:c>
      <x:c r="I263" t="str">
        <x:v>Dhirendra Singh</x:v>
      </x:c>
      <x:c r="J263" t="str">
        <x:v>BJP</x:v>
      </x:c>
      <x:c r="K263" t="str">
        <x:v>EVM row</x:v>
      </x:c>
      <x:c r="L263" s="133" t="str">
        <x:f>IF(D263&lt;=0,"No EVM votes",IF(E263&lt;$N$7,"Low",IF(E263&gt;$R$7,"High","Middle")))</x:f>
        <x:v>Middle</x:v>
      </x:c>
      <x:c r="M263" s="133" t="str">
        <x:f>IF(D263&lt;=0,"No EVM votes",IF(H263&lt;-20%,"Large deficit",IF(H263&lt;-5%,"Moderate deficit",IF(H263&lt;0,"Narrow deficit",IF(H263&lt;=5%,"Narrow lead/tie",IF(H263&lt;=20%,"Moderate lead","Large lead"))))))</x:f>
        <x:v>Large deficit</x:v>
      </x:c>
    </x:row>
    <x:row r="264">
      <x:c r="A264" t="n">
        <x:v>205</x:v>
      </x:c>
      <x:c r="B264" t="str">
        <x:v>PRY. SCHOOL MYANA R.NO. 1</x:v>
      </x:c>
      <x:c r="C264" s="83" t="n">
        <x:f>'2017 Form20'!H213</x:f>
        <x:v>11</x:v>
      </x:c>
      <x:c r="D264" s="83" t="n">
        <x:f>'2017 Form20'!D213</x:f>
        <x:v>913</x:v>
      </x:c>
      <x:c r="E264" s="50" t="n">
        <x:f>'2017 Form20'!P213</x:f>
        <x:v>0.012048192771084338</x:v>
      </x:c>
      <x:c r="F264" t="n">
        <x:f>'2017 Form20'!Q213</x:f>
        <x:v>573</x:v>
      </x:c>
      <x:c r="G264" t="n">
        <x:f>'2017 Form20'!R213</x:f>
        <x:v>-562</x:v>
      </x:c>
      <x:c r="H264" s="52" t="n">
        <x:f>'2017 Form20'!S213</x:f>
        <x:v>-0.615553121577218</x:v>
      </x:c>
      <x:c r="I264" t="str">
        <x:v>Dhirendra Singh</x:v>
      </x:c>
      <x:c r="J264" t="str">
        <x:v>BJP</x:v>
      </x:c>
      <x:c r="K264" t="str">
        <x:v>EVM row</x:v>
      </x:c>
      <x:c r="L264" s="133" t="str">
        <x:f>IF(D264&lt;=0,"No EVM votes",IF(E264&lt;$N$7,"Low",IF(E264&gt;$R$7,"High","Middle")))</x:f>
        <x:v>Low</x:v>
      </x:c>
      <x:c r="M264" s="133" t="str">
        <x:f>IF(D264&lt;=0,"No EVM votes",IF(H264&lt;-20%,"Large deficit",IF(H264&lt;-5%,"Moderate deficit",IF(H264&lt;0,"Narrow deficit",IF(H264&lt;=5%,"Narrow lead/tie",IF(H264&lt;=20%,"Moderate lead","Large lead"))))))</x:f>
        <x:v>Large deficit</x:v>
      </x:c>
    </x:row>
    <x:row r="265">
      <x:c r="A265" t="n">
        <x:v>206</x:v>
      </x:c>
      <x:c r="B265" t="str">
        <x:v>PRY. SCHOOL KALUPURA R.NO. 1</x:v>
      </x:c>
      <x:c r="C265" s="83" t="n">
        <x:f>'2017 Form20'!H214</x:f>
        <x:v>52</x:v>
      </x:c>
      <x:c r="D265" s="83" t="n">
        <x:f>'2017 Form20'!D214</x:f>
        <x:v>787</x:v>
      </x:c>
      <x:c r="E265" s="50" t="n">
        <x:f>'2017 Form20'!P214</x:f>
        <x:v>0.06607369758576874</x:v>
      </x:c>
      <x:c r="F265" t="n">
        <x:f>'2017 Form20'!Q214</x:f>
        <x:v>487</x:v>
      </x:c>
      <x:c r="G265" t="n">
        <x:f>'2017 Form20'!R214</x:f>
        <x:v>-435</x:v>
      </x:c>
      <x:c r="H265" s="52" t="n">
        <x:f>'2017 Form20'!S214</x:f>
        <x:v>-0.5527318932655655</x:v>
      </x:c>
      <x:c r="I265" t="str">
        <x:v>Dhirendra Singh</x:v>
      </x:c>
      <x:c r="J265" t="str">
        <x:v>BJP</x:v>
      </x:c>
      <x:c r="K265" t="str">
        <x:v>EVM row</x:v>
      </x:c>
      <x:c r="L265" s="133" t="str">
        <x:f>IF(D265&lt;=0,"No EVM votes",IF(E265&lt;$N$7,"Low",IF(E265&gt;$R$7,"High","Middle")))</x:f>
        <x:v>Middle</x:v>
      </x:c>
      <x:c r="M265" s="133" t="str">
        <x:f>IF(D265&lt;=0,"No EVM votes",IF(H265&lt;-20%,"Large deficit",IF(H265&lt;-5%,"Moderate deficit",IF(H265&lt;0,"Narrow deficit",IF(H265&lt;=5%,"Narrow lead/tie",IF(H265&lt;=20%,"Moderate lead","Large lead"))))))</x:f>
        <x:v>Large deficit</x:v>
      </x:c>
    </x:row>
    <x:row r="266">
      <x:c r="A266" t="n">
        <x:v>207</x:v>
      </x:c>
      <x:c r="B266" t="str">
        <x:v>PRY. SCHOOL KALUPURA R.NO. 2</x:v>
      </x:c>
      <x:c r="C266" s="83" t="n">
        <x:f>'2017 Form20'!H215</x:f>
        <x:v>56</x:v>
      </x:c>
      <x:c r="D266" s="83" t="n">
        <x:f>'2017 Form20'!D215</x:f>
        <x:v>521</x:v>
      </x:c>
      <x:c r="E266" s="50" t="n">
        <x:f>'2017 Form20'!P215</x:f>
        <x:v>0.10748560460652591</x:v>
      </x:c>
      <x:c r="F266" t="n">
        <x:f>'2017 Form20'!Q215</x:f>
        <x:v>208</x:v>
      </x:c>
      <x:c r="G266" t="n">
        <x:f>'2017 Form20'!R215</x:f>
        <x:v>-152</x:v>
      </x:c>
      <x:c r="H266" s="52" t="n">
        <x:f>'2017 Form20'!S215</x:f>
        <x:v>-0.29174664107485604</x:v>
      </x:c>
      <x:c r="I266" t="str">
        <x:v>Vedram Bhati</x:v>
      </x:c>
      <x:c r="J266" t="str">
        <x:v>BSP</x:v>
      </x:c>
      <x:c r="K266" t="str">
        <x:v>EVM row</x:v>
      </x:c>
      <x:c r="L266" s="133" t="str">
        <x:f>IF(D266&lt;=0,"No EVM votes",IF(E266&lt;$N$7,"Low",IF(E266&gt;$R$7,"High","Middle")))</x:f>
        <x:v>High</x:v>
      </x:c>
      <x:c r="M266" s="133" t="str">
        <x:f>IF(D266&lt;=0,"No EVM votes",IF(H266&lt;-20%,"Large deficit",IF(H266&lt;-5%,"Moderate deficit",IF(H266&lt;0,"Narrow deficit",IF(H266&lt;=5%,"Narrow lead/tie",IF(H266&lt;=20%,"Moderate lead","Large lead"))))))</x:f>
        <x:v>Large deficit</x:v>
      </x:c>
    </x:row>
    <x:row r="267">
      <x:c r="A267" t="n">
        <x:v>208</x:v>
      </x:c>
      <x:c r="B267" t="str">
        <x:v>PRY. SCHOOL JAUNCHANA R.NO. 1</x:v>
      </x:c>
      <x:c r="C267" s="83" t="n">
        <x:f>'2017 Form20'!H216</x:f>
        <x:v>28</x:v>
      </x:c>
      <x:c r="D267" s="83" t="n">
        <x:f>'2017 Form20'!D216</x:f>
        <x:v>660</x:v>
      </x:c>
      <x:c r="E267" s="50" t="n">
        <x:f>'2017 Form20'!P216</x:f>
        <x:v>0.04242424242424243</x:v>
      </x:c>
      <x:c r="F267" t="n">
        <x:f>'2017 Form20'!Q216</x:f>
        <x:v>365</x:v>
      </x:c>
      <x:c r="G267" t="n">
        <x:f>'2017 Form20'!R216</x:f>
        <x:v>-337</x:v>
      </x:c>
      <x:c r="H267" s="52" t="n">
        <x:f>'2017 Form20'!S216</x:f>
        <x:v>-0.5106060606060606</x:v>
      </x:c>
      <x:c r="I267" t="str">
        <x:v>Dhirendra Singh</x:v>
      </x:c>
      <x:c r="J267" t="str">
        <x:v>BJP</x:v>
      </x:c>
      <x:c r="K267" t="str">
        <x:v>EVM row</x:v>
      </x:c>
      <x:c r="L267" s="133" t="str">
        <x:f>IF(D267&lt;=0,"No EVM votes",IF(E267&lt;$N$7,"Low",IF(E267&gt;$R$7,"High","Middle")))</x:f>
        <x:v>Middle</x:v>
      </x:c>
      <x:c r="M267" s="133" t="str">
        <x:f>IF(D267&lt;=0,"No EVM votes",IF(H267&lt;-20%,"Large deficit",IF(H267&lt;-5%,"Moderate deficit",IF(H267&lt;0,"Narrow deficit",IF(H267&lt;=5%,"Narrow lead/tie",IF(H267&lt;=20%,"Moderate lead","Large lead"))))))</x:f>
        <x:v>Large deficit</x:v>
      </x:c>
    </x:row>
    <x:row r="268">
      <x:c r="A268" t="n">
        <x:v>209</x:v>
      </x:c>
      <x:c r="B268" t="str">
        <x:v>PRY. SCHOOL CHACHURA R.NO. 1</x:v>
      </x:c>
      <x:c r="C268" s="83" t="n">
        <x:f>'2017 Form20'!H217</x:f>
        <x:v>24</x:v>
      </x:c>
      <x:c r="D268" s="83" t="n">
        <x:f>'2017 Form20'!D217</x:f>
        <x:v>632</x:v>
      </x:c>
      <x:c r="E268" s="50" t="n">
        <x:f>'2017 Form20'!P217</x:f>
        <x:v>0.0379746835443038</x:v>
      </x:c>
      <x:c r="F268" t="n">
        <x:f>'2017 Form20'!Q217</x:f>
        <x:v>474</x:v>
      </x:c>
      <x:c r="G268" t="n">
        <x:f>'2017 Form20'!R217</x:f>
        <x:v>-450</x:v>
      </x:c>
      <x:c r="H268" s="52" t="n">
        <x:f>'2017 Form20'!S217</x:f>
        <x:v>-0.7120253164556962</x:v>
      </x:c>
      <x:c r="I268" t="str">
        <x:v>Vedram Bhati</x:v>
      </x:c>
      <x:c r="J268" t="str">
        <x:v>BSP</x:v>
      </x:c>
      <x:c r="K268" t="str">
        <x:v>EVM row</x:v>
      </x:c>
      <x:c r="L268" s="133" t="str">
        <x:f>IF(D268&lt;=0,"No EVM votes",IF(E268&lt;$N$7,"Low",IF(E268&gt;$R$7,"High","Middle")))</x:f>
        <x:v>Middle</x:v>
      </x:c>
      <x:c r="M268" s="133" t="str">
        <x:f>IF(D268&lt;=0,"No EVM votes",IF(H268&lt;-20%,"Large deficit",IF(H268&lt;-5%,"Moderate deficit",IF(H268&lt;0,"Narrow deficit",IF(H268&lt;=5%,"Narrow lead/tie",IF(H268&lt;=20%,"Moderate lead","Large lead"))))))</x:f>
        <x:v>Large deficit</x:v>
      </x:c>
    </x:row>
    <x:row r="269">
      <x:c r="A269" t="n">
        <x:v>210</x:v>
      </x:c>
      <x:c r="B269" t="str">
        <x:v>PRY. SCHOOL AMANULLAPUR URF MARHARA R.NO. 1</x:v>
      </x:c>
      <x:c r="C269" s="83" t="n">
        <x:f>'2017 Form20'!H218</x:f>
        <x:v>38</x:v>
      </x:c>
      <x:c r="D269" s="83" t="n">
        <x:f>'2017 Form20'!D218</x:f>
        <x:v>880</x:v>
      </x:c>
      <x:c r="E269" s="50" t="n">
        <x:f>'2017 Form20'!P218</x:f>
        <x:v>0.04318181818181818</x:v>
      </x:c>
      <x:c r="F269" t="n">
        <x:f>'2017 Form20'!Q218</x:f>
        <x:v>598</x:v>
      </x:c>
      <x:c r="G269" t="n">
        <x:f>'2017 Form20'!R218</x:f>
        <x:v>-560</x:v>
      </x:c>
      <x:c r="H269" s="52" t="n">
        <x:f>'2017 Form20'!S218</x:f>
        <x:v>-0.6363636363636364</x:v>
      </x:c>
      <x:c r="I269" t="str">
        <x:v>Dhirendra Singh</x:v>
      </x:c>
      <x:c r="J269" t="str">
        <x:v>BJP</x:v>
      </x:c>
      <x:c r="K269" t="str">
        <x:v>EVM row</x:v>
      </x:c>
      <x:c r="L269" s="133" t="str">
        <x:f>IF(D269&lt;=0,"No EVM votes",IF(E269&lt;$N$7,"Low",IF(E269&gt;$R$7,"High","Middle")))</x:f>
        <x:v>Middle</x:v>
      </x:c>
      <x:c r="M269" s="133" t="str">
        <x:f>IF(D269&lt;=0,"No EVM votes",IF(H269&lt;-20%,"Large deficit",IF(H269&lt;-5%,"Moderate deficit",IF(H269&lt;0,"Narrow deficit",IF(H269&lt;=5%,"Narrow lead/tie",IF(H269&lt;=20%,"Moderate lead","Large lead"))))))</x:f>
        <x:v>Large deficit</x:v>
      </x:c>
    </x:row>
    <x:row r="270">
      <x:c r="A270" t="n">
        <x:v>211</x:v>
      </x:c>
      <x:c r="B270" t="str">
        <x:v>PRY. SCHOOL BHIKANPUR R.NO. 1</x:v>
      </x:c>
      <x:c r="C270" s="83" t="n">
        <x:f>'2017 Form20'!H219</x:f>
        <x:v>3</x:v>
      </x:c>
      <x:c r="D270" s="83" t="n">
        <x:f>'2017 Form20'!D219</x:f>
        <x:v>566</x:v>
      </x:c>
      <x:c r="E270" s="50" t="n">
        <x:f>'2017 Form20'!P219</x:f>
        <x:v>0.00530035335689046</x:v>
      </x:c>
      <x:c r="F270" t="n">
        <x:f>'2017 Form20'!Q219</x:f>
        <x:v>290</x:v>
      </x:c>
      <x:c r="G270" t="n">
        <x:f>'2017 Form20'!R219</x:f>
        <x:v>-287</x:v>
      </x:c>
      <x:c r="H270" s="52" t="n">
        <x:f>'2017 Form20'!S219</x:f>
        <x:v>-0.5070671378091873</x:v>
      </x:c>
      <x:c r="I270" t="str">
        <x:v>Vedram Bhati</x:v>
      </x:c>
      <x:c r="J270" t="str">
        <x:v>BSP</x:v>
      </x:c>
      <x:c r="K270" t="str">
        <x:v>EVM row</x:v>
      </x:c>
      <x:c r="L270" s="133" t="str">
        <x:f>IF(D270&lt;=0,"No EVM votes",IF(E270&lt;$N$7,"Low",IF(E270&gt;$R$7,"High","Middle")))</x:f>
        <x:v>Low</x:v>
      </x:c>
      <x:c r="M270" s="133" t="str">
        <x:f>IF(D270&lt;=0,"No EVM votes",IF(H270&lt;-20%,"Large deficit",IF(H270&lt;-5%,"Moderate deficit",IF(H270&lt;0,"Narrow deficit",IF(H270&lt;=5%,"Narrow lead/tie",IF(H270&lt;=20%,"Moderate lead","Large lead"))))))</x:f>
        <x:v>Large deficit</x:v>
      </x:c>
    </x:row>
    <x:row r="271">
      <x:c r="A271" t="n">
        <x:v>212</x:v>
      </x:c>
      <x:c r="B271" t="str">
        <x:v>PRY. SCHOOL AKALPUR R.NO. 1</x:v>
      </x:c>
      <x:c r="C271" s="83" t="n">
        <x:f>'2017 Form20'!H220</x:f>
        <x:v>13</x:v>
      </x:c>
      <x:c r="D271" s="83" t="n">
        <x:f>'2017 Form20'!D220</x:f>
        <x:v>826</x:v>
      </x:c>
      <x:c r="E271" s="50" t="n">
        <x:f>'2017 Form20'!P220</x:f>
        <x:v>0.015738498789346248</x:v>
      </x:c>
      <x:c r="F271" t="n">
        <x:f>'2017 Form20'!Q220</x:f>
        <x:v>524</x:v>
      </x:c>
      <x:c r="G271" t="n">
        <x:f>'2017 Form20'!R220</x:f>
        <x:v>-511</x:v>
      </x:c>
      <x:c r="H271" s="52" t="n">
        <x:f>'2017 Form20'!S220</x:f>
        <x:v>-0.6186440677966102</x:v>
      </x:c>
      <x:c r="I271" t="str">
        <x:v>Dhirendra Singh</x:v>
      </x:c>
      <x:c r="J271" t="str">
        <x:v>BJP</x:v>
      </x:c>
      <x:c r="K271" t="str">
        <x:v>EVM row</x:v>
      </x:c>
      <x:c r="L271" s="133" t="str">
        <x:f>IF(D271&lt;=0,"No EVM votes",IF(E271&lt;$N$7,"Low",IF(E271&gt;$R$7,"High","Middle")))</x:f>
        <x:v>Low</x:v>
      </x:c>
      <x:c r="M271" s="133" t="str">
        <x:f>IF(D271&lt;=0,"No EVM votes",IF(H271&lt;-20%,"Large deficit",IF(H271&lt;-5%,"Moderate deficit",IF(H271&lt;0,"Narrow deficit",IF(H271&lt;=5%,"Narrow lead/tie",IF(H271&lt;=20%,"Moderate lead","Large lead"))))))</x:f>
        <x:v>Large deficit</x:v>
      </x:c>
    </x:row>
    <x:row r="272">
      <x:c r="A272" t="n">
        <x:v>213</x:v>
      </x:c>
      <x:c r="B272" t="str">
        <x:v>PRY. SCHOOL MUDRAH R.NO. 1</x:v>
      </x:c>
      <x:c r="C272" s="83" t="n">
        <x:f>'2017 Form20'!H221</x:f>
        <x:v>39</x:v>
      </x:c>
      <x:c r="D272" s="83" t="n">
        <x:f>'2017 Form20'!D221</x:f>
        <x:v>314</x:v>
      </x:c>
      <x:c r="E272" s="50" t="n">
        <x:f>'2017 Form20'!P221</x:f>
        <x:v>0.12420382165605096</x:v>
      </x:c>
      <x:c r="F272" t="n">
        <x:f>'2017 Form20'!Q221</x:f>
        <x:v>140</x:v>
      </x:c>
      <x:c r="G272" t="n">
        <x:f>'2017 Form20'!R221</x:f>
        <x:v>-101</x:v>
      </x:c>
      <x:c r="H272" s="52" t="n">
        <x:f>'2017 Form20'!S221</x:f>
        <x:v>-0.321656050955414</x:v>
      </x:c>
      <x:c r="I272" t="str">
        <x:v>Vedram Bhati</x:v>
      </x:c>
      <x:c r="J272" t="str">
        <x:v>BSP</x:v>
      </x:c>
      <x:c r="K272" t="str">
        <x:v>EVM row</x:v>
      </x:c>
      <x:c r="L272" s="133" t="str">
        <x:f>IF(D272&lt;=0,"No EVM votes",IF(E272&lt;$N$7,"Low",IF(E272&gt;$R$7,"High","Middle")))</x:f>
        <x:v>High</x:v>
      </x:c>
      <x:c r="M272" s="133" t="str">
        <x:f>IF(D272&lt;=0,"No EVM votes",IF(H272&lt;-20%,"Large deficit",IF(H272&lt;-5%,"Moderate deficit",IF(H272&lt;0,"Narrow deficit",IF(H272&lt;=5%,"Narrow lead/tie",IF(H272&lt;=20%,"Moderate lead","Large lead"))))))</x:f>
        <x:v>Large deficit</x:v>
      </x:c>
    </x:row>
    <x:row r="273">
      <x:c r="A273" t="n">
        <x:v>214</x:v>
      </x:c>
      <x:c r="B273" t="str">
        <x:v>PRY. SCHOOL MUDRAH R.NO. 2</x:v>
      </x:c>
      <x:c r="C273" s="83" t="n">
        <x:f>'2017 Form20'!H222</x:f>
        <x:v>13</x:v>
      </x:c>
      <x:c r="D273" s="83" t="n">
        <x:f>'2017 Form20'!D222</x:f>
        <x:v>548</x:v>
      </x:c>
      <x:c r="E273" s="50" t="n">
        <x:f>'2017 Form20'!P222</x:f>
        <x:v>0.023722627737226276</x:v>
      </x:c>
      <x:c r="F273" t="n">
        <x:f>'2017 Form20'!Q222</x:f>
        <x:v>302</x:v>
      </x:c>
      <x:c r="G273" t="n">
        <x:f>'2017 Form20'!R222</x:f>
        <x:v>-289</x:v>
      </x:c>
      <x:c r="H273" s="52" t="n">
        <x:f>'2017 Form20'!S222</x:f>
        <x:v>-0.5273722627737226</x:v>
      </x:c>
      <x:c r="I273" t="str">
        <x:v>Dhirendra Singh</x:v>
      </x:c>
      <x:c r="J273" t="str">
        <x:v>BJP</x:v>
      </x:c>
      <x:c r="K273" t="str">
        <x:v>EVM row</x:v>
      </x:c>
      <x:c r="L273" s="133" t="str">
        <x:f>IF(D273&lt;=0,"No EVM votes",IF(E273&lt;$N$7,"Low",IF(E273&gt;$R$7,"High","Middle")))</x:f>
        <x:v>Middle</x:v>
      </x:c>
      <x:c r="M273" s="133" t="str">
        <x:f>IF(D273&lt;=0,"No EVM votes",IF(H273&lt;-20%,"Large deficit",IF(H273&lt;-5%,"Moderate deficit",IF(H273&lt;0,"Narrow deficit",IF(H273&lt;=5%,"Narrow lead/tie",IF(H273&lt;=20%,"Moderate lead","Large lead"))))))</x:f>
        <x:v>Large deficit</x:v>
      </x:c>
    </x:row>
    <x:row r="274">
      <x:c r="A274" t="n">
        <x:v>215</x:v>
      </x:c>
      <x:c r="B274" t="str">
        <x:v>PRY. SCHOOL ISMAILNAGAR URF BHOYRA R.NO. 1</x:v>
      </x:c>
      <x:c r="C274" s="83" t="n">
        <x:f>'2017 Form20'!H223</x:f>
        <x:v>7</x:v>
      </x:c>
      <x:c r="D274" s="83" t="n">
        <x:f>'2017 Form20'!D223</x:f>
        <x:v>331</x:v>
      </x:c>
      <x:c r="E274" s="50" t="n">
        <x:f>'2017 Form20'!P223</x:f>
        <x:v>0.021148036253776436</x:v>
      </x:c>
      <x:c r="F274" t="n">
        <x:f>'2017 Form20'!Q223</x:f>
        <x:v>288</x:v>
      </x:c>
      <x:c r="G274" t="n">
        <x:f>'2017 Form20'!R223</x:f>
        <x:v>-281</x:v>
      </x:c>
      <x:c r="H274" s="52" t="n">
        <x:f>'2017 Form20'!S223</x:f>
        <x:v>-0.8489425981873112</x:v>
      </x:c>
      <x:c r="I274" t="str">
        <x:v>Dhirendra Singh</x:v>
      </x:c>
      <x:c r="J274" t="str">
        <x:v>BJP</x:v>
      </x:c>
      <x:c r="K274" t="str">
        <x:v>EVM row</x:v>
      </x:c>
      <x:c r="L274" s="133" t="str">
        <x:f>IF(D274&lt;=0,"No EVM votes",IF(E274&lt;$N$7,"Low",IF(E274&gt;$R$7,"High","Middle")))</x:f>
        <x:v>Middle</x:v>
      </x:c>
      <x:c r="M274" s="133" t="str">
        <x:f>IF(D274&lt;=0,"No EVM votes",IF(H274&lt;-20%,"Large deficit",IF(H274&lt;-5%,"Moderate deficit",IF(H274&lt;0,"Narrow deficit",IF(H274&lt;=5%,"Narrow lead/tie",IF(H274&lt;=20%,"Moderate lead","Large lead"))))))</x:f>
        <x:v>Large deficit</x:v>
      </x:c>
    </x:row>
    <x:row r="275">
      <x:c r="A275" t="n">
        <x:v>216</x:v>
      </x:c>
      <x:c r="B275" t="str">
        <x:v>PRY. SCHOOL KANPUR R.NO. 1</x:v>
      </x:c>
      <x:c r="C275" s="83" t="n">
        <x:f>'2017 Form20'!H224</x:f>
        <x:v>5</x:v>
      </x:c>
      <x:c r="D275" s="83" t="n">
        <x:f>'2017 Form20'!D224</x:f>
        <x:v>822</x:v>
      </x:c>
      <x:c r="E275" s="50" t="n">
        <x:f>'2017 Form20'!P224</x:f>
        <x:v>0.006082725060827251</x:v>
      </x:c>
      <x:c r="F275" t="n">
        <x:f>'2017 Form20'!Q224</x:f>
        <x:v>370</x:v>
      </x:c>
      <x:c r="G275" t="n">
        <x:f>'2017 Form20'!R224</x:f>
        <x:v>-365</x:v>
      </x:c>
      <x:c r="H275" s="52" t="n">
        <x:f>'2017 Form20'!S224</x:f>
        <x:v>-0.4440389294403893</x:v>
      </x:c>
      <x:c r="I275" t="str">
        <x:v>Dhirendra Singh</x:v>
      </x:c>
      <x:c r="J275" t="str">
        <x:v>BJP</x:v>
      </x:c>
      <x:c r="K275" t="str">
        <x:v>EVM row</x:v>
      </x:c>
      <x:c r="L275" s="133" t="str">
        <x:f>IF(D275&lt;=0,"No EVM votes",IF(E275&lt;$N$7,"Low",IF(E275&gt;$R$7,"High","Middle")))</x:f>
        <x:v>Low</x:v>
      </x:c>
      <x:c r="M275" s="133" t="str">
        <x:f>IF(D275&lt;=0,"No EVM votes",IF(H275&lt;-20%,"Large deficit",IF(H275&lt;-5%,"Moderate deficit",IF(H275&lt;0,"Narrow deficit",IF(H275&lt;=5%,"Narrow lead/tie",IF(H275&lt;=20%,"Moderate lead","Large lead"))))))</x:f>
        <x:v>Large deficit</x:v>
      </x:c>
    </x:row>
    <x:row r="276">
      <x:c r="A276" t="n">
        <x:v>217</x:v>
      </x:c>
      <x:c r="B276" t="str">
        <x:v>PRY. SCHOOL NAGLA SHAHPUR R.NO. 1</x:v>
      </x:c>
      <x:c r="C276" s="83" t="n">
        <x:f>'2017 Form20'!H225</x:f>
        <x:v>21</x:v>
      </x:c>
      <x:c r="D276" s="83" t="n">
        <x:f>'2017 Form20'!D225</x:f>
        <x:v>501</x:v>
      </x:c>
      <x:c r="E276" s="50" t="n">
        <x:f>'2017 Form20'!P225</x:f>
        <x:v>0.041916167664670656</x:v>
      </x:c>
      <x:c r="F276" t="n">
        <x:f>'2017 Form20'!Q225</x:f>
        <x:v>273</x:v>
      </x:c>
      <x:c r="G276" t="n">
        <x:f>'2017 Form20'!R225</x:f>
        <x:v>-252</x:v>
      </x:c>
      <x:c r="H276" s="52" t="n">
        <x:f>'2017 Form20'!S225</x:f>
        <x:v>-0.5029940119760479</x:v>
      </x:c>
      <x:c r="I276" t="str">
        <x:v>Dhirendra Singh</x:v>
      </x:c>
      <x:c r="J276" t="str">
        <x:v>BJP</x:v>
      </x:c>
      <x:c r="K276" t="str">
        <x:v>EVM row</x:v>
      </x:c>
      <x:c r="L276" s="133" t="str">
        <x:f>IF(D276&lt;=0,"No EVM votes",IF(E276&lt;$N$7,"Low",IF(E276&gt;$R$7,"High","Middle")))</x:f>
        <x:v>Middle</x:v>
      </x:c>
      <x:c r="M276" s="133" t="str">
        <x:f>IF(D276&lt;=0,"No EVM votes",IF(H276&lt;-20%,"Large deficit",IF(H276&lt;-5%,"Moderate deficit",IF(H276&lt;0,"Narrow deficit",IF(H276&lt;=5%,"Narrow lead/tie",IF(H276&lt;=20%,"Moderate lead","Large lead"))))))</x:f>
        <x:v>Large deficit</x:v>
      </x:c>
    </x:row>
    <x:row r="277">
      <x:c r="A277" t="n">
        <x:v>218</x:v>
      </x:c>
      <x:c r="B277" t="str">
        <x:v>PRY. SCHOOL BIRAMPUR R.NO. 1</x:v>
      </x:c>
      <x:c r="C277" s="83" t="n">
        <x:f>'2017 Form20'!H226</x:f>
        <x:v>7</x:v>
      </x:c>
      <x:c r="D277" s="83" t="n">
        <x:f>'2017 Form20'!D226</x:f>
        <x:v>566</x:v>
      </x:c>
      <x:c r="E277" s="50" t="n">
        <x:f>'2017 Form20'!P226</x:f>
        <x:v>0.012367491166077738</x:v>
      </x:c>
      <x:c r="F277" t="n">
        <x:f>'2017 Form20'!Q226</x:f>
        <x:v>337</x:v>
      </x:c>
      <x:c r="G277" t="n">
        <x:f>'2017 Form20'!R226</x:f>
        <x:v>-330</x:v>
      </x:c>
      <x:c r="H277" s="52" t="n">
        <x:f>'2017 Form20'!S226</x:f>
        <x:v>-0.5830388692579506</x:v>
      </x:c>
      <x:c r="I277" t="str">
        <x:v>Vedram Bhati</x:v>
      </x:c>
      <x:c r="J277" t="str">
        <x:v>BSP</x:v>
      </x:c>
      <x:c r="K277" t="str">
        <x:v>EVM row</x:v>
      </x:c>
      <x:c r="L277" s="133" t="str">
        <x:f>IF(D277&lt;=0,"No EVM votes",IF(E277&lt;$N$7,"Low",IF(E277&gt;$R$7,"High","Middle")))</x:f>
        <x:v>Low</x:v>
      </x:c>
      <x:c r="M277" s="133" t="str">
        <x:f>IF(D277&lt;=0,"No EVM votes",IF(H277&lt;-20%,"Large deficit",IF(H277&lt;-5%,"Moderate deficit",IF(H277&lt;0,"Narrow deficit",IF(H277&lt;=5%,"Narrow lead/tie",IF(H277&lt;=20%,"Moderate lead","Large lead"))))))</x:f>
        <x:v>Large deficit</x:v>
      </x:c>
    </x:row>
    <x:row r="278">
      <x:c r="A278" t="n">
        <x:v>219</x:v>
      </x:c>
      <x:c r="B278" t="str">
        <x:v>PRY. SCHOOL BIRAMPUR R.NO. 2</x:v>
      </x:c>
      <x:c r="C278" s="83" t="n">
        <x:f>'2017 Form20'!H227</x:f>
        <x:v>4</x:v>
      </x:c>
      <x:c r="D278" s="83" t="n">
        <x:f>'2017 Form20'!D227</x:f>
        <x:v>549</x:v>
      </x:c>
      <x:c r="E278" s="50" t="n">
        <x:f>'2017 Form20'!P227</x:f>
        <x:v>0.007285974499089253</x:v>
      </x:c>
      <x:c r="F278" t="n">
        <x:f>'2017 Form20'!Q227</x:f>
        <x:v>300</x:v>
      </x:c>
      <x:c r="G278" t="n">
        <x:f>'2017 Form20'!R227</x:f>
        <x:v>-296</x:v>
      </x:c>
      <x:c r="H278" s="52" t="n">
        <x:f>'2017 Form20'!S227</x:f>
        <x:v>-0.5391621129326047</x:v>
      </x:c>
      <x:c r="I278" t="str">
        <x:v>Dhirendra Singh</x:v>
      </x:c>
      <x:c r="J278" t="str">
        <x:v>BJP</x:v>
      </x:c>
      <x:c r="K278" t="str">
        <x:v>EVM row</x:v>
      </x:c>
      <x:c r="L278" s="133" t="str">
        <x:f>IF(D278&lt;=0,"No EVM votes",IF(E278&lt;$N$7,"Low",IF(E278&gt;$R$7,"High","Middle")))</x:f>
        <x:v>Low</x:v>
      </x:c>
      <x:c r="M278" s="133" t="str">
        <x:f>IF(D278&lt;=0,"No EVM votes",IF(H278&lt;-20%,"Large deficit",IF(H278&lt;-5%,"Moderate deficit",IF(H278&lt;0,"Narrow deficit",IF(H278&lt;=5%,"Narrow lead/tie",IF(H278&lt;=20%,"Moderate lead","Large lead"))))))</x:f>
        <x:v>Large deficit</x:v>
      </x:c>
    </x:row>
    <x:row r="279">
      <x:c r="A279" t="n">
        <x:v>220</x:v>
      </x:c>
      <x:c r="B279" t="str">
        <x:v>PRY. SCHOOL CHAKBIRAMPUR R.NO. 1</x:v>
      </x:c>
      <x:c r="C279" s="83" t="n">
        <x:f>'2017 Form20'!H228</x:f>
        <x:v>7</x:v>
      </x:c>
      <x:c r="D279" s="83" t="n">
        <x:f>'2017 Form20'!D228</x:f>
        <x:v>793</x:v>
      </x:c>
      <x:c r="E279" s="50" t="n">
        <x:f>'2017 Form20'!P228</x:f>
        <x:v>0.008827238335435058</x:v>
      </x:c>
      <x:c r="F279" t="n">
        <x:f>'2017 Form20'!Q228</x:f>
        <x:v>469</x:v>
      </x:c>
      <x:c r="G279" t="n">
        <x:f>'2017 Form20'!R228</x:f>
        <x:v>-462</x:v>
      </x:c>
      <x:c r="H279" s="52" t="n">
        <x:f>'2017 Form20'!S228</x:f>
        <x:v>-0.5825977301387137</x:v>
      </x:c>
      <x:c r="I279" t="str">
        <x:v>Dhirendra Singh</x:v>
      </x:c>
      <x:c r="J279" t="str">
        <x:v>BJP</x:v>
      </x:c>
      <x:c r="K279" t="str">
        <x:v>EVM row</x:v>
      </x:c>
      <x:c r="L279" s="133" t="str">
        <x:f>IF(D279&lt;=0,"No EVM votes",IF(E279&lt;$N$7,"Low",IF(E279&gt;$R$7,"High","Middle")))</x:f>
        <x:v>Low</x:v>
      </x:c>
      <x:c r="M279" s="133" t="str">
        <x:f>IF(D279&lt;=0,"No EVM votes",IF(H279&lt;-20%,"Large deficit",IF(H279&lt;-5%,"Moderate deficit",IF(H279&lt;0,"Narrow deficit",IF(H279&lt;=5%,"Narrow lead/tie",IF(H279&lt;=20%,"Moderate lead","Large lead"))))))</x:f>
        <x:v>Large deficit</x:v>
      </x:c>
    </x:row>
    <x:row r="280">
      <x:c r="A280" t="n">
        <x:v>221</x:v>
      </x:c>
      <x:c r="B280" t="str">
        <x:v>PRY. SCHOOL MURADGARHI R.NO. 1</x:v>
      </x:c>
      <x:c r="C280" s="83" t="n">
        <x:f>'2017 Form20'!H229</x:f>
        <x:v>7</x:v>
      </x:c>
      <x:c r="D280" s="83" t="n">
        <x:f>'2017 Form20'!D229</x:f>
        <x:v>998</x:v>
      </x:c>
      <x:c r="E280" s="50" t="n">
        <x:f>'2017 Form20'!P229</x:f>
        <x:v>0.0070140280561122245</x:v>
      </x:c>
      <x:c r="F280" t="n">
        <x:f>'2017 Form20'!Q229</x:f>
        <x:v>958</x:v>
      </x:c>
      <x:c r="G280" t="n">
        <x:f>'2017 Form20'!R229</x:f>
        <x:v>-951</x:v>
      </x:c>
      <x:c r="H280" s="52" t="n">
        <x:f>'2017 Form20'!S229</x:f>
        <x:v>-0.9529058116232465</x:v>
      </x:c>
      <x:c r="I280" t="str">
        <x:v>Dhirendra Singh</x:v>
      </x:c>
      <x:c r="J280" t="str">
        <x:v>BJP</x:v>
      </x:c>
      <x:c r="K280" t="str">
        <x:v>EVM row</x:v>
      </x:c>
      <x:c r="L280" s="133" t="str">
        <x:f>IF(D280&lt;=0,"No EVM votes",IF(E280&lt;$N$7,"Low",IF(E280&gt;$R$7,"High","Middle")))</x:f>
        <x:v>Low</x:v>
      </x:c>
      <x:c r="M280" s="133" t="str">
        <x:f>IF(D280&lt;=0,"No EVM votes",IF(H280&lt;-20%,"Large deficit",IF(H280&lt;-5%,"Moderate deficit",IF(H280&lt;0,"Narrow deficit",IF(H280&lt;=5%,"Narrow lead/tie",IF(H280&lt;=20%,"Moderate lead","Large lead"))))))</x:f>
        <x:v>Large deficit</x:v>
      </x:c>
    </x:row>
    <x:row r="281">
      <x:c r="A281" t="n">
        <x:v>222</x:v>
      </x:c>
      <x:c r="B281" t="str">
        <x:v>PRY. SCHOOL NAGLA BHATONA MAZRA KARAULI BANGAR R.NO. 1</x:v>
      </x:c>
      <x:c r="C281" s="83" t="n">
        <x:f>'2017 Form20'!H230</x:f>
        <x:v>5</x:v>
      </x:c>
      <x:c r="D281" s="83" t="n">
        <x:f>'2017 Form20'!D230</x:f>
        <x:v>580</x:v>
      </x:c>
      <x:c r="E281" s="50" t="n">
        <x:f>'2017 Form20'!P230</x:f>
        <x:v>0.008620689655172414</x:v>
      </x:c>
      <x:c r="F281" t="n">
        <x:f>'2017 Form20'!Q230</x:f>
        <x:v>469</x:v>
      </x:c>
      <x:c r="G281" t="n">
        <x:f>'2017 Form20'!R230</x:f>
        <x:v>-464</x:v>
      </x:c>
      <x:c r="H281" s="52" t="n">
        <x:f>'2017 Form20'!S230</x:f>
        <x:v>-0.8</x:v>
      </x:c>
      <x:c r="I281" t="str">
        <x:v>Dhirendra Singh</x:v>
      </x:c>
      <x:c r="J281" t="str">
        <x:v>BJP</x:v>
      </x:c>
      <x:c r="K281" t="str">
        <x:v>EVM row</x:v>
      </x:c>
      <x:c r="L281" s="133" t="str">
        <x:f>IF(D281&lt;=0,"No EVM votes",IF(E281&lt;$N$7,"Low",IF(E281&gt;$R$7,"High","Middle")))</x:f>
        <x:v>Low</x:v>
      </x:c>
      <x:c r="M281" s="133" t="str">
        <x:f>IF(D281&lt;=0,"No EVM votes",IF(H281&lt;-20%,"Large deficit",IF(H281&lt;-5%,"Moderate deficit",IF(H281&lt;0,"Narrow deficit",IF(H281&lt;=5%,"Narrow lead/tie",IF(H281&lt;=20%,"Moderate lead","Large lead"))))))</x:f>
        <x:v>Large deficit</x:v>
      </x:c>
    </x:row>
    <x:row r="282">
      <x:c r="A282" t="n">
        <x:v>223</x:v>
      </x:c>
      <x:c r="B282" t="str">
        <x:v>PRY. SCHOOL NAGLA HUKAM SINGH MAZRA KARAULI BANGAR R.NO. 1</x:v>
      </x:c>
      <x:c r="C282" s="83" t="n">
        <x:f>'2017 Form20'!H231</x:f>
        <x:v>15</x:v>
      </x:c>
      <x:c r="D282" s="83" t="n">
        <x:f>'2017 Form20'!D231</x:f>
        <x:v>645</x:v>
      </x:c>
      <x:c r="E282" s="50" t="n">
        <x:f>'2017 Form20'!P231</x:f>
        <x:v>0.023255813953488372</x:v>
      </x:c>
      <x:c r="F282" t="n">
        <x:f>'2017 Form20'!Q231</x:f>
        <x:v>520</x:v>
      </x:c>
      <x:c r="G282" t="n">
        <x:f>'2017 Form20'!R231</x:f>
        <x:v>-505</x:v>
      </x:c>
      <x:c r="H282" s="52" t="n">
        <x:f>'2017 Form20'!S231</x:f>
        <x:v>-0.7829457364341085</x:v>
      </x:c>
      <x:c r="I282" t="str">
        <x:v>Dhirendra Singh</x:v>
      </x:c>
      <x:c r="J282" t="str">
        <x:v>BJP</x:v>
      </x:c>
      <x:c r="K282" t="str">
        <x:v>EVM row</x:v>
      </x:c>
      <x:c r="L282" s="133" t="str">
        <x:f>IF(D282&lt;=0,"No EVM votes",IF(E282&lt;$N$7,"Low",IF(E282&gt;$R$7,"High","Middle")))</x:f>
        <x:v>Middle</x:v>
      </x:c>
      <x:c r="M282" s="133" t="str">
        <x:f>IF(D282&lt;=0,"No EVM votes",IF(H282&lt;-20%,"Large deficit",IF(H282&lt;-5%,"Moderate deficit",IF(H282&lt;0,"Narrow deficit",IF(H282&lt;=5%,"Narrow lead/tie",IF(H282&lt;=20%,"Moderate lead","Large lead"))))))</x:f>
        <x:v>Large deficit</x:v>
      </x:c>
    </x:row>
    <x:row r="283">
      <x:c r="A283" t="n">
        <x:v>224</x:v>
      </x:c>
      <x:c r="B283" t="str">
        <x:v>PRY. SCHOOL NAGLA HUKAM SINGH MAZRA KARAULI BANGAR R.NO. 2</x:v>
      </x:c>
      <x:c r="C283" s="83" t="n">
        <x:f>'2017 Form20'!H232</x:f>
        <x:v>1</x:v>
      </x:c>
      <x:c r="D283" s="83" t="n">
        <x:f>'2017 Form20'!D232</x:f>
        <x:v>466</x:v>
      </x:c>
      <x:c r="E283" s="50" t="n">
        <x:f>'2017 Form20'!P232</x:f>
        <x:v>0.002145922746781116</x:v>
      </x:c>
      <x:c r="F283" t="n">
        <x:f>'2017 Form20'!Q232</x:f>
        <x:v>347</x:v>
      </x:c>
      <x:c r="G283" t="n">
        <x:f>'2017 Form20'!R232</x:f>
        <x:v>-346</x:v>
      </x:c>
      <x:c r="H283" s="52" t="n">
        <x:f>'2017 Form20'!S232</x:f>
        <x:v>-0.7424892703862661</x:v>
      </x:c>
      <x:c r="I283" t="str">
        <x:v>Vedram Bhati</x:v>
      </x:c>
      <x:c r="J283" t="str">
        <x:v>BSP</x:v>
      </x:c>
      <x:c r="K283" t="str">
        <x:v>EVM row</x:v>
      </x:c>
      <x:c r="L283" s="133" t="str">
        <x:f>IF(D283&lt;=0,"No EVM votes",IF(E283&lt;$N$7,"Low",IF(E283&gt;$R$7,"High","Middle")))</x:f>
        <x:v>Low</x:v>
      </x:c>
      <x:c r="M283" s="133" t="str">
        <x:f>IF(D283&lt;=0,"No EVM votes",IF(H283&lt;-20%,"Large deficit",IF(H283&lt;-5%,"Moderate deficit",IF(H283&lt;0,"Narrow deficit",IF(H283&lt;=5%,"Narrow lead/tie",IF(H283&lt;=20%,"Moderate lead","Large lead"))))))</x:f>
        <x:v>Large deficit</x:v>
      </x:c>
    </x:row>
    <x:row r="284">
      <x:c r="A284" t="n">
        <x:v>225</x:v>
      </x:c>
      <x:c r="B284" t="str">
        <x:v>PRY. SCHOOL NAGLA KANCHAN MAZRA KARAULI BANGAR R.NO. 1</x:v>
      </x:c>
      <x:c r="C284" s="83" t="n">
        <x:f>'2017 Form20'!H233</x:f>
        <x:v>14</x:v>
      </x:c>
      <x:c r="D284" s="83" t="n">
        <x:f>'2017 Form20'!D233</x:f>
        <x:v>605</x:v>
      </x:c>
      <x:c r="E284" s="50" t="n">
        <x:f>'2017 Form20'!P233</x:f>
        <x:v>0.023140495867768594</x:v>
      </x:c>
      <x:c r="F284" t="n">
        <x:f>'2017 Form20'!Q233</x:f>
        <x:v>499</x:v>
      </x:c>
      <x:c r="G284" t="n">
        <x:f>'2017 Form20'!R233</x:f>
        <x:v>-485</x:v>
      </x:c>
      <x:c r="H284" s="52" t="n">
        <x:f>'2017 Form20'!S233</x:f>
        <x:v>-0.8016528925619835</x:v>
      </x:c>
      <x:c r="I284" t="str">
        <x:v>Dhirendra Singh</x:v>
      </x:c>
      <x:c r="J284" t="str">
        <x:v>BJP</x:v>
      </x:c>
      <x:c r="K284" t="str">
        <x:v>EVM row</x:v>
      </x:c>
      <x:c r="L284" s="133" t="str">
        <x:f>IF(D284&lt;=0,"No EVM votes",IF(E284&lt;$N$7,"Low",IF(E284&gt;$R$7,"High","Middle")))</x:f>
        <x:v>Middle</x:v>
      </x:c>
      <x:c r="M284" s="133" t="str">
        <x:f>IF(D284&lt;=0,"No EVM votes",IF(H284&lt;-20%,"Large deficit",IF(H284&lt;-5%,"Moderate deficit",IF(H284&lt;0,"Narrow deficit",IF(H284&lt;=5%,"Narrow lead/tie",IF(H284&lt;=20%,"Moderate lead","Large lead"))))))</x:f>
        <x:v>Large deficit</x:v>
      </x:c>
    </x:row>
    <x:row r="285">
      <x:c r="A285" t="n">
        <x:v>226</x:v>
      </x:c>
      <x:c r="B285" t="str">
        <x:v>PRY. SCHOOL NAGLA CHANDAN MAZRA KARAULI BANGAR R.NO. 1</x:v>
      </x:c>
      <x:c r="C285" s="83" t="n">
        <x:f>'2017 Form20'!H234</x:f>
        <x:v>5</x:v>
      </x:c>
      <x:c r="D285" s="83" t="n">
        <x:f>'2017 Form20'!D234</x:f>
        <x:v>432</x:v>
      </x:c>
      <x:c r="E285" s="50" t="n">
        <x:f>'2017 Form20'!P234</x:f>
        <x:v>0.011574074074074073</x:v>
      </x:c>
      <x:c r="F285" t="n">
        <x:f>'2017 Form20'!Q234</x:f>
        <x:v>335</x:v>
      </x:c>
      <x:c r="G285" t="n">
        <x:f>'2017 Form20'!R234</x:f>
        <x:v>-330</x:v>
      </x:c>
      <x:c r="H285" s="52" t="n">
        <x:f>'2017 Form20'!S234</x:f>
        <x:v>-0.7638888888888888</x:v>
      </x:c>
      <x:c r="I285" t="str">
        <x:v>Dhirendra Singh</x:v>
      </x:c>
      <x:c r="J285" t="str">
        <x:v>BJP</x:v>
      </x:c>
      <x:c r="K285" t="str">
        <x:v>EVM row</x:v>
      </x:c>
      <x:c r="L285" s="133" t="str">
        <x:f>IF(D285&lt;=0,"No EVM votes",IF(E285&lt;$N$7,"Low",IF(E285&gt;$R$7,"High","Middle")))</x:f>
        <x:v>Low</x:v>
      </x:c>
      <x:c r="M285" s="133" t="str">
        <x:f>IF(D285&lt;=0,"No EVM votes",IF(H285&lt;-20%,"Large deficit",IF(H285&lt;-5%,"Moderate deficit",IF(H285&lt;0,"Narrow deficit",IF(H285&lt;=5%,"Narrow lead/tie",IF(H285&lt;=20%,"Moderate lead","Large lead"))))))</x:f>
        <x:v>Large deficit</x:v>
      </x:c>
    </x:row>
    <x:row r="286">
      <x:c r="A286" t="n">
        <x:v>227</x:v>
      </x:c>
      <x:c r="B286" t="str">
        <x:v>J. H. SCHOOL FALAINDA BANGAR R.NO. 1</x:v>
      </x:c>
      <x:c r="C286" s="83" t="n">
        <x:f>'2017 Form20'!H235</x:f>
        <x:v>2</x:v>
      </x:c>
      <x:c r="D286" s="83" t="n">
        <x:f>'2017 Form20'!D235</x:f>
        <x:v>666</x:v>
      </x:c>
      <x:c r="E286" s="50" t="n">
        <x:f>'2017 Form20'!P235</x:f>
        <x:v>0.003003003003003003</x:v>
      </x:c>
      <x:c r="F286" t="n">
        <x:f>'2017 Form20'!Q235</x:f>
        <x:v>378</x:v>
      </x:c>
      <x:c r="G286" t="n">
        <x:f>'2017 Form20'!R235</x:f>
        <x:v>-376</x:v>
      </x:c>
      <x:c r="H286" s="52" t="n">
        <x:f>'2017 Form20'!S235</x:f>
        <x:v>-0.5645645645645646</x:v>
      </x:c>
      <x:c r="I286" t="str">
        <x:v>Vedram Bhati</x:v>
      </x:c>
      <x:c r="J286" t="str">
        <x:v>BSP</x:v>
      </x:c>
      <x:c r="K286" t="str">
        <x:v>EVM row</x:v>
      </x:c>
      <x:c r="L286" s="133" t="str">
        <x:f>IF(D286&lt;=0,"No EVM votes",IF(E286&lt;$N$7,"Low",IF(E286&gt;$R$7,"High","Middle")))</x:f>
        <x:v>Low</x:v>
      </x:c>
      <x:c r="M286" s="133" t="str">
        <x:f>IF(D286&lt;=0,"No EVM votes",IF(H286&lt;-20%,"Large deficit",IF(H286&lt;-5%,"Moderate deficit",IF(H286&lt;0,"Narrow deficit",IF(H286&lt;=5%,"Narrow lead/tie",IF(H286&lt;=20%,"Moderate lead","Large lead"))))))</x:f>
        <x:v>Large deficit</x:v>
      </x:c>
    </x:row>
    <x:row r="287">
      <x:c r="A287" t="n">
        <x:v>228</x:v>
      </x:c>
      <x:c r="B287" t="str">
        <x:v>J. H. SCHOOL FALAINDA BANGAR R.NO. 2</x:v>
      </x:c>
      <x:c r="C287" s="83" t="n">
        <x:f>'2017 Form20'!H236</x:f>
        <x:v>5</x:v>
      </x:c>
      <x:c r="D287" s="83" t="n">
        <x:f>'2017 Form20'!D236</x:f>
        <x:v>582</x:v>
      </x:c>
      <x:c r="E287" s="50" t="n">
        <x:f>'2017 Form20'!P236</x:f>
        <x:v>0.00859106529209622</x:v>
      </x:c>
      <x:c r="F287" t="n">
        <x:f>'2017 Form20'!Q236</x:f>
        <x:v>503</x:v>
      </x:c>
      <x:c r="G287" t="n">
        <x:f>'2017 Form20'!R236</x:f>
        <x:v>-498</x:v>
      </x:c>
      <x:c r="H287" s="52" t="n">
        <x:f>'2017 Form20'!S236</x:f>
        <x:v>-0.8556701030927835</x:v>
      </x:c>
      <x:c r="I287" t="str">
        <x:v>Dhirendra Singh</x:v>
      </x:c>
      <x:c r="J287" t="str">
        <x:v>BJP</x:v>
      </x:c>
      <x:c r="K287" t="str">
        <x:v>EVM row</x:v>
      </x:c>
      <x:c r="L287" s="133" t="str">
        <x:f>IF(D287&lt;=0,"No EVM votes",IF(E287&lt;$N$7,"Low",IF(E287&gt;$R$7,"High","Middle")))</x:f>
        <x:v>Low</x:v>
      </x:c>
      <x:c r="M287" s="133" t="str">
        <x:f>IF(D287&lt;=0,"No EVM votes",IF(H287&lt;-20%,"Large deficit",IF(H287&lt;-5%,"Moderate deficit",IF(H287&lt;0,"Narrow deficit",IF(H287&lt;=5%,"Narrow lead/tie",IF(H287&lt;=20%,"Moderate lead","Large lead"))))))</x:f>
        <x:v>Large deficit</x:v>
      </x:c>
    </x:row>
    <x:row r="288">
      <x:c r="A288" t="n">
        <x:v>229</x:v>
      </x:c>
      <x:c r="B288" t="str">
        <x:v>J. H. SCHOOL FALAINDA BANGAR R.NO. 3</x:v>
      </x:c>
      <x:c r="C288" s="83" t="n">
        <x:f>'2017 Form20'!H237</x:f>
        <x:v>3</x:v>
      </x:c>
      <x:c r="D288" s="83" t="n">
        <x:f>'2017 Form20'!D237</x:f>
        <x:v>544</x:v>
      </x:c>
      <x:c r="E288" s="50" t="n">
        <x:f>'2017 Form20'!P237</x:f>
        <x:v>0.0055147058823529415</x:v>
      </x:c>
      <x:c r="F288" t="n">
        <x:f>'2017 Form20'!Q237</x:f>
        <x:v>310</x:v>
      </x:c>
      <x:c r="G288" t="n">
        <x:f>'2017 Form20'!R237</x:f>
        <x:v>-307</x:v>
      </x:c>
      <x:c r="H288" s="52" t="n">
        <x:f>'2017 Form20'!S237</x:f>
        <x:v>-0.5643382352941176</x:v>
      </x:c>
      <x:c r="I288" t="str">
        <x:v>Dhirendra Singh</x:v>
      </x:c>
      <x:c r="J288" t="str">
        <x:v>BJP</x:v>
      </x:c>
      <x:c r="K288" t="str">
        <x:v>EVM row</x:v>
      </x:c>
      <x:c r="L288" s="133" t="str">
        <x:f>IF(D288&lt;=0,"No EVM votes",IF(E288&lt;$N$7,"Low",IF(E288&gt;$R$7,"High","Middle")))</x:f>
        <x:v>Low</x:v>
      </x:c>
      <x:c r="M288" s="133" t="str">
        <x:f>IF(D288&lt;=0,"No EVM votes",IF(H288&lt;-20%,"Large deficit",IF(H288&lt;-5%,"Moderate deficit",IF(H288&lt;0,"Narrow deficit",IF(H288&lt;=5%,"Narrow lead/tie",IF(H288&lt;=20%,"Moderate lead","Large lead"))))))</x:f>
        <x:v>Large deficit</x:v>
      </x:c>
    </x:row>
    <x:row r="289">
      <x:c r="A289" t="n">
        <x:v>230</x:v>
      </x:c>
      <x:c r="B289" t="str">
        <x:v>J. H. SCHOOL FALAINDA BANGAR R.NO. 4</x:v>
      </x:c>
      <x:c r="C289" s="83" t="n">
        <x:f>'2017 Form20'!H238</x:f>
        <x:v>7</x:v>
      </x:c>
      <x:c r="D289" s="83" t="n">
        <x:f>'2017 Form20'!D238</x:f>
        <x:v>561</x:v>
      </x:c>
      <x:c r="E289" s="50" t="n">
        <x:f>'2017 Form20'!P238</x:f>
        <x:v>0.012477718360071301</x:v>
      </x:c>
      <x:c r="F289" t="n">
        <x:f>'2017 Form20'!Q238</x:f>
        <x:v>494</x:v>
      </x:c>
      <x:c r="G289" t="n">
        <x:f>'2017 Form20'!R238</x:f>
        <x:v>-487</x:v>
      </x:c>
      <x:c r="H289" s="52" t="n">
        <x:f>'2017 Form20'!S238</x:f>
        <x:v>-0.8680926916221033</x:v>
      </x:c>
      <x:c r="I289" t="str">
        <x:v>Dhirendra Singh</x:v>
      </x:c>
      <x:c r="J289" t="str">
        <x:v>BJP</x:v>
      </x:c>
      <x:c r="K289" t="str">
        <x:v>EVM row</x:v>
      </x:c>
      <x:c r="L289" s="133" t="str">
        <x:f>IF(D289&lt;=0,"No EVM votes",IF(E289&lt;$N$7,"Low",IF(E289&gt;$R$7,"High","Middle")))</x:f>
        <x:v>Low</x:v>
      </x:c>
      <x:c r="M289" s="133" t="str">
        <x:f>IF(D289&lt;=0,"No EVM votes",IF(H289&lt;-20%,"Large deficit",IF(H289&lt;-5%,"Moderate deficit",IF(H289&lt;0,"Narrow deficit",IF(H289&lt;=5%,"Narrow lead/tie",IF(H289&lt;=20%,"Moderate lead","Large lead"))))))</x:f>
        <x:v>Large deficit</x:v>
      </x:c>
    </x:row>
    <x:row r="290">
      <x:c r="A290" t="n">
        <x:v>231</x:v>
      </x:c>
      <x:c r="B290" t="str">
        <x:v>J. H. SCHOOL FALAINDA BANGAR R.NO. 5</x:v>
      </x:c>
      <x:c r="C290" s="83" t="n">
        <x:f>'2017 Form20'!H239</x:f>
        <x:v>20</x:v>
      </x:c>
      <x:c r="D290" s="83" t="n">
        <x:f>'2017 Form20'!D239</x:f>
        <x:v>976</x:v>
      </x:c>
      <x:c r="E290" s="50" t="n">
        <x:f>'2017 Form20'!P239</x:f>
        <x:v>0.020491803278688523</x:v>
      </x:c>
      <x:c r="F290" t="n">
        <x:f>'2017 Form20'!Q239</x:f>
        <x:v>788</x:v>
      </x:c>
      <x:c r="G290" t="n">
        <x:f>'2017 Form20'!R239</x:f>
        <x:v>-768</x:v>
      </x:c>
      <x:c r="H290" s="52" t="n">
        <x:f>'2017 Form20'!S239</x:f>
        <x:v>-0.7868852459016393</x:v>
      </x:c>
      <x:c r="I290" t="str">
        <x:v>Dhirendra Singh</x:v>
      </x:c>
      <x:c r="J290" t="str">
        <x:v>BJP</x:v>
      </x:c>
      <x:c r="K290" t="str">
        <x:v>EVM row</x:v>
      </x:c>
      <x:c r="L290" s="133" t="str">
        <x:f>IF(D290&lt;=0,"No EVM votes",IF(E290&lt;$N$7,"Low",IF(E290&gt;$R$7,"High","Middle")))</x:f>
        <x:v>Middle</x:v>
      </x:c>
      <x:c r="M290" s="133" t="str">
        <x:f>IF(D290&lt;=0,"No EVM votes",IF(H290&lt;-20%,"Large deficit",IF(H290&lt;-5%,"Moderate deficit",IF(H290&lt;0,"Narrow deficit",IF(H290&lt;=5%,"Narrow lead/tie",IF(H290&lt;=20%,"Moderate lead","Large lead"))))))</x:f>
        <x:v>Large deficit</x:v>
      </x:c>
    </x:row>
    <x:row r="291">
      <x:c r="A291" t="n">
        <x:v>232</x:v>
      </x:c>
      <x:c r="B291" t="str">
        <x:v>PRY. SCHOOL NAGLA HANDA MAZRA KURAIB R.NO. 1</x:v>
      </x:c>
      <x:c r="C291" s="83" t="n">
        <x:f>'2017 Form20'!H240</x:f>
        <x:v>76</x:v>
      </x:c>
      <x:c r="D291" s="83" t="n">
        <x:f>'2017 Form20'!D240</x:f>
        <x:v>515</x:v>
      </x:c>
      <x:c r="E291" s="50" t="n">
        <x:f>'2017 Form20'!P240</x:f>
        <x:v>0.14757281553398058</x:v>
      </x:c>
      <x:c r="F291" t="n">
        <x:f>'2017 Form20'!Q240</x:f>
        <x:v>238</x:v>
      </x:c>
      <x:c r="G291" t="n">
        <x:f>'2017 Form20'!R240</x:f>
        <x:v>-162</x:v>
      </x:c>
      <x:c r="H291" s="52" t="n">
        <x:f>'2017 Form20'!S240</x:f>
        <x:v>-0.3145631067961165</x:v>
      </x:c>
      <x:c r="I291" t="str">
        <x:v>Vedram Bhati</x:v>
      </x:c>
      <x:c r="J291" t="str">
        <x:v>BSP</x:v>
      </x:c>
      <x:c r="K291" t="str">
        <x:v>EVM row</x:v>
      </x:c>
      <x:c r="L291" s="133" t="str">
        <x:f>IF(D291&lt;=0,"No EVM votes",IF(E291&lt;$N$7,"Low",IF(E291&gt;$R$7,"High","Middle")))</x:f>
        <x:v>High</x:v>
      </x:c>
      <x:c r="M291" s="133" t="str">
        <x:f>IF(D291&lt;=0,"No EVM votes",IF(H291&lt;-20%,"Large deficit",IF(H291&lt;-5%,"Moderate deficit",IF(H291&lt;0,"Narrow deficit",IF(H291&lt;=5%,"Narrow lead/tie",IF(H291&lt;=20%,"Moderate lead","Large lead"))))))</x:f>
        <x:v>Large deficit</x:v>
      </x:c>
    </x:row>
    <x:row r="292">
      <x:c r="A292" t="n">
        <x:v>233</x:v>
      </x:c>
      <x:c r="B292" t="str">
        <x:v>PRY. SCHOOL KURAIB R.NO. 1</x:v>
      </x:c>
      <x:c r="C292" s="83" t="n">
        <x:f>'2017 Form20'!H241</x:f>
        <x:v>129</x:v>
      </x:c>
      <x:c r="D292" s="83" t="n">
        <x:f>'2017 Form20'!D241</x:f>
        <x:v>588</x:v>
      </x:c>
      <x:c r="E292" s="50" t="n">
        <x:f>'2017 Form20'!P241</x:f>
        <x:v>0.2193877551020408</x:v>
      </x:c>
      <x:c r="F292" t="n">
        <x:f>'2017 Form20'!Q241</x:f>
        <x:v>338</x:v>
      </x:c>
      <x:c r="G292" t="n">
        <x:f>'2017 Form20'!R241</x:f>
        <x:v>-209</x:v>
      </x:c>
      <x:c r="H292" s="52" t="n">
        <x:f>'2017 Form20'!S241</x:f>
        <x:v>-0.3554421768707483</x:v>
      </x:c>
      <x:c r="I292" t="str">
        <x:v>Vedram Bhati</x:v>
      </x:c>
      <x:c r="J292" t="str">
        <x:v>BSP</x:v>
      </x:c>
      <x:c r="K292" t="str">
        <x:v>EVM row</x:v>
      </x:c>
      <x:c r="L292" s="133" t="str">
        <x:f>IF(D292&lt;=0,"No EVM votes",IF(E292&lt;$N$7,"Low",IF(E292&gt;$R$7,"High","Middle")))</x:f>
        <x:v>High</x:v>
      </x:c>
      <x:c r="M292" s="133" t="str">
        <x:f>IF(D292&lt;=0,"No EVM votes",IF(H292&lt;-20%,"Large deficit",IF(H292&lt;-5%,"Moderate deficit",IF(H292&lt;0,"Narrow deficit",IF(H292&lt;=5%,"Narrow lead/tie",IF(H292&lt;=20%,"Moderate lead","Large lead"))))))</x:f>
        <x:v>Large deficit</x:v>
      </x:c>
    </x:row>
    <x:row r="293">
      <x:c r="A293" t="n">
        <x:v>234</x:v>
      </x:c>
      <x:c r="B293" t="str">
        <x:v>J. H. S. KURAIB R.N. 1</x:v>
      </x:c>
      <x:c r="C293" s="83" t="n">
        <x:f>'2017 Form20'!H242</x:f>
        <x:v>121</x:v>
      </x:c>
      <x:c r="D293" s="83" t="n">
        <x:f>'2017 Form20'!D242</x:f>
        <x:v>476</x:v>
      </x:c>
      <x:c r="E293" s="50" t="n">
        <x:f>'2017 Form20'!P242</x:f>
        <x:v>0.2542016806722689</x:v>
      </x:c>
      <x:c r="F293" t="n">
        <x:f>'2017 Form20'!Q242</x:f>
        <x:v>267</x:v>
      </x:c>
      <x:c r="G293" t="n">
        <x:f>'2017 Form20'!R242</x:f>
        <x:v>-146</x:v>
      </x:c>
      <x:c r="H293" s="52" t="n">
        <x:f>'2017 Form20'!S242</x:f>
        <x:v>-0.3067226890756303</x:v>
      </x:c>
      <x:c r="I293" t="str">
        <x:v>Vedram Bhati</x:v>
      </x:c>
      <x:c r="J293" t="str">
        <x:v>BSP</x:v>
      </x:c>
      <x:c r="K293" t="str">
        <x:v>EVM row</x:v>
      </x:c>
      <x:c r="L293" s="133" t="str">
        <x:f>IF(D293&lt;=0,"No EVM votes",IF(E293&lt;$N$7,"Low",IF(E293&gt;$R$7,"High","Middle")))</x:f>
        <x:v>High</x:v>
      </x:c>
      <x:c r="M293" s="133" t="str">
        <x:f>IF(D293&lt;=0,"No EVM votes",IF(H293&lt;-20%,"Large deficit",IF(H293&lt;-5%,"Moderate deficit",IF(H293&lt;0,"Narrow deficit",IF(H293&lt;=5%,"Narrow lead/tie",IF(H293&lt;=20%,"Moderate lead","Large lead"))))))</x:f>
        <x:v>Large deficit</x:v>
      </x:c>
    </x:row>
    <x:row r="294">
      <x:c r="A294" t="n">
        <x:v>235</x:v>
      </x:c>
      <x:c r="B294" t="str">
        <x:v>J. H. S. KURAIB R.N. 2</x:v>
      </x:c>
      <x:c r="C294" s="83" t="n">
        <x:f>'2017 Form20'!H243</x:f>
        <x:v>9</x:v>
      </x:c>
      <x:c r="D294" s="83" t="n">
        <x:f>'2017 Form20'!D243</x:f>
        <x:v>917</x:v>
      </x:c>
      <x:c r="E294" s="50" t="n">
        <x:f>'2017 Form20'!P243</x:f>
        <x:v>0.009814612868047983</x:v>
      </x:c>
      <x:c r="F294" t="n">
        <x:f>'2017 Form20'!Q243</x:f>
        <x:v>607</x:v>
      </x:c>
      <x:c r="G294" t="n">
        <x:f>'2017 Form20'!R243</x:f>
        <x:v>-598</x:v>
      </x:c>
      <x:c r="H294" s="52" t="n">
        <x:f>'2017 Form20'!S243</x:f>
        <x:v>-0.6521264994547438</x:v>
      </x:c>
      <x:c r="I294" t="str">
        <x:v>Dhirendra Singh</x:v>
      </x:c>
      <x:c r="J294" t="str">
        <x:v>BJP</x:v>
      </x:c>
      <x:c r="K294" t="str">
        <x:v>EVM row</x:v>
      </x:c>
      <x:c r="L294" s="133" t="str">
        <x:f>IF(D294&lt;=0,"No EVM votes",IF(E294&lt;$N$7,"Low",IF(E294&gt;$R$7,"High","Middle")))</x:f>
        <x:v>Low</x:v>
      </x:c>
      <x:c r="M294" s="133" t="str">
        <x:f>IF(D294&lt;=0,"No EVM votes",IF(H294&lt;-20%,"Large deficit",IF(H294&lt;-5%,"Moderate deficit",IF(H294&lt;0,"Narrow deficit",IF(H294&lt;=5%,"Narrow lead/tie",IF(H294&lt;=20%,"Moderate lead","Large lead"))))))</x:f>
        <x:v>Large deficit</x:v>
      </x:c>
    </x:row>
    <x:row r="295">
      <x:c r="A295" t="n">
        <x:v>236</x:v>
      </x:c>
      <x:c r="B295" t="str">
        <x:v>PRY. SCHOOL RANHAIRA R.NO. 1</x:v>
      </x:c>
      <x:c r="C295" s="83" t="n">
        <x:f>'2017 Form20'!H244</x:f>
        <x:v>1</x:v>
      </x:c>
      <x:c r="D295" s="83" t="n">
        <x:f>'2017 Form20'!D244</x:f>
        <x:v>419</x:v>
      </x:c>
      <x:c r="E295" s="50" t="n">
        <x:f>'2017 Form20'!P244</x:f>
        <x:v>0.002386634844868735</x:v>
      </x:c>
      <x:c r="F295" t="n">
        <x:f>'2017 Form20'!Q244</x:f>
        <x:v>210</x:v>
      </x:c>
      <x:c r="G295" t="n">
        <x:f>'2017 Form20'!R244</x:f>
        <x:v>-209</x:v>
      </x:c>
      <x:c r="H295" s="52" t="n">
        <x:f>'2017 Form20'!S244</x:f>
        <x:v>-0.4988066825775656</x:v>
      </x:c>
      <x:c r="I295" t="str">
        <x:v>Dhirendra Singh</x:v>
      </x:c>
      <x:c r="J295" t="str">
        <x:v>BJP</x:v>
      </x:c>
      <x:c r="K295" t="str">
        <x:v>EVM row</x:v>
      </x:c>
      <x:c r="L295" s="133" t="str">
        <x:f>IF(D295&lt;=0,"No EVM votes",IF(E295&lt;$N$7,"Low",IF(E295&gt;$R$7,"High","Middle")))</x:f>
        <x:v>Low</x:v>
      </x:c>
      <x:c r="M295" s="133" t="str">
        <x:f>IF(D295&lt;=0,"No EVM votes",IF(H295&lt;-20%,"Large deficit",IF(H295&lt;-5%,"Moderate deficit",IF(H295&lt;0,"Narrow deficit",IF(H295&lt;=5%,"Narrow lead/tie",IF(H295&lt;=20%,"Moderate lead","Large lead"))))))</x:f>
        <x:v>Large deficit</x:v>
      </x:c>
    </x:row>
    <x:row r="296">
      <x:c r="A296" t="n">
        <x:v>237</x:v>
      </x:c>
      <x:c r="B296" t="str">
        <x:v>PRY. SCHOOL RANHAIRA R.NO. 2</x:v>
      </x:c>
      <x:c r="C296" s="83" t="n">
        <x:f>'2017 Form20'!H245</x:f>
        <x:v>4</x:v>
      </x:c>
      <x:c r="D296" s="83" t="n">
        <x:f>'2017 Form20'!D245</x:f>
        <x:v>434</x:v>
      </x:c>
      <x:c r="E296" s="50" t="n">
        <x:f>'2017 Form20'!P245</x:f>
        <x:v>0.009216589861751152</x:v>
      </x:c>
      <x:c r="F296" t="n">
        <x:f>'2017 Form20'!Q245</x:f>
        <x:v>296</x:v>
      </x:c>
      <x:c r="G296" t="n">
        <x:f>'2017 Form20'!R245</x:f>
        <x:v>-292</x:v>
      </x:c>
      <x:c r="H296" s="52" t="n">
        <x:f>'2017 Form20'!S245</x:f>
        <x:v>-0.6728110599078341</x:v>
      </x:c>
      <x:c r="I296" t="str">
        <x:v>Dhirendra Singh</x:v>
      </x:c>
      <x:c r="J296" t="str">
        <x:v>BJP</x:v>
      </x:c>
      <x:c r="K296" t="str">
        <x:v>EVM row</x:v>
      </x:c>
      <x:c r="L296" s="133" t="str">
        <x:f>IF(D296&lt;=0,"No EVM votes",IF(E296&lt;$N$7,"Low",IF(E296&gt;$R$7,"High","Middle")))</x:f>
        <x:v>Low</x:v>
      </x:c>
      <x:c r="M296" s="133" t="str">
        <x:f>IF(D296&lt;=0,"No EVM votes",IF(H296&lt;-20%,"Large deficit",IF(H296&lt;-5%,"Moderate deficit",IF(H296&lt;0,"Narrow deficit",IF(H296&lt;=5%,"Narrow lead/tie",IF(H296&lt;=20%,"Moderate lead","Large lead"))))))</x:f>
        <x:v>Large deficit</x:v>
      </x:c>
    </x:row>
    <x:row r="297">
      <x:c r="A297" t="n">
        <x:v>238</x:v>
      </x:c>
      <x:c r="B297" t="str">
        <x:v>PRY. SCHOOL RANHAIRA R.NO. 3</x:v>
      </x:c>
      <x:c r="C297" s="83" t="n">
        <x:f>'2017 Form20'!H246</x:f>
        <x:v>10</x:v>
      </x:c>
      <x:c r="D297" s="83" t="n">
        <x:f>'2017 Form20'!D246</x:f>
        <x:v>553</x:v>
      </x:c>
      <x:c r="E297" s="50" t="n">
        <x:f>'2017 Form20'!P246</x:f>
        <x:v>0.018083182640144666</x:v>
      </x:c>
      <x:c r="F297" t="n">
        <x:f>'2017 Form20'!Q246</x:f>
        <x:v>409</x:v>
      </x:c>
      <x:c r="G297" t="n">
        <x:f>'2017 Form20'!R246</x:f>
        <x:v>-399</x:v>
      </x:c>
      <x:c r="H297" s="52" t="n">
        <x:f>'2017 Form20'!S246</x:f>
        <x:v>-0.7215189873417721</x:v>
      </x:c>
      <x:c r="I297" t="str">
        <x:v>Dhirendra Singh</x:v>
      </x:c>
      <x:c r="J297" t="str">
        <x:v>BJP</x:v>
      </x:c>
      <x:c r="K297" t="str">
        <x:v>EVM row</x:v>
      </x:c>
      <x:c r="L297" s="133" t="str">
        <x:f>IF(D297&lt;=0,"No EVM votes",IF(E297&lt;$N$7,"Low",IF(E297&gt;$R$7,"High","Middle")))</x:f>
        <x:v>Middle</x:v>
      </x:c>
      <x:c r="M297" s="133" t="str">
        <x:f>IF(D297&lt;=0,"No EVM votes",IF(H297&lt;-20%,"Large deficit",IF(H297&lt;-5%,"Moderate deficit",IF(H297&lt;0,"Narrow deficit",IF(H297&lt;=5%,"Narrow lead/tie",IF(H297&lt;=20%,"Moderate lead","Large lead"))))))</x:f>
        <x:v>Large deficit</x:v>
      </x:c>
    </x:row>
    <x:row r="298">
      <x:c r="A298" t="n">
        <x:v>239</x:v>
      </x:c>
      <x:c r="B298" t="str">
        <x:v>PRY. SCHOOL RANHAIRA R.NO. 4</x:v>
      </x:c>
      <x:c r="C298" s="83" t="n">
        <x:f>'2017 Form20'!H247</x:f>
        <x:v>11</x:v>
      </x:c>
      <x:c r="D298" s="83" t="n">
        <x:f>'2017 Form20'!D247</x:f>
        <x:v>454</x:v>
      </x:c>
      <x:c r="E298" s="50" t="n">
        <x:f>'2017 Form20'!P247</x:f>
        <x:v>0.024229074889867842</x:v>
      </x:c>
      <x:c r="F298" t="n">
        <x:f>'2017 Form20'!Q247</x:f>
        <x:v>372</x:v>
      </x:c>
      <x:c r="G298" t="n">
        <x:f>'2017 Form20'!R247</x:f>
        <x:v>-361</x:v>
      </x:c>
      <x:c r="H298" s="52" t="n">
        <x:f>'2017 Form20'!S247</x:f>
        <x:v>-0.7951541850220264</x:v>
      </x:c>
      <x:c r="I298" t="str">
        <x:v>Dhirendra Singh</x:v>
      </x:c>
      <x:c r="J298" t="str">
        <x:v>BJP</x:v>
      </x:c>
      <x:c r="K298" t="str">
        <x:v>EVM row</x:v>
      </x:c>
      <x:c r="L298" s="133" t="str">
        <x:f>IF(D298&lt;=0,"No EVM votes",IF(E298&lt;$N$7,"Low",IF(E298&gt;$R$7,"High","Middle")))</x:f>
        <x:v>Middle</x:v>
      </x:c>
      <x:c r="M298" s="133" t="str">
        <x:f>IF(D298&lt;=0,"No EVM votes",IF(H298&lt;-20%,"Large deficit",IF(H298&lt;-5%,"Moderate deficit",IF(H298&lt;0,"Narrow deficit",IF(H298&lt;=5%,"Narrow lead/tie",IF(H298&lt;=20%,"Moderate lead","Large lead"))))))</x:f>
        <x:v>Large deficit</x:v>
      </x:c>
    </x:row>
    <x:row r="299">
      <x:c r="A299" t="n">
        <x:v>240</x:v>
      </x:c>
      <x:c r="B299" t="str">
        <x:v>PRY. SCHOOL DAYANATPUR R.NO. 1</x:v>
      </x:c>
      <x:c r="C299" s="83" t="n">
        <x:f>'2017 Form20'!H248</x:f>
        <x:v>4</x:v>
      </x:c>
      <x:c r="D299" s="83" t="n">
        <x:f>'2017 Form20'!D248</x:f>
        <x:v>474</x:v>
      </x:c>
      <x:c r="E299" s="50" t="n">
        <x:f>'2017 Form20'!P248</x:f>
        <x:v>0.008438818565400843</x:v>
      </x:c>
      <x:c r="F299" t="n">
        <x:f>'2017 Form20'!Q248</x:f>
        <x:v>340</x:v>
      </x:c>
      <x:c r="G299" t="n">
        <x:f>'2017 Form20'!R248</x:f>
        <x:v>-336</x:v>
      </x:c>
      <x:c r="H299" s="52" t="n">
        <x:f>'2017 Form20'!S248</x:f>
        <x:v>-0.7088607594936709</x:v>
      </x:c>
      <x:c r="I299" t="str">
        <x:v>Dhirendra Singh</x:v>
      </x:c>
      <x:c r="J299" t="str">
        <x:v>BJP</x:v>
      </x:c>
      <x:c r="K299" t="str">
        <x:v>EVM row</x:v>
      </x:c>
      <x:c r="L299" s="133" t="str">
        <x:f>IF(D299&lt;=0,"No EVM votes",IF(E299&lt;$N$7,"Low",IF(E299&gt;$R$7,"High","Middle")))</x:f>
        <x:v>Low</x:v>
      </x:c>
      <x:c r="M299" s="133" t="str">
        <x:f>IF(D299&lt;=0,"No EVM votes",IF(H299&lt;-20%,"Large deficit",IF(H299&lt;-5%,"Moderate deficit",IF(H299&lt;0,"Narrow deficit",IF(H299&lt;=5%,"Narrow lead/tie",IF(H299&lt;=20%,"Moderate lead","Large lead"))))))</x:f>
        <x:v>Large deficit</x:v>
      </x:c>
    </x:row>
    <x:row r="300">
      <x:c r="A300" t="n">
        <x:v>241</x:v>
      </x:c>
      <x:c r="B300" t="str">
        <x:v>PRY. SCHOOL DAYANATPUR R.NO. 2</x:v>
      </x:c>
      <x:c r="C300" s="83" t="n">
        <x:f>'2017 Form20'!H249</x:f>
        <x:v>15</x:v>
      </x:c>
      <x:c r="D300" s="83" t="n">
        <x:f>'2017 Form20'!D249</x:f>
        <x:v>766</x:v>
      </x:c>
      <x:c r="E300" s="50" t="n">
        <x:f>'2017 Form20'!P249</x:f>
        <x:v>0.0195822454308094</x:v>
      </x:c>
      <x:c r="F300" t="n">
        <x:f>'2017 Form20'!Q249</x:f>
        <x:v>644</x:v>
      </x:c>
      <x:c r="G300" t="n">
        <x:f>'2017 Form20'!R249</x:f>
        <x:v>-629</x:v>
      </x:c>
      <x:c r="H300" s="52" t="n">
        <x:f>'2017 Form20'!S249</x:f>
        <x:v>-0.8211488250652742</x:v>
      </x:c>
      <x:c r="I300" t="str">
        <x:v>Dhirendra Singh</x:v>
      </x:c>
      <x:c r="J300" t="str">
        <x:v>BJP</x:v>
      </x:c>
      <x:c r="K300" t="str">
        <x:v>EVM row</x:v>
      </x:c>
      <x:c r="L300" s="133" t="str">
        <x:f>IF(D300&lt;=0,"No EVM votes",IF(E300&lt;$N$7,"Low",IF(E300&gt;$R$7,"High","Middle")))</x:f>
        <x:v>Middle</x:v>
      </x:c>
      <x:c r="M300" s="133" t="str">
        <x:f>IF(D300&lt;=0,"No EVM votes",IF(H300&lt;-20%,"Large deficit",IF(H300&lt;-5%,"Moderate deficit",IF(H300&lt;0,"Narrow deficit",IF(H300&lt;=5%,"Narrow lead/tie",IF(H300&lt;=20%,"Moderate lead","Large lead"))))))</x:f>
        <x:v>Large deficit</x:v>
      </x:c>
    </x:row>
    <x:row r="301">
      <x:c r="A301" t="n">
        <x:v>242</x:v>
      </x:c>
      <x:c r="B301" t="str">
        <x:v>INTER COLLEGE DAYANATPUR R.NO. 1</x:v>
      </x:c>
      <x:c r="C301" s="83" t="n">
        <x:f>'2017 Form20'!H250</x:f>
        <x:v>1</x:v>
      </x:c>
      <x:c r="D301" s="83" t="n">
        <x:f>'2017 Form20'!D250</x:f>
        <x:v>716</x:v>
      </x:c>
      <x:c r="E301" s="50" t="n">
        <x:f>'2017 Form20'!P250</x:f>
        <x:v>0.0013966480446927375</x:v>
      </x:c>
      <x:c r="F301" t="n">
        <x:f>'2017 Form20'!Q250</x:f>
        <x:v>680</x:v>
      </x:c>
      <x:c r="G301" t="n">
        <x:f>'2017 Form20'!R250</x:f>
        <x:v>-679</x:v>
      </x:c>
      <x:c r="H301" s="52" t="n">
        <x:f>'2017 Form20'!S250</x:f>
        <x:v>-0.9483240223463687</x:v>
      </x:c>
      <x:c r="I301" t="str">
        <x:v>Vedram Bhati</x:v>
      </x:c>
      <x:c r="J301" t="str">
        <x:v>BSP</x:v>
      </x:c>
      <x:c r="K301" t="str">
        <x:v>EVM row</x:v>
      </x:c>
      <x:c r="L301" s="133" t="str">
        <x:f>IF(D301&lt;=0,"No EVM votes",IF(E301&lt;$N$7,"Low",IF(E301&gt;$R$7,"High","Middle")))</x:f>
        <x:v>Low</x:v>
      </x:c>
      <x:c r="M301" s="133" t="str">
        <x:f>IF(D301&lt;=0,"No EVM votes",IF(H301&lt;-20%,"Large deficit",IF(H301&lt;-5%,"Moderate deficit",IF(H301&lt;0,"Narrow deficit",IF(H301&lt;=5%,"Narrow lead/tie",IF(H301&lt;=20%,"Moderate lead","Large lead"))))))</x:f>
        <x:v>Large deficit</x:v>
      </x:c>
    </x:row>
    <x:row r="302">
      <x:c r="A302" t="n">
        <x:v>243</x:v>
      </x:c>
      <x:c r="B302" t="str">
        <x:v>INTER COLLEGE DAYANATPUR R.NO. 2</x:v>
      </x:c>
      <x:c r="C302" s="83" t="n">
        <x:f>'2017 Form20'!H251</x:f>
        <x:v>5</x:v>
      </x:c>
      <x:c r="D302" s="83" t="n">
        <x:f>'2017 Form20'!D251</x:f>
        <x:v>860</x:v>
      </x:c>
      <x:c r="E302" s="50" t="n">
        <x:f>'2017 Form20'!P251</x:f>
        <x:v>0.005813953488372093</x:v>
      </x:c>
      <x:c r="F302" t="n">
        <x:f>'2017 Form20'!Q251</x:f>
        <x:v>485</x:v>
      </x:c>
      <x:c r="G302" t="n">
        <x:f>'2017 Form20'!R251</x:f>
        <x:v>-480</x:v>
      </x:c>
      <x:c r="H302" s="52" t="n">
        <x:f>'2017 Form20'!S251</x:f>
        <x:v>-0.5581395348837209</x:v>
      </x:c>
      <x:c r="I302" t="str">
        <x:v>Dhirendra Singh</x:v>
      </x:c>
      <x:c r="J302" t="str">
        <x:v>BJP</x:v>
      </x:c>
      <x:c r="K302" t="str">
        <x:v>EVM row</x:v>
      </x:c>
      <x:c r="L302" s="133" t="str">
        <x:f>IF(D302&lt;=0,"No EVM votes",IF(E302&lt;$N$7,"Low",IF(E302&gt;$R$7,"High","Middle")))</x:f>
        <x:v>Low</x:v>
      </x:c>
      <x:c r="M302" s="133" t="str">
        <x:f>IF(D302&lt;=0,"No EVM votes",IF(H302&lt;-20%,"Large deficit",IF(H302&lt;-5%,"Moderate deficit",IF(H302&lt;0,"Narrow deficit",IF(H302&lt;=5%,"Narrow lead/tie",IF(H302&lt;=20%,"Moderate lead","Large lead"))))))</x:f>
        <x:v>Large deficit</x:v>
      </x:c>
    </x:row>
    <x:row r="303">
      <x:c r="A303" t="n">
        <x:v>244</x:v>
      </x:c>
      <x:c r="B303" t="str">
        <x:v>PRY. SCHOOL BEGMABAD MAZRA DAYANATPUR R.NO. 1</x:v>
      </x:c>
      <x:c r="C303" s="83" t="n">
        <x:f>'2017 Form20'!H252</x:f>
        <x:v>6</x:v>
      </x:c>
      <x:c r="D303" s="83" t="n">
        <x:f>'2017 Form20'!D252</x:f>
        <x:v>422</x:v>
      </x:c>
      <x:c r="E303" s="50" t="n">
        <x:f>'2017 Form20'!P252</x:f>
        <x:v>0.014218009478672985</x:v>
      </x:c>
      <x:c r="F303" t="n">
        <x:f>'2017 Form20'!Q252</x:f>
        <x:v>402</x:v>
      </x:c>
      <x:c r="G303" t="n">
        <x:f>'2017 Form20'!R252</x:f>
        <x:v>-396</x:v>
      </x:c>
      <x:c r="H303" s="52" t="n">
        <x:f>'2017 Form20'!S252</x:f>
        <x:v>-0.9383886255924171</x:v>
      </x:c>
      <x:c r="I303" t="str">
        <x:v>Dhirendra Singh</x:v>
      </x:c>
      <x:c r="J303" t="str">
        <x:v>BJP</x:v>
      </x:c>
      <x:c r="K303" t="str">
        <x:v>EVM row</x:v>
      </x:c>
      <x:c r="L303" s="133" t="str">
        <x:f>IF(D303&lt;=0,"No EVM votes",IF(E303&lt;$N$7,"Low",IF(E303&gt;$R$7,"High","Middle")))</x:f>
        <x:v>Low</x:v>
      </x:c>
      <x:c r="M303" s="133" t="str">
        <x:f>IF(D303&lt;=0,"No EVM votes",IF(H303&lt;-20%,"Large deficit",IF(H303&lt;-5%,"Moderate deficit",IF(H303&lt;0,"Narrow deficit",IF(H303&lt;=5%,"Narrow lead/tie",IF(H303&lt;=20%,"Moderate lead","Large lead"))))))</x:f>
        <x:v>Large deficit</x:v>
      </x:c>
    </x:row>
    <x:row r="304">
      <x:c r="A304" t="n">
        <x:v>245</x:v>
      </x:c>
      <x:c r="B304" t="str">
        <x:v>J.H. SCHOOL NAGLA SHAREEF KHAN MAJRA DAYANATPUR R.NO. 1</x:v>
      </x:c>
      <x:c r="C304" s="83" t="n">
        <x:f>'2017 Form20'!H253</x:f>
        <x:v>18</x:v>
      </x:c>
      <x:c r="D304" s="83" t="n">
        <x:f>'2017 Form20'!D253</x:f>
        <x:v>606</x:v>
      </x:c>
      <x:c r="E304" s="50" t="n">
        <x:f>'2017 Form20'!P253</x:f>
        <x:v>0.0297029702970297</x:v>
      </x:c>
      <x:c r="F304" t="n">
        <x:f>'2017 Form20'!Q253</x:f>
        <x:v>536</x:v>
      </x:c>
      <x:c r="G304" t="n">
        <x:f>'2017 Form20'!R253</x:f>
        <x:v>-518</x:v>
      </x:c>
      <x:c r="H304" s="52" t="n">
        <x:f>'2017 Form20'!S253</x:f>
        <x:v>-0.8547854785478548</x:v>
      </x:c>
      <x:c r="I304" t="str">
        <x:v>Vedram Bhati</x:v>
      </x:c>
      <x:c r="J304" t="str">
        <x:v>BSP</x:v>
      </x:c>
      <x:c r="K304" t="str">
        <x:v>EVM row</x:v>
      </x:c>
      <x:c r="L304" s="133" t="str">
        <x:f>IF(D304&lt;=0,"No EVM votes",IF(E304&lt;$N$7,"Low",IF(E304&gt;$R$7,"High","Middle")))</x:f>
        <x:v>Middle</x:v>
      </x:c>
      <x:c r="M304" s="133" t="str">
        <x:f>IF(D304&lt;=0,"No EVM votes",IF(H304&lt;-20%,"Large deficit",IF(H304&lt;-5%,"Moderate deficit",IF(H304&lt;0,"Narrow deficit",IF(H304&lt;=5%,"Narrow lead/tie",IF(H304&lt;=20%,"Moderate lead","Large lead"))))))</x:f>
        <x:v>Large deficit</x:v>
      </x:c>
    </x:row>
    <x:row r="305">
      <x:c r="A305" t="n">
        <x:v>246</x:v>
      </x:c>
      <x:c r="B305" t="str">
        <x:v>PRY SCHOOL NAGLA SHAREEF KHAN MAJRA DAYANATPUR R.N. 1</x:v>
      </x:c>
      <x:c r="C305" s="83" t="n">
        <x:f>'2017 Form20'!H254</x:f>
        <x:v>47</x:v>
      </x:c>
      <x:c r="D305" s="83" t="n">
        <x:f>'2017 Form20'!D254</x:f>
        <x:v>571</x:v>
      </x:c>
      <x:c r="E305" s="50" t="n">
        <x:f>'2017 Form20'!P254</x:f>
        <x:v>0.08231173380035026</x:v>
      </x:c>
      <x:c r="F305" t="n">
        <x:f>'2017 Form20'!Q254</x:f>
        <x:v>434</x:v>
      </x:c>
      <x:c r="G305" t="n">
        <x:f>'2017 Form20'!R254</x:f>
        <x:v>-387</x:v>
      </x:c>
      <x:c r="H305" s="52" t="n">
        <x:f>'2017 Form20'!S254</x:f>
        <x:v>-0.6777583187390543</x:v>
      </x:c>
      <x:c r="I305" t="str">
        <x:v>Vedram Bhati</x:v>
      </x:c>
      <x:c r="J305" t="str">
        <x:v>BSP</x:v>
      </x:c>
      <x:c r="K305" t="str">
        <x:v>EVM row</x:v>
      </x:c>
      <x:c r="L305" s="133" t="str">
        <x:f>IF(D305&lt;=0,"No EVM votes",IF(E305&lt;$N$7,"Low",IF(E305&gt;$R$7,"High","Middle")))</x:f>
        <x:v>High</x:v>
      </x:c>
      <x:c r="M305" s="133" t="str">
        <x:f>IF(D305&lt;=0,"No EVM votes",IF(H305&lt;-20%,"Large deficit",IF(H305&lt;-5%,"Moderate deficit",IF(H305&lt;0,"Narrow deficit",IF(H305&lt;=5%,"Narrow lead/tie",IF(H305&lt;=20%,"Moderate lead","Large lead"))))))</x:f>
        <x:v>Large deficit</x:v>
      </x:c>
    </x:row>
    <x:row r="306">
      <x:c r="A306" t="n">
        <x:v>247</x:v>
      </x:c>
      <x:c r="B306" t="str">
        <x:v>PRY. SCHOOL RAMPUR BANGAR R.NO. 1</x:v>
      </x:c>
      <x:c r="C306" s="83" t="n">
        <x:f>'2017 Form20'!H255</x:f>
        <x:v>31</x:v>
      </x:c>
      <x:c r="D306" s="83" t="n">
        <x:f>'2017 Form20'!D255</x:f>
        <x:v>796</x:v>
      </x:c>
      <x:c r="E306" s="50" t="n">
        <x:f>'2017 Form20'!P255</x:f>
        <x:v>0.038944723618090454</x:v>
      </x:c>
      <x:c r="F306" t="n">
        <x:f>'2017 Form20'!Q255</x:f>
        <x:v>555</x:v>
      </x:c>
      <x:c r="G306" t="n">
        <x:f>'2017 Form20'!R255</x:f>
        <x:v>-524</x:v>
      </x:c>
      <x:c r="H306" s="52" t="n">
        <x:f>'2017 Form20'!S255</x:f>
        <x:v>-0.6582914572864321</x:v>
      </x:c>
      <x:c r="I306" t="str">
        <x:v>Dhirendra Singh</x:v>
      </x:c>
      <x:c r="J306" t="str">
        <x:v>BJP</x:v>
      </x:c>
      <x:c r="K306" t="str">
        <x:v>EVM row</x:v>
      </x:c>
      <x:c r="L306" s="133" t="str">
        <x:f>IF(D306&lt;=0,"No EVM votes",IF(E306&lt;$N$7,"Low",IF(E306&gt;$R$7,"High","Middle")))</x:f>
        <x:v>Middle</x:v>
      </x:c>
      <x:c r="M306" s="133" t="str">
        <x:f>IF(D306&lt;=0,"No EVM votes",IF(H306&lt;-20%,"Large deficit",IF(H306&lt;-5%,"Moderate deficit",IF(H306&lt;0,"Narrow deficit",IF(H306&lt;=5%,"Narrow lead/tie",IF(H306&lt;=20%,"Moderate lead","Large lead"))))))</x:f>
        <x:v>Large deficit</x:v>
      </x:c>
    </x:row>
    <x:row r="307">
      <x:c r="A307" t="n">
        <x:v>248</x:v>
      </x:c>
      <x:c r="B307" t="str">
        <x:v>PRY. SCHOOL RAMPUR BANGAR R.NO. 2</x:v>
      </x:c>
      <x:c r="C307" s="83" t="n">
        <x:f>'2017 Form20'!H256</x:f>
        <x:v>1</x:v>
      </x:c>
      <x:c r="D307" s="83" t="n">
        <x:f>'2017 Form20'!D256</x:f>
        <x:v>379</x:v>
      </x:c>
      <x:c r="E307" s="50" t="n">
        <x:f>'2017 Form20'!P256</x:f>
        <x:v>0.002638522427440633</x:v>
      </x:c>
      <x:c r="F307" t="n">
        <x:f>'2017 Form20'!Q256</x:f>
        <x:v>284</x:v>
      </x:c>
      <x:c r="G307" t="n">
        <x:f>'2017 Form20'!R256</x:f>
        <x:v>-283</x:v>
      </x:c>
      <x:c r="H307" s="52" t="n">
        <x:f>'2017 Form20'!S256</x:f>
        <x:v>-0.7467018469656992</x:v>
      </x:c>
      <x:c r="I307" t="str">
        <x:v>Vedram Bhati</x:v>
      </x:c>
      <x:c r="J307" t="str">
        <x:v>BSP</x:v>
      </x:c>
      <x:c r="K307" t="str">
        <x:v>EVM row</x:v>
      </x:c>
      <x:c r="L307" s="133" t="str">
        <x:f>IF(D307&lt;=0,"No EVM votes",IF(E307&lt;$N$7,"Low",IF(E307&gt;$R$7,"High","Middle")))</x:f>
        <x:v>Low</x:v>
      </x:c>
      <x:c r="M307" s="133" t="str">
        <x:f>IF(D307&lt;=0,"No EVM votes",IF(H307&lt;-20%,"Large deficit",IF(H307&lt;-5%,"Moderate deficit",IF(H307&lt;0,"Narrow deficit",IF(H307&lt;=5%,"Narrow lead/tie",IF(H307&lt;=20%,"Moderate lead","Large lead"))))))</x:f>
        <x:v>Large deficit</x:v>
      </x:c>
    </x:row>
    <x:row r="308">
      <x:c r="A308" t="n">
        <x:v>249</x:v>
      </x:c>
      <x:c r="B308" t="str">
        <x:v>PRY. SCHOOL BALLABHNAGAR URF KARROL BANGAR R.NO. 1</x:v>
      </x:c>
      <x:c r="C308" s="83" t="n">
        <x:f>'2017 Form20'!H257</x:f>
        <x:v>25</x:v>
      </x:c>
      <x:c r="D308" s="83" t="n">
        <x:f>'2017 Form20'!D257</x:f>
        <x:v>826</x:v>
      </x:c>
      <x:c r="E308" s="50" t="n">
        <x:f>'2017 Form20'!P257</x:f>
        <x:v>0.03026634382566586</x:v>
      </x:c>
      <x:c r="F308" t="n">
        <x:f>'2017 Form20'!Q257</x:f>
        <x:v>596</x:v>
      </x:c>
      <x:c r="G308" t="n">
        <x:f>'2017 Form20'!R257</x:f>
        <x:v>-571</x:v>
      </x:c>
      <x:c r="H308" s="52" t="n">
        <x:f>'2017 Form20'!S257</x:f>
        <x:v>-0.6912832929782082</x:v>
      </x:c>
      <x:c r="I308" t="str">
        <x:v>Dhirendra Singh</x:v>
      </x:c>
      <x:c r="J308" t="str">
        <x:v>BJP</x:v>
      </x:c>
      <x:c r="K308" t="str">
        <x:v>EVM row</x:v>
      </x:c>
      <x:c r="L308" s="133" t="str">
        <x:f>IF(D308&lt;=0,"No EVM votes",IF(E308&lt;$N$7,"Low",IF(E308&gt;$R$7,"High","Middle")))</x:f>
        <x:v>Middle</x:v>
      </x:c>
      <x:c r="M308" s="133" t="str">
        <x:f>IF(D308&lt;=0,"No EVM votes",IF(H308&lt;-20%,"Large deficit",IF(H308&lt;-5%,"Moderate deficit",IF(H308&lt;0,"Narrow deficit",IF(H308&lt;=5%,"Narrow lead/tie",IF(H308&lt;=20%,"Moderate lead","Large lead"))))))</x:f>
        <x:v>Large deficit</x:v>
      </x:c>
    </x:row>
    <x:row r="309">
      <x:c r="A309" t="n">
        <x:v>250</x:v>
      </x:c>
      <x:c r="B309" t="str">
        <x:v>PRY. SCHOOL MACHHIPUR R.NO. 1</x:v>
      </x:c>
      <x:c r="C309" s="83" t="n">
        <x:f>'2017 Form20'!H258</x:f>
        <x:v>51</x:v>
      </x:c>
      <x:c r="D309" s="83" t="n">
        <x:f>'2017 Form20'!D258</x:f>
        <x:v>884</x:v>
      </x:c>
      <x:c r="E309" s="50" t="n">
        <x:f>'2017 Form20'!P258</x:f>
        <x:v>0.057692307692307696</x:v>
      </x:c>
      <x:c r="F309" t="n">
        <x:f>'2017 Form20'!Q258</x:f>
        <x:v>548</x:v>
      </x:c>
      <x:c r="G309" t="n">
        <x:f>'2017 Form20'!R258</x:f>
        <x:v>-497</x:v>
      </x:c>
      <x:c r="H309" s="52" t="n">
        <x:f>'2017 Form20'!S258</x:f>
        <x:v>-0.5622171945701357</x:v>
      </x:c>
      <x:c r="I309" t="str">
        <x:v>Dhirendra Singh</x:v>
      </x:c>
      <x:c r="J309" t="str">
        <x:v>BJP</x:v>
      </x:c>
      <x:c r="K309" t="str">
        <x:v>EVM row</x:v>
      </x:c>
      <x:c r="L309" s="133" t="str">
        <x:f>IF(D309&lt;=0,"No EVM votes",IF(E309&lt;$N$7,"Low",IF(E309&gt;$R$7,"High","Middle")))</x:f>
        <x:v>Middle</x:v>
      </x:c>
      <x:c r="M309" s="133" t="str">
        <x:f>IF(D309&lt;=0,"No EVM votes",IF(H309&lt;-20%,"Large deficit",IF(H309&lt;-5%,"Moderate deficit",IF(H309&lt;0,"Narrow deficit",IF(H309&lt;=5%,"Narrow lead/tie",IF(H309&lt;=20%,"Moderate lead","Large lead"))))))</x:f>
        <x:v>Large deficit</x:v>
      </x:c>
    </x:row>
    <x:row r="310">
      <x:c r="A310" t="n">
        <x:v>251</x:v>
      </x:c>
      <x:c r="B310" t="str">
        <x:v>PRY. SCHOOL KISHORPUR R.NO. 1</x:v>
      </x:c>
      <x:c r="C310" s="83" t="n">
        <x:f>'2017 Form20'!H259</x:f>
        <x:v>143</x:v>
      </x:c>
      <x:c r="D310" s="83" t="n">
        <x:f>'2017 Form20'!D259</x:f>
        <x:v>867</x:v>
      </x:c>
      <x:c r="E310" s="50" t="n">
        <x:f>'2017 Form20'!P259</x:f>
        <x:v>0.16493656286043828</x:v>
      </x:c>
      <x:c r="F310" t="n">
        <x:f>'2017 Form20'!Q259</x:f>
        <x:v>371</x:v>
      </x:c>
      <x:c r="G310" t="n">
        <x:f>'2017 Form20'!R259</x:f>
        <x:v>-228</x:v>
      </x:c>
      <x:c r="H310" s="52" t="n">
        <x:f>'2017 Form20'!S259</x:f>
        <x:v>-0.2629757785467128</x:v>
      </x:c>
      <x:c r="I310" t="str">
        <x:v>Dhirendra Singh</x:v>
      </x:c>
      <x:c r="J310" t="str">
        <x:v>BJP</x:v>
      </x:c>
      <x:c r="K310" t="str">
        <x:v>EVM row</x:v>
      </x:c>
      <x:c r="L310" s="133" t="str">
        <x:f>IF(D310&lt;=0,"No EVM votes",IF(E310&lt;$N$7,"Low",IF(E310&gt;$R$7,"High","Middle")))</x:f>
        <x:v>High</x:v>
      </x:c>
      <x:c r="M310" s="133" t="str">
        <x:f>IF(D310&lt;=0,"No EVM votes",IF(H310&lt;-20%,"Large deficit",IF(H310&lt;-5%,"Moderate deficit",IF(H310&lt;0,"Narrow deficit",IF(H310&lt;=5%,"Narrow lead/tie",IF(H310&lt;=20%,"Moderate lead","Large lead"))))))</x:f>
        <x:v>Large deficit</x:v>
      </x:c>
    </x:row>
    <x:row r="311">
      <x:c r="A311" t="n">
        <x:v>252</x:v>
      </x:c>
      <x:c r="B311" t="str">
        <x:v>PRY. SCHOOL SABAUTA MUSTFABAD R.NO. 1</x:v>
      </x:c>
      <x:c r="C311" s="83" t="n">
        <x:f>'2017 Form20'!H260</x:f>
        <x:v>48</x:v>
      </x:c>
      <x:c r="D311" s="83" t="n">
        <x:f>'2017 Form20'!D260</x:f>
        <x:v>756</x:v>
      </x:c>
      <x:c r="E311" s="50" t="n">
        <x:f>'2017 Form20'!P260</x:f>
        <x:v>0.06349206349206349</x:v>
      </x:c>
      <x:c r="F311" t="n">
        <x:f>'2017 Form20'!Q260</x:f>
        <x:v>521</x:v>
      </x:c>
      <x:c r="G311" t="n">
        <x:f>'2017 Form20'!R260</x:f>
        <x:v>-473</x:v>
      </x:c>
      <x:c r="H311" s="52" t="n">
        <x:f>'2017 Form20'!S260</x:f>
        <x:v>-0.6256613756613757</x:v>
      </x:c>
      <x:c r="I311" t="str">
        <x:v>Dhirendra Singh</x:v>
      </x:c>
      <x:c r="J311" t="str">
        <x:v>BJP</x:v>
      </x:c>
      <x:c r="K311" t="str">
        <x:v>EVM row</x:v>
      </x:c>
      <x:c r="L311" s="133" t="str">
        <x:f>IF(D311&lt;=0,"No EVM votes",IF(E311&lt;$N$7,"Low",IF(E311&gt;$R$7,"High","Middle")))</x:f>
        <x:v>Middle</x:v>
      </x:c>
      <x:c r="M311" s="133" t="str">
        <x:f>IF(D311&lt;=0,"No EVM votes",IF(H311&lt;-20%,"Large deficit",IF(H311&lt;-5%,"Moderate deficit",IF(H311&lt;0,"Narrow deficit",IF(H311&lt;=5%,"Narrow lead/tie",IF(H311&lt;=20%,"Moderate lead","Large lead"))))))</x:f>
        <x:v>Large deficit</x:v>
      </x:c>
    </x:row>
    <x:row r="312">
      <x:c r="A312" t="n">
        <x:v>253</x:v>
      </x:c>
      <x:c r="B312" t="str">
        <x:v>PRY. SCHOOL SABAUTA MUSTFABAD R.NO. 2</x:v>
      </x:c>
      <x:c r="C312" s="83" t="n">
        <x:f>'2017 Form20'!H261</x:f>
        <x:v>19</x:v>
      </x:c>
      <x:c r="D312" s="83" t="n">
        <x:f>'2017 Form20'!D261</x:f>
        <x:v>931</x:v>
      </x:c>
      <x:c r="E312" s="50" t="n">
        <x:f>'2017 Form20'!P261</x:f>
        <x:v>0.02040816326530612</x:v>
      </x:c>
      <x:c r="F312" t="n">
        <x:f>'2017 Form20'!Q261</x:f>
        <x:v>602</x:v>
      </x:c>
      <x:c r="G312" t="n">
        <x:f>'2017 Form20'!R261</x:f>
        <x:v>-583</x:v>
      </x:c>
      <x:c r="H312" s="52" t="n">
        <x:f>'2017 Form20'!S261</x:f>
        <x:v>-0.6262083780880774</x:v>
      </x:c>
      <x:c r="I312" t="str">
        <x:v>Vedram Bhati</x:v>
      </x:c>
      <x:c r="J312" t="str">
        <x:v>BSP</x:v>
      </x:c>
      <x:c r="K312" t="str">
        <x:v>EVM row</x:v>
      </x:c>
      <x:c r="L312" s="133" t="str">
        <x:f>IF(D312&lt;=0,"No EVM votes",IF(E312&lt;$N$7,"Low",IF(E312&gt;$R$7,"High","Middle")))</x:f>
        <x:v>Middle</x:v>
      </x:c>
      <x:c r="M312" s="133" t="str">
        <x:f>IF(D312&lt;=0,"No EVM votes",IF(H312&lt;-20%,"Large deficit",IF(H312&lt;-5%,"Moderate deficit",IF(H312&lt;0,"Narrow deficit",IF(H312&lt;=5%,"Narrow lead/tie",IF(H312&lt;=20%,"Moderate lead","Large lead"))))))</x:f>
        <x:v>Large deficit</x:v>
      </x:c>
    </x:row>
    <x:row r="313">
      <x:c r="A313" t="n">
        <x:v>254</x:v>
      </x:c>
      <x:c r="B313" t="str">
        <x:v>PRY. SCHOOL MUKIMPUR SHIVARA R.NO. 1</x:v>
      </x:c>
      <x:c r="C313" s="83" t="n">
        <x:f>'2017 Form20'!H262</x:f>
        <x:v>1</x:v>
      </x:c>
      <x:c r="D313" s="83" t="n">
        <x:f>'2017 Form20'!D262</x:f>
        <x:v>608</x:v>
      </x:c>
      <x:c r="E313" s="50" t="n">
        <x:f>'2017 Form20'!P262</x:f>
        <x:v>0.001644736842105263</x:v>
      </x:c>
      <x:c r="F313" t="n">
        <x:f>'2017 Form20'!Q262</x:f>
        <x:v>573</x:v>
      </x:c>
      <x:c r="G313" t="n">
        <x:f>'2017 Form20'!R262</x:f>
        <x:v>-572</x:v>
      </x:c>
      <x:c r="H313" s="52" t="n">
        <x:f>'2017 Form20'!S262</x:f>
        <x:v>-0.9407894736842105</x:v>
      </x:c>
      <x:c r="I313" t="str">
        <x:v>Dhirendra Singh</x:v>
      </x:c>
      <x:c r="J313" t="str">
        <x:v>BJP</x:v>
      </x:c>
      <x:c r="K313" t="str">
        <x:v>EVM row</x:v>
      </x:c>
      <x:c r="L313" s="133" t="str">
        <x:f>IF(D313&lt;=0,"No EVM votes",IF(E313&lt;$N$7,"Low",IF(E313&gt;$R$7,"High","Middle")))</x:f>
        <x:v>Low</x:v>
      </x:c>
      <x:c r="M313" s="133" t="str">
        <x:f>IF(D313&lt;=0,"No EVM votes",IF(H313&lt;-20%,"Large deficit",IF(H313&lt;-5%,"Moderate deficit",IF(H313&lt;0,"Narrow deficit",IF(H313&lt;=5%,"Narrow lead/tie",IF(H313&lt;=20%,"Moderate lead","Large lead"))))))</x:f>
        <x:v>Large deficit</x:v>
      </x:c>
    </x:row>
    <x:row r="314">
      <x:c r="A314" t="n">
        <x:v>255</x:v>
      </x:c>
      <x:c r="B314" t="str">
        <x:v>PRY. SCHOOL ALAUDDINNAGAR URF DURHERA R.NO. 1</x:v>
      </x:c>
      <x:c r="C314" s="83" t="n">
        <x:f>'2017 Form20'!H263</x:f>
        <x:v>8</x:v>
      </x:c>
      <x:c r="D314" s="83" t="n">
        <x:f>'2017 Form20'!D263</x:f>
        <x:v>451</x:v>
      </x:c>
      <x:c r="E314" s="50" t="n">
        <x:f>'2017 Form20'!P263</x:f>
        <x:v>0.017738359201773836</x:v>
      </x:c>
      <x:c r="F314" t="n">
        <x:f>'2017 Form20'!Q263</x:f>
        <x:v>332</x:v>
      </x:c>
      <x:c r="G314" t="n">
        <x:f>'2017 Form20'!R263</x:f>
        <x:v>-324</x:v>
      </x:c>
      <x:c r="H314" s="52" t="n">
        <x:f>'2017 Form20'!S263</x:f>
        <x:v>-0.7184035476718403</x:v>
      </x:c>
      <x:c r="I314" t="str">
        <x:v>Dhirendra Singh</x:v>
      </x:c>
      <x:c r="J314" t="str">
        <x:v>BJP</x:v>
      </x:c>
      <x:c r="K314" t="str">
        <x:v>EVM row</x:v>
      </x:c>
      <x:c r="L314" s="133" t="str">
        <x:f>IF(D314&lt;=0,"No EVM votes",IF(E314&lt;$N$7,"Low",IF(E314&gt;$R$7,"High","Middle")))</x:f>
        <x:v>Middle</x:v>
      </x:c>
      <x:c r="M314" s="133" t="str">
        <x:f>IF(D314&lt;=0,"No EVM votes",IF(H314&lt;-20%,"Large deficit",IF(H314&lt;-5%,"Moderate deficit",IF(H314&lt;0,"Narrow deficit",IF(H314&lt;=5%,"Narrow lead/tie",IF(H314&lt;=20%,"Moderate lead","Large lead"))))))</x:f>
        <x:v>Large deficit</x:v>
      </x:c>
    </x:row>
    <x:row r="315">
      <x:c r="A315" t="n">
        <x:v>256</x:v>
      </x:c>
      <x:c r="B315" t="str">
        <x:v>PRY. SCHOOL ALAUDDINNAGAR URF DURHERA R.NO. 2</x:v>
      </x:c>
      <x:c r="C315" s="83" t="n">
        <x:f>'2017 Form20'!H264</x:f>
        <x:v>19</x:v>
      </x:c>
      <x:c r="D315" s="83" t="n">
        <x:f>'2017 Form20'!D264</x:f>
        <x:v>491</x:v>
      </x:c>
      <x:c r="E315" s="50" t="n">
        <x:f>'2017 Form20'!P264</x:f>
        <x:v>0.038696537678207736</x:v>
      </x:c>
      <x:c r="F315" t="n">
        <x:f>'2017 Form20'!Q264</x:f>
        <x:v>378</x:v>
      </x:c>
      <x:c r="G315" t="n">
        <x:f>'2017 Form20'!R264</x:f>
        <x:v>-359</x:v>
      </x:c>
      <x:c r="H315" s="52" t="n">
        <x:f>'2017 Form20'!S264</x:f>
        <x:v>-0.7311608961303462</x:v>
      </x:c>
      <x:c r="I315" t="str">
        <x:v>Vedram Bhati</x:v>
      </x:c>
      <x:c r="J315" t="str">
        <x:v>BSP</x:v>
      </x:c>
      <x:c r="K315" t="str">
        <x:v>EVM row</x:v>
      </x:c>
      <x:c r="L315" s="133" t="str">
        <x:f>IF(D315&lt;=0,"No EVM votes",IF(E315&lt;$N$7,"Low",IF(E315&gt;$R$7,"High","Middle")))</x:f>
        <x:v>Middle</x:v>
      </x:c>
      <x:c r="M315" s="133" t="str">
        <x:f>IF(D315&lt;=0,"No EVM votes",IF(H315&lt;-20%,"Large deficit",IF(H315&lt;-5%,"Moderate deficit",IF(H315&lt;0,"Narrow deficit",IF(H315&lt;=5%,"Narrow lead/tie",IF(H315&lt;=20%,"Moderate lead","Large lead"))))))</x:f>
        <x:v>Large deficit</x:v>
      </x:c>
    </x:row>
    <x:row r="316">
      <x:c r="A316" t="n">
        <x:v>257</x:v>
      </x:c>
      <x:c r="B316" t="str">
        <x:v>PRY. SCHOOL ROHI R.NO. 1</x:v>
      </x:c>
      <x:c r="C316" s="83" t="n">
        <x:f>'2017 Form20'!H265</x:f>
        <x:v>6</x:v>
      </x:c>
      <x:c r="D316" s="83" t="n">
        <x:f>'2017 Form20'!D265</x:f>
        <x:v>313</x:v>
      </x:c>
      <x:c r="E316" s="50" t="n">
        <x:f>'2017 Form20'!P265</x:f>
        <x:v>0.019169329073482427</x:v>
      </x:c>
      <x:c r="F316" t="n">
        <x:f>'2017 Form20'!Q265</x:f>
        <x:v>261</x:v>
      </x:c>
      <x:c r="G316" t="n">
        <x:f>'2017 Form20'!R265</x:f>
        <x:v>-255</x:v>
      </x:c>
      <x:c r="H316" s="52" t="n">
        <x:f>'2017 Form20'!S265</x:f>
        <x:v>-0.8146964856230032</x:v>
      </x:c>
      <x:c r="I316" t="str">
        <x:v>Dhirendra Singh</x:v>
      </x:c>
      <x:c r="J316" t="str">
        <x:v>BJP</x:v>
      </x:c>
      <x:c r="K316" t="str">
        <x:v>EVM row</x:v>
      </x:c>
      <x:c r="L316" s="133" t="str">
        <x:f>IF(D316&lt;=0,"No EVM votes",IF(E316&lt;$N$7,"Low",IF(E316&gt;$R$7,"High","Middle")))</x:f>
        <x:v>Middle</x:v>
      </x:c>
      <x:c r="M316" s="133" t="str">
        <x:f>IF(D316&lt;=0,"No EVM votes",IF(H316&lt;-20%,"Large deficit",IF(H316&lt;-5%,"Moderate deficit",IF(H316&lt;0,"Narrow deficit",IF(H316&lt;=5%,"Narrow lead/tie",IF(H316&lt;=20%,"Moderate lead","Large lead"))))))</x:f>
        <x:v>Large deficit</x:v>
      </x:c>
    </x:row>
    <x:row r="317">
      <x:c r="A317" t="n">
        <x:v>258</x:v>
      </x:c>
      <x:c r="B317" t="str">
        <x:v>PRY. SCHOOL ROHI R.NO. 2</x:v>
      </x:c>
      <x:c r="C317" s="83" t="n">
        <x:f>'2017 Form20'!H266</x:f>
        <x:v>8</x:v>
      </x:c>
      <x:c r="D317" s="83" t="n">
        <x:f>'2017 Form20'!D266</x:f>
        <x:v>586</x:v>
      </x:c>
      <x:c r="E317" s="50" t="n">
        <x:f>'2017 Form20'!P266</x:f>
        <x:v>0.013651877133105802</x:v>
      </x:c>
      <x:c r="F317" t="n">
        <x:f>'2017 Form20'!Q266</x:f>
        <x:v>411</x:v>
      </x:c>
      <x:c r="G317" t="n">
        <x:f>'2017 Form20'!R266</x:f>
        <x:v>-403</x:v>
      </x:c>
      <x:c r="H317" s="52" t="n">
        <x:f>'2017 Form20'!S266</x:f>
        <x:v>-0.6877133105802048</x:v>
      </x:c>
      <x:c r="I317" t="str">
        <x:v>Dhirendra Singh</x:v>
      </x:c>
      <x:c r="J317" t="str">
        <x:v>BJP</x:v>
      </x:c>
      <x:c r="K317" t="str">
        <x:v>EVM row</x:v>
      </x:c>
      <x:c r="L317" s="133" t="str">
        <x:f>IF(D317&lt;=0,"No EVM votes",IF(E317&lt;$N$7,"Low",IF(E317&gt;$R$7,"High","Middle")))</x:f>
        <x:v>Low</x:v>
      </x:c>
      <x:c r="M317" s="133" t="str">
        <x:f>IF(D317&lt;=0,"No EVM votes",IF(H317&lt;-20%,"Large deficit",IF(H317&lt;-5%,"Moderate deficit",IF(H317&lt;0,"Narrow deficit",IF(H317&lt;=5%,"Narrow lead/tie",IF(H317&lt;=20%,"Moderate lead","Large lead"))))))</x:f>
        <x:v>Large deficit</x:v>
      </x:c>
    </x:row>
    <x:row r="318">
      <x:c r="A318" t="n">
        <x:v>259</x:v>
      </x:c>
      <x:c r="B318" t="str">
        <x:v>PRY. SCHOOL NAGLA GANESHI MAZRA ROHI R.NO. 1</x:v>
      </x:c>
      <x:c r="C318" s="83" t="n">
        <x:f>'2017 Form20'!H267</x:f>
        <x:v>42</x:v>
      </x:c>
      <x:c r="D318" s="83" t="n">
        <x:f>'2017 Form20'!D267</x:f>
        <x:v>456</x:v>
      </x:c>
      <x:c r="E318" s="50" t="n">
        <x:f>'2017 Form20'!P267</x:f>
        <x:v>0.09210526315789473</x:v>
      </x:c>
      <x:c r="F318" t="n">
        <x:f>'2017 Form20'!Q267</x:f>
        <x:v>251</x:v>
      </x:c>
      <x:c r="G318" t="n">
        <x:f>'2017 Form20'!R267</x:f>
        <x:v>-209</x:v>
      </x:c>
      <x:c r="H318" s="52" t="n">
        <x:f>'2017 Form20'!S267</x:f>
        <x:v>-0.4583333333333333</x:v>
      </x:c>
      <x:c r="I318" t="str">
        <x:v>Dhirendra Singh</x:v>
      </x:c>
      <x:c r="J318" t="str">
        <x:v>BJP</x:v>
      </x:c>
      <x:c r="K318" t="str">
        <x:v>EVM row</x:v>
      </x:c>
      <x:c r="L318" s="133" t="str">
        <x:f>IF(D318&lt;=0,"No EVM votes",IF(E318&lt;$N$7,"Low",IF(E318&gt;$R$7,"High","Middle")))</x:f>
        <x:v>High</x:v>
      </x:c>
      <x:c r="M318" s="133" t="str">
        <x:f>IF(D318&lt;=0,"No EVM votes",IF(H318&lt;-20%,"Large deficit",IF(H318&lt;-5%,"Moderate deficit",IF(H318&lt;0,"Narrow deficit",IF(H318&lt;=5%,"Narrow lead/tie",IF(H318&lt;=20%,"Moderate lead","Large lead"))))))</x:f>
        <x:v>Large deficit</x:v>
      </x:c>
    </x:row>
    <x:row r="319">
      <x:c r="A319" t="n">
        <x:v>260</x:v>
      </x:c>
      <x:c r="B319" t="str">
        <x:v>PRY. SCHOOL PAROHI R.NO. 1</x:v>
      </x:c>
      <x:c r="C319" s="83" t="n">
        <x:f>'2017 Form20'!H268</x:f>
        <x:v>3</x:v>
      </x:c>
      <x:c r="D319" s="83" t="n">
        <x:f>'2017 Form20'!D268</x:f>
        <x:v>215</x:v>
      </x:c>
      <x:c r="E319" s="50" t="n">
        <x:f>'2017 Form20'!P268</x:f>
        <x:v>0.013953488372093023</x:v>
      </x:c>
      <x:c r="F319" t="n">
        <x:f>'2017 Form20'!Q268</x:f>
        <x:v>121</x:v>
      </x:c>
      <x:c r="G319" t="n">
        <x:f>'2017 Form20'!R268</x:f>
        <x:v>-118</x:v>
      </x:c>
      <x:c r="H319" s="52" t="n">
        <x:f>'2017 Form20'!S268</x:f>
        <x:v>-0.5488372093023256</x:v>
      </x:c>
      <x:c r="I319" t="str">
        <x:v>Vedram Bhati</x:v>
      </x:c>
      <x:c r="J319" t="str">
        <x:v>BSP</x:v>
      </x:c>
      <x:c r="K319" t="str">
        <x:v>EVM row</x:v>
      </x:c>
      <x:c r="L319" s="133" t="str">
        <x:f>IF(D319&lt;=0,"No EVM votes",IF(E319&lt;$N$7,"Low",IF(E319&gt;$R$7,"High","Middle")))</x:f>
        <x:v>Low</x:v>
      </x:c>
      <x:c r="M319" s="133" t="str">
        <x:f>IF(D319&lt;=0,"No EVM votes",IF(H319&lt;-20%,"Large deficit",IF(H319&lt;-5%,"Moderate deficit",IF(H319&lt;0,"Narrow deficit",IF(H319&lt;=5%,"Narrow lead/tie",IF(H319&lt;=20%,"Moderate lead","Large lead"))))))</x:f>
        <x:v>Large deficit</x:v>
      </x:c>
    </x:row>
    <x:row r="320">
      <x:c r="A320" t="n">
        <x:v>261</x:v>
      </x:c>
      <x:c r="B320" t="str">
        <x:v>PRY. SCHOOL BANVARIVAS R.NO. 1</x:v>
      </x:c>
      <x:c r="C320" s="83" t="n">
        <x:f>'2017 Form20'!H269</x:f>
        <x:v>27</x:v>
      </x:c>
      <x:c r="D320" s="83" t="n">
        <x:f>'2017 Form20'!D269</x:f>
        <x:v>754</x:v>
      </x:c>
      <x:c r="E320" s="50" t="n">
        <x:f>'2017 Form20'!P269</x:f>
        <x:v>0.03580901856763926</x:v>
      </x:c>
      <x:c r="F320" t="n">
        <x:f>'2017 Form20'!Q269</x:f>
        <x:v>529</x:v>
      </x:c>
      <x:c r="G320" t="n">
        <x:f>'2017 Form20'!R269</x:f>
        <x:v>-502</x:v>
      </x:c>
      <x:c r="H320" s="52" t="n">
        <x:f>'2017 Form20'!S269</x:f>
        <x:v>-0.6657824933687002</x:v>
      </x:c>
      <x:c r="I320" t="str">
        <x:v>Dhirendra Singh</x:v>
      </x:c>
      <x:c r="J320" t="str">
        <x:v>BJP</x:v>
      </x:c>
      <x:c r="K320" t="str">
        <x:v>EVM row</x:v>
      </x:c>
      <x:c r="L320" s="133" t="str">
        <x:f>IF(D320&lt;=0,"No EVM votes",IF(E320&lt;$N$7,"Low",IF(E320&gt;$R$7,"High","Middle")))</x:f>
        <x:v>Middle</x:v>
      </x:c>
      <x:c r="M320" s="133" t="str">
        <x:f>IF(D320&lt;=0,"No EVM votes",IF(H320&lt;-20%,"Large deficit",IF(H320&lt;-5%,"Moderate deficit",IF(H320&lt;0,"Narrow deficit",IF(H320&lt;=5%,"Narrow lead/tie",IF(H320&lt;=20%,"Moderate lead","Large lead"))))))</x:f>
        <x:v>Large deficit</x:v>
      </x:c>
    </x:row>
    <x:row r="321">
      <x:c r="A321" t="n">
        <x:v>262</x:v>
      </x:c>
      <x:c r="B321" t="str">
        <x:v>PRY. SCHOOL RAMNER R.NO. 1</x:v>
      </x:c>
      <x:c r="C321" s="83" t="n">
        <x:f>'2017 Form20'!H270</x:f>
        <x:v>6</x:v>
      </x:c>
      <x:c r="D321" s="83" t="n">
        <x:f>'2017 Form20'!D270</x:f>
        <x:v>890</x:v>
      </x:c>
      <x:c r="E321" s="50" t="n">
        <x:f>'2017 Form20'!P270</x:f>
        <x:v>0.006741573033707865</x:v>
      </x:c>
      <x:c r="F321" t="n">
        <x:f>'2017 Form20'!Q270</x:f>
        <x:v>587</x:v>
      </x:c>
      <x:c r="G321" t="n">
        <x:f>'2017 Form20'!R270</x:f>
        <x:v>-581</x:v>
      </x:c>
      <x:c r="H321" s="52" t="n">
        <x:f>'2017 Form20'!S270</x:f>
        <x:v>-0.6528089887640449</x:v>
      </x:c>
      <x:c r="I321" t="str">
        <x:v>Vedram Bhati</x:v>
      </x:c>
      <x:c r="J321" t="str">
        <x:v>BSP</x:v>
      </x:c>
      <x:c r="K321" t="str">
        <x:v>EVM row</x:v>
      </x:c>
      <x:c r="L321" s="133" t="str">
        <x:f>IF(D321&lt;=0,"No EVM votes",IF(E321&lt;$N$7,"Low",IF(E321&gt;$R$7,"High","Middle")))</x:f>
        <x:v>Low</x:v>
      </x:c>
      <x:c r="M321" s="133" t="str">
        <x:f>IF(D321&lt;=0,"No EVM votes",IF(H321&lt;-20%,"Large deficit",IF(H321&lt;-5%,"Moderate deficit",IF(H321&lt;0,"Narrow deficit",IF(H321&lt;=5%,"Narrow lead/tie",IF(H321&lt;=20%,"Moderate lead","Large lead"))))))</x:f>
        <x:v>Large deficit</x:v>
      </x:c>
    </x:row>
    <x:row r="322">
      <x:c r="A322" t="n">
        <x:v>263</x:v>
      </x:c>
      <x:c r="B322" t="str">
        <x:v>PRY. SCHOOL DHANSIYA R.NO. 1</x:v>
      </x:c>
      <x:c r="C322" s="83" t="n">
        <x:f>'2017 Form20'!H271</x:f>
        <x:v>2</x:v>
      </x:c>
      <x:c r="D322" s="83" t="n">
        <x:f>'2017 Form20'!D271</x:f>
        <x:v>524</x:v>
      </x:c>
      <x:c r="E322" s="50" t="n">
        <x:f>'2017 Form20'!P271</x:f>
        <x:v>0.003816793893129771</x:v>
      </x:c>
      <x:c r="F322" t="n">
        <x:f>'2017 Form20'!Q271</x:f>
        <x:v>268</x:v>
      </x:c>
      <x:c r="G322" t="n">
        <x:f>'2017 Form20'!R271</x:f>
        <x:v>-266</x:v>
      </x:c>
      <x:c r="H322" s="52" t="n">
        <x:f>'2017 Form20'!S271</x:f>
        <x:v>-0.5076335877862596</x:v>
      </x:c>
      <x:c r="I322" t="str">
        <x:v>Vedram Bhati</x:v>
      </x:c>
      <x:c r="J322" t="str">
        <x:v>BSP</x:v>
      </x:c>
      <x:c r="K322" t="str">
        <x:v>EVM row</x:v>
      </x:c>
      <x:c r="L322" s="133" t="str">
        <x:f>IF(D322&lt;=0,"No EVM votes",IF(E322&lt;$N$7,"Low",IF(E322&gt;$R$7,"High","Middle")))</x:f>
        <x:v>Low</x:v>
      </x:c>
      <x:c r="M322" s="133" t="str">
        <x:f>IF(D322&lt;=0,"No EVM votes",IF(H322&lt;-20%,"Large deficit",IF(H322&lt;-5%,"Moderate deficit",IF(H322&lt;0,"Narrow deficit",IF(H322&lt;=5%,"Narrow lead/tie",IF(H322&lt;=20%,"Moderate lead","Large lead"))))))</x:f>
        <x:v>Large deficit</x:v>
      </x:c>
    </x:row>
    <x:row r="323">
      <x:c r="A323" t="n">
        <x:v>264</x:v>
      </x:c>
      <x:c r="B323" t="str">
        <x:v>PRY. SCHOOL DASTAMPUR R.NO. 1</x:v>
      </x:c>
      <x:c r="C323" s="83" t="n">
        <x:f>'2017 Form20'!H272</x:f>
        <x:v>5</x:v>
      </x:c>
      <x:c r="D323" s="83" t="n">
        <x:f>'2017 Form20'!D272</x:f>
        <x:v>479</x:v>
      </x:c>
      <x:c r="E323" s="50" t="n">
        <x:f>'2017 Form20'!P272</x:f>
        <x:v>0.010438413361169102</x:v>
      </x:c>
      <x:c r="F323" t="n">
        <x:f>'2017 Form20'!Q272</x:f>
        <x:v>249</x:v>
      </x:c>
      <x:c r="G323" t="n">
        <x:f>'2017 Form20'!R272</x:f>
        <x:v>-244</x:v>
      </x:c>
      <x:c r="H323" s="52" t="n">
        <x:f>'2017 Form20'!S272</x:f>
        <x:v>-0.5093945720250522</x:v>
      </x:c>
      <x:c r="I323" t="str">
        <x:v>Vedram Bhati</x:v>
      </x:c>
      <x:c r="J323" t="str">
        <x:v>BSP</x:v>
      </x:c>
      <x:c r="K323" t="str">
        <x:v>EVM row</x:v>
      </x:c>
      <x:c r="L323" s="133" t="str">
        <x:f>IF(D323&lt;=0,"No EVM votes",IF(E323&lt;$N$7,"Low",IF(E323&gt;$R$7,"High","Middle")))</x:f>
        <x:v>Low</x:v>
      </x:c>
      <x:c r="M323" s="133" t="str">
        <x:f>IF(D323&lt;=0,"No EVM votes",IF(H323&lt;-20%,"Large deficit",IF(H323&lt;-5%,"Moderate deficit",IF(H323&lt;0,"Narrow deficit",IF(H323&lt;=5%,"Narrow lead/tie",IF(H323&lt;=20%,"Moderate lead","Large lead"))))))</x:f>
        <x:v>Large deficit</x:v>
      </x:c>
    </x:row>
    <x:row r="324">
      <x:c r="A324" t="n">
        <x:v>265</x:v>
      </x:c>
      <x:c r="B324" t="str">
        <x:v>PRY. SCHOOL DASTAMPUR R.NO. 2</x:v>
      </x:c>
      <x:c r="C324" s="83" t="n">
        <x:f>'2017 Form20'!H273</x:f>
        <x:v>7</x:v>
      </x:c>
      <x:c r="D324" s="83" t="n">
        <x:f>'2017 Form20'!D273</x:f>
        <x:v>474</x:v>
      </x:c>
      <x:c r="E324" s="50" t="n">
        <x:f>'2017 Form20'!P273</x:f>
        <x:v>0.014767932489451477</x:v>
      </x:c>
      <x:c r="F324" t="n">
        <x:f>'2017 Form20'!Q273</x:f>
        <x:v>258</x:v>
      </x:c>
      <x:c r="G324" t="n">
        <x:f>'2017 Form20'!R273</x:f>
        <x:v>-251</x:v>
      </x:c>
      <x:c r="H324" s="52" t="n">
        <x:f>'2017 Form20'!S273</x:f>
        <x:v>-0.5295358649789029</x:v>
      </x:c>
      <x:c r="I324" t="str">
        <x:v>Dhirendra Singh</x:v>
      </x:c>
      <x:c r="J324" t="str">
        <x:v>BJP</x:v>
      </x:c>
      <x:c r="K324" t="str">
        <x:v>EVM row</x:v>
      </x:c>
      <x:c r="L324" s="133" t="str">
        <x:f>IF(D324&lt;=0,"No EVM votes",IF(E324&lt;$N$7,"Low",IF(E324&gt;$R$7,"High","Middle")))</x:f>
        <x:v>Low</x:v>
      </x:c>
      <x:c r="M324" s="133" t="str">
        <x:f>IF(D324&lt;=0,"No EVM votes",IF(H324&lt;-20%,"Large deficit",IF(H324&lt;-5%,"Moderate deficit",IF(H324&lt;0,"Narrow deficit",IF(H324&lt;=5%,"Narrow lead/tie",IF(H324&lt;=20%,"Moderate lead","Large lead"))))))</x:f>
        <x:v>Large deficit</x:v>
      </x:c>
    </x:row>
    <x:row r="325">
      <x:c r="A325" t="n">
        <x:v>266</x:v>
      </x:c>
      <x:c r="B325" t="str">
        <x:v>PRY. SCHOOL MOHBALIPUR R.NO. 1</x:v>
      </x:c>
      <x:c r="C325" s="83" t="n">
        <x:f>'2017 Form20'!H274</x:f>
        <x:v>19</x:v>
      </x:c>
      <x:c r="D325" s="83" t="n">
        <x:f>'2017 Form20'!D274</x:f>
        <x:v>879</x:v>
      </x:c>
      <x:c r="E325" s="50" t="n">
        <x:f>'2017 Form20'!P274</x:f>
        <x:v>0.02161547212741752</x:v>
      </x:c>
      <x:c r="F325" t="n">
        <x:f>'2017 Form20'!Q274</x:f>
        <x:v>735</x:v>
      </x:c>
      <x:c r="G325" t="n">
        <x:f>'2017 Form20'!R274</x:f>
        <x:v>-716</x:v>
      </x:c>
      <x:c r="H325" s="52" t="n">
        <x:f>'2017 Form20'!S274</x:f>
        <x:v>-0.8145620022753128</x:v>
      </x:c>
      <x:c r="I325" t="str">
        <x:v>Dhirendra Singh</x:v>
      </x:c>
      <x:c r="J325" t="str">
        <x:v>BJP</x:v>
      </x:c>
      <x:c r="K325" t="str">
        <x:v>EVM row</x:v>
      </x:c>
      <x:c r="L325" s="133" t="str">
        <x:f>IF(D325&lt;=0,"No EVM votes",IF(E325&lt;$N$7,"Low",IF(E325&gt;$R$7,"High","Middle")))</x:f>
        <x:v>Middle</x:v>
      </x:c>
      <x:c r="M325" s="133" t="str">
        <x:f>IF(D325&lt;=0,"No EVM votes",IF(H325&lt;-20%,"Large deficit",IF(H325&lt;-5%,"Moderate deficit",IF(H325&lt;0,"Narrow deficit",IF(H325&lt;=5%,"Narrow lead/tie",IF(H325&lt;=20%,"Moderate lead","Large lead"))))))</x:f>
        <x:v>Large deficit</x:v>
      </x:c>
    </x:row>
    <x:row r="326">
      <x:c r="A326" t="n">
        <x:v>267</x:v>
      </x:c>
      <x:c r="B326" t="str">
        <x:v>PRY. SCHOOL MILK KARIMABAD R.NO. 1</x:v>
      </x:c>
      <x:c r="C326" s="83" t="n">
        <x:f>'2017 Form20'!H275</x:f>
        <x:v>11</x:v>
      </x:c>
      <x:c r="D326" s="83" t="n">
        <x:f>'2017 Form20'!D275</x:f>
        <x:v>173</x:v>
      </x:c>
      <x:c r="E326" s="50" t="n">
        <x:f>'2017 Form20'!P275</x:f>
        <x:v>0.06358381502890173</x:v>
      </x:c>
      <x:c r="F326" t="n">
        <x:f>'2017 Form20'!Q275</x:f>
        <x:v>84</x:v>
      </x:c>
      <x:c r="G326" t="n">
        <x:f>'2017 Form20'!R275</x:f>
        <x:v>-73</x:v>
      </x:c>
      <x:c r="H326" s="52" t="n">
        <x:f>'2017 Form20'!S275</x:f>
        <x:v>-0.42196531791907516</x:v>
      </x:c>
      <x:c r="I326" t="str">
        <x:v>Dhirendra Singh</x:v>
      </x:c>
      <x:c r="J326" t="str">
        <x:v>BJP</x:v>
      </x:c>
      <x:c r="K326" t="str">
        <x:v>EVM row</x:v>
      </x:c>
      <x:c r="L326" s="133" t="str">
        <x:f>IF(D326&lt;=0,"No EVM votes",IF(E326&lt;$N$7,"Low",IF(E326&gt;$R$7,"High","Middle")))</x:f>
        <x:v>Middle</x:v>
      </x:c>
      <x:c r="M326" s="133" t="str">
        <x:f>IF(D326&lt;=0,"No EVM votes",IF(H326&lt;-20%,"Large deficit",IF(H326&lt;-5%,"Moderate deficit",IF(H326&lt;0,"Narrow deficit",IF(H326&lt;=5%,"Narrow lead/tie",IF(H326&lt;=20%,"Moderate lead","Large lead"))))))</x:f>
        <x:v>Large deficit</x:v>
      </x:c>
    </x:row>
    <x:row r="327">
      <x:c r="A327" t="n">
        <x:v>268</x:v>
      </x:c>
      <x:c r="B327" t="str">
        <x:v>PRY. SCHOOL ALI AHMADPUR URF GARHI R.NO. 1</x:v>
      </x:c>
      <x:c r="C327" s="83" t="n">
        <x:f>'2017 Form20'!H276</x:f>
        <x:v>14</x:v>
      </x:c>
      <x:c r="D327" s="83" t="n">
        <x:f>'2017 Form20'!D276</x:f>
        <x:v>636</x:v>
      </x:c>
      <x:c r="E327" s="50" t="n">
        <x:f>'2017 Form20'!P276</x:f>
        <x:v>0.0220125786163522</x:v>
      </x:c>
      <x:c r="F327" t="n">
        <x:f>'2017 Form20'!Q276</x:f>
        <x:v>416</x:v>
      </x:c>
      <x:c r="G327" t="n">
        <x:f>'2017 Form20'!R276</x:f>
        <x:v>-402</x:v>
      </x:c>
      <x:c r="H327" s="52" t="n">
        <x:f>'2017 Form20'!S276</x:f>
        <x:v>-0.6320754716981132</x:v>
      </x:c>
      <x:c r="I327" t="str">
        <x:v>Dhirendra Singh</x:v>
      </x:c>
      <x:c r="J327" t="str">
        <x:v>BJP</x:v>
      </x:c>
      <x:c r="K327" t="str">
        <x:v>EVM row</x:v>
      </x:c>
      <x:c r="L327" s="133" t="str">
        <x:f>IF(D327&lt;=0,"No EVM votes",IF(E327&lt;$N$7,"Low",IF(E327&gt;$R$7,"High","Middle")))</x:f>
        <x:v>Middle</x:v>
      </x:c>
      <x:c r="M327" s="133" t="str">
        <x:f>IF(D327&lt;=0,"No EVM votes",IF(H327&lt;-20%,"Large deficit",IF(H327&lt;-5%,"Moderate deficit",IF(H327&lt;0,"Narrow deficit",IF(H327&lt;=5%,"Narrow lead/tie",IF(H327&lt;=20%,"Moderate lead","Large lead"))))))</x:f>
        <x:v>Large deficit</x:v>
      </x:c>
    </x:row>
    <x:row r="328">
      <x:c r="A328" t="n">
        <x:v>269</x:v>
      </x:c>
      <x:c r="B328" t="str">
        <x:v>PRY. SCHOOL NO. 1 THAURA R.NO. 1</x:v>
      </x:c>
      <x:c r="C328" s="83" t="n">
        <x:f>'2017 Form20'!H277</x:f>
        <x:v>13</x:v>
      </x:c>
      <x:c r="D328" s="83" t="n">
        <x:f>'2017 Form20'!D277</x:f>
        <x:v>785</x:v>
      </x:c>
      <x:c r="E328" s="50" t="n">
        <x:f>'2017 Form20'!P277</x:f>
        <x:v>0.016560509554140127</x:v>
      </x:c>
      <x:c r="F328" t="n">
        <x:f>'2017 Form20'!Q277</x:f>
        <x:v>642</x:v>
      </x:c>
      <x:c r="G328" t="n">
        <x:f>'2017 Form20'!R277</x:f>
        <x:v>-629</x:v>
      </x:c>
      <x:c r="H328" s="52" t="n">
        <x:f>'2017 Form20'!S277</x:f>
        <x:v>-0.8012738853503185</x:v>
      </x:c>
      <x:c r="I328" t="str">
        <x:v>Dhirendra Singh</x:v>
      </x:c>
      <x:c r="J328" t="str">
        <x:v>BJP</x:v>
      </x:c>
      <x:c r="K328" t="str">
        <x:v>EVM row</x:v>
      </x:c>
      <x:c r="L328" s="133" t="str">
        <x:f>IF(D328&lt;=0,"No EVM votes",IF(E328&lt;$N$7,"Low",IF(E328&gt;$R$7,"High","Middle")))</x:f>
        <x:v>Middle</x:v>
      </x:c>
      <x:c r="M328" s="133" t="str">
        <x:f>IF(D328&lt;=0,"No EVM votes",IF(H328&lt;-20%,"Large deficit",IF(H328&lt;-5%,"Moderate deficit",IF(H328&lt;0,"Narrow deficit",IF(H328&lt;=5%,"Narrow lead/tie",IF(H328&lt;=20%,"Moderate lead","Large lead"))))))</x:f>
        <x:v>Large deficit</x:v>
      </x:c>
    </x:row>
    <x:row r="329">
      <x:c r="A329" t="n">
        <x:v>270</x:v>
      </x:c>
      <x:c r="B329" t="str">
        <x:v>PRY. SCHOOL NO. 1 THAURA R.NO. 2</x:v>
      </x:c>
      <x:c r="C329" s="83" t="n">
        <x:f>'2017 Form20'!H278</x:f>
        <x:v>9</x:v>
      </x:c>
      <x:c r="D329" s="83" t="n">
        <x:f>'2017 Form20'!D278</x:f>
        <x:v>617</x:v>
      </x:c>
      <x:c r="E329" s="50" t="n">
        <x:f>'2017 Form20'!P278</x:f>
        <x:v>0.014586709886547812</x:v>
      </x:c>
      <x:c r="F329" t="n">
        <x:f>'2017 Form20'!Q278</x:f>
        <x:v>504</x:v>
      </x:c>
      <x:c r="G329" t="n">
        <x:f>'2017 Form20'!R278</x:f>
        <x:v>-495</x:v>
      </x:c>
      <x:c r="H329" s="52" t="n">
        <x:f>'2017 Form20'!S278</x:f>
        <x:v>-0.8022690437601296</x:v>
      </x:c>
      <x:c r="I329" t="str">
        <x:v>Dhirendra Singh</x:v>
      </x:c>
      <x:c r="J329" t="str">
        <x:v>BJP</x:v>
      </x:c>
      <x:c r="K329" t="str">
        <x:v>EVM row</x:v>
      </x:c>
      <x:c r="L329" s="133" t="str">
        <x:f>IF(D329&lt;=0,"No EVM votes",IF(E329&lt;$N$7,"Low",IF(E329&gt;$R$7,"High","Middle")))</x:f>
        <x:v>Low</x:v>
      </x:c>
      <x:c r="M329" s="133" t="str">
        <x:f>IF(D329&lt;=0,"No EVM votes",IF(H329&lt;-20%,"Large deficit",IF(H329&lt;-5%,"Moderate deficit",IF(H329&lt;0,"Narrow deficit",IF(H329&lt;=5%,"Narrow lead/tie",IF(H329&lt;=20%,"Moderate lead","Large lead"))))))</x:f>
        <x:v>Large deficit</x:v>
      </x:c>
    </x:row>
    <x:row r="330">
      <x:c r="A330" t="n">
        <x:v>271</x:v>
      </x:c>
      <x:c r="B330" t="str">
        <x:v>PRY. SCHOOL NO. 2 THAURA R.NO. 1</x:v>
      </x:c>
      <x:c r="C330" s="83" t="n">
        <x:f>'2017 Form20'!H279</x:f>
        <x:v>16</x:v>
      </x:c>
      <x:c r="D330" s="83" t="n">
        <x:f>'2017 Form20'!D279</x:f>
        <x:v>835</x:v>
      </x:c>
      <x:c r="E330" s="50" t="n">
        <x:f>'2017 Form20'!P279</x:f>
        <x:v>0.019161676646706587</x:v>
      </x:c>
      <x:c r="F330" t="n">
        <x:f>'2017 Form20'!Q279</x:f>
        <x:v>497</x:v>
      </x:c>
      <x:c r="G330" t="n">
        <x:f>'2017 Form20'!R279</x:f>
        <x:v>-481</x:v>
      </x:c>
      <x:c r="H330" s="52" t="n">
        <x:f>'2017 Form20'!S279</x:f>
        <x:v>-0.5760479041916168</x:v>
      </x:c>
      <x:c r="I330" t="str">
        <x:v>Dhirendra Singh</x:v>
      </x:c>
      <x:c r="J330" t="str">
        <x:v>BJP</x:v>
      </x:c>
      <x:c r="K330" t="str">
        <x:v>EVM row</x:v>
      </x:c>
      <x:c r="L330" s="133" t="str">
        <x:f>IF(D330&lt;=0,"No EVM votes",IF(E330&lt;$N$7,"Low",IF(E330&gt;$R$7,"High","Middle")))</x:f>
        <x:v>Middle</x:v>
      </x:c>
      <x:c r="M330" s="133" t="str">
        <x:f>IF(D330&lt;=0,"No EVM votes",IF(H330&lt;-20%,"Large deficit",IF(H330&lt;-5%,"Moderate deficit",IF(H330&lt;0,"Narrow deficit",IF(H330&lt;=5%,"Narrow lead/tie",IF(H330&lt;=20%,"Moderate lead","Large lead"))))))</x:f>
        <x:v>Large deficit</x:v>
      </x:c>
    </x:row>
    <x:row r="331">
      <x:c r="A331" t="n">
        <x:v>272</x:v>
      </x:c>
      <x:c r="B331" t="str">
        <x:v>PRY. SCHOOL NO. 2 THAURA R.NO. 2</x:v>
      </x:c>
      <x:c r="C331" s="83" t="n">
        <x:f>'2017 Form20'!H280</x:f>
        <x:v>37</x:v>
      </x:c>
      <x:c r="D331" s="83" t="n">
        <x:f>'2017 Form20'!D280</x:f>
        <x:v>743</x:v>
      </x:c>
      <x:c r="E331" s="50" t="n">
        <x:f>'2017 Form20'!P280</x:f>
        <x:v>0.04979811574697174</x:v>
      </x:c>
      <x:c r="F331" t="n">
        <x:f>'2017 Form20'!Q280</x:f>
        <x:v>327</x:v>
      </x:c>
      <x:c r="G331" t="n">
        <x:f>'2017 Form20'!R280</x:f>
        <x:v>-290</x:v>
      </x:c>
      <x:c r="H331" s="52" t="n">
        <x:f>'2017 Form20'!S280</x:f>
        <x:v>-0.39030955585464333</x:v>
      </x:c>
      <x:c r="I331" t="str">
        <x:v>Dhirendra Singh</x:v>
      </x:c>
      <x:c r="J331" t="str">
        <x:v>BJP</x:v>
      </x:c>
      <x:c r="K331" t="str">
        <x:v>EVM row</x:v>
      </x:c>
      <x:c r="L331" s="133" t="str">
        <x:f>IF(D331&lt;=0,"No EVM votes",IF(E331&lt;$N$7,"Low",IF(E331&gt;$R$7,"High","Middle")))</x:f>
        <x:v>Middle</x:v>
      </x:c>
      <x:c r="M331" s="133" t="str">
        <x:f>IF(D331&lt;=0,"No EVM votes",IF(H331&lt;-20%,"Large deficit",IF(H331&lt;-5%,"Moderate deficit",IF(H331&lt;0,"Narrow deficit",IF(H331&lt;=5%,"Narrow lead/tie",IF(H331&lt;=20%,"Moderate lead","Large lead"))))))</x:f>
        <x:v>Large deficit</x:v>
      </x:c>
    </x:row>
    <x:row r="332">
      <x:c r="A332" t="n">
        <x:v>273</x:v>
      </x:c>
      <x:c r="B332" t="str">
        <x:v>PRY. SCHOOL BANKAPUR R.NO. 1</x:v>
      </x:c>
      <x:c r="C332" s="83" t="n">
        <x:f>'2017 Form20'!H281</x:f>
        <x:v>21</x:v>
      </x:c>
      <x:c r="D332" s="83" t="n">
        <x:f>'2017 Form20'!D281</x:f>
        <x:v>841</x:v>
      </x:c>
      <x:c r="E332" s="50" t="n">
        <x:f>'2017 Form20'!P281</x:f>
        <x:v>0.02497027348394768</x:v>
      </x:c>
      <x:c r="F332" t="n">
        <x:f>'2017 Form20'!Q281</x:f>
        <x:v>603</x:v>
      </x:c>
      <x:c r="G332" t="n">
        <x:f>'2017 Form20'!R281</x:f>
        <x:v>-582</x:v>
      </x:c>
      <x:c r="H332" s="52" t="n">
        <x:f>'2017 Form20'!S281</x:f>
        <x:v>-0.6920332936979786</x:v>
      </x:c>
      <x:c r="I332" t="str">
        <x:v>Dhirendra Singh</x:v>
      </x:c>
      <x:c r="J332" t="str">
        <x:v>BJP</x:v>
      </x:c>
      <x:c r="K332" t="str">
        <x:v>EVM row</x:v>
      </x:c>
      <x:c r="L332" s="133" t="str">
        <x:f>IF(D332&lt;=0,"No EVM votes",IF(E332&lt;$N$7,"Low",IF(E332&gt;$R$7,"High","Middle")))</x:f>
        <x:v>Middle</x:v>
      </x:c>
      <x:c r="M332" s="133" t="str">
        <x:f>IF(D332&lt;=0,"No EVM votes",IF(H332&lt;-20%,"Large deficit",IF(H332&lt;-5%,"Moderate deficit",IF(H332&lt;0,"Narrow deficit",IF(H332&lt;=5%,"Narrow lead/tie",IF(H332&lt;=20%,"Moderate lead","Large lead"))))))</x:f>
        <x:v>Large deficit</x:v>
      </x:c>
    </x:row>
    <x:row r="333">
      <x:c r="A333" t="n">
        <x:v>274</x:v>
      </x:c>
      <x:c r="B333" t="str">
        <x:v>PRY. SCHOOL NEEMKA SHAHJAHANPUR R.NO. 1</x:v>
      </x:c>
      <x:c r="C333" s="83" t="n">
        <x:f>'2017 Form20'!H282</x:f>
        <x:v>23</x:v>
      </x:c>
      <x:c r="D333" s="83" t="n">
        <x:f>'2017 Form20'!D282</x:f>
        <x:v>534</x:v>
      </x:c>
      <x:c r="E333" s="50" t="n">
        <x:f>'2017 Form20'!P282</x:f>
        <x:v>0.04307116104868914</x:v>
      </x:c>
      <x:c r="F333" t="n">
        <x:f>'2017 Form20'!Q282</x:f>
        <x:v>382</x:v>
      </x:c>
      <x:c r="G333" t="n">
        <x:f>'2017 Form20'!R282</x:f>
        <x:v>-359</x:v>
      </x:c>
      <x:c r="H333" s="52" t="n">
        <x:f>'2017 Form20'!S282</x:f>
        <x:v>-0.6722846441947565</x:v>
      </x:c>
      <x:c r="I333" t="str">
        <x:v>Vedram Bhati</x:v>
      </x:c>
      <x:c r="J333" t="str">
        <x:v>BSP</x:v>
      </x:c>
      <x:c r="K333" t="str">
        <x:v>EVM row</x:v>
      </x:c>
      <x:c r="L333" s="133" t="str">
        <x:f>IF(D333&lt;=0,"No EVM votes",IF(E333&lt;$N$7,"Low",IF(E333&gt;$R$7,"High","Middle")))</x:f>
        <x:v>Middle</x:v>
      </x:c>
      <x:c r="M333" s="133" t="str">
        <x:f>IF(D333&lt;=0,"No EVM votes",IF(H333&lt;-20%,"Large deficit",IF(H333&lt;-5%,"Moderate deficit",IF(H333&lt;0,"Narrow deficit",IF(H333&lt;=5%,"Narrow lead/tie",IF(H333&lt;=20%,"Moderate lead","Large lead"))))))</x:f>
        <x:v>Large deficit</x:v>
      </x:c>
    </x:row>
    <x:row r="334">
      <x:c r="A334" t="n">
        <x:v>275</x:v>
      </x:c>
      <x:c r="B334" t="str">
        <x:v>PRY. SCHOOL NEEMKA SHAHJAHANPUR R.NO. 2</x:v>
      </x:c>
      <x:c r="C334" s="83" t="n">
        <x:f>'2017 Form20'!H283</x:f>
        <x:v>61</x:v>
      </x:c>
      <x:c r="D334" s="83" t="n">
        <x:f>'2017 Form20'!D283</x:f>
        <x:v>840</x:v>
      </x:c>
      <x:c r="E334" s="50" t="n">
        <x:f>'2017 Form20'!P283</x:f>
        <x:v>0.07261904761904762</x:v>
      </x:c>
      <x:c r="F334" t="n">
        <x:f>'2017 Form20'!Q283</x:f>
        <x:v>630</x:v>
      </x:c>
      <x:c r="G334" t="n">
        <x:f>'2017 Form20'!R283</x:f>
        <x:v>-569</x:v>
      </x:c>
      <x:c r="H334" s="52" t="n">
        <x:f>'2017 Form20'!S283</x:f>
        <x:v>-0.6773809523809524</x:v>
      </x:c>
      <x:c r="I334" t="str">
        <x:v>Dhirendra Singh</x:v>
      </x:c>
      <x:c r="J334" t="str">
        <x:v>BJP</x:v>
      </x:c>
      <x:c r="K334" t="str">
        <x:v>EVM row</x:v>
      </x:c>
      <x:c r="L334" s="133" t="str">
        <x:f>IF(D334&lt;=0,"No EVM votes",IF(E334&lt;$N$7,"Low",IF(E334&gt;$R$7,"High","Middle")))</x:f>
        <x:v>High</x:v>
      </x:c>
      <x:c r="M334" s="133" t="str">
        <x:f>IF(D334&lt;=0,"No EVM votes",IF(H334&lt;-20%,"Large deficit",IF(H334&lt;-5%,"Moderate deficit",IF(H334&lt;0,"Narrow deficit",IF(H334&lt;=5%,"Narrow lead/tie",IF(H334&lt;=20%,"Moderate lead","Large lead"))))))</x:f>
        <x:v>Large deficit</x:v>
      </x:c>
    </x:row>
    <x:row r="335">
      <x:c r="A335" t="n">
        <x:v>276</x:v>
      </x:c>
      <x:c r="B335" t="str">
        <x:v>J. H. SCHOOL NEEMKA SHAHJAHANPUR R.NO. 1</x:v>
      </x:c>
      <x:c r="C335" s="83" t="n">
        <x:f>'2017 Form20'!H284</x:f>
        <x:v>28</x:v>
      </x:c>
      <x:c r="D335" s="83" t="n">
        <x:f>'2017 Form20'!D284</x:f>
        <x:v>438</x:v>
      </x:c>
      <x:c r="E335" s="50" t="n">
        <x:f>'2017 Form20'!P284</x:f>
        <x:v>0.0639269406392694</x:v>
      </x:c>
      <x:c r="F335" t="n">
        <x:f>'2017 Form20'!Q284</x:f>
        <x:v>238</x:v>
      </x:c>
      <x:c r="G335" t="n">
        <x:f>'2017 Form20'!R284</x:f>
        <x:v>-210</x:v>
      </x:c>
      <x:c r="H335" s="52" t="n">
        <x:f>'2017 Form20'!S284</x:f>
        <x:v>-0.4794520547945205</x:v>
      </x:c>
      <x:c r="I335" t="str">
        <x:v>Dhirendra Singh</x:v>
      </x:c>
      <x:c r="J335" t="str">
        <x:v>BJP</x:v>
      </x:c>
      <x:c r="K335" t="str">
        <x:v>EVM row</x:v>
      </x:c>
      <x:c r="L335" s="133" t="str">
        <x:f>IF(D335&lt;=0,"No EVM votes",IF(E335&lt;$N$7,"Low",IF(E335&gt;$R$7,"High","Middle")))</x:f>
        <x:v>Middle</x:v>
      </x:c>
      <x:c r="M335" s="133" t="str">
        <x:f>IF(D335&lt;=0,"No EVM votes",IF(H335&lt;-20%,"Large deficit",IF(H335&lt;-5%,"Moderate deficit",IF(H335&lt;0,"Narrow deficit",IF(H335&lt;=5%,"Narrow lead/tie",IF(H335&lt;=20%,"Moderate lead","Large lead"))))))</x:f>
        <x:v>Large deficit</x:v>
      </x:c>
    </x:row>
    <x:row r="336">
      <x:c r="A336" t="n">
        <x:v>277</x:v>
      </x:c>
      <x:c r="B336" t="str">
        <x:v>PRY. SCHOOL SADULLAPUR URF MODELPUR R.NO. 1</x:v>
      </x:c>
      <x:c r="C336" s="83" t="n">
        <x:f>'2017 Form20'!H285</x:f>
        <x:v>11</x:v>
      </x:c>
      <x:c r="D336" s="83" t="n">
        <x:f>'2017 Form20'!D285</x:f>
        <x:v>483</x:v>
      </x:c>
      <x:c r="E336" s="50" t="n">
        <x:f>'2017 Form20'!P285</x:f>
        <x:v>0.022774327122153208</x:v>
      </x:c>
      <x:c r="F336" t="n">
        <x:f>'2017 Form20'!Q285</x:f>
        <x:v>340</x:v>
      </x:c>
      <x:c r="G336" t="n">
        <x:f>'2017 Form20'!R285</x:f>
        <x:v>-329</x:v>
      </x:c>
      <x:c r="H336" s="52" t="n">
        <x:f>'2017 Form20'!S285</x:f>
        <x:v>-0.6811594202898551</x:v>
      </x:c>
      <x:c r="I336" t="str">
        <x:v>Dhirendra Singh</x:v>
      </x:c>
      <x:c r="J336" t="str">
        <x:v>BJP</x:v>
      </x:c>
      <x:c r="K336" t="str">
        <x:v>EVM row</x:v>
      </x:c>
      <x:c r="L336" s="133" t="str">
        <x:f>IF(D336&lt;=0,"No EVM votes",IF(E336&lt;$N$7,"Low",IF(E336&gt;$R$7,"High","Middle")))</x:f>
        <x:v>Middle</x:v>
      </x:c>
      <x:c r="M336" s="133" t="str">
        <x:f>IF(D336&lt;=0,"No EVM votes",IF(H336&lt;-20%,"Large deficit",IF(H336&lt;-5%,"Moderate deficit",IF(H336&lt;0,"Narrow deficit",IF(H336&lt;=5%,"Narrow lead/tie",IF(H336&lt;=20%,"Moderate lead","Large lead"))))))</x:f>
        <x:v>Large deficit</x:v>
      </x:c>
    </x:row>
    <x:row r="337">
      <x:c r="A337" t="n">
        <x:v>278</x:v>
      </x:c>
      <x:c r="B337" t="str">
        <x:v>PRY. SCHOOL KHWAJPUR R.NO. 1</x:v>
      </x:c>
      <x:c r="C337" s="83" t="n">
        <x:f>'2017 Form20'!H286</x:f>
        <x:v>75</x:v>
      </x:c>
      <x:c r="D337" s="83" t="n">
        <x:f>'2017 Form20'!D286</x:f>
        <x:v>561</x:v>
      </x:c>
      <x:c r="E337" s="50" t="n">
        <x:f>'2017 Form20'!P286</x:f>
        <x:v>0.13368983957219252</x:v>
      </x:c>
      <x:c r="F337" t="n">
        <x:f>'2017 Form20'!Q286</x:f>
        <x:v>347</x:v>
      </x:c>
      <x:c r="G337" t="n">
        <x:f>'2017 Form20'!R286</x:f>
        <x:v>-272</x:v>
      </x:c>
      <x:c r="H337" s="52" t="n">
        <x:f>'2017 Form20'!S286</x:f>
        <x:v>-0.48484848484848486</x:v>
      </x:c>
      <x:c r="I337" t="str">
        <x:v>Dhirendra Singh</x:v>
      </x:c>
      <x:c r="J337" t="str">
        <x:v>BJP</x:v>
      </x:c>
      <x:c r="K337" t="str">
        <x:v>EVM row</x:v>
      </x:c>
      <x:c r="L337" s="133" t="str">
        <x:f>IF(D337&lt;=0,"No EVM votes",IF(E337&lt;$N$7,"Low",IF(E337&gt;$R$7,"High","Middle")))</x:f>
        <x:v>High</x:v>
      </x:c>
      <x:c r="M337" s="133" t="str">
        <x:f>IF(D337&lt;=0,"No EVM votes",IF(H337&lt;-20%,"Large deficit",IF(H337&lt;-5%,"Moderate deficit",IF(H337&lt;0,"Narrow deficit",IF(H337&lt;=5%,"Narrow lead/tie",IF(H337&lt;=20%,"Moderate lead","Large lead"))))))</x:f>
        <x:v>Large deficit</x:v>
      </x:c>
    </x:row>
    <x:row r="338">
      <x:c r="A338" t="n">
        <x:v>279</x:v>
      </x:c>
      <x:c r="B338" t="str">
        <x:v>PRY. SCHOOL KHWAJPUR R.NO. 2</x:v>
      </x:c>
      <x:c r="C338" s="83" t="n">
        <x:f>'2017 Form20'!H287</x:f>
        <x:v>23</x:v>
      </x:c>
      <x:c r="D338" s="83" t="n">
        <x:f>'2017 Form20'!D287</x:f>
        <x:v>548</x:v>
      </x:c>
      <x:c r="E338" s="50" t="n">
        <x:f>'2017 Form20'!P287</x:f>
        <x:v>0.041970802919708027</x:v>
      </x:c>
      <x:c r="F338" t="n">
        <x:f>'2017 Form20'!Q287</x:f>
        <x:v>403</x:v>
      </x:c>
      <x:c r="G338" t="n">
        <x:f>'2017 Form20'!R287</x:f>
        <x:v>-380</x:v>
      </x:c>
      <x:c r="H338" s="52" t="n">
        <x:f>'2017 Form20'!S287</x:f>
        <x:v>-0.6934306569343066</x:v>
      </x:c>
      <x:c r="I338" t="str">
        <x:v>Vedram Bhati</x:v>
      </x:c>
      <x:c r="J338" t="str">
        <x:v>BSP</x:v>
      </x:c>
      <x:c r="K338" t="str">
        <x:v>EVM row</x:v>
      </x:c>
      <x:c r="L338" s="133" t="str">
        <x:f>IF(D338&lt;=0,"No EVM votes",IF(E338&lt;$N$7,"Low",IF(E338&gt;$R$7,"High","Middle")))</x:f>
        <x:v>Middle</x:v>
      </x:c>
      <x:c r="M338" s="133" t="str">
        <x:f>IF(D338&lt;=0,"No EVM votes",IF(H338&lt;-20%,"Large deficit",IF(H338&lt;-5%,"Moderate deficit",IF(H338&lt;0,"Narrow deficit",IF(H338&lt;=5%,"Narrow lead/tie",IF(H338&lt;=20%,"Moderate lead","Large lead"))))))</x:f>
        <x:v>Large deficit</x:v>
      </x:c>
    </x:row>
    <x:row r="339">
      <x:c r="A339" t="n">
        <x:v>280</x:v>
      </x:c>
      <x:c r="B339" t="str">
        <x:v>PRY. SCHOOL JEWAR KHADAR R.NO. 1</x:v>
      </x:c>
      <x:c r="C339" s="83" t="n">
        <x:f>'2017 Form20'!H288</x:f>
        <x:v>11</x:v>
      </x:c>
      <x:c r="D339" s="83" t="n">
        <x:f>'2017 Form20'!D288</x:f>
        <x:v>865</x:v>
      </x:c>
      <x:c r="E339" s="50" t="n">
        <x:f>'2017 Form20'!P288</x:f>
        <x:v>0.012716763005780347</x:v>
      </x:c>
      <x:c r="F339" t="n">
        <x:f>'2017 Form20'!Q288</x:f>
        <x:v>653</x:v>
      </x:c>
      <x:c r="G339" t="n">
        <x:f>'2017 Form20'!R288</x:f>
        <x:v>-642</x:v>
      </x:c>
      <x:c r="H339" s="52" t="n">
        <x:f>'2017 Form20'!S288</x:f>
        <x:v>-0.7421965317919075</x:v>
      </x:c>
      <x:c r="I339" t="str">
        <x:v>Dhirendra Singh</x:v>
      </x:c>
      <x:c r="J339" t="str">
        <x:v>BJP</x:v>
      </x:c>
      <x:c r="K339" t="str">
        <x:v>EVM row</x:v>
      </x:c>
      <x:c r="L339" s="133" t="str">
        <x:f>IF(D339&lt;=0,"No EVM votes",IF(E339&lt;$N$7,"Low",IF(E339&gt;$R$7,"High","Middle")))</x:f>
        <x:v>Low</x:v>
      </x:c>
      <x:c r="M339" s="133" t="str">
        <x:f>IF(D339&lt;=0,"No EVM votes",IF(H339&lt;-20%,"Large deficit",IF(H339&lt;-5%,"Moderate deficit",IF(H339&lt;0,"Narrow deficit",IF(H339&lt;=5%,"Narrow lead/tie",IF(H339&lt;=20%,"Moderate lead","Large lead"))))))</x:f>
        <x:v>Large deficit</x:v>
      </x:c>
    </x:row>
    <x:row r="340">
      <x:c r="A340" t="n">
        <x:v>281</x:v>
      </x:c>
      <x:c r="B340" t="str">
        <x:v>SARSWATI SHISHU MANDIR T.A. JEWAR R.NO. 1</x:v>
      </x:c>
      <x:c r="C340" s="83" t="n">
        <x:f>'2017 Form20'!H289</x:f>
        <x:v>5</x:v>
      </x:c>
      <x:c r="D340" s="83" t="n">
        <x:f>'2017 Form20'!D289</x:f>
        <x:v>760</x:v>
      </x:c>
      <x:c r="E340" s="50" t="n">
        <x:f>'2017 Form20'!P289</x:f>
        <x:v>0.006578947368421052</x:v>
      </x:c>
      <x:c r="F340" t="n">
        <x:f>'2017 Form20'!Q289</x:f>
        <x:v>521</x:v>
      </x:c>
      <x:c r="G340" t="n">
        <x:f>'2017 Form20'!R289</x:f>
        <x:v>-516</x:v>
      </x:c>
      <x:c r="H340" s="52" t="n">
        <x:f>'2017 Form20'!S289</x:f>
        <x:v>-0.6789473684210526</x:v>
      </x:c>
      <x:c r="I340" t="str">
        <x:v>Vedram Bhati</x:v>
      </x:c>
      <x:c r="J340" t="str">
        <x:v>BSP</x:v>
      </x:c>
      <x:c r="K340" t="str">
        <x:v>EVM row</x:v>
      </x:c>
      <x:c r="L340" s="133" t="str">
        <x:f>IF(D340&lt;=0,"No EVM votes",IF(E340&lt;$N$7,"Low",IF(E340&gt;$R$7,"High","Middle")))</x:f>
        <x:v>Low</x:v>
      </x:c>
      <x:c r="M340" s="133" t="str">
        <x:f>IF(D340&lt;=0,"No EVM votes",IF(H340&lt;-20%,"Large deficit",IF(H340&lt;-5%,"Moderate deficit",IF(H340&lt;0,"Narrow deficit",IF(H340&lt;=5%,"Narrow lead/tie",IF(H340&lt;=20%,"Moderate lead","Large lead"))))))</x:f>
        <x:v>Large deficit</x:v>
      </x:c>
    </x:row>
    <x:row r="341">
      <x:c r="A341" t="n">
        <x:v>282</x:v>
      </x:c>
      <x:c r="B341" t="str">
        <x:v>SARSWATI SHISHU MANDIR T.A. JEWAR R.NO. 2</x:v>
      </x:c>
      <x:c r="C341" s="83" t="n">
        <x:f>'2017 Form20'!H290</x:f>
        <x:v>37</x:v>
      </x:c>
      <x:c r="D341" s="83" t="n">
        <x:f>'2017 Form20'!D290</x:f>
        <x:v>682</x:v>
      </x:c>
      <x:c r="E341" s="50" t="n">
        <x:f>'2017 Form20'!P290</x:f>
        <x:v>0.054252199413489736</x:v>
      </x:c>
      <x:c r="F341" t="n">
        <x:f>'2017 Form20'!Q290</x:f>
        <x:v>378</x:v>
      </x:c>
      <x:c r="G341" t="n">
        <x:f>'2017 Form20'!R290</x:f>
        <x:v>-341</x:v>
      </x:c>
      <x:c r="H341" s="52" t="n">
        <x:f>'2017 Form20'!S290</x:f>
        <x:v>-0.5</x:v>
      </x:c>
      <x:c r="I341" t="str">
        <x:v>Dhirendra Singh</x:v>
      </x:c>
      <x:c r="J341" t="str">
        <x:v>BJP</x:v>
      </x:c>
      <x:c r="K341" t="str">
        <x:v>EVM row</x:v>
      </x:c>
      <x:c r="L341" s="133" t="str">
        <x:f>IF(D341&lt;=0,"No EVM votes",IF(E341&lt;$N$7,"Low",IF(E341&gt;$R$7,"High","Middle")))</x:f>
        <x:v>Middle</x:v>
      </x:c>
      <x:c r="M341" s="133" t="str">
        <x:f>IF(D341&lt;=0,"No EVM votes",IF(H341&lt;-20%,"Large deficit",IF(H341&lt;-5%,"Moderate deficit",IF(H341&lt;0,"Narrow deficit",IF(H341&lt;=5%,"Narrow lead/tie",IF(H341&lt;=20%,"Moderate lead","Large lead"))))))</x:f>
        <x:v>Large deficit</x:v>
      </x:c>
    </x:row>
    <x:row r="342">
      <x:c r="A342" t="n">
        <x:v>283</x:v>
      </x:c>
      <x:c r="B342" t="str">
        <x:v>SARSWATI SHISHU MANDIR T.A. JEWAR R.NO. 3</x:v>
      </x:c>
      <x:c r="C342" s="83" t="n">
        <x:f>'2017 Form20'!H291</x:f>
        <x:v>50</x:v>
      </x:c>
      <x:c r="D342" s="83" t="n">
        <x:f>'2017 Form20'!D291</x:f>
        <x:v>503</x:v>
      </x:c>
      <x:c r="E342" s="50" t="n">
        <x:f>'2017 Form20'!P291</x:f>
        <x:v>0.09940357852882704</x:v>
      </x:c>
      <x:c r="F342" t="n">
        <x:f>'2017 Form20'!Q291</x:f>
        <x:v>235</x:v>
      </x:c>
      <x:c r="G342" t="n">
        <x:f>'2017 Form20'!R291</x:f>
        <x:v>-185</x:v>
      </x:c>
      <x:c r="H342" s="52" t="n">
        <x:f>'2017 Form20'!S291</x:f>
        <x:v>-0.36779324055666</x:v>
      </x:c>
      <x:c r="I342" t="str">
        <x:v>Vedram Bhati</x:v>
      </x:c>
      <x:c r="J342" t="str">
        <x:v>BSP</x:v>
      </x:c>
      <x:c r="K342" t="str">
        <x:v>EVM row</x:v>
      </x:c>
      <x:c r="L342" s="133" t="str">
        <x:f>IF(D342&lt;=0,"No EVM votes",IF(E342&lt;$N$7,"Low",IF(E342&gt;$R$7,"High","Middle")))</x:f>
        <x:v>High</x:v>
      </x:c>
      <x:c r="M342" s="133" t="str">
        <x:f>IF(D342&lt;=0,"No EVM votes",IF(H342&lt;-20%,"Large deficit",IF(H342&lt;-5%,"Moderate deficit",IF(H342&lt;0,"Narrow deficit",IF(H342&lt;=5%,"Narrow lead/tie",IF(H342&lt;=20%,"Moderate lead","Large lead"))))))</x:f>
        <x:v>Large deficit</x:v>
      </x:c>
    </x:row>
    <x:row r="343">
      <x:c r="A343" t="n">
        <x:v>284</x:v>
      </x:c>
      <x:c r="B343" t="str">
        <x:v>SARSWATI SHISHU MANDIR T.A. JEWAR R.NO. 4</x:v>
      </x:c>
      <x:c r="C343" s="83" t="n">
        <x:f>'2017 Form20'!H292</x:f>
        <x:v>177</x:v>
      </x:c>
      <x:c r="D343" s="83" t="n">
        <x:f>'2017 Form20'!D292</x:f>
        <x:v>919</x:v>
      </x:c>
      <x:c r="E343" s="50" t="n">
        <x:f>'2017 Form20'!P292</x:f>
        <x:v>0.1926006528835691</x:v>
      </x:c>
      <x:c r="F343" t="n">
        <x:f>'2017 Form20'!Q292</x:f>
        <x:v>402</x:v>
      </x:c>
      <x:c r="G343" t="n">
        <x:f>'2017 Form20'!R292</x:f>
        <x:v>-225</x:v>
      </x:c>
      <x:c r="H343" s="52" t="n">
        <x:f>'2017 Form20'!S292</x:f>
        <x:v>-0.24483133841131666</x:v>
      </x:c>
      <x:c r="I343" t="str">
        <x:v>Vedram Bhati</x:v>
      </x:c>
      <x:c r="J343" t="str">
        <x:v>BSP</x:v>
      </x:c>
      <x:c r="K343" t="str">
        <x:v>EVM row</x:v>
      </x:c>
      <x:c r="L343" s="133" t="str">
        <x:f>IF(D343&lt;=0,"No EVM votes",IF(E343&lt;$N$7,"Low",IF(E343&gt;$R$7,"High","Middle")))</x:f>
        <x:v>High</x:v>
      </x:c>
      <x:c r="M343" s="133" t="str">
        <x:f>IF(D343&lt;=0,"No EVM votes",IF(H343&lt;-20%,"Large deficit",IF(H343&lt;-5%,"Moderate deficit",IF(H343&lt;0,"Narrow deficit",IF(H343&lt;=5%,"Narrow lead/tie",IF(H343&lt;=20%,"Moderate lead","Large lead"))))))</x:f>
        <x:v>Large deficit</x:v>
      </x:c>
    </x:row>
    <x:row r="344">
      <x:c r="A344" t="n">
        <x:v>285</x:v>
      </x:c>
      <x:c r="B344" t="str">
        <x:v>SARSWATI SHISHU MANDIR T.A. JEWAR R.NO. 5</x:v>
      </x:c>
      <x:c r="C344" s="83" t="n">
        <x:f>'2017 Form20'!H293</x:f>
        <x:v>35</x:v>
      </x:c>
      <x:c r="D344" s="83" t="n">
        <x:f>'2017 Form20'!D293</x:f>
        <x:v>797</x:v>
      </x:c>
      <x:c r="E344" s="50" t="n">
        <x:f>'2017 Form20'!P293</x:f>
        <x:v>0.043914680050188205</x:v>
      </x:c>
      <x:c r="F344" t="n">
        <x:f>'2017 Form20'!Q293</x:f>
        <x:v>581</x:v>
      </x:c>
      <x:c r="G344" t="n">
        <x:f>'2017 Form20'!R293</x:f>
        <x:v>-546</x:v>
      </x:c>
      <x:c r="H344" s="52" t="n">
        <x:f>'2017 Form20'!S293</x:f>
        <x:v>-0.685069008782936</x:v>
      </x:c>
      <x:c r="I344" t="str">
        <x:v>Dhirendra Singh</x:v>
      </x:c>
      <x:c r="J344" t="str">
        <x:v>BJP</x:v>
      </x:c>
      <x:c r="K344" t="str">
        <x:v>EVM row</x:v>
      </x:c>
      <x:c r="L344" s="133" t="str">
        <x:f>IF(D344&lt;=0,"No EVM votes",IF(E344&lt;$N$7,"Low",IF(E344&gt;$R$7,"High","Middle")))</x:f>
        <x:v>Middle</x:v>
      </x:c>
      <x:c r="M344" s="133" t="str">
        <x:f>IF(D344&lt;=0,"No EVM votes",IF(H344&lt;-20%,"Large deficit",IF(H344&lt;-5%,"Moderate deficit",IF(H344&lt;0,"Narrow deficit",IF(H344&lt;=5%,"Narrow lead/tie",IF(H344&lt;=20%,"Moderate lead","Large lead"))))))</x:f>
        <x:v>Large deficit</x:v>
      </x:c>
    </x:row>
    <x:row r="345">
      <x:c r="A345" t="n">
        <x:v>286</x:v>
      </x:c>
      <x:c r="B345" t="str">
        <x:v>PRY. SCHOOL JAFRABAD R.NO. 1</x:v>
      </x:c>
      <x:c r="C345" s="83" t="n">
        <x:f>'2017 Form20'!H294</x:f>
        <x:v>18</x:v>
      </x:c>
      <x:c r="D345" s="83" t="n">
        <x:f>'2017 Form20'!D294</x:f>
        <x:v>309</x:v>
      </x:c>
      <x:c r="E345" s="50" t="n">
        <x:f>'2017 Form20'!P294</x:f>
        <x:v>0.05825242718446602</x:v>
      </x:c>
      <x:c r="F345" t="n">
        <x:f>'2017 Form20'!Q294</x:f>
        <x:v>177</x:v>
      </x:c>
      <x:c r="G345" t="n">
        <x:f>'2017 Form20'!R294</x:f>
        <x:v>-159</x:v>
      </x:c>
      <x:c r="H345" s="52" t="n">
        <x:f>'2017 Form20'!S294</x:f>
        <x:v>-0.5145631067961165</x:v>
      </x:c>
      <x:c r="I345" t="str">
        <x:v>Dhirendra Singh</x:v>
      </x:c>
      <x:c r="J345" t="str">
        <x:v>BJP</x:v>
      </x:c>
      <x:c r="K345" t="str">
        <x:v>EVM row</x:v>
      </x:c>
      <x:c r="L345" s="133" t="str">
        <x:f>IF(D345&lt;=0,"No EVM votes",IF(E345&lt;$N$7,"Low",IF(E345&gt;$R$7,"High","Middle")))</x:f>
        <x:v>Middle</x:v>
      </x:c>
      <x:c r="M345" s="133" t="str">
        <x:f>IF(D345&lt;=0,"No EVM votes",IF(H345&lt;-20%,"Large deficit",IF(H345&lt;-5%,"Moderate deficit",IF(H345&lt;0,"Narrow deficit",IF(H345&lt;=5%,"Narrow lead/tie",IF(H345&lt;=20%,"Moderate lead","Large lead"))))))</x:f>
        <x:v>Large deficit</x:v>
      </x:c>
    </x:row>
    <x:row r="346">
      <x:c r="A346" t="n">
        <x:v>287</x:v>
      </x:c>
      <x:c r="B346" t="str">
        <x:v>PRY. SCHOOL SAHABNAGAR R.NO. 1</x:v>
      </x:c>
      <x:c r="C346" s="83" t="n">
        <x:f>'2017 Form20'!H295</x:f>
        <x:v>7</x:v>
      </x:c>
      <x:c r="D346" s="83" t="n">
        <x:f>'2017 Form20'!D295</x:f>
        <x:v>511</x:v>
      </x:c>
      <x:c r="E346" s="50" t="n">
        <x:f>'2017 Form20'!P295</x:f>
        <x:v>0.0136986301369863</x:v>
      </x:c>
      <x:c r="F346" t="n">
        <x:f>'2017 Form20'!Q295</x:f>
        <x:v>392</x:v>
      </x:c>
      <x:c r="G346" t="n">
        <x:f>'2017 Form20'!R295</x:f>
        <x:v>-385</x:v>
      </x:c>
      <x:c r="H346" s="52" t="n">
        <x:f>'2017 Form20'!S295</x:f>
        <x:v>-0.7534246575342466</x:v>
      </x:c>
      <x:c r="I346" t="str">
        <x:v>Dhirendra Singh</x:v>
      </x:c>
      <x:c r="J346" t="str">
        <x:v>BJP</x:v>
      </x:c>
      <x:c r="K346" t="str">
        <x:v>EVM row</x:v>
      </x:c>
      <x:c r="L346" s="133" t="str">
        <x:f>IF(D346&lt;=0,"No EVM votes",IF(E346&lt;$N$7,"Low",IF(E346&gt;$R$7,"High","Middle")))</x:f>
        <x:v>Low</x:v>
      </x:c>
      <x:c r="M346" s="133" t="str">
        <x:f>IF(D346&lt;=0,"No EVM votes",IF(H346&lt;-20%,"Large deficit",IF(H346&lt;-5%,"Moderate deficit",IF(H346&lt;0,"Narrow deficit",IF(H346&lt;=5%,"Narrow lead/tie",IF(H346&lt;=20%,"Moderate lead","Large lead"))))))</x:f>
        <x:v>Large deficit</x:v>
      </x:c>
    </x:row>
    <x:row r="347">
      <x:c r="A347" t="n">
        <x:v>288</x:v>
      </x:c>
      <x:c r="B347" t="str">
        <x:v>ADARSH KANYA I. C. T.A. JEWAR R.NO. 1</x:v>
      </x:c>
      <x:c r="C347" s="83" t="n">
        <x:f>'2017 Form20'!H296</x:f>
        <x:v>43</x:v>
      </x:c>
      <x:c r="D347" s="83" t="n">
        <x:f>'2017 Form20'!D296</x:f>
        <x:v>608</x:v>
      </x:c>
      <x:c r="E347" s="50" t="n">
        <x:f>'2017 Form20'!P296</x:f>
        <x:v>0.07072368421052631</x:v>
      </x:c>
      <x:c r="F347" t="n">
        <x:f>'2017 Form20'!Q296</x:f>
        <x:v>503</x:v>
      </x:c>
      <x:c r="G347" t="n">
        <x:f>'2017 Form20'!R296</x:f>
        <x:v>-460</x:v>
      </x:c>
      <x:c r="H347" s="52" t="n">
        <x:f>'2017 Form20'!S296</x:f>
        <x:v>-0.756578947368421</x:v>
      </x:c>
      <x:c r="I347" t="str">
        <x:v>Vedram Bhati</x:v>
      </x:c>
      <x:c r="J347" t="str">
        <x:v>BSP</x:v>
      </x:c>
      <x:c r="K347" t="str">
        <x:v>EVM row</x:v>
      </x:c>
      <x:c r="L347" s="133" t="str">
        <x:f>IF(D347&lt;=0,"No EVM votes",IF(E347&lt;$N$7,"Low",IF(E347&gt;$R$7,"High","Middle")))</x:f>
        <x:v>High</x:v>
      </x:c>
      <x:c r="M347" s="133" t="str">
        <x:f>IF(D347&lt;=0,"No EVM votes",IF(H347&lt;-20%,"Large deficit",IF(H347&lt;-5%,"Moderate deficit",IF(H347&lt;0,"Narrow deficit",IF(H347&lt;=5%,"Narrow lead/tie",IF(H347&lt;=20%,"Moderate lead","Large lead"))))))</x:f>
        <x:v>Large deficit</x:v>
      </x:c>
    </x:row>
    <x:row r="348">
      <x:c r="A348" t="n">
        <x:v>289</x:v>
      </x:c>
      <x:c r="B348" t="str">
        <x:v>ADARSH KANYA I. C. T.A. JEWAR R.NO. 2</x:v>
      </x:c>
      <x:c r="C348" s="83" t="n">
        <x:f>'2017 Form20'!H297</x:f>
        <x:v>21</x:v>
      </x:c>
      <x:c r="D348" s="83" t="n">
        <x:f>'2017 Form20'!D297</x:f>
        <x:v>643</x:v>
      </x:c>
      <x:c r="E348" s="50" t="n">
        <x:f>'2017 Form20'!P297</x:f>
        <x:v>0.03265940902021773</x:v>
      </x:c>
      <x:c r="F348" t="n">
        <x:f>'2017 Form20'!Q297</x:f>
        <x:v>519</x:v>
      </x:c>
      <x:c r="G348" t="n">
        <x:f>'2017 Form20'!R297</x:f>
        <x:v>-498</x:v>
      </x:c>
      <x:c r="H348" s="52" t="n">
        <x:f>'2017 Form20'!S297</x:f>
        <x:v>-0.7744945567651633</x:v>
      </x:c>
      <x:c r="I348" t="str">
        <x:v>Dhirendra Singh</x:v>
      </x:c>
      <x:c r="J348" t="str">
        <x:v>BJP</x:v>
      </x:c>
      <x:c r="K348" t="str">
        <x:v>EVM row</x:v>
      </x:c>
      <x:c r="L348" s="133" t="str">
        <x:f>IF(D348&lt;=0,"No EVM votes",IF(E348&lt;$N$7,"Low",IF(E348&gt;$R$7,"High","Middle")))</x:f>
        <x:v>Middle</x:v>
      </x:c>
      <x:c r="M348" s="133" t="str">
        <x:f>IF(D348&lt;=0,"No EVM votes",IF(H348&lt;-20%,"Large deficit",IF(H348&lt;-5%,"Moderate deficit",IF(H348&lt;0,"Narrow deficit",IF(H348&lt;=5%,"Narrow lead/tie",IF(H348&lt;=20%,"Moderate lead","Large lead"))))))</x:f>
        <x:v>Large deficit</x:v>
      </x:c>
    </x:row>
    <x:row r="349">
      <x:c r="A349" t="n">
        <x:v>290</x:v>
      </x:c>
      <x:c r="B349" t="str">
        <x:v>ADARSH KANYA I. C. T.A. JEWAR R.NO. 3</x:v>
      </x:c>
      <x:c r="C349" s="83" t="n">
        <x:f>'2017 Form20'!H298</x:f>
        <x:v>48</x:v>
      </x:c>
      <x:c r="D349" s="83" t="n">
        <x:f>'2017 Form20'!D298</x:f>
        <x:v>656</x:v>
      </x:c>
      <x:c r="E349" s="50" t="n">
        <x:f>'2017 Form20'!P298</x:f>
        <x:v>0.07317073170731707</x:v>
      </x:c>
      <x:c r="F349" t="n">
        <x:f>'2017 Form20'!Q298</x:f>
        <x:v>422</x:v>
      </x:c>
      <x:c r="G349" t="n">
        <x:f>'2017 Form20'!R298</x:f>
        <x:v>-374</x:v>
      </x:c>
      <x:c r="H349" s="52" t="n">
        <x:f>'2017 Form20'!S298</x:f>
        <x:v>-0.5701219512195121</x:v>
      </x:c>
      <x:c r="I349" t="str">
        <x:v>Dhirendra Singh</x:v>
      </x:c>
      <x:c r="J349" t="str">
        <x:v>BJP</x:v>
      </x:c>
      <x:c r="K349" t="str">
        <x:v>EVM row</x:v>
      </x:c>
      <x:c r="L349" s="133" t="str">
        <x:f>IF(D349&lt;=0,"No EVM votes",IF(E349&lt;$N$7,"Low",IF(E349&gt;$R$7,"High","Middle")))</x:f>
        <x:v>High</x:v>
      </x:c>
      <x:c r="M349" s="133" t="str">
        <x:f>IF(D349&lt;=0,"No EVM votes",IF(H349&lt;-20%,"Large deficit",IF(H349&lt;-5%,"Moderate deficit",IF(H349&lt;0,"Narrow deficit",IF(H349&lt;=5%,"Narrow lead/tie",IF(H349&lt;=20%,"Moderate lead","Large lead"))))))</x:f>
        <x:v>Large deficit</x:v>
      </x:c>
    </x:row>
    <x:row r="350">
      <x:c r="A350" t="n">
        <x:v>291</x:v>
      </x:c>
      <x:c r="B350" t="str">
        <x:v>ADARSH KANYA I. C. T.A. JEWAR R.NO. 4</x:v>
      </x:c>
      <x:c r="C350" s="83" t="n">
        <x:f>'2017 Form20'!H299</x:f>
        <x:v>21</x:v>
      </x:c>
      <x:c r="D350" s="83" t="n">
        <x:f>'2017 Form20'!D299</x:f>
        <x:v>511</x:v>
      </x:c>
      <x:c r="E350" s="50" t="n">
        <x:f>'2017 Form20'!P299</x:f>
        <x:v>0.0410958904109589</x:v>
      </x:c>
      <x:c r="F350" t="n">
        <x:f>'2017 Form20'!Q299</x:f>
        <x:v>237</x:v>
      </x:c>
      <x:c r="G350" t="n">
        <x:f>'2017 Form20'!R299</x:f>
        <x:v>-216</x:v>
      </x:c>
      <x:c r="H350" s="52" t="n">
        <x:f>'2017 Form20'!S299</x:f>
        <x:v>-0.4227005870841487</x:v>
      </x:c>
      <x:c r="I350" t="str">
        <x:v>Vedram Bhati</x:v>
      </x:c>
      <x:c r="J350" t="str">
        <x:v>BSP</x:v>
      </x:c>
      <x:c r="K350" t="str">
        <x:v>EVM row</x:v>
      </x:c>
      <x:c r="L350" s="133" t="str">
        <x:f>IF(D350&lt;=0,"No EVM votes",IF(E350&lt;$N$7,"Low",IF(E350&gt;$R$7,"High","Middle")))</x:f>
        <x:v>Middle</x:v>
      </x:c>
      <x:c r="M350" s="133" t="str">
        <x:f>IF(D350&lt;=0,"No EVM votes",IF(H350&lt;-20%,"Large deficit",IF(H350&lt;-5%,"Moderate deficit",IF(H350&lt;0,"Narrow deficit",IF(H350&lt;=5%,"Narrow lead/tie",IF(H350&lt;=20%,"Moderate lead","Large lead"))))))</x:f>
        <x:v>Large deficit</x:v>
      </x:c>
    </x:row>
    <x:row r="351">
      <x:c r="A351" t="n">
        <x:v>292</x:v>
      </x:c>
      <x:c r="B351" t="str">
        <x:v>ADARSH KANYA I. C. T.A. JEWAR R.NO. 5</x:v>
      </x:c>
      <x:c r="C351" s="83" t="n">
        <x:f>'2017 Form20'!H300</x:f>
        <x:v>22</x:v>
      </x:c>
      <x:c r="D351" s="83" t="n">
        <x:f>'2017 Form20'!D300</x:f>
        <x:v>821</x:v>
      </x:c>
      <x:c r="E351" s="50" t="n">
        <x:f>'2017 Form20'!P300</x:f>
        <x:v>0.02679658952496955</x:v>
      </x:c>
      <x:c r="F351" t="n">
        <x:f>'2017 Form20'!Q300</x:f>
        <x:v>669</x:v>
      </x:c>
      <x:c r="G351" t="n">
        <x:f>'2017 Form20'!R300</x:f>
        <x:v>-647</x:v>
      </x:c>
      <x:c r="H351" s="52" t="n">
        <x:f>'2017 Form20'!S300</x:f>
        <x:v>-0.7880633373934226</x:v>
      </x:c>
      <x:c r="I351" t="str">
        <x:v>Vedram Bhati</x:v>
      </x:c>
      <x:c r="J351" t="str">
        <x:v>BSP</x:v>
      </x:c>
      <x:c r="K351" t="str">
        <x:v>EVM row</x:v>
      </x:c>
      <x:c r="L351" s="133" t="str">
        <x:f>IF(D351&lt;=0,"No EVM votes",IF(E351&lt;$N$7,"Low",IF(E351&gt;$R$7,"High","Middle")))</x:f>
        <x:v>Middle</x:v>
      </x:c>
      <x:c r="M351" s="133" t="str">
        <x:f>IF(D351&lt;=0,"No EVM votes",IF(H351&lt;-20%,"Large deficit",IF(H351&lt;-5%,"Moderate deficit",IF(H351&lt;0,"Narrow deficit",IF(H351&lt;=5%,"Narrow lead/tie",IF(H351&lt;=20%,"Moderate lead","Large lead"))))))</x:f>
        <x:v>Large deficit</x:v>
      </x:c>
    </x:row>
    <x:row r="352">
      <x:c r="A352" t="n">
        <x:v>293</x:v>
      </x:c>
      <x:c r="B352" t="str">
        <x:v>PRY. SCHOOL T.A. JEWAR R.NO. 1</x:v>
      </x:c>
      <x:c r="C352" s="83" t="n">
        <x:f>'2017 Form20'!H301</x:f>
        <x:v>12</x:v>
      </x:c>
      <x:c r="D352" s="83" t="n">
        <x:f>'2017 Form20'!D301</x:f>
        <x:v>433</x:v>
      </x:c>
      <x:c r="E352" s="50" t="n">
        <x:f>'2017 Form20'!P301</x:f>
        <x:v>0.02771362586605081</x:v>
      </x:c>
      <x:c r="F352" t="n">
        <x:f>'2017 Form20'!Q301</x:f>
        <x:v>278</x:v>
      </x:c>
      <x:c r="G352" t="n">
        <x:f>'2017 Form20'!R301</x:f>
        <x:v>-266</x:v>
      </x:c>
      <x:c r="H352" s="52" t="n">
        <x:f>'2017 Form20'!S301</x:f>
        <x:v>-0.6143187066974596</x:v>
      </x:c>
      <x:c r="I352" t="str">
        <x:v>Dhirendra Singh</x:v>
      </x:c>
      <x:c r="J352" t="str">
        <x:v>BJP</x:v>
      </x:c>
      <x:c r="K352" t="str">
        <x:v>EVM row</x:v>
      </x:c>
      <x:c r="L352" s="133" t="str">
        <x:f>IF(D352&lt;=0,"No EVM votes",IF(E352&lt;$N$7,"Low",IF(E352&gt;$R$7,"High","Middle")))</x:f>
        <x:v>Middle</x:v>
      </x:c>
      <x:c r="M352" s="133" t="str">
        <x:f>IF(D352&lt;=0,"No EVM votes",IF(H352&lt;-20%,"Large deficit",IF(H352&lt;-5%,"Moderate deficit",IF(H352&lt;0,"Narrow deficit",IF(H352&lt;=5%,"Narrow lead/tie",IF(H352&lt;=20%,"Moderate lead","Large lead"))))))</x:f>
        <x:v>Large deficit</x:v>
      </x:c>
    </x:row>
    <x:row r="353">
      <x:c r="A353" t="n">
        <x:v>294</x:v>
      </x:c>
      <x:c r="B353" t="str">
        <x:v>PRY. SCHOOL T.A. JEWAR R.NO. 2</x:v>
      </x:c>
      <x:c r="C353" s="83" t="n">
        <x:f>'2017 Form20'!H302</x:f>
        <x:v>24</x:v>
      </x:c>
      <x:c r="D353" s="83" t="n">
        <x:f>'2017 Form20'!D302</x:f>
        <x:v>746</x:v>
      </x:c>
      <x:c r="E353" s="50" t="n">
        <x:f>'2017 Form20'!P302</x:f>
        <x:v>0.032171581769437</x:v>
      </x:c>
      <x:c r="F353" t="n">
        <x:f>'2017 Form20'!Q302</x:f>
        <x:v>573</x:v>
      </x:c>
      <x:c r="G353" t="n">
        <x:f>'2017 Form20'!R302</x:f>
        <x:v>-549</x:v>
      </x:c>
      <x:c r="H353" s="52" t="n">
        <x:f>'2017 Form20'!S302</x:f>
        <x:v>-0.7359249329758714</x:v>
      </x:c>
      <x:c r="I353" t="str">
        <x:v>Vedram Bhati</x:v>
      </x:c>
      <x:c r="J353" t="str">
        <x:v>BSP</x:v>
      </x:c>
      <x:c r="K353" t="str">
        <x:v>EVM row</x:v>
      </x:c>
      <x:c r="L353" s="133" t="str">
        <x:f>IF(D353&lt;=0,"No EVM votes",IF(E353&lt;$N$7,"Low",IF(E353&gt;$R$7,"High","Middle")))</x:f>
        <x:v>Middle</x:v>
      </x:c>
      <x:c r="M353" s="133" t="str">
        <x:f>IF(D353&lt;=0,"No EVM votes",IF(H353&lt;-20%,"Large deficit",IF(H353&lt;-5%,"Moderate deficit",IF(H353&lt;0,"Narrow deficit",IF(H353&lt;=5%,"Narrow lead/tie",IF(H353&lt;=20%,"Moderate lead","Large lead"))))))</x:f>
        <x:v>Large deficit</x:v>
      </x:c>
    </x:row>
    <x:row r="354">
      <x:c r="A354" t="n">
        <x:v>295</x:v>
      </x:c>
      <x:c r="B354" t="str">
        <x:v>JANTA I. C. T. A. JEWAR R.NO. 1</x:v>
      </x:c>
      <x:c r="C354" s="83" t="n">
        <x:f>'2017 Form20'!H303</x:f>
        <x:v>110</x:v>
      </x:c>
      <x:c r="D354" s="83" t="n">
        <x:f>'2017 Form20'!D303</x:f>
        <x:v>582</x:v>
      </x:c>
      <x:c r="E354" s="50" t="n">
        <x:f>'2017 Form20'!P303</x:f>
        <x:v>0.18900343642611683</x:v>
      </x:c>
      <x:c r="F354" t="n">
        <x:f>'2017 Form20'!Q303</x:f>
        <x:v>279</x:v>
      </x:c>
      <x:c r="G354" t="n">
        <x:f>'2017 Form20'!R303</x:f>
        <x:v>-169</x:v>
      </x:c>
      <x:c r="H354" s="52" t="n">
        <x:f>'2017 Form20'!S303</x:f>
        <x:v>-0.29037800687285226</x:v>
      </x:c>
      <x:c r="I354" t="str">
        <x:v>Dhirendra Singh</x:v>
      </x:c>
      <x:c r="J354" t="str">
        <x:v>BJP</x:v>
      </x:c>
      <x:c r="K354" t="str">
        <x:v>EVM row</x:v>
      </x:c>
      <x:c r="L354" s="133" t="str">
        <x:f>IF(D354&lt;=0,"No EVM votes",IF(E354&lt;$N$7,"Low",IF(E354&gt;$R$7,"High","Middle")))</x:f>
        <x:v>High</x:v>
      </x:c>
      <x:c r="M354" s="133" t="str">
        <x:f>IF(D354&lt;=0,"No EVM votes",IF(H354&lt;-20%,"Large deficit",IF(H354&lt;-5%,"Moderate deficit",IF(H354&lt;0,"Narrow deficit",IF(H354&lt;=5%,"Narrow lead/tie",IF(H354&lt;=20%,"Moderate lead","Large lead"))))))</x:f>
        <x:v>Large deficit</x:v>
      </x:c>
    </x:row>
    <x:row r="355">
      <x:c r="A355" t="n">
        <x:v>296</x:v>
      </x:c>
      <x:c r="B355" t="str">
        <x:v>JANTA I. C. T. A. JEWAR R.NO. 2</x:v>
      </x:c>
      <x:c r="C355" s="83" t="n">
        <x:f>'2017 Form20'!H304</x:f>
        <x:v>79</x:v>
      </x:c>
      <x:c r="D355" s="83" t="n">
        <x:f>'2017 Form20'!D304</x:f>
        <x:v>470</x:v>
      </x:c>
      <x:c r="E355" s="50" t="n">
        <x:f>'2017 Form20'!P304</x:f>
        <x:v>0.16808510638297872</x:v>
      </x:c>
      <x:c r="F355" t="n">
        <x:f>'2017 Form20'!Q304</x:f>
        <x:v>202</x:v>
      </x:c>
      <x:c r="G355" t="n">
        <x:f>'2017 Form20'!R304</x:f>
        <x:v>-123</x:v>
      </x:c>
      <x:c r="H355" s="52" t="n">
        <x:f>'2017 Form20'!S304</x:f>
        <x:v>-0.26170212765957446</x:v>
      </x:c>
      <x:c r="I355" t="str">
        <x:v>Vedram Bhati</x:v>
      </x:c>
      <x:c r="J355" t="str">
        <x:v>BSP</x:v>
      </x:c>
      <x:c r="K355" t="str">
        <x:v>EVM row</x:v>
      </x:c>
      <x:c r="L355" s="133" t="str">
        <x:f>IF(D355&lt;=0,"No EVM votes",IF(E355&lt;$N$7,"Low",IF(E355&gt;$R$7,"High","Middle")))</x:f>
        <x:v>High</x:v>
      </x:c>
      <x:c r="M355" s="133" t="str">
        <x:f>IF(D355&lt;=0,"No EVM votes",IF(H355&lt;-20%,"Large deficit",IF(H355&lt;-5%,"Moderate deficit",IF(H355&lt;0,"Narrow deficit",IF(H355&lt;=5%,"Narrow lead/tie",IF(H355&lt;=20%,"Moderate lead","Large lead"))))))</x:f>
        <x:v>Large deficit</x:v>
      </x:c>
    </x:row>
    <x:row r="356">
      <x:c r="A356" t="n">
        <x:v>297</x:v>
      </x:c>
      <x:c r="B356" t="str">
        <x:v>JANTA I. C. T. A. JEWAR R.NO. 3</x:v>
      </x:c>
      <x:c r="C356" s="83" t="n">
        <x:f>'2017 Form20'!H305</x:f>
        <x:v>44</x:v>
      </x:c>
      <x:c r="D356" s="83" t="n">
        <x:f>'2017 Form20'!D305</x:f>
        <x:v>442</x:v>
      </x:c>
      <x:c r="E356" s="50" t="n">
        <x:f>'2017 Form20'!P305</x:f>
        <x:v>0.09954751131221719</x:v>
      </x:c>
      <x:c r="F356" t="n">
        <x:f>'2017 Form20'!Q305</x:f>
        <x:v>241</x:v>
      </x:c>
      <x:c r="G356" t="n">
        <x:f>'2017 Form20'!R305</x:f>
        <x:v>-197</x:v>
      </x:c>
      <x:c r="H356" s="52" t="n">
        <x:f>'2017 Form20'!S305</x:f>
        <x:v>-0.4457013574660634</x:v>
      </x:c>
      <x:c r="I356" t="str">
        <x:v>Dhirendra Singh</x:v>
      </x:c>
      <x:c r="J356" t="str">
        <x:v>BJP</x:v>
      </x:c>
      <x:c r="K356" t="str">
        <x:v>EVM row</x:v>
      </x:c>
      <x:c r="L356" s="133" t="str">
        <x:f>IF(D356&lt;=0,"No EVM votes",IF(E356&lt;$N$7,"Low",IF(E356&gt;$R$7,"High","Middle")))</x:f>
        <x:v>High</x:v>
      </x:c>
      <x:c r="M356" s="133" t="str">
        <x:f>IF(D356&lt;=0,"No EVM votes",IF(H356&lt;-20%,"Large deficit",IF(H356&lt;-5%,"Moderate deficit",IF(H356&lt;0,"Narrow deficit",IF(H356&lt;=5%,"Narrow lead/tie",IF(H356&lt;=20%,"Moderate lead","Large lead"))))))</x:f>
        <x:v>Large deficit</x:v>
      </x:c>
    </x:row>
    <x:row r="357">
      <x:c r="A357" t="n">
        <x:v>298</x:v>
      </x:c>
      <x:c r="B357" t="str">
        <x:v>JANTA I. C. T. A. JEWAR R.NO. 4</x:v>
      </x:c>
      <x:c r="C357" s="83" t="n">
        <x:f>'2017 Form20'!H306</x:f>
        <x:v>14</x:v>
      </x:c>
      <x:c r="D357" s="83" t="n">
        <x:f>'2017 Form20'!D306</x:f>
        <x:v>375</x:v>
      </x:c>
      <x:c r="E357" s="50" t="n">
        <x:f>'2017 Form20'!P306</x:f>
        <x:v>0.037333333333333336</x:v>
      </x:c>
      <x:c r="F357" t="n">
        <x:f>'2017 Form20'!Q306</x:f>
        <x:v>262</x:v>
      </x:c>
      <x:c r="G357" t="n">
        <x:f>'2017 Form20'!R306</x:f>
        <x:v>-248</x:v>
      </x:c>
      <x:c r="H357" s="52" t="n">
        <x:f>'2017 Form20'!S306</x:f>
        <x:v>-0.6613333333333333</x:v>
      </x:c>
      <x:c r="I357" t="str">
        <x:v>Dhirendra Singh</x:v>
      </x:c>
      <x:c r="J357" t="str">
        <x:v>BJP</x:v>
      </x:c>
      <x:c r="K357" t="str">
        <x:v>EVM row</x:v>
      </x:c>
      <x:c r="L357" s="133" t="str">
        <x:f>IF(D357&lt;=0,"No EVM votes",IF(E357&lt;$N$7,"Low",IF(E357&gt;$R$7,"High","Middle")))</x:f>
        <x:v>Middle</x:v>
      </x:c>
      <x:c r="M357" s="133" t="str">
        <x:f>IF(D357&lt;=0,"No EVM votes",IF(H357&lt;-20%,"Large deficit",IF(H357&lt;-5%,"Moderate deficit",IF(H357&lt;0,"Narrow deficit",IF(H357&lt;=5%,"Narrow lead/tie",IF(H357&lt;=20%,"Moderate lead","Large lead"))))))</x:f>
        <x:v>Large deficit</x:v>
      </x:c>
    </x:row>
    <x:row r="358">
      <x:c r="A358" t="n">
        <x:v>299</x:v>
      </x:c>
      <x:c r="B358" t="str">
        <x:v>JANTA I. C. T. A. JEWAR R.NO. 5</x:v>
      </x:c>
      <x:c r="C358" s="83" t="n">
        <x:f>'2017 Form20'!H307</x:f>
        <x:v>17</x:v>
      </x:c>
      <x:c r="D358" s="83" t="n">
        <x:f>'2017 Form20'!D307</x:f>
        <x:v>642</x:v>
      </x:c>
      <x:c r="E358" s="50" t="n">
        <x:f>'2017 Form20'!P307</x:f>
        <x:v>0.0264797507788162</x:v>
      </x:c>
      <x:c r="F358" t="n">
        <x:f>'2017 Form20'!Q307</x:f>
        <x:v>493</x:v>
      </x:c>
      <x:c r="G358" t="n">
        <x:f>'2017 Form20'!R307</x:f>
        <x:v>-476</x:v>
      </x:c>
      <x:c r="H358" s="52" t="n">
        <x:f>'2017 Form20'!S307</x:f>
        <x:v>-0.7414330218068536</x:v>
      </x:c>
      <x:c r="I358" t="str">
        <x:v>Vedram Bhati</x:v>
      </x:c>
      <x:c r="J358" t="str">
        <x:v>BSP</x:v>
      </x:c>
      <x:c r="K358" t="str">
        <x:v>EVM row</x:v>
      </x:c>
      <x:c r="L358" s="133" t="str">
        <x:f>IF(D358&lt;=0,"No EVM votes",IF(E358&lt;$N$7,"Low",IF(E358&gt;$R$7,"High","Middle")))</x:f>
        <x:v>Middle</x:v>
      </x:c>
      <x:c r="M358" s="133" t="str">
        <x:f>IF(D358&lt;=0,"No EVM votes",IF(H358&lt;-20%,"Large deficit",IF(H358&lt;-5%,"Moderate deficit",IF(H358&lt;0,"Narrow deficit",IF(H358&lt;=5%,"Narrow lead/tie",IF(H358&lt;=20%,"Moderate lead","Large lead"))))))</x:f>
        <x:v>Large deficit</x:v>
      </x:c>
    </x:row>
    <x:row r="359">
      <x:c r="A359" t="n">
        <x:v>300</x:v>
      </x:c>
      <x:c r="B359" t="str">
        <x:v>JANTA I. C. T. A. JEWAR R.NO. 6</x:v>
      </x:c>
      <x:c r="C359" s="83" t="n">
        <x:f>'2017 Form20'!H308</x:f>
        <x:v>13</x:v>
      </x:c>
      <x:c r="D359" s="83" t="n">
        <x:f>'2017 Form20'!D308</x:f>
        <x:v>267</x:v>
      </x:c>
      <x:c r="E359" s="50" t="n">
        <x:f>'2017 Form20'!P308</x:f>
        <x:v>0.04868913857677903</x:v>
      </x:c>
      <x:c r="F359" t="n">
        <x:f>'2017 Form20'!Q308</x:f>
        <x:v>166</x:v>
      </x:c>
      <x:c r="G359" t="n">
        <x:f>'2017 Form20'!R308</x:f>
        <x:v>-153</x:v>
      </x:c>
      <x:c r="H359" s="52" t="n">
        <x:f>'2017 Form20'!S308</x:f>
        <x:v>-0.5730337078651685</x:v>
      </x:c>
      <x:c r="I359" t="str">
        <x:v>Vedram Bhati</x:v>
      </x:c>
      <x:c r="J359" t="str">
        <x:v>BSP</x:v>
      </x:c>
      <x:c r="K359" t="str">
        <x:v>EVM row</x:v>
      </x:c>
      <x:c r="L359" s="133" t="str">
        <x:f>IF(D359&lt;=0,"No EVM votes",IF(E359&lt;$N$7,"Low",IF(E359&gt;$R$7,"High","Middle")))</x:f>
        <x:v>Middle</x:v>
      </x:c>
      <x:c r="M359" s="133" t="str">
        <x:f>IF(D359&lt;=0,"No EVM votes",IF(H359&lt;-20%,"Large deficit",IF(H359&lt;-5%,"Moderate deficit",IF(H359&lt;0,"Narrow deficit",IF(H359&lt;=5%,"Narrow lead/tie",IF(H359&lt;=20%,"Moderate lead","Large lead"))))))</x:f>
        <x:v>Large deficit</x:v>
      </x:c>
    </x:row>
    <x:row r="360">
      <x:c r="A360" t="n">
        <x:v>301</x:v>
      </x:c>
      <x:c r="B360" t="str">
        <x:v>PRY. SCHOOL VENA ROAD JEWAR R.NO. 1</x:v>
      </x:c>
      <x:c r="C360" s="83" t="n">
        <x:f>'2017 Form20'!H309</x:f>
        <x:v>1</x:v>
      </x:c>
      <x:c r="D360" s="83" t="n">
        <x:f>'2017 Form20'!D309</x:f>
        <x:v>407</x:v>
      </x:c>
      <x:c r="E360" s="50" t="n">
        <x:f>'2017 Form20'!P309</x:f>
        <x:v>0.002457002457002457</x:v>
      </x:c>
      <x:c r="F360" t="n">
        <x:f>'2017 Form20'!Q309</x:f>
        <x:v>370</x:v>
      </x:c>
      <x:c r="G360" t="n">
        <x:f>'2017 Form20'!R309</x:f>
        <x:v>-369</x:v>
      </x:c>
      <x:c r="H360" s="52" t="n">
        <x:f>'2017 Form20'!S309</x:f>
        <x:v>-0.9066339066339066</x:v>
      </x:c>
      <x:c r="I360" t="str">
        <x:v>Vedram Bhati</x:v>
      </x:c>
      <x:c r="J360" t="str">
        <x:v>BSP</x:v>
      </x:c>
      <x:c r="K360" t="str">
        <x:v>EVM row</x:v>
      </x:c>
      <x:c r="L360" s="133" t="str">
        <x:f>IF(D360&lt;=0,"No EVM votes",IF(E360&lt;$N$7,"Low",IF(E360&gt;$R$7,"High","Middle")))</x:f>
        <x:v>Low</x:v>
      </x:c>
      <x:c r="M360" s="133" t="str">
        <x:f>IF(D360&lt;=0,"No EVM votes",IF(H360&lt;-20%,"Large deficit",IF(H360&lt;-5%,"Moderate deficit",IF(H360&lt;0,"Narrow deficit",IF(H360&lt;=5%,"Narrow lead/tie",IF(H360&lt;=20%,"Moderate lead","Large lead"))))))</x:f>
        <x:v>Large deficit</x:v>
      </x:c>
    </x:row>
    <x:row r="361">
      <x:c r="A361" t="n">
        <x:v>302</x:v>
      </x:c>
      <x:c r="B361" t="str">
        <x:v>PRY. SCHOOL VENA ROAD JEWAR R.NO. 2</x:v>
      </x:c>
      <x:c r="C361" s="83" t="n">
        <x:f>'2017 Form20'!H310</x:f>
        <x:v>54</x:v>
      </x:c>
      <x:c r="D361" s="83" t="n">
        <x:f>'2017 Form20'!D310</x:f>
        <x:v>529</x:v>
      </x:c>
      <x:c r="E361" s="50" t="n">
        <x:f>'2017 Form20'!P310</x:f>
        <x:v>0.10207939508506617</x:v>
      </x:c>
      <x:c r="F361" t="n">
        <x:f>'2017 Form20'!Q310</x:f>
        <x:v>295</x:v>
      </x:c>
      <x:c r="G361" t="n">
        <x:f>'2017 Form20'!R310</x:f>
        <x:v>-241</x:v>
      </x:c>
      <x:c r="H361" s="52" t="n">
        <x:f>'2017 Form20'!S310</x:f>
        <x:v>-0.4555765595463138</x:v>
      </x:c>
      <x:c r="I361" t="str">
        <x:v>Dhirendra Singh</x:v>
      </x:c>
      <x:c r="J361" t="str">
        <x:v>BJP</x:v>
      </x:c>
      <x:c r="K361" t="str">
        <x:v>EVM row</x:v>
      </x:c>
      <x:c r="L361" s="133" t="str">
        <x:f>IF(D361&lt;=0,"No EVM votes",IF(E361&lt;$N$7,"Low",IF(E361&gt;$R$7,"High","Middle")))</x:f>
        <x:v>High</x:v>
      </x:c>
      <x:c r="M361" s="133" t="str">
        <x:f>IF(D361&lt;=0,"No EVM votes",IF(H361&lt;-20%,"Large deficit",IF(H361&lt;-5%,"Moderate deficit",IF(H361&lt;0,"Narrow deficit",IF(H361&lt;=5%,"Narrow lead/tie",IF(H361&lt;=20%,"Moderate lead","Large lead"))))))</x:f>
        <x:v>Large deficit</x:v>
      </x:c>
    </x:row>
    <x:row r="362">
      <x:c r="A362" t="n">
        <x:v>303</x:v>
      </x:c>
      <x:c r="B362" t="str">
        <x:v>PRY. SCHOOL VENA ROAD JEWAR R.NO. 3</x:v>
      </x:c>
      <x:c r="C362" s="83" t="n">
        <x:f>'2017 Form20'!H311</x:f>
        <x:v>59</x:v>
      </x:c>
      <x:c r="D362" s="83" t="n">
        <x:f>'2017 Form20'!D311</x:f>
        <x:v>546</x:v>
      </x:c>
      <x:c r="E362" s="50" t="n">
        <x:f>'2017 Form20'!P311</x:f>
        <x:v>0.10805860805860806</x:v>
      </x:c>
      <x:c r="F362" t="n">
        <x:f>'2017 Form20'!Q311</x:f>
        <x:v>314</x:v>
      </x:c>
      <x:c r="G362" t="n">
        <x:f>'2017 Form20'!R311</x:f>
        <x:v>-255</x:v>
      </x:c>
      <x:c r="H362" s="52" t="n">
        <x:f>'2017 Form20'!S311</x:f>
        <x:v>-0.46703296703296704</x:v>
      </x:c>
      <x:c r="I362" t="str">
        <x:v>Vedram Bhati</x:v>
      </x:c>
      <x:c r="J362" t="str">
        <x:v>BSP</x:v>
      </x:c>
      <x:c r="K362" t="str">
        <x:v>EVM row</x:v>
      </x:c>
      <x:c r="L362" s="133" t="str">
        <x:f>IF(D362&lt;=0,"No EVM votes",IF(E362&lt;$N$7,"Low",IF(E362&gt;$R$7,"High","Middle")))</x:f>
        <x:v>High</x:v>
      </x:c>
      <x:c r="M362" s="133" t="str">
        <x:f>IF(D362&lt;=0,"No EVM votes",IF(H362&lt;-20%,"Large deficit",IF(H362&lt;-5%,"Moderate deficit",IF(H362&lt;0,"Narrow deficit",IF(H362&lt;=5%,"Narrow lead/tie",IF(H362&lt;=20%,"Moderate lead","Large lead"))))))</x:f>
        <x:v>Large deficit</x:v>
      </x:c>
    </x:row>
    <x:row r="363">
      <x:c r="A363" t="n">
        <x:v>304</x:v>
      </x:c>
      <x:c r="B363" t="str">
        <x:v>KANWAR TECHNICAL I.C.T.A. JEWAR R.NO. 1</x:v>
      </x:c>
      <x:c r="C363" s="83" t="n">
        <x:f>'2017 Form20'!H312</x:f>
        <x:v>23</x:v>
      </x:c>
      <x:c r="D363" s="83" t="n">
        <x:f>'2017 Form20'!D312</x:f>
        <x:v>572</x:v>
      </x:c>
      <x:c r="E363" s="50" t="n">
        <x:f>'2017 Form20'!P312</x:f>
        <x:v>0.04020979020979021</x:v>
      </x:c>
      <x:c r="F363" t="n">
        <x:f>'2017 Form20'!Q312</x:f>
        <x:v>424</x:v>
      </x:c>
      <x:c r="G363" t="n">
        <x:f>'2017 Form20'!R312</x:f>
        <x:v>-401</x:v>
      </x:c>
      <x:c r="H363" s="52" t="n">
        <x:f>'2017 Form20'!S312</x:f>
        <x:v>-0.701048951048951</x:v>
      </x:c>
      <x:c r="I363" t="str">
        <x:v>Dhirendra Singh</x:v>
      </x:c>
      <x:c r="J363" t="str">
        <x:v>BJP</x:v>
      </x:c>
      <x:c r="K363" t="str">
        <x:v>EVM row</x:v>
      </x:c>
      <x:c r="L363" s="133" t="str">
        <x:f>IF(D363&lt;=0,"No EVM votes",IF(E363&lt;$N$7,"Low",IF(E363&gt;$R$7,"High","Middle")))</x:f>
        <x:v>Middle</x:v>
      </x:c>
      <x:c r="M363" s="133" t="str">
        <x:f>IF(D363&lt;=0,"No EVM votes",IF(H363&lt;-20%,"Large deficit",IF(H363&lt;-5%,"Moderate deficit",IF(H363&lt;0,"Narrow deficit",IF(H363&lt;=5%,"Narrow lead/tie",IF(H363&lt;=20%,"Moderate lead","Large lead"))))))</x:f>
        <x:v>Large deficit</x:v>
      </x:c>
    </x:row>
    <x:row r="364">
      <x:c r="A364" t="n">
        <x:v>305</x:v>
      </x:c>
      <x:c r="B364" t="str">
        <x:v>KANWAR TECHNICAL I.C.T.A. JEWAR R.NO. 2</x:v>
      </x:c>
      <x:c r="C364" s="83" t="n">
        <x:f>'2017 Form20'!H313</x:f>
        <x:v>37</x:v>
      </x:c>
      <x:c r="D364" s="83" t="n">
        <x:f>'2017 Form20'!D313</x:f>
        <x:v>430</x:v>
      </x:c>
      <x:c r="E364" s="50" t="n">
        <x:f>'2017 Form20'!P313</x:f>
        <x:v>0.08604651162790698</x:v>
      </x:c>
      <x:c r="F364" t="n">
        <x:f>'2017 Form20'!Q313</x:f>
        <x:v>199</x:v>
      </x:c>
      <x:c r="G364" t="n">
        <x:f>'2017 Form20'!R313</x:f>
        <x:v>-162</x:v>
      </x:c>
      <x:c r="H364" s="52" t="n">
        <x:f>'2017 Form20'!S313</x:f>
        <x:v>-0.3767441860465116</x:v>
      </x:c>
      <x:c r="I364" t="str">
        <x:v>Dhirendra Singh</x:v>
      </x:c>
      <x:c r="J364" t="str">
        <x:v>BJP</x:v>
      </x:c>
      <x:c r="K364" t="str">
        <x:v>EVM row</x:v>
      </x:c>
      <x:c r="L364" s="133" t="str">
        <x:f>IF(D364&lt;=0,"No EVM votes",IF(E364&lt;$N$7,"Low",IF(E364&gt;$R$7,"High","Middle")))</x:f>
        <x:v>High</x:v>
      </x:c>
      <x:c r="M364" s="133" t="str">
        <x:f>IF(D364&lt;=0,"No EVM votes",IF(H364&lt;-20%,"Large deficit",IF(H364&lt;-5%,"Moderate deficit",IF(H364&lt;0,"Narrow deficit",IF(H364&lt;=5%,"Narrow lead/tie",IF(H364&lt;=20%,"Moderate lead","Large lead"))))))</x:f>
        <x:v>Large deficit</x:v>
      </x:c>
    </x:row>
    <x:row r="365">
      <x:c r="A365" t="n">
        <x:v>306</x:v>
      </x:c>
      <x:c r="B365" t="str">
        <x:v>KANWAR TECHNICAL I.C.T.A. JEWAR R.NO. 3</x:v>
      </x:c>
      <x:c r="C365" s="83" t="n">
        <x:f>'2017 Form20'!H314</x:f>
        <x:v>58</x:v>
      </x:c>
      <x:c r="D365" s="83" t="n">
        <x:f>'2017 Form20'!D314</x:f>
        <x:v>655</x:v>
      </x:c>
      <x:c r="E365" s="50" t="n">
        <x:f>'2017 Form20'!P314</x:f>
        <x:v>0.08854961832061069</x:v>
      </x:c>
      <x:c r="F365" t="n">
        <x:f>'2017 Form20'!Q314</x:f>
        <x:v>395</x:v>
      </x:c>
      <x:c r="G365" t="n">
        <x:f>'2017 Form20'!R314</x:f>
        <x:v>-337</x:v>
      </x:c>
      <x:c r="H365" s="52" t="n">
        <x:f>'2017 Form20'!S314</x:f>
        <x:v>-0.5145038167938931</x:v>
      </x:c>
      <x:c r="I365" t="str">
        <x:v>Vedram Bhati</x:v>
      </x:c>
      <x:c r="J365" t="str">
        <x:v>BSP</x:v>
      </x:c>
      <x:c r="K365" t="str">
        <x:v>EVM row</x:v>
      </x:c>
      <x:c r="L365" s="133" t="str">
        <x:f>IF(D365&lt;=0,"No EVM votes",IF(E365&lt;$N$7,"Low",IF(E365&gt;$R$7,"High","Middle")))</x:f>
        <x:v>High</x:v>
      </x:c>
      <x:c r="M365" s="133" t="str">
        <x:f>IF(D365&lt;=0,"No EVM votes",IF(H365&lt;-20%,"Large deficit",IF(H365&lt;-5%,"Moderate deficit",IF(H365&lt;0,"Narrow deficit",IF(H365&lt;=5%,"Narrow lead/tie",IF(H365&lt;=20%,"Moderate lead","Large lead"))))))</x:f>
        <x:v>Large deficit</x:v>
      </x:c>
    </x:row>
    <x:row r="366">
      <x:c r="A366" t="n">
        <x:v>307</x:v>
      </x:c>
      <x:c r="B366" t="str">
        <x:v>PRY. SCHOOL MIRPUR KACHCHH URF KANIGARHI R.NO. 1</x:v>
      </x:c>
      <x:c r="C366" s="83" t="n">
        <x:f>'2017 Form20'!H315</x:f>
        <x:v>18</x:v>
      </x:c>
      <x:c r="D366" s="83" t="n">
        <x:f>'2017 Form20'!D315</x:f>
        <x:v>890</x:v>
      </x:c>
      <x:c r="E366" s="50" t="n">
        <x:f>'2017 Form20'!P315</x:f>
        <x:v>0.020224719101123594</x:v>
      </x:c>
      <x:c r="F366" t="n">
        <x:f>'2017 Form20'!Q315</x:f>
        <x:v>785</x:v>
      </x:c>
      <x:c r="G366" t="n">
        <x:f>'2017 Form20'!R315</x:f>
        <x:v>-767</x:v>
      </x:c>
      <x:c r="H366" s="52" t="n">
        <x:f>'2017 Form20'!S315</x:f>
        <x:v>-0.8617977528089887</x:v>
      </x:c>
      <x:c r="I366" t="str">
        <x:v>Dhirendra Singh</x:v>
      </x:c>
      <x:c r="J366" t="str">
        <x:v>BJP</x:v>
      </x:c>
      <x:c r="K366" t="str">
        <x:v>EVM row</x:v>
      </x:c>
      <x:c r="L366" s="133" t="str">
        <x:f>IF(D366&lt;=0,"No EVM votes",IF(E366&lt;$N$7,"Low",IF(E366&gt;$R$7,"High","Middle")))</x:f>
        <x:v>Middle</x:v>
      </x:c>
      <x:c r="M366" s="133" t="str">
        <x:f>IF(D366&lt;=0,"No EVM votes",IF(H366&lt;-20%,"Large deficit",IF(H366&lt;-5%,"Moderate deficit",IF(H366&lt;0,"Narrow deficit",IF(H366&lt;=5%,"Narrow lead/tie",IF(H366&lt;=20%,"Moderate lead","Large lead"))))))</x:f>
        <x:v>Large deficit</x:v>
      </x:c>
    </x:row>
    <x:row r="367">
      <x:c r="A367" t="n">
        <x:v>308</x:v>
      </x:c>
      <x:c r="B367" t="str">
        <x:v>PRY. SCHOOL MIRPUR KACHCHH URF KANIGARHI R.NO. 2</x:v>
      </x:c>
      <x:c r="C367" s="83" t="n">
        <x:f>'2017 Form20'!H316</x:f>
        <x:v>8</x:v>
      </x:c>
      <x:c r="D367" s="83" t="n">
        <x:f>'2017 Form20'!D316</x:f>
        <x:v>535</x:v>
      </x:c>
      <x:c r="E367" s="50" t="n">
        <x:f>'2017 Form20'!P316</x:f>
        <x:v>0.014953271028037384</x:v>
      </x:c>
      <x:c r="F367" t="n">
        <x:f>'2017 Form20'!Q316</x:f>
        <x:v>267</x:v>
      </x:c>
      <x:c r="G367" t="n">
        <x:f>'2017 Form20'!R316</x:f>
        <x:v>-259</x:v>
      </x:c>
      <x:c r="H367" s="52" t="n">
        <x:f>'2017 Form20'!S316</x:f>
        <x:v>-0.48411214953271026</x:v>
      </x:c>
      <x:c r="I367" t="str">
        <x:v>Dhirendra Singh</x:v>
      </x:c>
      <x:c r="J367" t="str">
        <x:v>BJP</x:v>
      </x:c>
      <x:c r="K367" t="str">
        <x:v>EVM row</x:v>
      </x:c>
      <x:c r="L367" s="133" t="str">
        <x:f>IF(D367&lt;=0,"No EVM votes",IF(E367&lt;$N$7,"Low",IF(E367&gt;$R$7,"High","Middle")))</x:f>
        <x:v>Low</x:v>
      </x:c>
      <x:c r="M367" s="133" t="str">
        <x:f>IF(D367&lt;=0,"No EVM votes",IF(H367&lt;-20%,"Large deficit",IF(H367&lt;-5%,"Moderate deficit",IF(H367&lt;0,"Narrow deficit",IF(H367&lt;=5%,"Narrow lead/tie",IF(H367&lt;=20%,"Moderate lead","Large lead"))))))</x:f>
        <x:v>Large deficit</x:v>
      </x:c>
    </x:row>
    <x:row r="368">
      <x:c r="A368" t="n">
        <x:v>309</x:v>
      </x:c>
      <x:c r="B368" t="str">
        <x:v>PRY. SCHOOL GOVINSGARH R.NO. 1</x:v>
      </x:c>
      <x:c r="C368" s="83" t="n">
        <x:f>'2017 Form20'!H317</x:f>
        <x:v>0</x:v>
      </x:c>
      <x:c r="D368" s="83" t="n">
        <x:f>'2017 Form20'!D317</x:f>
        <x:v>579</x:v>
      </x:c>
      <x:c r="E368" s="50" t="n">
        <x:f>'2017 Form20'!P317</x:f>
        <x:v>0</x:v>
      </x:c>
      <x:c r="F368" t="n">
        <x:f>'2017 Form20'!Q317</x:f>
        <x:v>487</x:v>
      </x:c>
      <x:c r="G368" t="n">
        <x:f>'2017 Form20'!R317</x:f>
        <x:v>-487</x:v>
      </x:c>
      <x:c r="H368" s="52" t="n">
        <x:f>'2017 Form20'!S317</x:f>
        <x:v>-0.8411053540587219</x:v>
      </x:c>
      <x:c r="I368" t="str">
        <x:v>Dhirendra Singh</x:v>
      </x:c>
      <x:c r="J368" t="str">
        <x:v>BJP</x:v>
      </x:c>
      <x:c r="K368" t="str">
        <x:v>EVM row</x:v>
      </x:c>
      <x:c r="L368" s="133" t="str">
        <x:f>IF(D368&lt;=0,"No EVM votes",IF(E368&lt;$N$7,"Low",IF(E368&gt;$R$7,"High","Middle")))</x:f>
        <x:v>Low</x:v>
      </x:c>
      <x:c r="M368" s="133" t="str">
        <x:f>IF(D368&lt;=0,"No EVM votes",IF(H368&lt;-20%,"Large deficit",IF(H368&lt;-5%,"Moderate deficit",IF(H368&lt;0,"Narrow deficit",IF(H368&lt;=5%,"Narrow lead/tie",IF(H368&lt;=20%,"Moderate lead","Large lead"))))))</x:f>
        <x:v>Large deficit</x:v>
      </x:c>
    </x:row>
    <x:row r="369">
      <x:c r="A369" t="n">
        <x:v>310</x:v>
      </x:c>
      <x:c r="B369" t="str">
        <x:v>PRY SCHOOL SHAMSHAMNAGAR R.NO. 1</x:v>
      </x:c>
      <x:c r="C369" s="83" t="n">
        <x:f>'2017 Form20'!H318</x:f>
        <x:v>7</x:v>
      </x:c>
      <x:c r="D369" s="83" t="n">
        <x:f>'2017 Form20'!D318</x:f>
        <x:v>498</x:v>
      </x:c>
      <x:c r="E369" s="50" t="n">
        <x:f>'2017 Form20'!P318</x:f>
        <x:v>0.014056224899598393</x:v>
      </x:c>
      <x:c r="F369" t="n">
        <x:f>'2017 Form20'!Q318</x:f>
        <x:v>233</x:v>
      </x:c>
      <x:c r="G369" t="n">
        <x:f>'2017 Form20'!R318</x:f>
        <x:v>-226</x:v>
      </x:c>
      <x:c r="H369" s="52" t="n">
        <x:f>'2017 Form20'!S318</x:f>
        <x:v>-0.4538152610441767</x:v>
      </x:c>
      <x:c r="I369" t="str">
        <x:v>Dhirendra Singh</x:v>
      </x:c>
      <x:c r="J369" t="str">
        <x:v>BJP</x:v>
      </x:c>
      <x:c r="K369" t="str">
        <x:v>EVM row</x:v>
      </x:c>
      <x:c r="L369" s="133" t="str">
        <x:f>IF(D369&lt;=0,"No EVM votes",IF(E369&lt;$N$7,"Low",IF(E369&gt;$R$7,"High","Middle")))</x:f>
        <x:v>Low</x:v>
      </x:c>
      <x:c r="M369" s="133" t="str">
        <x:f>IF(D369&lt;=0,"No EVM votes",IF(H369&lt;-20%,"Large deficit",IF(H369&lt;-5%,"Moderate deficit",IF(H369&lt;0,"Narrow deficit",IF(H369&lt;=5%,"Narrow lead/tie",IF(H369&lt;=20%,"Moderate lead","Large lead"))))))</x:f>
        <x:v>Large deficit</x:v>
      </x:c>
    </x:row>
    <x:row r="370">
      <x:c r="A370" t="n">
        <x:v>311</x:v>
      </x:c>
      <x:c r="B370" t="str">
        <x:v>PRY. SCHOOL BHAGVANTPUR CHHANTAGA R.NO. 1</x:v>
      </x:c>
      <x:c r="C370" s="83" t="n">
        <x:f>'2017 Form20'!H319</x:f>
        <x:v>6</x:v>
      </x:c>
      <x:c r="D370" s="83" t="n">
        <x:f>'2017 Form20'!D319</x:f>
        <x:v>656</x:v>
      </x:c>
      <x:c r="E370" s="50" t="n">
        <x:f>'2017 Form20'!P319</x:f>
        <x:v>0.009146341463414634</x:v>
      </x:c>
      <x:c r="F370" t="n">
        <x:f>'2017 Form20'!Q319</x:f>
        <x:v>365</x:v>
      </x:c>
      <x:c r="G370" t="n">
        <x:f>'2017 Form20'!R319</x:f>
        <x:v>-359</x:v>
      </x:c>
      <x:c r="H370" s="52" t="n">
        <x:f>'2017 Form20'!S319</x:f>
        <x:v>-0.5472560975609756</x:v>
      </x:c>
      <x:c r="I370" t="str">
        <x:v>Dhirendra Singh</x:v>
      </x:c>
      <x:c r="J370" t="str">
        <x:v>BJP</x:v>
      </x:c>
      <x:c r="K370" t="str">
        <x:v>EVM row</x:v>
      </x:c>
      <x:c r="L370" s="133" t="str">
        <x:f>IF(D370&lt;=0,"No EVM votes",IF(E370&lt;$N$7,"Low",IF(E370&gt;$R$7,"High","Middle")))</x:f>
        <x:v>Low</x:v>
      </x:c>
      <x:c r="M370" s="133" t="str">
        <x:f>IF(D370&lt;=0,"No EVM votes",IF(H370&lt;-20%,"Large deficit",IF(H370&lt;-5%,"Moderate deficit",IF(H370&lt;0,"Narrow deficit",IF(H370&lt;=5%,"Narrow lead/tie",IF(H370&lt;=20%,"Moderate lead","Large lead"))))))</x:f>
        <x:v>Large deficit</x:v>
      </x:c>
    </x:row>
    <x:row r="371">
      <x:c r="A371" t="n">
        <x:v>312</x:v>
      </x:c>
      <x:c r="B371" t="str">
        <x:v>PRY. SCHOOL CHHATANGA KHURD R.NO. 1</x:v>
      </x:c>
      <x:c r="C371" s="83" t="n">
        <x:f>'2017 Form20'!H320</x:f>
        <x:v>46</x:v>
      </x:c>
      <x:c r="D371" s="83" t="n">
        <x:f>'2017 Form20'!D320</x:f>
        <x:v>452</x:v>
      </x:c>
      <x:c r="E371" s="50" t="n">
        <x:f>'2017 Form20'!P320</x:f>
        <x:v>0.10176991150442478</x:v>
      </x:c>
      <x:c r="F371" t="n">
        <x:f>'2017 Form20'!Q320</x:f>
        <x:v>201</x:v>
      </x:c>
      <x:c r="G371" t="n">
        <x:f>'2017 Form20'!R320</x:f>
        <x:v>-155</x:v>
      </x:c>
      <x:c r="H371" s="52" t="n">
        <x:f>'2017 Form20'!S320</x:f>
        <x:v>-0.34292035398230086</x:v>
      </x:c>
      <x:c r="I371" t="str">
        <x:v>Dhirendra Singh</x:v>
      </x:c>
      <x:c r="J371" t="str">
        <x:v>BJP</x:v>
      </x:c>
      <x:c r="K371" t="str">
        <x:v>EVM row</x:v>
      </x:c>
      <x:c r="L371" s="133" t="str">
        <x:f>IF(D371&lt;=0,"No EVM votes",IF(E371&lt;$N$7,"Low",IF(E371&gt;$R$7,"High","Middle")))</x:f>
        <x:v>High</x:v>
      </x:c>
      <x:c r="M371" s="133" t="str">
        <x:f>IF(D371&lt;=0,"No EVM votes",IF(H371&lt;-20%,"Large deficit",IF(H371&lt;-5%,"Moderate deficit",IF(H371&lt;0,"Narrow deficit",IF(H371&lt;=5%,"Narrow lead/tie",IF(H371&lt;=20%,"Moderate lead","Large lead"))))))</x:f>
        <x:v>Large deficit</x:v>
      </x:c>
    </x:row>
    <x:row r="372">
      <x:c r="A372" t="n">
        <x:v>313</x:v>
      </x:c>
      <x:c r="B372" t="str">
        <x:v>PRY. SCHOOL JHUPPA NARAYAN SINGH R.NO. 1</x:v>
      </x:c>
      <x:c r="C372" s="83" t="n">
        <x:f>'2017 Form20'!H321</x:f>
        <x:v>24</x:v>
      </x:c>
      <x:c r="D372" s="83" t="n">
        <x:f>'2017 Form20'!D321</x:f>
        <x:v>678</x:v>
      </x:c>
      <x:c r="E372" s="50" t="n">
        <x:f>'2017 Form20'!P321</x:f>
        <x:v>0.035398230088495575</x:v>
      </x:c>
      <x:c r="F372" t="n">
        <x:f>'2017 Form20'!Q321</x:f>
        <x:v>480</x:v>
      </x:c>
      <x:c r="G372" t="n">
        <x:f>'2017 Form20'!R321</x:f>
        <x:v>-456</x:v>
      </x:c>
      <x:c r="H372" s="52" t="n">
        <x:f>'2017 Form20'!S321</x:f>
        <x:v>-0.672566371681416</x:v>
      </x:c>
      <x:c r="I372" t="str">
        <x:v>Vedram Bhati</x:v>
      </x:c>
      <x:c r="J372" t="str">
        <x:v>BSP</x:v>
      </x:c>
      <x:c r="K372" t="str">
        <x:v>EVM row</x:v>
      </x:c>
      <x:c r="L372" s="133" t="str">
        <x:f>IF(D372&lt;=0,"No EVM votes",IF(E372&lt;$N$7,"Low",IF(E372&gt;$R$7,"High","Middle")))</x:f>
        <x:v>Middle</x:v>
      </x:c>
      <x:c r="M372" s="133" t="str">
        <x:f>IF(D372&lt;=0,"No EVM votes",IF(H372&lt;-20%,"Large deficit",IF(H372&lt;-5%,"Moderate deficit",IF(H372&lt;0,"Narrow deficit",IF(H372&lt;=5%,"Narrow lead/tie",IF(H372&lt;=20%,"Moderate lead","Large lead"))))))</x:f>
        <x:v>Large deficit</x:v>
      </x:c>
    </x:row>
    <x:row r="373">
      <x:c r="A373" t="n">
        <x:v>314</x:v>
      </x:c>
      <x:c r="B373" t="str">
        <x:v>PRY. SCHOOL JHUPPA KALAN R.NO. 1</x:v>
      </x:c>
      <x:c r="C373" s="83" t="n">
        <x:f>'2017 Form20'!H322</x:f>
        <x:v>33</x:v>
      </x:c>
      <x:c r="D373" s="83" t="n">
        <x:f>'2017 Form20'!D322</x:f>
        <x:v>358</x:v>
      </x:c>
      <x:c r="E373" s="50" t="n">
        <x:f>'2017 Form20'!P322</x:f>
        <x:v>0.09217877094972067</x:v>
      </x:c>
      <x:c r="F373" t="n">
        <x:f>'2017 Form20'!Q322</x:f>
        <x:v>272</x:v>
      </x:c>
      <x:c r="G373" t="n">
        <x:f>'2017 Form20'!R322</x:f>
        <x:v>-239</x:v>
      </x:c>
      <x:c r="H373" s="52" t="n">
        <x:f>'2017 Form20'!S322</x:f>
        <x:v>-0.6675977653631285</x:v>
      </x:c>
      <x:c r="I373" t="str">
        <x:v>Vedram Bhati</x:v>
      </x:c>
      <x:c r="J373" t="str">
        <x:v>BSP</x:v>
      </x:c>
      <x:c r="K373" t="str">
        <x:v>EVM row</x:v>
      </x:c>
      <x:c r="L373" s="133" t="str">
        <x:f>IF(D373&lt;=0,"No EVM votes",IF(E373&lt;$N$7,"Low",IF(E373&gt;$R$7,"High","Middle")))</x:f>
        <x:v>High</x:v>
      </x:c>
      <x:c r="M373" s="133" t="str">
        <x:f>IF(D373&lt;=0,"No EVM votes",IF(H373&lt;-20%,"Large deficit",IF(H373&lt;-5%,"Moderate deficit",IF(H373&lt;0,"Narrow deficit",IF(H373&lt;=5%,"Narrow lead/tie",IF(H373&lt;=20%,"Moderate lead","Large lead"))))))</x:f>
        <x:v>Large deficit</x:v>
      </x:c>
    </x:row>
    <x:row r="374">
      <x:c r="A374" t="n">
        <x:v>315</x:v>
      </x:c>
      <x:c r="B374" t="str">
        <x:v>PRY. SCHOOL MEVLA GOPALGARH R.NO. 1</x:v>
      </x:c>
      <x:c r="C374" s="83" t="n">
        <x:f>'2017 Form20'!H323</x:f>
        <x:v>10</x:v>
      </x:c>
      <x:c r="D374" s="83" t="n">
        <x:f>'2017 Form20'!D323</x:f>
        <x:v>584</x:v>
      </x:c>
      <x:c r="E374" s="50" t="n">
        <x:f>'2017 Form20'!P323</x:f>
        <x:v>0.017123287671232876</x:v>
      </x:c>
      <x:c r="F374" t="n">
        <x:f>'2017 Form20'!Q323</x:f>
        <x:v>354</x:v>
      </x:c>
      <x:c r="G374" t="n">
        <x:f>'2017 Form20'!R323</x:f>
        <x:v>-344</x:v>
      </x:c>
      <x:c r="H374" s="52" t="n">
        <x:f>'2017 Form20'!S323</x:f>
        <x:v>-0.589041095890411</x:v>
      </x:c>
      <x:c r="I374" t="str">
        <x:v>Dhirendra Singh</x:v>
      </x:c>
      <x:c r="J374" t="str">
        <x:v>BJP</x:v>
      </x:c>
      <x:c r="K374" t="str">
        <x:v>EVM row</x:v>
      </x:c>
      <x:c r="L374" s="133" t="str">
        <x:f>IF(D374&lt;=0,"No EVM votes",IF(E374&lt;$N$7,"Low",IF(E374&gt;$R$7,"High","Middle")))</x:f>
        <x:v>Middle</x:v>
      </x:c>
      <x:c r="M374" s="133" t="str">
        <x:f>IF(D374&lt;=0,"No EVM votes",IF(H374&lt;-20%,"Large deficit",IF(H374&lt;-5%,"Moderate deficit",IF(H374&lt;0,"Narrow deficit",IF(H374&lt;=5%,"Narrow lead/tie",IF(H374&lt;=20%,"Moderate lead","Large lead"))))))</x:f>
        <x:v>Large deficit</x:v>
      </x:c>
    </x:row>
    <x:row r="375">
      <x:c r="A375" t="n">
        <x:v>316</x:v>
      </x:c>
      <x:c r="B375" t="str">
        <x:v>PRY. SCHOOL MEVLA GOPALGARH R.NO. 2</x:v>
      </x:c>
      <x:c r="C375" s="83" t="n">
        <x:f>'2017 Form20'!H324</x:f>
        <x:v>34</x:v>
      </x:c>
      <x:c r="D375" s="83" t="n">
        <x:f>'2017 Form20'!D324</x:f>
        <x:v>653</x:v>
      </x:c>
      <x:c r="E375" s="50" t="n">
        <x:f>'2017 Form20'!P324</x:f>
        <x:v>0.05206738131699847</x:v>
      </x:c>
      <x:c r="F375" t="n">
        <x:f>'2017 Form20'!Q324</x:f>
        <x:v>483</x:v>
      </x:c>
      <x:c r="G375" t="n">
        <x:f>'2017 Form20'!R324</x:f>
        <x:v>-449</x:v>
      </x:c>
      <x:c r="H375" s="52" t="n">
        <x:f>'2017 Form20'!S324</x:f>
        <x:v>-0.6875957120980092</x:v>
      </x:c>
      <x:c r="I375" t="str">
        <x:v>Dhirendra Singh</x:v>
      </x:c>
      <x:c r="J375" t="str">
        <x:v>BJP</x:v>
      </x:c>
      <x:c r="K375" t="str">
        <x:v>EVM row</x:v>
      </x:c>
      <x:c r="L375" s="133" t="str">
        <x:f>IF(D375&lt;=0,"No EVM votes",IF(E375&lt;$N$7,"Low",IF(E375&gt;$R$7,"High","Middle")))</x:f>
        <x:v>Middle</x:v>
      </x:c>
      <x:c r="M375" s="133" t="str">
        <x:f>IF(D375&lt;=0,"No EVM votes",IF(H375&lt;-20%,"Large deficit",IF(H375&lt;-5%,"Moderate deficit",IF(H375&lt;0,"Narrow deficit",IF(H375&lt;=5%,"Narrow lead/tie",IF(H375&lt;=20%,"Moderate lead","Large lead"))))))</x:f>
        <x:v>Large deficit</x:v>
      </x:c>
    </x:row>
    <x:row r="376">
      <x:c r="A376" t="n">
        <x:v>317</x:v>
      </x:c>
      <x:c r="B376" t="str">
        <x:v>PRY. SCHOOL ALIYABAD URF MENHADIPUR R.NO. 1</x:v>
      </x:c>
      <x:c r="C376" s="83" t="n">
        <x:f>'2017 Form20'!H325</x:f>
        <x:v>165</x:v>
      </x:c>
      <x:c r="D376" s="83" t="n">
        <x:f>'2017 Form20'!D325</x:f>
        <x:v>601</x:v>
      </x:c>
      <x:c r="E376" s="50" t="n">
        <x:f>'2017 Form20'!P325</x:f>
        <x:v>0.27454242928452577</x:v>
      </x:c>
      <x:c r="F376" t="n">
        <x:f>'2017 Form20'!Q325</x:f>
        <x:v>288</x:v>
      </x:c>
      <x:c r="G376" t="n">
        <x:f>'2017 Form20'!R325</x:f>
        <x:v>-123</x:v>
      </x:c>
      <x:c r="H376" s="52" t="n">
        <x:f>'2017 Form20'!S325</x:f>
        <x:v>-0.20465890183028287</x:v>
      </x:c>
      <x:c r="I376" t="str">
        <x:v>Vedram Bhati</x:v>
      </x:c>
      <x:c r="J376" t="str">
        <x:v>BSP</x:v>
      </x:c>
      <x:c r="K376" t="str">
        <x:v>EVM row</x:v>
      </x:c>
      <x:c r="L376" s="133" t="str">
        <x:f>IF(D376&lt;=0,"No EVM votes",IF(E376&lt;$N$7,"Low",IF(E376&gt;$R$7,"High","Middle")))</x:f>
        <x:v>High</x:v>
      </x:c>
      <x:c r="M376" s="133" t="str">
        <x:f>IF(D376&lt;=0,"No EVM votes",IF(H376&lt;-20%,"Large deficit",IF(H376&lt;-5%,"Moderate deficit",IF(H376&lt;0,"Narrow deficit",IF(H376&lt;=5%,"Narrow lead/tie",IF(H376&lt;=20%,"Moderate lead","Large lead"))))))</x:f>
        <x:v>Large deficit</x:v>
      </x:c>
    </x:row>
    <x:row r="377">
      <x:c r="A377" t="n">
        <x:v>318</x:v>
      </x:c>
      <x:c r="B377" t="str">
        <x:v>PRY. SCHOOL MANGRAULI R.NO. 1</x:v>
      </x:c>
      <x:c r="C377" s="83" t="n">
        <x:f>'2017 Form20'!H326</x:f>
        <x:v>41</x:v>
      </x:c>
      <x:c r="D377" s="83" t="n">
        <x:f>'2017 Form20'!D326</x:f>
        <x:v>609</x:v>
      </x:c>
      <x:c r="E377" s="50" t="n">
        <x:f>'2017 Form20'!P326</x:f>
        <x:v>0.06732348111658457</x:v>
      </x:c>
      <x:c r="F377" t="n">
        <x:f>'2017 Form20'!Q326</x:f>
        <x:v>415</x:v>
      </x:c>
      <x:c r="G377" t="n">
        <x:f>'2017 Form20'!R326</x:f>
        <x:v>-374</x:v>
      </x:c>
      <x:c r="H377" s="52" t="n">
        <x:f>'2017 Form20'!S326</x:f>
        <x:v>-0.6141215106732348</x:v>
      </x:c>
      <x:c r="I377" t="str">
        <x:v>Dhirendra Singh</x:v>
      </x:c>
      <x:c r="J377" t="str">
        <x:v>BJP</x:v>
      </x:c>
      <x:c r="K377" t="str">
        <x:v>EVM row</x:v>
      </x:c>
      <x:c r="L377" s="133" t="str">
        <x:f>IF(D377&lt;=0,"No EVM votes",IF(E377&lt;$N$7,"Low",IF(E377&gt;$R$7,"High","Middle")))</x:f>
        <x:v>Middle</x:v>
      </x:c>
      <x:c r="M377" s="133" t="str">
        <x:f>IF(D377&lt;=0,"No EVM votes",IF(H377&lt;-20%,"Large deficit",IF(H377&lt;-5%,"Moderate deficit",IF(H377&lt;0,"Narrow deficit",IF(H377&lt;=5%,"Narrow lead/tie",IF(H377&lt;=20%,"Moderate lead","Large lead"))))))</x:f>
        <x:v>Large deficit</x:v>
      </x:c>
    </x:row>
    <x:row r="378">
      <x:c r="A378" t="n">
        <x:v>319</x:v>
      </x:c>
      <x:c r="B378" t="str">
        <x:v>PRY. SCHOOL MANGRAULI R.NO. 2</x:v>
      </x:c>
      <x:c r="C378" s="83" t="n">
        <x:f>'2017 Form20'!H327</x:f>
        <x:v>2</x:v>
      </x:c>
      <x:c r="D378" s="83" t="n">
        <x:f>'2017 Form20'!D327</x:f>
        <x:v>382</x:v>
      </x:c>
      <x:c r="E378" s="50" t="n">
        <x:f>'2017 Form20'!P327</x:f>
        <x:v>0.005235602094240838</x:v>
      </x:c>
      <x:c r="F378" t="n">
        <x:f>'2017 Form20'!Q327</x:f>
        <x:v>366</x:v>
      </x:c>
      <x:c r="G378" t="n">
        <x:f>'2017 Form20'!R327</x:f>
        <x:v>-364</x:v>
      </x:c>
      <x:c r="H378" s="52" t="n">
        <x:f>'2017 Form20'!S327</x:f>
        <x:v>-0.9528795811518325</x:v>
      </x:c>
      <x:c r="I378" t="str">
        <x:v>Vedram Bhati</x:v>
      </x:c>
      <x:c r="J378" t="str">
        <x:v>BSP</x:v>
      </x:c>
      <x:c r="K378" t="str">
        <x:v>EVM row</x:v>
      </x:c>
      <x:c r="L378" s="133" t="str">
        <x:f>IF(D378&lt;=0,"No EVM votes",IF(E378&lt;$N$7,"Low",IF(E378&gt;$R$7,"High","Middle")))</x:f>
        <x:v>Low</x:v>
      </x:c>
      <x:c r="M378" s="133" t="str">
        <x:f>IF(D378&lt;=0,"No EVM votes",IF(H378&lt;-20%,"Large deficit",IF(H378&lt;-5%,"Moderate deficit",IF(H378&lt;0,"Narrow deficit",IF(H378&lt;=5%,"Narrow lead/tie",IF(H378&lt;=20%,"Moderate lead","Large lead"))))))</x:f>
        <x:v>Large deficit</x:v>
      </x:c>
    </x:row>
    <x:row r="379">
      <x:c r="A379" t="n">
        <x:v>320</x:v>
      </x:c>
      <x:c r="B379" t="str">
        <x:v>PRY. SCHOOL ALAWALPUR R.NO. 1</x:v>
      </x:c>
      <x:c r="C379" s="83" t="n">
        <x:f>'2017 Form20'!H328</x:f>
        <x:v>3</x:v>
      </x:c>
      <x:c r="D379" s="83" t="n">
        <x:f>'2017 Form20'!D328</x:f>
        <x:v>397</x:v>
      </x:c>
      <x:c r="E379" s="50" t="n">
        <x:f>'2017 Form20'!P328</x:f>
        <x:v>0.007556675062972292</x:v>
      </x:c>
      <x:c r="F379" t="n">
        <x:f>'2017 Form20'!Q328</x:f>
        <x:v>349</x:v>
      </x:c>
      <x:c r="G379" t="n">
        <x:f>'2017 Form20'!R328</x:f>
        <x:v>-346</x:v>
      </x:c>
      <x:c r="H379" s="52" t="n">
        <x:f>'2017 Form20'!S328</x:f>
        <x:v>-0.871536523929471</x:v>
      </x:c>
      <x:c r="I379" t="str">
        <x:v>Dhirendra Singh</x:v>
      </x:c>
      <x:c r="J379" t="str">
        <x:v>BJP</x:v>
      </x:c>
      <x:c r="K379" t="str">
        <x:v>EVM row</x:v>
      </x:c>
      <x:c r="L379" s="133" t="str">
        <x:f>IF(D379&lt;=0,"No EVM votes",IF(E379&lt;$N$7,"Low",IF(E379&gt;$R$7,"High","Middle")))</x:f>
        <x:v>Low</x:v>
      </x:c>
      <x:c r="M379" s="133" t="str">
        <x:f>IF(D379&lt;=0,"No EVM votes",IF(H379&lt;-20%,"Large deficit",IF(H379&lt;-5%,"Moderate deficit",IF(H379&lt;0,"Narrow deficit",IF(H379&lt;=5%,"Narrow lead/tie",IF(H379&lt;=20%,"Moderate lead","Large lead"))))))</x:f>
        <x:v>Large deficit</x:v>
      </x:c>
    </x:row>
    <x:row r="380">
      <x:c r="A380" t="n">
        <x:v>321</x:v>
      </x:c>
      <x:c r="B380" t="str">
        <x:v>PRY. SCHOOL AHMADPUR CHAURAULI R.NO. 1</x:v>
      </x:c>
      <x:c r="C380" s="83" t="n">
        <x:f>'2017 Form20'!H329</x:f>
        <x:v>18</x:v>
      </x:c>
      <x:c r="D380" s="83" t="n">
        <x:f>'2017 Form20'!D329</x:f>
        <x:v>526</x:v>
      </x:c>
      <x:c r="E380" s="50" t="n">
        <x:f>'2017 Form20'!P329</x:f>
        <x:v>0.034220532319391636</x:v>
      </x:c>
      <x:c r="F380" t="n">
        <x:f>'2017 Form20'!Q329</x:f>
        <x:v>229</x:v>
      </x:c>
      <x:c r="G380" t="n">
        <x:f>'2017 Form20'!R329</x:f>
        <x:v>-211</x:v>
      </x:c>
      <x:c r="H380" s="52" t="n">
        <x:f>'2017 Form20'!S329</x:f>
        <x:v>-0.4011406844106464</x:v>
      </x:c>
      <x:c r="I380" t="str">
        <x:v>Vedram Bhati</x:v>
      </x:c>
      <x:c r="J380" t="str">
        <x:v>BSP</x:v>
      </x:c>
      <x:c r="K380" t="str">
        <x:v>EVM row</x:v>
      </x:c>
      <x:c r="L380" s="133" t="str">
        <x:f>IF(D380&lt;=0,"No EVM votes",IF(E380&lt;$N$7,"Low",IF(E380&gt;$R$7,"High","Middle")))</x:f>
        <x:v>Middle</x:v>
      </x:c>
      <x:c r="M380" s="133" t="str">
        <x:f>IF(D380&lt;=0,"No EVM votes",IF(H380&lt;-20%,"Large deficit",IF(H380&lt;-5%,"Moderate deficit",IF(H380&lt;0,"Narrow deficit",IF(H380&lt;=5%,"Narrow lead/tie",IF(H380&lt;=20%,"Moderate lead","Large lead"))))))</x:f>
        <x:v>Large deficit</x:v>
      </x:c>
    </x:row>
    <x:row r="381">
      <x:c r="A381" t="n">
        <x:v>322</x:v>
      </x:c>
      <x:c r="B381" t="str">
        <x:v>PRY. SCHOOL AHMADPUR CHAURAULI R.NO. 2</x:v>
      </x:c>
      <x:c r="C381" s="83" t="n">
        <x:f>'2017 Form20'!H330</x:f>
        <x:v>14</x:v>
      </x:c>
      <x:c r="D381" s="83" t="n">
        <x:f>'2017 Form20'!D330</x:f>
        <x:v>448</x:v>
      </x:c>
      <x:c r="E381" s="50" t="n">
        <x:f>'2017 Form20'!P330</x:f>
        <x:v>0.03125</x:v>
      </x:c>
      <x:c r="F381" t="n">
        <x:f>'2017 Form20'!Q330</x:f>
        <x:v>253</x:v>
      </x:c>
      <x:c r="G381" t="n">
        <x:f>'2017 Form20'!R330</x:f>
        <x:v>-239</x:v>
      </x:c>
      <x:c r="H381" s="52" t="n">
        <x:f>'2017 Form20'!S330</x:f>
        <x:v>-0.5334821428571429</x:v>
      </x:c>
      <x:c r="I381" t="str">
        <x:v>Dhirendra Singh</x:v>
      </x:c>
      <x:c r="J381" t="str">
        <x:v>BJP</x:v>
      </x:c>
      <x:c r="K381" t="str">
        <x:v>EVM row</x:v>
      </x:c>
      <x:c r="L381" s="133" t="str">
        <x:f>IF(D381&lt;=0,"No EVM votes",IF(E381&lt;$N$7,"Low",IF(E381&gt;$R$7,"High","Middle")))</x:f>
        <x:v>Middle</x:v>
      </x:c>
      <x:c r="M381" s="133" t="str">
        <x:f>IF(D381&lt;=0,"No EVM votes",IF(H381&lt;-20%,"Large deficit",IF(H381&lt;-5%,"Moderate deficit",IF(H381&lt;0,"Narrow deficit",IF(H381&lt;=5%,"Narrow lead/tie",IF(H381&lt;=20%,"Moderate lead","Large lead"))))))</x:f>
        <x:v>Large deficit</x:v>
      </x:c>
    </x:row>
    <x:row r="382">
      <x:c r="A382" t="n">
        <x:v>323</x:v>
      </x:c>
      <x:c r="B382" t="str">
        <x:v>PRY. SCHOOL AHMADPUR CHAURAULI R.NO. 3</x:v>
      </x:c>
      <x:c r="C382" s="83" t="n">
        <x:f>'2017 Form20'!H331</x:f>
        <x:v>10</x:v>
      </x:c>
      <x:c r="D382" s="83" t="n">
        <x:f>'2017 Form20'!D331</x:f>
        <x:v>777</x:v>
      </x:c>
      <x:c r="E382" s="50" t="n">
        <x:f>'2017 Form20'!P331</x:f>
        <x:v>0.01287001287001287</x:v>
      </x:c>
      <x:c r="F382" t="n">
        <x:f>'2017 Form20'!Q331</x:f>
        <x:v>354</x:v>
      </x:c>
      <x:c r="G382" t="n">
        <x:f>'2017 Form20'!R331</x:f>
        <x:v>-344</x:v>
      </x:c>
      <x:c r="H382" s="52" t="n">
        <x:f>'2017 Form20'!S331</x:f>
        <x:v>-0.44272844272844275</x:v>
      </x:c>
      <x:c r="I382" t="str">
        <x:v>Dhirendra Singh</x:v>
      </x:c>
      <x:c r="J382" t="str">
        <x:v>BJP</x:v>
      </x:c>
      <x:c r="K382" t="str">
        <x:v>EVM row</x:v>
      </x:c>
      <x:c r="L382" s="133" t="str">
        <x:f>IF(D382&lt;=0,"No EVM votes",IF(E382&lt;$N$7,"Low",IF(E382&gt;$R$7,"High","Middle")))</x:f>
        <x:v>Low</x:v>
      </x:c>
      <x:c r="M382" s="133" t="str">
        <x:f>IF(D382&lt;=0,"No EVM votes",IF(H382&lt;-20%,"Large deficit",IF(H382&lt;-5%,"Moderate deficit",IF(H382&lt;0,"Narrow deficit",IF(H382&lt;=5%,"Narrow lead/tie",IF(H382&lt;=20%,"Moderate lead","Large lead"))))))</x:f>
        <x:v>Large deficit</x:v>
      </x:c>
    </x:row>
    <x:row r="383">
      <x:c r="A383" t="n">
        <x:v>324</x:v>
      </x:c>
      <x:c r="B383" t="str">
        <x:v>J.H. SCHOOL AHMADPUR CHAURAULI R.NO. 1</x:v>
      </x:c>
      <x:c r="C383" s="83" t="n">
        <x:f>'2017 Form20'!H332</x:f>
        <x:v>3</x:v>
      </x:c>
      <x:c r="D383" s="83" t="n">
        <x:f>'2017 Form20'!D332</x:f>
        <x:v>529</x:v>
      </x:c>
      <x:c r="E383" s="50" t="n">
        <x:f>'2017 Form20'!P332</x:f>
        <x:v>0.005671077504725898</x:v>
      </x:c>
      <x:c r="F383" t="n">
        <x:f>'2017 Form20'!Q332</x:f>
        <x:v>302</x:v>
      </x:c>
      <x:c r="G383" t="n">
        <x:f>'2017 Form20'!R332</x:f>
        <x:v>-299</x:v>
      </x:c>
      <x:c r="H383" s="52" t="n">
        <x:f>'2017 Form20'!S332</x:f>
        <x:v>-0.5652173913043478</x:v>
      </x:c>
      <x:c r="I383" t="str">
        <x:v>Dhirendra Singh</x:v>
      </x:c>
      <x:c r="J383" t="str">
        <x:v>BJP</x:v>
      </x:c>
      <x:c r="K383" t="str">
        <x:v>EVM row</x:v>
      </x:c>
      <x:c r="L383" s="133" t="str">
        <x:f>IF(D383&lt;=0,"No EVM votes",IF(E383&lt;$N$7,"Low",IF(E383&gt;$R$7,"High","Middle")))</x:f>
        <x:v>Low</x:v>
      </x:c>
      <x:c r="M383" s="133" t="str">
        <x:f>IF(D383&lt;=0,"No EVM votes",IF(H383&lt;-20%,"Large deficit",IF(H383&lt;-5%,"Moderate deficit",IF(H383&lt;0,"Narrow deficit",IF(H383&lt;=5%,"Narrow lead/tie",IF(H383&lt;=20%,"Moderate lead","Large lead"))))))</x:f>
        <x:v>Large deficit</x:v>
      </x:c>
    </x:row>
    <x:row r="384">
      <x:c r="A384" t="n">
        <x:v>325</x:v>
      </x:c>
      <x:c r="B384" t="str">
        <x:v>J.H. SCHOOL AHMADPUR CHAURAULI R.NO. 2</x:v>
      </x:c>
      <x:c r="C384" s="83" t="n">
        <x:f>'2017 Form20'!H333</x:f>
        <x:v>14</x:v>
      </x:c>
      <x:c r="D384" s="83" t="n">
        <x:f>'2017 Form20'!D333</x:f>
        <x:v>448</x:v>
      </x:c>
      <x:c r="E384" s="50" t="n">
        <x:f>'2017 Form20'!P333</x:f>
        <x:v>0.03125</x:v>
      </x:c>
      <x:c r="F384" t="n">
        <x:f>'2017 Form20'!Q333</x:f>
        <x:v>195</x:v>
      </x:c>
      <x:c r="G384" t="n">
        <x:f>'2017 Form20'!R333</x:f>
        <x:v>-181</x:v>
      </x:c>
      <x:c r="H384" s="52" t="n">
        <x:f>'2017 Form20'!S333</x:f>
        <x:v>-0.40401785714285715</x:v>
      </x:c>
      <x:c r="I384" t="str">
        <x:v>Vedram Bhati</x:v>
      </x:c>
      <x:c r="J384" t="str">
        <x:v>BSP</x:v>
      </x:c>
      <x:c r="K384" t="str">
        <x:v>EVM row</x:v>
      </x:c>
      <x:c r="L384" s="133" t="str">
        <x:f>IF(D384&lt;=0,"No EVM votes",IF(E384&lt;$N$7,"Low",IF(E384&gt;$R$7,"High","Middle")))</x:f>
        <x:v>Middle</x:v>
      </x:c>
      <x:c r="M384" s="133" t="str">
        <x:f>IF(D384&lt;=0,"No EVM votes",IF(H384&lt;-20%,"Large deficit",IF(H384&lt;-5%,"Moderate deficit",IF(H384&lt;0,"Narrow deficit",IF(H384&lt;=5%,"Narrow lead/tie",IF(H384&lt;=20%,"Moderate lead","Large lead"))))))</x:f>
        <x:v>Large deficit</x:v>
      </x:c>
    </x:row>
    <x:row r="385">
      <x:c r="A385" t="n">
        <x:v>326</x:v>
      </x:c>
      <x:c r="B385" t="str">
        <x:v>PRY. SCHOOL BHAVOKRA R.NO. 1</x:v>
      </x:c>
      <x:c r="C385" s="83" t="n">
        <x:f>'2017 Form20'!H334</x:f>
        <x:v>98</x:v>
      </x:c>
      <x:c r="D385" s="83" t="n">
        <x:f>'2017 Form20'!D334</x:f>
        <x:v>845</x:v>
      </x:c>
      <x:c r="E385" s="50" t="n">
        <x:f>'2017 Form20'!P334</x:f>
        <x:v>0.11597633136094675</x:v>
      </x:c>
      <x:c r="F385" t="n">
        <x:f>'2017 Form20'!Q334</x:f>
        <x:v>375</x:v>
      </x:c>
      <x:c r="G385" t="n">
        <x:f>'2017 Form20'!R334</x:f>
        <x:v>-277</x:v>
      </x:c>
      <x:c r="H385" s="52" t="n">
        <x:f>'2017 Form20'!S334</x:f>
        <x:v>-0.32781065088757394</x:v>
      </x:c>
      <x:c r="I385" t="str">
        <x:v>Dhirendra Singh</x:v>
      </x:c>
      <x:c r="J385" t="str">
        <x:v>BJP</x:v>
      </x:c>
      <x:c r="K385" t="str">
        <x:v>EVM row</x:v>
      </x:c>
      <x:c r="L385" s="133" t="str">
        <x:f>IF(D385&lt;=0,"No EVM votes",IF(E385&lt;$N$7,"Low",IF(E385&gt;$R$7,"High","Middle")))</x:f>
        <x:v>High</x:v>
      </x:c>
      <x:c r="M385" s="133" t="str">
        <x:f>IF(D385&lt;=0,"No EVM votes",IF(H385&lt;-20%,"Large deficit",IF(H385&lt;-5%,"Moderate deficit",IF(H385&lt;0,"Narrow deficit",IF(H385&lt;=5%,"Narrow lead/tie",IF(H385&lt;=20%,"Moderate lead","Large lead"))))))</x:f>
        <x:v>Large deficit</x:v>
      </x:c>
    </x:row>
    <x:row r="386">
      <x:c r="A386" t="n">
        <x:v>327</x:v>
      </x:c>
      <x:c r="B386" t="str">
        <x:v>PRY. SCHOOL DYORAR R.NO. 1</x:v>
      </x:c>
      <x:c r="C386" s="83" t="n">
        <x:f>'2017 Form20'!H335</x:f>
        <x:v>11</x:v>
      </x:c>
      <x:c r="D386" s="83" t="n">
        <x:f>'2017 Form20'!D335</x:f>
        <x:v>692</x:v>
      </x:c>
      <x:c r="E386" s="50" t="n">
        <x:f>'2017 Form20'!P335</x:f>
        <x:v>0.015895953757225433</x:v>
      </x:c>
      <x:c r="F386" t="n">
        <x:f>'2017 Form20'!Q335</x:f>
        <x:v>453</x:v>
      </x:c>
      <x:c r="G386" t="n">
        <x:f>'2017 Form20'!R335</x:f>
        <x:v>-442</x:v>
      </x:c>
      <x:c r="H386" s="52" t="n">
        <x:f>'2017 Form20'!S335</x:f>
        <x:v>-0.638728323699422</x:v>
      </x:c>
      <x:c r="I386" t="str">
        <x:v>Dhirendra Singh</x:v>
      </x:c>
      <x:c r="J386" t="str">
        <x:v>BJP</x:v>
      </x:c>
      <x:c r="K386" t="str">
        <x:v>EVM row</x:v>
      </x:c>
      <x:c r="L386" s="133" t="str">
        <x:f>IF(D386&lt;=0,"No EVM votes",IF(E386&lt;$N$7,"Low",IF(E386&gt;$R$7,"High","Middle")))</x:f>
        <x:v>Middle</x:v>
      </x:c>
      <x:c r="M386" s="133" t="str">
        <x:f>IF(D386&lt;=0,"No EVM votes",IF(H386&lt;-20%,"Large deficit",IF(H386&lt;-5%,"Moderate deficit",IF(H386&lt;0,"Narrow deficit",IF(H386&lt;=5%,"Narrow lead/tie",IF(H386&lt;=20%,"Moderate lead","Large lead"))))))</x:f>
        <x:v>Large deficit</x:v>
      </x:c>
    </x:row>
    <x:row r="387">
      <x:c r="A387" t="n">
        <x:v>328</x:v>
      </x:c>
      <x:c r="B387" t="str">
        <x:v>J.H. SCHOOL CHANCHALI R.NO. 1</x:v>
      </x:c>
      <x:c r="C387" s="83" t="n">
        <x:f>'2017 Form20'!H336</x:f>
        <x:v>13</x:v>
      </x:c>
      <x:c r="D387" s="83" t="n">
        <x:f>'2017 Form20'!D336</x:f>
        <x:v>784</x:v>
      </x:c>
      <x:c r="E387" s="50" t="n">
        <x:f>'2017 Form20'!P336</x:f>
        <x:v>0.016581632653061226</x:v>
      </x:c>
      <x:c r="F387" t="n">
        <x:f>'2017 Form20'!Q336</x:f>
        <x:v>643</x:v>
      </x:c>
      <x:c r="G387" t="n">
        <x:f>'2017 Form20'!R336</x:f>
        <x:v>-630</x:v>
      </x:c>
      <x:c r="H387" s="52" t="n">
        <x:f>'2017 Form20'!S336</x:f>
        <x:v>-0.8035714285714286</x:v>
      </x:c>
      <x:c r="I387" t="str">
        <x:v>Dhirendra Singh</x:v>
      </x:c>
      <x:c r="J387" t="str">
        <x:v>BJP</x:v>
      </x:c>
      <x:c r="K387" t="str">
        <x:v>EVM row</x:v>
      </x:c>
      <x:c r="L387" s="133" t="str">
        <x:f>IF(D387&lt;=0,"No EVM votes",IF(E387&lt;$N$7,"Low",IF(E387&gt;$R$7,"High","Middle")))</x:f>
        <x:v>Middle</x:v>
      </x:c>
      <x:c r="M387" s="133" t="str">
        <x:f>IF(D387&lt;=0,"No EVM votes",IF(H387&lt;-20%,"Large deficit",IF(H387&lt;-5%,"Moderate deficit",IF(H387&lt;0,"Narrow deficit",IF(H387&lt;=5%,"Narrow lead/tie",IF(H387&lt;=20%,"Moderate lead","Large lead"))))))</x:f>
        <x:v>Large deficit</x:v>
      </x:c>
    </x:row>
    <x:row r="388">
      <x:c r="A388" t="n">
        <x:v>329</x:v>
      </x:c>
      <x:c r="B388" t="str">
        <x:v>J.H. SCHOOL CHANCHALI R.NO. 2</x:v>
      </x:c>
      <x:c r="C388" s="83" t="n">
        <x:f>'2017 Form20'!H337</x:f>
        <x:v>3</x:v>
      </x:c>
      <x:c r="D388" s="83" t="n">
        <x:f>'2017 Form20'!D337</x:f>
        <x:v>344</x:v>
      </x:c>
      <x:c r="E388" s="50" t="n">
        <x:f>'2017 Form20'!P337</x:f>
        <x:v>0.00872093023255814</x:v>
      </x:c>
      <x:c r="F388" t="n">
        <x:f>'2017 Form20'!Q337</x:f>
        <x:v>283</x:v>
      </x:c>
      <x:c r="G388" t="n">
        <x:f>'2017 Form20'!R337</x:f>
        <x:v>-280</x:v>
      </x:c>
      <x:c r="H388" s="52" t="n">
        <x:f>'2017 Form20'!S337</x:f>
        <x:v>-0.813953488372093</x:v>
      </x:c>
      <x:c r="I388" t="str">
        <x:v>Vedram Bhati</x:v>
      </x:c>
      <x:c r="J388" t="str">
        <x:v>BSP</x:v>
      </x:c>
      <x:c r="K388" t="str">
        <x:v>EVM row</x:v>
      </x:c>
      <x:c r="L388" s="133" t="str">
        <x:f>IF(D388&lt;=0,"No EVM votes",IF(E388&lt;$N$7,"Low",IF(E388&gt;$R$7,"High","Middle")))</x:f>
        <x:v>Low</x:v>
      </x:c>
      <x:c r="M388" s="133" t="str">
        <x:f>IF(D388&lt;=0,"No EVM votes",IF(H388&lt;-20%,"Large deficit",IF(H388&lt;-5%,"Moderate deficit",IF(H388&lt;0,"Narrow deficit",IF(H388&lt;=5%,"Narrow lead/tie",IF(H388&lt;=20%,"Moderate lead","Large lead"))))))</x:f>
        <x:v>Large deficit</x:v>
      </x:c>
    </x:row>
    <x:row r="389">
      <x:c r="A389" t="n">
        <x:v>330</x:v>
      </x:c>
      <x:c r="B389" t="str">
        <x:v>PRY. SCHOOL ORANGABAD URF HIMAYUPUR R.NO. 1</x:v>
      </x:c>
      <x:c r="C389" s="83" t="n">
        <x:f>'2017 Form20'!H338</x:f>
        <x:v>13</x:v>
      </x:c>
      <x:c r="D389" s="83" t="n">
        <x:f>'2017 Form20'!D338</x:f>
        <x:v>405</x:v>
      </x:c>
      <x:c r="E389" s="50" t="n">
        <x:f>'2017 Form20'!P338</x:f>
        <x:v>0.03209876543209877</x:v>
      </x:c>
      <x:c r="F389" t="n">
        <x:f>'2017 Form20'!Q338</x:f>
        <x:v>180</x:v>
      </x:c>
      <x:c r="G389" t="n">
        <x:f>'2017 Form20'!R338</x:f>
        <x:v>-167</x:v>
      </x:c>
      <x:c r="H389" s="52" t="n">
        <x:f>'2017 Form20'!S338</x:f>
        <x:v>-0.4123456790123457</x:v>
      </x:c>
      <x:c r="I389" t="str">
        <x:v>Kamal Sharma</x:v>
      </x:c>
      <x:c r="J389" t="str">
        <x:v>RLD</x:v>
      </x:c>
      <x:c r="K389" t="str">
        <x:v>EVM row</x:v>
      </x:c>
      <x:c r="L389" s="133" t="str">
        <x:f>IF(D389&lt;=0,"No EVM votes",IF(E389&lt;$N$7,"Low",IF(E389&gt;$R$7,"High","Middle")))</x:f>
        <x:v>Middle</x:v>
      </x:c>
      <x:c r="M389" s="133" t="str">
        <x:f>IF(D389&lt;=0,"No EVM votes",IF(H389&lt;-20%,"Large deficit",IF(H389&lt;-5%,"Moderate deficit",IF(H389&lt;0,"Narrow deficit",IF(H389&lt;=5%,"Narrow lead/tie",IF(H389&lt;=20%,"Moderate lead","Large lead"))))))</x:f>
        <x:v>Large deficit</x:v>
      </x:c>
    </x:row>
    <x:row r="390">
      <x:c r="A390" t="n">
        <x:v>331</x:v>
      </x:c>
      <x:c r="B390" t="str">
        <x:v>INTER COLLEG T.A. JAHANGIRPUR R.NO. 1</x:v>
      </x:c>
      <x:c r="C390" s="83" t="n">
        <x:f>'2017 Form20'!H339</x:f>
        <x:v>74</x:v>
      </x:c>
      <x:c r="D390" s="83" t="n">
        <x:f>'2017 Form20'!D339</x:f>
        <x:v>408</x:v>
      </x:c>
      <x:c r="E390" s="50" t="n">
        <x:f>'2017 Form20'!P339</x:f>
        <x:v>0.18137254901960784</x:v>
      </x:c>
      <x:c r="F390" t="n">
        <x:f>'2017 Form20'!Q339</x:f>
        <x:v>176</x:v>
      </x:c>
      <x:c r="G390" t="n">
        <x:f>'2017 Form20'!R339</x:f>
        <x:v>-102</x:v>
      </x:c>
      <x:c r="H390" s="52" t="n">
        <x:f>'2017 Form20'!S339</x:f>
        <x:v>-0.25</x:v>
      </x:c>
      <x:c r="I390" t="str">
        <x:v>Vedram Bhati</x:v>
      </x:c>
      <x:c r="J390" t="str">
        <x:v>BSP</x:v>
      </x:c>
      <x:c r="K390" t="str">
        <x:v>EVM row</x:v>
      </x:c>
      <x:c r="L390" s="133" t="str">
        <x:f>IF(D390&lt;=0,"No EVM votes",IF(E390&lt;$N$7,"Low",IF(E390&gt;$R$7,"High","Middle")))</x:f>
        <x:v>High</x:v>
      </x:c>
      <x:c r="M390" s="133" t="str">
        <x:f>IF(D390&lt;=0,"No EVM votes",IF(H390&lt;-20%,"Large deficit",IF(H390&lt;-5%,"Moderate deficit",IF(H390&lt;0,"Narrow deficit",IF(H390&lt;=5%,"Narrow lead/tie",IF(H390&lt;=20%,"Moderate lead","Large lead"))))))</x:f>
        <x:v>Large deficit</x:v>
      </x:c>
    </x:row>
    <x:row r="391">
      <x:c r="A391" t="n">
        <x:v>332</x:v>
      </x:c>
      <x:c r="B391" t="str">
        <x:v>INTER COLLEG T.A. JAHANGIRPUR R.NO. 2</x:v>
      </x:c>
      <x:c r="C391" s="83" t="n">
        <x:f>'2017 Form20'!H340</x:f>
        <x:v>62</x:v>
      </x:c>
      <x:c r="D391" s="83" t="n">
        <x:f>'2017 Form20'!D340</x:f>
        <x:v>418</x:v>
      </x:c>
      <x:c r="E391" s="50" t="n">
        <x:f>'2017 Form20'!P340</x:f>
        <x:v>0.14832535885167464</x:v>
      </x:c>
      <x:c r="F391" t="n">
        <x:f>'2017 Form20'!Q340</x:f>
        <x:v>180</x:v>
      </x:c>
      <x:c r="G391" t="n">
        <x:f>'2017 Form20'!R340</x:f>
        <x:v>-118</x:v>
      </x:c>
      <x:c r="H391" s="52" t="n">
        <x:f>'2017 Form20'!S340</x:f>
        <x:v>-0.2822966507177033</x:v>
      </x:c>
      <x:c r="I391" t="str">
        <x:v>Vedram Bhati</x:v>
      </x:c>
      <x:c r="J391" t="str">
        <x:v>BSP</x:v>
      </x:c>
      <x:c r="K391" t="str">
        <x:v>EVM row</x:v>
      </x:c>
      <x:c r="L391" s="133" t="str">
        <x:f>IF(D391&lt;=0,"No EVM votes",IF(E391&lt;$N$7,"Low",IF(E391&gt;$R$7,"High","Middle")))</x:f>
        <x:v>High</x:v>
      </x:c>
      <x:c r="M391" s="133" t="str">
        <x:f>IF(D391&lt;=0,"No EVM votes",IF(H391&lt;-20%,"Large deficit",IF(H391&lt;-5%,"Moderate deficit",IF(H391&lt;0,"Narrow deficit",IF(H391&lt;=5%,"Narrow lead/tie",IF(H391&lt;=20%,"Moderate lead","Large lead"))))))</x:f>
        <x:v>Large deficit</x:v>
      </x:c>
    </x:row>
    <x:row r="392">
      <x:c r="A392" t="n">
        <x:v>333</x:v>
      </x:c>
      <x:c r="B392" t="str">
        <x:v>INTER COLLEG T.A. JAHANGIRPUR R.NO. 3</x:v>
      </x:c>
      <x:c r="C392" s="83" t="n">
        <x:f>'2017 Form20'!H341</x:f>
        <x:v>39</x:v>
      </x:c>
      <x:c r="D392" s="83" t="n">
        <x:f>'2017 Form20'!D341</x:f>
        <x:v>930</x:v>
      </x:c>
      <x:c r="E392" s="50" t="n">
        <x:f>'2017 Form20'!P341</x:f>
        <x:v>0.041935483870967745</x:v>
      </x:c>
      <x:c r="F392" t="n">
        <x:f>'2017 Form20'!Q341</x:f>
        <x:v>705</x:v>
      </x:c>
      <x:c r="G392" t="n">
        <x:f>'2017 Form20'!R341</x:f>
        <x:v>-666</x:v>
      </x:c>
      <x:c r="H392" s="52" t="n">
        <x:f>'2017 Form20'!S341</x:f>
        <x:v>-0.7161290322580646</x:v>
      </x:c>
      <x:c r="I392" t="str">
        <x:v>Dhirendra Singh</x:v>
      </x:c>
      <x:c r="J392" t="str">
        <x:v>BJP</x:v>
      </x:c>
      <x:c r="K392" t="str">
        <x:v>EVM row</x:v>
      </x:c>
      <x:c r="L392" s="133" t="str">
        <x:f>IF(D392&lt;=0,"No EVM votes",IF(E392&lt;$N$7,"Low",IF(E392&gt;$R$7,"High","Middle")))</x:f>
        <x:v>Middle</x:v>
      </x:c>
      <x:c r="M392" s="133" t="str">
        <x:f>IF(D392&lt;=0,"No EVM votes",IF(H392&lt;-20%,"Large deficit",IF(H392&lt;-5%,"Moderate deficit",IF(H392&lt;0,"Narrow deficit",IF(H392&lt;=5%,"Narrow lead/tie",IF(H392&lt;=20%,"Moderate lead","Large lead"))))))</x:f>
        <x:v>Large deficit</x:v>
      </x:c>
    </x:row>
    <x:row r="393">
      <x:c r="A393" t="n">
        <x:v>334</x:v>
      </x:c>
      <x:c r="B393" t="str">
        <x:v>INTER COLLEG T.A. JAHANGIRPUR R.NO. 4</x:v>
      </x:c>
      <x:c r="C393" s="83" t="n">
        <x:f>'2017 Form20'!H342</x:f>
        <x:v>15</x:v>
      </x:c>
      <x:c r="D393" s="83" t="n">
        <x:f>'2017 Form20'!D342</x:f>
        <x:v>511</x:v>
      </x:c>
      <x:c r="E393" s="50" t="n">
        <x:f>'2017 Form20'!P342</x:f>
        <x:v>0.029354207436399216</x:v>
      </x:c>
      <x:c r="F393" t="n">
        <x:f>'2017 Form20'!Q342</x:f>
        <x:v>337</x:v>
      </x:c>
      <x:c r="G393" t="n">
        <x:f>'2017 Form20'!R342</x:f>
        <x:v>-322</x:v>
      </x:c>
      <x:c r="H393" s="52" t="n">
        <x:f>'2017 Form20'!S342</x:f>
        <x:v>-0.6301369863013698</x:v>
      </x:c>
      <x:c r="I393" t="str">
        <x:v>Dhirendra Singh</x:v>
      </x:c>
      <x:c r="J393" t="str">
        <x:v>BJP</x:v>
      </x:c>
      <x:c r="K393" t="str">
        <x:v>EVM row</x:v>
      </x:c>
      <x:c r="L393" s="133" t="str">
        <x:f>IF(D393&lt;=0,"No EVM votes",IF(E393&lt;$N$7,"Low",IF(E393&gt;$R$7,"High","Middle")))</x:f>
        <x:v>Middle</x:v>
      </x:c>
      <x:c r="M393" s="133" t="str">
        <x:f>IF(D393&lt;=0,"No EVM votes",IF(H393&lt;-20%,"Large deficit",IF(H393&lt;-5%,"Moderate deficit",IF(H393&lt;0,"Narrow deficit",IF(H393&lt;=5%,"Narrow lead/tie",IF(H393&lt;=20%,"Moderate lead","Large lead"))))))</x:f>
        <x:v>Large deficit</x:v>
      </x:c>
    </x:row>
    <x:row r="394">
      <x:c r="A394" t="n">
        <x:v>335</x:v>
      </x:c>
      <x:c r="B394" t="str">
        <x:v>KANYA PATH. T.A. JAHANGIRPUR R.NO. 1</x:v>
      </x:c>
      <x:c r="C394" s="83" t="n">
        <x:f>'2017 Form20'!H343</x:f>
        <x:v>202</x:v>
      </x:c>
      <x:c r="D394" s="83" t="n">
        <x:f>'2017 Form20'!D343</x:f>
        <x:v>908</x:v>
      </x:c>
      <x:c r="E394" s="50" t="n">
        <x:f>'2017 Form20'!P343</x:f>
        <x:v>0.22246696035242292</x:v>
      </x:c>
      <x:c r="F394" t="n">
        <x:f>'2017 Form20'!Q343</x:f>
        <x:v>583</x:v>
      </x:c>
      <x:c r="G394" t="n">
        <x:f>'2017 Form20'!R343</x:f>
        <x:v>-381</x:v>
      </x:c>
      <x:c r="H394" s="52" t="n">
        <x:f>'2017 Form20'!S343</x:f>
        <x:v>-0.4196035242290749</x:v>
      </x:c>
      <x:c r="I394" t="str">
        <x:v>Dhirendra Singh</x:v>
      </x:c>
      <x:c r="J394" t="str">
        <x:v>BJP</x:v>
      </x:c>
      <x:c r="K394" t="str">
        <x:v>EVM row</x:v>
      </x:c>
      <x:c r="L394" s="133" t="str">
        <x:f>IF(D394&lt;=0,"No EVM votes",IF(E394&lt;$N$7,"Low",IF(E394&gt;$R$7,"High","Middle")))</x:f>
        <x:v>High</x:v>
      </x:c>
      <x:c r="M394" s="133" t="str">
        <x:f>IF(D394&lt;=0,"No EVM votes",IF(H394&lt;-20%,"Large deficit",IF(H394&lt;-5%,"Moderate deficit",IF(H394&lt;0,"Narrow deficit",IF(H394&lt;=5%,"Narrow lead/tie",IF(H394&lt;=20%,"Moderate lead","Large lead"))))))</x:f>
        <x:v>Large deficit</x:v>
      </x:c>
    </x:row>
    <x:row r="395">
      <x:c r="A395" t="n">
        <x:v>336</x:v>
      </x:c>
      <x:c r="B395" t="str">
        <x:v>PRY. SCHOOL T.A. JAHANGIRPUR R.NO. 1</x:v>
      </x:c>
      <x:c r="C395" s="83" t="n">
        <x:f>'2017 Form20'!H344</x:f>
        <x:v>92</x:v>
      </x:c>
      <x:c r="D395" s="83" t="n">
        <x:f>'2017 Form20'!D344</x:f>
        <x:v>670</x:v>
      </x:c>
      <x:c r="E395" s="50" t="n">
        <x:f>'2017 Form20'!P344</x:f>
        <x:v>0.1373134328358209</x:v>
      </x:c>
      <x:c r="F395" t="n">
        <x:f>'2017 Form20'!Q344</x:f>
        <x:v>370</x:v>
      </x:c>
      <x:c r="G395" t="n">
        <x:f>'2017 Form20'!R344</x:f>
        <x:v>-278</x:v>
      </x:c>
      <x:c r="H395" s="52" t="n">
        <x:f>'2017 Form20'!S344</x:f>
        <x:v>-0.41492537313432837</x:v>
      </x:c>
      <x:c r="I395" t="str">
        <x:v>Dhirendra Singh</x:v>
      </x:c>
      <x:c r="J395" t="str">
        <x:v>BJP</x:v>
      </x:c>
      <x:c r="K395" t="str">
        <x:v>EVM row</x:v>
      </x:c>
      <x:c r="L395" s="133" t="str">
        <x:f>IF(D395&lt;=0,"No EVM votes",IF(E395&lt;$N$7,"Low",IF(E395&gt;$R$7,"High","Middle")))</x:f>
        <x:v>High</x:v>
      </x:c>
      <x:c r="M395" s="133" t="str">
        <x:f>IF(D395&lt;=0,"No EVM votes",IF(H395&lt;-20%,"Large deficit",IF(H395&lt;-5%,"Moderate deficit",IF(H395&lt;0,"Narrow deficit",IF(H395&lt;=5%,"Narrow lead/tie",IF(H395&lt;=20%,"Moderate lead","Large lead"))))))</x:f>
        <x:v>Large deficit</x:v>
      </x:c>
    </x:row>
    <x:row r="396">
      <x:c r="A396" t="n">
        <x:v>337</x:v>
      </x:c>
      <x:c r="B396" t="str">
        <x:v>PRY. SCHOOL T.A. JAHANGIRPUR R.NO. 2</x:v>
      </x:c>
      <x:c r="C396" s="83" t="n">
        <x:f>'2017 Form20'!H345</x:f>
        <x:v>243</x:v>
      </x:c>
      <x:c r="D396" s="83" t="n">
        <x:f>'2017 Form20'!D345</x:f>
        <x:v>359</x:v>
      </x:c>
      <x:c r="E396" s="50" t="n">
        <x:f>'2017 Form20'!P345</x:f>
        <x:v>0.6768802228412256</x:v>
      </x:c>
      <x:c r="F396" t="n">
        <x:f>'2017 Form20'!Q345</x:f>
        <x:v>52</x:v>
      </x:c>
      <x:c r="G396" t="n">
        <x:f>'2017 Form20'!R345</x:f>
        <x:v>191</x:v>
      </x:c>
      <x:c r="H396" s="52" t="n">
        <x:f>'2017 Form20'!S345</x:f>
        <x:v>0.532033426183844</x:v>
      </x:c>
      <x:c r="I396" t="str">
        <x:v>Narender Nagar</x:v>
      </x:c>
      <x:c r="J396" t="str">
        <x:v>SP</x:v>
      </x:c>
      <x:c r="K396" t="str">
        <x:v>EVM row</x:v>
      </x:c>
      <x:c r="L396" s="133" t="str">
        <x:f>IF(D396&lt;=0,"No EVM votes",IF(E396&lt;$N$7,"Low",IF(E396&gt;$R$7,"High","Middle")))</x:f>
        <x:v>High</x:v>
      </x:c>
      <x:c r="M396" s="133" t="str">
        <x:f>IF(D396&lt;=0,"No EVM votes",IF(H396&lt;-20%,"Large deficit",IF(H396&lt;-5%,"Moderate deficit",IF(H396&lt;0,"Narrow deficit",IF(H396&lt;=5%,"Narrow lead/tie",IF(H396&lt;=20%,"Moderate lead","Large lead"))))))</x:f>
        <x:v>Large lead</x:v>
      </x:c>
    </x:row>
    <x:row r="397">
      <x:c r="A397" t="n">
        <x:v>338</x:v>
      </x:c>
      <x:c r="B397" t="str">
        <x:v>PRY. SCHOOL T.A. JAHANGIRPUR R.NO. 3</x:v>
      </x:c>
      <x:c r="C397" s="83" t="n">
        <x:f>'2017 Form20'!H346</x:f>
        <x:v>347</x:v>
      </x:c>
      <x:c r="D397" s="83" t="n">
        <x:f>'2017 Form20'!D346</x:f>
        <x:v>586</x:v>
      </x:c>
      <x:c r="E397" s="50" t="n">
        <x:f>'2017 Form20'!P346</x:f>
        <x:v>0.5921501706484642</x:v>
      </x:c>
      <x:c r="F397" t="n">
        <x:f>'2017 Form20'!Q346</x:f>
        <x:v>164</x:v>
      </x:c>
      <x:c r="G397" t="n">
        <x:f>'2017 Form20'!R346</x:f>
        <x:v>183</x:v>
      </x:c>
      <x:c r="H397" s="52" t="n">
        <x:f>'2017 Form20'!S346</x:f>
        <x:v>0.3122866894197952</x:v>
      </x:c>
      <x:c r="I397" t="str">
        <x:v>Narender Nagar</x:v>
      </x:c>
      <x:c r="J397" t="str">
        <x:v>SP</x:v>
      </x:c>
      <x:c r="K397" t="str">
        <x:v>EVM row</x:v>
      </x:c>
      <x:c r="L397" s="133" t="str">
        <x:f>IF(D397&lt;=0,"No EVM votes",IF(E397&lt;$N$7,"Low",IF(E397&gt;$R$7,"High","Middle")))</x:f>
        <x:v>High</x:v>
      </x:c>
      <x:c r="M397" s="133" t="str">
        <x:f>IF(D397&lt;=0,"No EVM votes",IF(H397&lt;-20%,"Large deficit",IF(H397&lt;-5%,"Moderate deficit",IF(H397&lt;0,"Narrow deficit",IF(H397&lt;=5%,"Narrow lead/tie",IF(H397&lt;=20%,"Moderate lead","Large lead"))))))</x:f>
        <x:v>Large lead</x:v>
      </x:c>
    </x:row>
    <x:row r="398">
      <x:c r="A398" t="n">
        <x:v>339</x:v>
      </x:c>
      <x:c r="B398" t="str">
        <x:v>PRY. SCHOOL CHAK JAHANGIRPUR R.NO. 1</x:v>
      </x:c>
      <x:c r="C398" s="83" t="n">
        <x:f>'2017 Form20'!H347</x:f>
        <x:v>16</x:v>
      </x:c>
      <x:c r="D398" s="83" t="n">
        <x:f>'2017 Form20'!D347</x:f>
        <x:v>272</x:v>
      </x:c>
      <x:c r="E398" s="50" t="n">
        <x:f>'2017 Form20'!P347</x:f>
        <x:v>0.058823529411764705</x:v>
      </x:c>
      <x:c r="F398" t="n">
        <x:f>'2017 Form20'!Q347</x:f>
        <x:v>178</x:v>
      </x:c>
      <x:c r="G398" t="n">
        <x:f>'2017 Form20'!R347</x:f>
        <x:v>-162</x:v>
      </x:c>
      <x:c r="H398" s="52" t="n">
        <x:f>'2017 Form20'!S347</x:f>
        <x:v>-0.5955882352941176</x:v>
      </x:c>
      <x:c r="I398" t="str">
        <x:v>Kamal Sharma</x:v>
      </x:c>
      <x:c r="J398" t="str">
        <x:v>RLD</x:v>
      </x:c>
      <x:c r="K398" t="str">
        <x:v>EVM row</x:v>
      </x:c>
      <x:c r="L398" s="133" t="str">
        <x:f>IF(D398&lt;=0,"No EVM votes",IF(E398&lt;$N$7,"Low",IF(E398&gt;$R$7,"High","Middle")))</x:f>
        <x:v>Middle</x:v>
      </x:c>
      <x:c r="M398" s="133" t="str">
        <x:f>IF(D398&lt;=0,"No EVM votes",IF(H398&lt;-20%,"Large deficit",IF(H398&lt;-5%,"Moderate deficit",IF(H398&lt;0,"Narrow deficit",IF(H398&lt;=5%,"Narrow lead/tie",IF(H398&lt;=20%,"Moderate lead","Large lead"))))))</x:f>
        <x:v>Large deficit</x:v>
      </x:c>
    </x:row>
    <x:row r="399">
      <x:c r="A399" t="n">
        <x:v>340</x:v>
      </x:c>
      <x:c r="B399" t="str">
        <x:v>PRY. SCHOOL JAFARGHAR MAZRA JAHANGIRPUR R.NO. 1</x:v>
      </x:c>
      <x:c r="C399" s="83" t="n">
        <x:f>'2017 Form20'!H348</x:f>
        <x:v>2</x:v>
      </x:c>
      <x:c r="D399" s="83" t="n">
        <x:f>'2017 Form20'!D348</x:f>
        <x:v>356</x:v>
      </x:c>
      <x:c r="E399" s="50" t="n">
        <x:f>'2017 Form20'!P348</x:f>
        <x:v>0.0056179775280898875</x:v>
      </x:c>
      <x:c r="F399" t="n">
        <x:f>'2017 Form20'!Q348</x:f>
        <x:v>313</x:v>
      </x:c>
      <x:c r="G399" t="n">
        <x:f>'2017 Form20'!R348</x:f>
        <x:v>-311</x:v>
      </x:c>
      <x:c r="H399" s="52" t="n">
        <x:f>'2017 Form20'!S348</x:f>
        <x:v>-0.8735955056179775</x:v>
      </x:c>
      <x:c r="I399" t="str">
        <x:v>Vedram Bhati</x:v>
      </x:c>
      <x:c r="J399" t="str">
        <x:v>BSP</x:v>
      </x:c>
      <x:c r="K399" t="str">
        <x:v>EVM row</x:v>
      </x:c>
      <x:c r="L399" s="133" t="str">
        <x:f>IF(D399&lt;=0,"No EVM votes",IF(E399&lt;$N$7,"Low",IF(E399&gt;$R$7,"High","Middle")))</x:f>
        <x:v>Low</x:v>
      </x:c>
      <x:c r="M399" s="133" t="str">
        <x:f>IF(D399&lt;=0,"No EVM votes",IF(H399&lt;-20%,"Large deficit",IF(H399&lt;-5%,"Moderate deficit",IF(H399&lt;0,"Narrow deficit",IF(H399&lt;=5%,"Narrow lead/tie",IF(H399&lt;=20%,"Moderate lead","Large lead"))))))</x:f>
        <x:v>Large deficit</x:v>
      </x:c>
    </x:row>
    <x:row r="400">
      <x:c r="A400" t="n">
        <x:v>341</x:v>
      </x:c>
      <x:c r="B400" t="str">
        <x:v>PRY. SCHOOL CHAK NAGALIYA R.NO. 1</x:v>
      </x:c>
      <x:c r="C400" s="83" t="n">
        <x:f>'2017 Form20'!H349</x:f>
        <x:v>8</x:v>
      </x:c>
      <x:c r="D400" s="83" t="n">
        <x:f>'2017 Form20'!D349</x:f>
        <x:v>462</x:v>
      </x:c>
      <x:c r="E400" s="50" t="n">
        <x:f>'2017 Form20'!P349</x:f>
        <x:v>0.017316017316017316</x:v>
      </x:c>
      <x:c r="F400" t="n">
        <x:f>'2017 Form20'!Q349</x:f>
        <x:v>375</x:v>
      </x:c>
      <x:c r="G400" t="n">
        <x:f>'2017 Form20'!R349</x:f>
        <x:v>-367</x:v>
      </x:c>
      <x:c r="H400" s="52" t="n">
        <x:f>'2017 Form20'!S349</x:f>
        <x:v>-0.7943722943722944</x:v>
      </x:c>
      <x:c r="I400" t="str">
        <x:v>Dhirendra Singh</x:v>
      </x:c>
      <x:c r="J400" t="str">
        <x:v>BJP</x:v>
      </x:c>
      <x:c r="K400" t="str">
        <x:v>EVM row</x:v>
      </x:c>
      <x:c r="L400" s="133" t="str">
        <x:f>IF(D400&lt;=0,"No EVM votes",IF(E400&lt;$N$7,"Low",IF(E400&gt;$R$7,"High","Middle")))</x:f>
        <x:v>Middle</x:v>
      </x:c>
      <x:c r="M400" s="133" t="str">
        <x:f>IF(D400&lt;=0,"No EVM votes",IF(H400&lt;-20%,"Large deficit",IF(H400&lt;-5%,"Moderate deficit",IF(H400&lt;0,"Narrow deficit",IF(H400&lt;=5%,"Narrow lead/tie",IF(H400&lt;=20%,"Moderate lead","Large lead"))))))</x:f>
        <x:v>Large deficit</x:v>
      </x:c>
    </x:row>
    <x:row r="401">
      <x:c r="A401" t="n">
        <x:v>342</x:v>
      </x:c>
      <x:c r="B401" t="str">
        <x:v>PRY. SCHOOL ALAMPUR HATHLA URF LAUDONA R.NO. 1</x:v>
      </x:c>
      <x:c r="C401" s="83" t="n">
        <x:f>'2017 Form20'!H350</x:f>
        <x:v>11</x:v>
      </x:c>
      <x:c r="D401" s="83" t="n">
        <x:f>'2017 Form20'!D350</x:f>
        <x:v>681</x:v>
      </x:c>
      <x:c r="E401" s="50" t="n">
        <x:f>'2017 Form20'!P350</x:f>
        <x:v>0.016152716593245228</x:v>
      </x:c>
      <x:c r="F401" t="n">
        <x:f>'2017 Form20'!Q350</x:f>
        <x:v>492</x:v>
      </x:c>
      <x:c r="G401" t="n">
        <x:f>'2017 Form20'!R350</x:f>
        <x:v>-481</x:v>
      </x:c>
      <x:c r="H401" s="52" t="n">
        <x:f>'2017 Form20'!S350</x:f>
        <x:v>-0.7063142437591777</x:v>
      </x:c>
      <x:c r="I401" t="str">
        <x:v>Dhirendra Singh</x:v>
      </x:c>
      <x:c r="J401" t="str">
        <x:v>BJP</x:v>
      </x:c>
      <x:c r="K401" t="str">
        <x:v>EVM row</x:v>
      </x:c>
      <x:c r="L401" s="133" t="str">
        <x:f>IF(D401&lt;=0,"No EVM votes",IF(E401&lt;$N$7,"Low",IF(E401&gt;$R$7,"High","Middle")))</x:f>
        <x:v>Middle</x:v>
      </x:c>
      <x:c r="M401" s="133" t="str">
        <x:f>IF(D401&lt;=0,"No EVM votes",IF(H401&lt;-20%,"Large deficit",IF(H401&lt;-5%,"Moderate deficit",IF(H401&lt;0,"Narrow deficit",IF(H401&lt;=5%,"Narrow lead/tie",IF(H401&lt;=20%,"Moderate lead","Large lead"))))))</x:f>
        <x:v>Large deficit</x:v>
      </x:c>
    </x:row>
    <x:row r="402">
      <x:c r="A402" t="n">
        <x:v>343</x:v>
      </x:c>
      <x:c r="B402" t="str">
        <x:v>PRY. SCHOOL ALAMPUR HATHLA URF LAUDONA R.NO. 2</x:v>
      </x:c>
      <x:c r="C402" s="83" t="n">
        <x:f>'2017 Form20'!H351</x:f>
        <x:v>10</x:v>
      </x:c>
      <x:c r="D402" s="83" t="n">
        <x:f>'2017 Form20'!D351</x:f>
        <x:v>627</x:v>
      </x:c>
      <x:c r="E402" s="50" t="n">
        <x:f>'2017 Form20'!P351</x:f>
        <x:v>0.01594896331738437</x:v>
      </x:c>
      <x:c r="F402" t="n">
        <x:f>'2017 Form20'!Q351</x:f>
        <x:v>541</x:v>
      </x:c>
      <x:c r="G402" t="n">
        <x:f>'2017 Form20'!R351</x:f>
        <x:v>-531</x:v>
      </x:c>
      <x:c r="H402" s="52" t="n">
        <x:f>'2017 Form20'!S351</x:f>
        <x:v>-0.84688995215311</x:v>
      </x:c>
      <x:c r="I402" t="str">
        <x:v>Dhirendra Singh</x:v>
      </x:c>
      <x:c r="J402" t="str">
        <x:v>BJP</x:v>
      </x:c>
      <x:c r="K402" t="str">
        <x:v>EVM row</x:v>
      </x:c>
      <x:c r="L402" s="133" t="str">
        <x:f>IF(D402&lt;=0,"No EVM votes",IF(E402&lt;$N$7,"Low",IF(E402&gt;$R$7,"High","Middle")))</x:f>
        <x:v>Middle</x:v>
      </x:c>
      <x:c r="M402" s="133" t="str">
        <x:f>IF(D402&lt;=0,"No EVM votes",IF(H402&lt;-20%,"Large deficit",IF(H402&lt;-5%,"Moderate deficit",IF(H402&lt;0,"Narrow deficit",IF(H402&lt;=5%,"Narrow lead/tie",IF(H402&lt;=20%,"Moderate lead","Large lead"))))))</x:f>
        <x:v>Large deficit</x:v>
      </x:c>
    </x:row>
  </x:sheetData>
  <x:mergeCells>
    <x:mergeCell ref="A5:G5"/>
    <x:mergeCell ref="A9:G9"/>
    <x:mergeCell ref="A26:F26"/>
    <x:mergeCell ref="A37:F37"/>
    <x:mergeCell ref="D27:J27"/>
    <x:mergeCell ref="A58:K58"/>
    <x:mergeCell ref="M5:T5"/>
    <x:mergeCell ref="A4:K4"/>
    <x:mergeCell ref="M16:T16"/>
    <x:mergeCell ref="M17:T17"/>
    <x:mergeCell ref="M18:T18"/>
    <x:mergeCell ref="M19:T19"/>
    <x:mergeCell ref="M21:T21"/>
    <x:mergeCell ref="M22:T22"/>
    <x:mergeCell ref="M26:T26"/>
    <x:mergeCell ref="M28:T28"/>
    <x:mergeCell ref="M35:T35"/>
    <x:mergeCell ref="M36:T36"/>
    <x:mergeCell ref="M37:T37"/>
    <x:mergeCell ref="M39:T39"/>
    <x:mergeCell ref="R42:T42"/>
    <x:mergeCell ref="A1:K2"/>
    <x:mergeCell ref="A3:K3"/>
    <x:mergeCell ref="H7:K9"/>
  </x:mergeCells>
  <x:conditionalFormatting sqref="D11:D18">
    <x:cfRule type="dataBar" priority="1">
      <x:dataBar>
        <x:cfvo type="min"/>
        <x:cfvo type="max"/>
        <x:color rgb="FF44B4AC"/>
      </x:dataBar>
      <x:extLst>
        <x:ext xmlns:x14="http://schemas.microsoft.com/office/spreadsheetml/2009/9/main" uri="{B025F937-C7B1-47D3-B67F-A62EFF666E3E}">
          <x14:id>{AADEC89D-747E-CAA3-EB11-9029F1619BC0}</x14:id>
        </x:ext>
      </x:extLst>
    </x:cfRule>
  </x:conditionalFormatting>
  <x:conditionalFormatting sqref="E11:E18">
    <x:cfRule type="dataBar" priority="2">
      <x:dataBar>
        <x:cfvo type="min"/>
        <x:cfvo type="max"/>
        <x:color rgb="FF7EA5CB"/>
      </x:dataBar>
      <x:extLst>
        <x:ext xmlns:x14="http://schemas.microsoft.com/office/spreadsheetml/2009/9/main" uri="{B025F937-C7B1-47D3-B67F-A62EFF666E3E}">
          <x14:id>{93E4F379-960A-90B3-C566-D87D75147ED6}</x14:id>
        </x:ext>
      </x:extLst>
    </x:cfRule>
  </x:conditionalFormatting>
  <x:conditionalFormatting sqref="E60:E402">
    <x:cfRule type="dataBar" priority="3">
      <x:dataBar>
        <x:cfvo type="min"/>
        <x:cfvo type="max"/>
        <x:color rgb="FF6EBBAE"/>
      </x:dataBar>
      <x:extLst>
        <x:ext xmlns:x14="http://schemas.microsoft.com/office/spreadsheetml/2009/9/main" uri="{B025F937-C7B1-47D3-B67F-A62EFF666E3E}">
          <x14:id>{8CDE28D0-FAB8-FE6E-3449-E88E9E08CEED}</x14:id>
        </x:ext>
      </x:extLst>
    </x:cfRule>
  </x:conditionalFormatting>
  <x:conditionalFormatting sqref="H60:H402">
    <x:cfRule type="colorScale" priority="4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N30:S32">
    <x:cfRule type="colorScale" priority="5">
      <x:colorScale>
        <x:cfvo type="min"/>
        <x:cfvo type="percentile" val="50"/>
        <x:cfvo type="max"/>
        <x:color rgb="FFFFFFFF"/>
        <x:color rgb="FFD5EEF5"/>
        <x:color rgb="FF3D8AA5"/>
      </x:colorScale>
    </x:cfRule>
  </x:conditionalFormatting>
  <x:conditionalFormatting sqref="L60:L402">
    <x:cfRule type="expression" dxfId="5" priority="6">
      <x:formula>L60="High"</x:formula>
    </x:cfRule>
    <x:cfRule type="expression" dxfId="6" priority="7">
      <x:formula>L60="Low"</x:formula>
    </x:cfRule>
  </x:conditionalFormatting>
  <x:conditionalFormatting sqref="T44:T63">
    <x:cfRule type="dataBar" priority="8">
      <x:dataBar>
        <x:cfvo type="min"/>
        <x:cfvo type="max"/>
        <x:color rgb="FF4C96AF"/>
      </x:dataBar>
      <x:extLst>
        <x:ext xmlns:x14="http://schemas.microsoft.com/office/spreadsheetml/2009/9/main" uri="{B025F937-C7B1-47D3-B67F-A62EFF666E3E}">
          <x14:id>{75A5C8E4-D10E-2BB3-CC63-0200BEC5120F}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4ea59a36be5425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DEC89D-747E-CAA3-EB11-9029F1619BC0}">
            <x14:dataBar gradient="1">
              <x14:cfvo type="min"/>
              <x14:cfvo type="max"/>
              <x14:fillColor rgb="FF44B4AC"/>
            </x14:dataBar>
          </x14:cfRule>
          <xm:sqref>D11:D18</xm:sqref>
        </x14:conditionalFormatting>
        <x14:conditionalFormatting>
          <x14:cfRule type="dataBar" priority="2" id="{93E4F379-960A-90B3-C566-D87D75147ED6}">
            <x14:dataBar gradient="1">
              <x14:cfvo type="min"/>
              <x14:cfvo type="max"/>
              <x14:fillColor rgb="FF7EA5CB"/>
            </x14:dataBar>
          </x14:cfRule>
          <xm:sqref>E11:E18</xm:sqref>
        </x14:conditionalFormatting>
        <x14:conditionalFormatting>
          <x14:cfRule type="dataBar" priority="3" id="{8CDE28D0-FAB8-FE6E-3449-E88E9E08CEED}">
            <x14:dataBar gradient="1">
              <x14:cfvo type="min"/>
              <x14:cfvo type="max"/>
              <x14:fillColor rgb="FF6EBBAE"/>
            </x14:dataBar>
          </x14:cfRule>
          <xm:sqref>E60:E402</xm:sqref>
        </x14:conditionalFormatting>
        <x14:conditionalFormatting>
          <x14:cfRule type="dataBar" priority="8" id="{75A5C8E4-D10E-2BB3-CC63-0200BEC5120F}">
            <x14:dataBar gradient="0">
              <x14:cfvo type="min"/>
              <x14:cfvo type="max"/>
              <x14:fillColor rgb="FF4C96AF"/>
            </x14:dataBar>
          </x14:cfRule>
          <xm:sqref>T44:T63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35" hidden="0" customWidth="1"/>
    <x:col min="10" max="10" width="18" hidden="0" customWidth="1"/>
    <x:col min="11" max="11" width="18" hidden="0" customWidth="1"/>
    <x:col min="12" max="12" width="17" hidden="0" customWidth="1"/>
    <x:col min="13" max="13" width="2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" hidden="0" customWidth="1"/>
    <x:col min="22" max="22" width="3" hidden="0" customWidth="1"/>
    <x:col min="23" max="23" width="3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</x:cols>
  <x:sheetData>
    <x:row r="1" ht="27" customHeight="1">
      <x:c r="A1" s="4" t="str">
        <x:v>2019 | BOOTH PERFORMANCE LAB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37" t="str">
        <x:v>2019  |  QUARTILE • VOTE-MARGIN MATRIX</x:v>
      </x:c>
      <x:c r="N1" s="137"/>
      <x:c r="O1" s="137"/>
      <x:c r="P1" s="137"/>
      <x:c r="Q1" s="137"/>
      <x:c r="R1" s="137"/>
      <x:c r="S1" s="137"/>
      <x:c r="T1" s="137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4" customHeight="1">
      <x:c r="A3" s="10" t="str">
        <x:v>FOCUS: SATVEER • Actual polling-station EVM counts • lead = focal votes minus strongest other candidate • 2027 outcome NOT inferred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43" t="str">
        <x:v>FOCUS: Satveer (BSP, SP–BSP–RLD alliance)  •  station-level EVM votes  •  historic descriptive analysis</x:v>
      </x:c>
      <x:c r="N3" s="143"/>
      <x:c r="O3" s="143"/>
      <x:c r="P3" s="143"/>
      <x:c r="Q3" s="143"/>
      <x:c r="R3" s="143"/>
      <x:c r="S3" s="143"/>
      <x:c r="T3" s="143"/>
    </x:row>
    <x:row r="4" ht="24" customHeight="1">
      <x:c r="A4" s="95" t="str">
        <x:v>NEW →  Quartiles (Q1 / Median / Q3) • share × margin matrix • continuous histogram • talking-point insights. Scroll RIGHT to columns M–AJ.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</x:row>
    <x:row r="5" ht="27" customHeight="1">
      <x:c r="A5" s="16" t="str">
        <x:v>AT A GLANCE — FOCAL CANDIDATE / ALLIANCE CANDIDATE</x:v>
      </x:c>
      <x:c r="B5" s="16"/>
      <x:c r="C5" s="16"/>
      <x:c r="D5" s="16"/>
      <x:c r="E5" s="16"/>
      <x:c r="F5" s="16"/>
      <x:c r="G5" s="16"/>
      <x:c r="M5" s="113" t="str">
        <x:v>01   VOTE-SHARE DISTRIBUTION  |  Q1 • MEDIAN • Q3</x:v>
      </x:c>
      <x:c r="N5" s="113"/>
      <x:c r="O5" s="113"/>
      <x:c r="P5" s="113"/>
      <x:c r="Q5" s="113"/>
      <x:c r="R5" s="113"/>
      <x:c r="S5" s="113"/>
      <x:c r="T5" s="113"/>
    </x:row>
    <x:row r="6" ht="46" customHeight="1">
      <x:c r="A6" s="57" t="str">
        <x:v>Focus EVM votes</x:v>
      </x:c>
      <x:c r="B6" s="57" t="str">
        <x:v>Focus vote share</x:v>
      </x:c>
      <x:c r="C6" s="57" t="str">
        <x:v>Outright station leads</x:v>
      </x:c>
      <x:c r="D6" s="57" t="str">
        <x:v>Number of stations</x:v>
      </x:c>
    </x:row>
    <x:row r="7" ht="33" customHeight="1">
      <x:c r="A7" s="80" t="n">
        <x:f>C11</x:f>
        <x:v>101005</x:v>
      </x:c>
      <x:c r="B7" s="62" t="n">
        <x:f>D11</x:f>
        <x:v>0.4659289055364375</x:v>
      </x:c>
      <x:c r="C7" s="60" t="n">
        <x:v>175</x:v>
      </x:c>
      <x:c r="D7" s="60" t="n">
        <x:v>388</x:v>
      </x:c>
      <x:c r="H7" s="67" t="str">
        <x:v>How to read: 'lead' means the most votes at that station, NOT a 2027 forecast. For 2019 and 2022 the focal candidate represented a party allied with SP, not an SP-symbol contest.</x:v>
      </x:c>
      <x:c r="I7" s="67"/>
      <x:c r="J7" s="67"/>
      <x:c r="K7" s="67"/>
      <x:c r="L7" s="67"/>
      <x:c r="M7" s="96" t="str">
        <x:v>Q1 · 25th</x:v>
      </x:c>
      <x:c r="N7" s="100" t="n">
        <x:f>_xlfn.PERCENTILE.INC($E$60:$E$447,0.25)</x:f>
        <x:v>0.22424906798817</x:v>
      </x:c>
      <x:c r="O7" s="96" t="str">
        <x:v>Median · 50th</x:v>
      </x:c>
      <x:c r="P7" s="100" t="n">
        <x:f>MEDIAN($E$60:$E$447)</x:f>
        <x:v>0.4236371202663337</x:v>
      </x:c>
      <x:c r="Q7" s="96" t="str">
        <x:v>Q3 · 75th</x:v>
      </x:c>
      <x:c r="R7" s="100" t="n">
        <x:f>_xlfn.PERCENTILE.INC($E$60:$E$447,0.75)</x:f>
        <x:v>0.67316099009572</x:v>
      </x:c>
      <x:c r="S7" s="67"/>
      <x:c r="T7" s="67"/>
      <x:c r="U7" s="67"/>
    </x:row>
    <x:row r="8"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</x:row>
    <x:row r="9" ht="34" customHeight="1">
      <x:c r="A9" s="16" t="str">
        <x:v>CANDIDATE SCORECARD — VOTES, SHARE AND POLLING-STATION LEADS</x:v>
      </x:c>
      <x:c r="B9" s="16"/>
      <x:c r="C9" s="16"/>
      <x:c r="D9" s="16"/>
      <x:c r="E9" s="16"/>
      <x:c r="F9" s="16"/>
      <x:c r="G9" s="16"/>
      <x:c r="H9" s="67"/>
      <x:c r="I9" s="67"/>
      <x:c r="J9" s="67"/>
      <x:c r="K9" s="67"/>
      <x:c r="L9" s="67"/>
      <x:c r="M9" s="142" t="str">
        <x:v>Tulsipur method: Low &lt; Q1  |  Middle = Q1 to Q3 inclusive  |  High &gt; Q3. Relative to THIS election only.</x:v>
      </x:c>
      <x:c r="N9" s="142"/>
      <x:c r="O9" s="142"/>
      <x:c r="P9" s="142"/>
      <x:c r="Q9" s="142"/>
      <x:c r="R9" s="142"/>
      <x:c r="S9" s="142"/>
      <x:c r="T9" s="142"/>
      <x:c r="U9" s="67"/>
    </x:row>
    <x:row r="10" ht="38" customHeight="1">
      <x:c r="A10" s="45" t="str">
        <x:v>Candidate</x:v>
      </x:c>
      <x:c r="B10" s="45" t="str">
        <x:v>Party</x:v>
      </x:c>
      <x:c r="C10" s="45" t="str">
        <x:v>EVM votes</x:v>
      </x:c>
      <x:c r="D10" s="45" t="str">
        <x:v>EVM share</x:v>
      </x:c>
      <x:c r="E10" s="45" t="str">
        <x:v>Station leads</x:v>
      </x:c>
      <x:c r="F10" s="45" t="str">
        <x:v>Tied for lead</x:v>
      </x:c>
      <x:c r="G10" s="45" t="str">
        <x:v>Lead share of PS</x:v>
      </x:c>
    </x:row>
    <x:row r="11" ht="28" customHeight="1">
      <x:c r="A11" s="36" t="str">
        <x:v>SATVEER</x:v>
      </x:c>
      <x:c r="B11" s="36" t="str">
        <x:v>BSP</x:v>
      </x:c>
      <x:c r="C11" s="82" t="n">
        <x:f>SUM('2019 Form20'!H9:H396)</x:f>
        <x:v>101005</x:v>
      </x:c>
      <x:c r="D11" s="64" t="n">
        <x:f>IFERROR(C11/SUM('2019 Form20'!D9:D396),0)</x:f>
        <x:v>0.4659289055364375</x:v>
      </x:c>
      <x:c r="E11" s="36" t="n">
        <x:v>175</x:v>
      </x:c>
      <x:c r="F11" s="36" t="n">
        <x:v>0</x:v>
      </x:c>
      <x:c r="G11" s="64" t="n">
        <x:f>IFERROR(E11/388,0)</x:f>
        <x:v>0.45103092783505155</x:v>
      </x:c>
      <x:c r="M11" s="104" t="str">
        <x:v>Share band</x:v>
      </x:c>
      <x:c r="N11" s="104" t="str">
        <x:v>Stations</x:v>
      </x:c>
      <x:c r="O11" s="104" t="str">
        <x:v>% valid PS</x:v>
      </x:c>
      <x:c r="P11" s="104" t="str">
        <x:v>Avg share</x:v>
      </x:c>
      <x:c r="Q11" s="104" t="str">
        <x:v>Avg margin</x:v>
      </x:c>
    </x:row>
    <x:row r="12" ht="24" customHeight="1">
      <x:c r="A12" t="str">
        <x:v>DR. MAHESH SHARMA</x:v>
      </x:c>
      <x:c r="B12" t="str">
        <x:v>BJP</x:v>
      </x:c>
      <x:c r="C12" s="83" t="n">
        <x:f>SUM('2019 Form20'!I9:I396)</x:f>
        <x:v>108264</x:v>
      </x:c>
      <x:c r="D12" s="50" t="n">
        <x:f>IFERROR(C12/SUM('2019 Form20'!D9:D396),0)</x:f>
        <x:v>0.49941415800204814</x:v>
      </x:c>
      <x:c r="E12" t="n">
        <x:v>213</x:v>
      </x:c>
      <x:c r="F12" t="n">
        <x:v>0</x:v>
      </x:c>
      <x:c r="G12" s="50" t="n">
        <x:f>IFERROR(E12/388,0)</x:f>
        <x:v>0.5489690721649485</x:v>
      </x:c>
      <x:c r="M12" s="106" t="str">
        <x:v>Low</x:v>
      </x:c>
      <x:c r="N12" s="108" t="n">
        <x:f>COUNTIF($L$60:$L$447,M12)</x:f>
        <x:v>97</x:v>
      </x:c>
      <x:c r="O12" s="107" t="n">
        <x:f>IFERROR(N12/COUNT($E$60:$E$447),0)</x:f>
        <x:v>0.25</x:v>
      </x:c>
      <x:c r="P12" s="107" t="n">
        <x:f>IFERROR(AVERAGEIF($L$60:$L$447,M12,$E$60:$E$447),0)</x:f>
        <x:v>0.11970731778976268</x:v>
      </x:c>
      <x:c r="Q12" s="107" t="n">
        <x:f>IFERROR(AVERAGEIF($L$60:$L$447,M12,$H$60:$H$447),0)</x:f>
        <x:v>-0.7258927740546617</x:v>
      </x:c>
    </x:row>
    <x:row r="13" ht="24" customHeight="1">
      <x:c r="A13" t="str">
        <x:v>DR. ARVIND KUMAR SINGH</x:v>
      </x:c>
      <x:c r="B13" t="str">
        <x:v>INC</x:v>
      </x:c>
      <x:c r="C13" s="83" t="n">
        <x:f>SUM('2019 Form20'!J9:J396)</x:f>
        <x:v>3106</x:v>
      </x:c>
      <x:c r="D13" s="50" t="n">
        <x:f>IFERROR(C13/SUM('2019 Form20'!D9:D396),0)</x:f>
        <x:v>0.014327757839673036</x:v>
      </x:c>
      <x:c r="E13" t="n">
        <x:v>0</x:v>
      </x:c>
      <x:c r="F13" t="n">
        <x:v>0</x:v>
      </x:c>
      <x:c r="G13" s="50" t="n">
        <x:f>IFERROR(E13/388,0)</x:f>
        <x:v>0</x:v>
      </x:c>
      <x:c r="M13" s="106" t="str">
        <x:v>Middle</x:v>
      </x:c>
      <x:c r="N13" s="108" t="n">
        <x:f>COUNTIF($L$60:$L$447,M13)</x:f>
        <x:v>194</x:v>
      </x:c>
      <x:c r="O13" s="107" t="n">
        <x:f>IFERROR(N13/COUNT($E$60:$E$447),0)</x:f>
        <x:v>0.5</x:v>
      </x:c>
      <x:c r="P13" s="107" t="n">
        <x:f>IFERROR(AVERAGEIF($L$60:$L$447,M13,$E$60:$E$447),0)</x:f>
        <x:v>0.43825856247237893</x:v>
      </x:c>
      <x:c r="Q13" s="107" t="n">
        <x:f>IFERROR(AVERAGEIF($L$60:$L$447,M13,$H$60:$H$447),0)</x:f>
        <x:v>-0.08562280835154472</x:v>
      </x:c>
    </x:row>
    <x:row r="14" ht="24" customHeight="1">
      <x:c r="A14" t="str">
        <x:v>ASHOK KUMAR ADHANA</x:v>
      </x:c>
      <x:c r="B14" t="str">
        <x:v>Independent</x:v>
      </x:c>
      <x:c r="C14" s="83" t="n">
        <x:f>SUM('2019 Form20'!K9:K396)</x:f>
        <x:v>933</x:v>
      </x:c>
      <x:c r="D14" s="50" t="n">
        <x:f>IFERROR(C14/SUM('2019 Form20'!D9:D396),0)</x:f>
        <x:v>0.004303862866843188</x:v>
      </x:c>
      <x:c r="E14" t="n">
        <x:v>0</x:v>
      </x:c>
      <x:c r="F14" t="n">
        <x:v>0</x:v>
      </x:c>
      <x:c r="G14" s="50" t="n">
        <x:f>IFERROR(E14/388,0)</x:f>
        <x:v>0</x:v>
      </x:c>
      <x:c r="M14" s="109" t="str">
        <x:v>High</x:v>
      </x:c>
      <x:c r="N14" s="110" t="n">
        <x:f>COUNTIF($L$60:$L$447,M14)</x:f>
        <x:v>97</x:v>
      </x:c>
      <x:c r="O14" s="111" t="n">
        <x:f>IFERROR(N14/COUNT($E$60:$E$447),0)</x:f>
        <x:v>0.25</x:v>
      </x:c>
      <x:c r="P14" s="111" t="n">
        <x:f>IFERROR(AVERAGEIF($L$60:$L$447,M14,$E$60:$E$447),0)</x:f>
        <x:v>0.8232163800046447</x:v>
      </x:c>
      <x:c r="Q14" s="111" t="n">
        <x:f>IFERROR(AVERAGEIF($L$60:$L$447,M14,$H$60:$H$447),0)</x:f>
        <x:v>0.6747373961934354</x:v>
      </x:c>
    </x:row>
    <x:row r="15" ht="29" customHeight="1">
      <x:c r="A15" t="str">
        <x:v>RODASH GUPTA</x:v>
      </x:c>
      <x:c r="B15" t="str">
        <x:v>Independent</x:v>
      </x:c>
      <x:c r="C15" s="83" t="n">
        <x:f>SUM('2019 Form20'!L9:L396)</x:f>
        <x:v>556</x:v>
      </x:c>
      <x:c r="D15" s="50" t="n">
        <x:f>IFERROR(C15/SUM('2019 Form20'!D9:D396),0)</x:f>
        <x:v>0.002564788589458534</x:v>
      </x:c>
      <x:c r="E15" t="n">
        <x:v>0</x:v>
      </x:c>
      <x:c r="F15" t="n">
        <x:v>0</x:v>
      </x:c>
      <x:c r="G15" s="50" t="n">
        <x:f>IFERROR(E15/388,0)</x:f>
        <x:v>0</x:v>
      </x:c>
    </x:row>
    <x:row r="16" ht="27" customHeight="1">
      <x:c r="A16" t="str">
        <x:v>JAGDEEP SINGH</x:v>
      </x:c>
      <x:c r="B16" t="str">
        <x:v>Loktantrik Janshakti Party</x:v>
      </x:c>
      <x:c r="C16" s="83" t="n">
        <x:f>SUM('2019 Form20'!M9:M396)</x:f>
        <x:v>529</x:v>
      </x:c>
      <x:c r="D16" s="50" t="n">
        <x:f>IFERROR(C16/SUM('2019 Form20'!D9:D396),0)</x:f>
        <x:v>0.0024402395032797927</x:v>
      </x:c>
      <x:c r="E16" t="n">
        <x:v>0</x:v>
      </x:c>
      <x:c r="F16" t="n">
        <x:v>0</x:v>
      </x:c>
      <x:c r="G16" s="50" t="n">
        <x:f>IFERROR(E16/388,0)</x:f>
        <x:v>0</x:v>
      </x:c>
      <x:c r="M16" s="113" t="str">
        <x:v>READ THE DISTRIBUTION — HISTORICAL INSIGHTS</x:v>
      </x:c>
      <x:c r="N16" s="113"/>
      <x:c r="O16" s="113"/>
      <x:c r="P16" s="113"/>
      <x:c r="Q16" s="113"/>
      <x:c r="R16" s="113"/>
      <x:c r="S16" s="113"/>
      <x:c r="T16" s="113"/>
    </x:row>
    <x:row r="17" ht="43" customHeight="1">
      <x:c r="A17" t="str">
        <x:v>RAM PAL</x:v>
      </x:c>
      <x:c r="B17" t="str">
        <x:v>Rashtriya Samaj Paksha</x:v>
      </x:c>
      <x:c r="C17" s="83" t="n">
        <x:f>SUM('2019 Form20'!N9:N396)</x:f>
        <x:v>285</x:v>
      </x:c>
      <x:c r="D17" s="50" t="n">
        <x:f>IFERROR(C17/SUM('2019 Form20'!D9:D396),0)</x:f>
        <x:v>0.0013146847985533855</x:v>
      </x:c>
      <x:c r="E17" t="n">
        <x:v>0</x:v>
      </x:c>
      <x:c r="F17" t="n">
        <x:v>0</x:v>
      </x:c>
      <x:c r="G17" s="50" t="n">
        <x:f>IFERROR(E17/388,0)</x:f>
        <x:v>0</x:v>
      </x:c>
      <x:c r="M17" s="116" t="str">
        <x:v>Vote share quartiles: Q1 22.4%; median 42.4%; Q3 67.3%. Low / Middle / High contains 97 / 194 / 97 stations. These are station percentiles, not voter demographics.</x:v>
      </x:c>
      <x:c r="N17" s="116"/>
      <x:c r="O17" s="116"/>
      <x:c r="P17" s="116"/>
      <x:c r="Q17" s="116"/>
      <x:c r="R17" s="116"/>
      <x:c r="S17" s="116"/>
      <x:c r="T17" s="116"/>
    </x:row>
    <x:row r="18" ht="43" customHeight="1">
      <x:c r="A18" t="str">
        <x:v>VINOD KUMAR NAGAR</x:v>
      </x:c>
      <x:c r="B18" t="str">
        <x:v>Rashtriya Bhartiya Jan Jan Party</x:v>
      </x:c>
      <x:c r="C18" s="83" t="n">
        <x:f>SUM('2019 Form20'!O9:O396)</x:f>
        <x:v>241</x:v>
      </x:c>
      <x:c r="D18" s="50" t="n">
        <x:f>IFERROR(C18/SUM('2019 Form20'!D9:D396),0)</x:f>
        <x:v>0.0011117159173732137</x:v>
      </x:c>
      <x:c r="E18" t="n">
        <x:v>0</x:v>
      </x:c>
      <x:c r="F18" t="n">
        <x:v>0</x:v>
      </x:c>
      <x:c r="G18" s="50" t="n">
        <x:f>IFERROR(E18/388,0)</x:f>
        <x:v>0</x:v>
      </x:c>
      <x:c r="M18" s="116" t="str">
        <x:v>12 of 388 valid EVM stations (3%) had focal share below 5%. Median signed margin vs the strongest rival was -12.1% (-12.1 percentage points).</x:v>
      </x:c>
      <x:c r="N18" s="116"/>
      <x:c r="O18" s="116"/>
      <x:c r="P18" s="116"/>
      <x:c r="Q18" s="116"/>
      <x:c r="R18" s="116"/>
      <x:c r="S18" s="116"/>
      <x:c r="T18" s="116"/>
    </x:row>
    <x:row r="19" ht="43" customHeight="1">
      <x:c r="A19" t="str">
        <x:v>JITENDRA SINGH</x:v>
      </x:c>
      <x:c r="B19" t="str">
        <x:v>Pragatishil Samajwadi Party (Lohia)</x:v>
      </x:c>
      <x:c r="C19" s="83" t="n">
        <x:f>SUM('2019 Form20'!P9:P396)</x:f>
        <x:v>230</x:v>
      </x:c>
      <x:c r="D19" s="50" t="n">
        <x:f>IFERROR(C19/SUM('2019 Form20'!D9:D396),0)</x:f>
        <x:v>0.0010609736970781708</x:v>
      </x:c>
      <x:c r="E19" t="n">
        <x:v>0</x:v>
      </x:c>
      <x:c r="F19" t="n">
        <x:v>0</x:v>
      </x:c>
      <x:c r="G19" s="50" t="n">
        <x:f>IFERROR(E19/388,0)</x:f>
        <x:v>0</x:v>
      </x:c>
      <x:c r="M19" s="119" t="str">
        <x:v>2017 isolates Narender Nagar personally. Other years feature DIFFERENT candidates/alliances; their counts are context, not his personal historic or future votes.</x:v>
      </x:c>
      <x:c r="N19" s="119"/>
      <x:c r="O19" s="119"/>
      <x:c r="P19" s="119"/>
      <x:c r="Q19" s="119"/>
      <x:c r="R19" s="119"/>
      <x:c r="S19" s="119"/>
      <x:c r="T19" s="119"/>
    </x:row>
    <x:row r="20" ht="29" customHeight="1">
      <x:c r="A20" t="str">
        <x:v>SHERSINGH UPADHYAY</x:v>
      </x:c>
      <x:c r="B20" t="str">
        <x:v>Rashtriya Janta Party</x:v>
      </x:c>
      <x:c r="C20" s="83" t="n">
        <x:f>SUM('2019 Form20'!Q9:Q396)</x:f>
        <x:v>213</x:v>
      </x:c>
      <x:c r="D20" s="50" t="n">
        <x:f>IFERROR(C20/SUM('2019 Form20'!D9:D396),0)</x:f>
        <x:v>0.0009825539020767407</x:v>
      </x:c>
      <x:c r="E20" t="n">
        <x:v>0</x:v>
      </x:c>
      <x:c r="F20" t="n">
        <x:v>0</x:v>
      </x:c>
      <x:c r="G20" s="50" t="n">
        <x:f>IFERROR(E20/388,0)</x:f>
        <x:v>0</x:v>
      </x:c>
    </x:row>
    <x:row r="21" ht="27" customHeight="1">
      <x:c r="A21" t="str">
        <x:v>VINOD SHARMA</x:v>
      </x:c>
      <x:c r="B21" t="str">
        <x:v>All Indian Rajiv Congress Party</x:v>
      </x:c>
      <x:c r="C21" s="83" t="n">
        <x:f>SUM('2019 Form20'!R9:R396)</x:f>
        <x:v>188</x:v>
      </x:c>
      <x:c r="D21" s="50" t="n">
        <x:f>IFERROR(C21/SUM('2019 Form20'!D9:D396),0)</x:f>
        <x:v>0.0008672306741334613</x:v>
      </x:c>
      <x:c r="E21" t="n">
        <x:v>0</x:v>
      </x:c>
      <x:c r="F21" t="n">
        <x:v>0</x:v>
      </x:c>
      <x:c r="G21" s="50" t="n">
        <x:f>IFERROR(E21/388,0)</x:f>
        <x:v>0</x:v>
      </x:c>
      <x:c r="M21" s="113" t="str">
        <x:v>02   SHARE MARGIN  |  DIFFERENCE FROM STRONGEST RIVAL</x:v>
      </x:c>
      <x:c r="N21" s="113"/>
      <x:c r="O21" s="113"/>
      <x:c r="P21" s="113"/>
      <x:c r="Q21" s="113"/>
      <x:c r="R21" s="113"/>
      <x:c r="S21" s="113"/>
      <x:c r="T21" s="113"/>
    </x:row>
    <x:row r="22" ht="27" customHeight="1">
      <x:c r="A22" t="str">
        <x:v>RAGHUVENDRA KUMAR</x:v>
      </x:c>
      <x:c r="B22" t="str">
        <x:v>SBSP (Subhas Party)</x:v>
      </x:c>
      <x:c r="C22" s="83" t="n">
        <x:f>SUM('2019 Form20'!S9:S396)</x:f>
        <x:v>84</x:v>
      </x:c>
      <x:c r="D22" s="50" t="n">
        <x:f>IFERROR(C22/SUM('2019 Form20'!D9:D396),0)</x:f>
        <x:v>0.0003874860458894189</x:v>
      </x:c>
      <x:c r="E22" t="n">
        <x:v>0</x:v>
      </x:c>
      <x:c r="F22" t="n">
        <x:v>0</x:v>
      </x:c>
      <x:c r="G22" s="50" t="n">
        <x:f>IFERROR(E22/388,0)</x:f>
        <x:v>0</x:v>
      </x:c>
      <x:c r="M22" s="120" t="str">
        <x:v>Signed margin (percentage points) = (focal candidate votes − highest OTHER candidate votes) ÷ total EVM votes. A negative value means trailing.</x:v>
      </x:c>
      <x:c r="N22" s="120"/>
      <x:c r="O22" s="120"/>
      <x:c r="P22" s="120"/>
      <x:c r="Q22" s="120"/>
      <x:c r="R22" s="120"/>
      <x:c r="S22" s="120"/>
      <x:c r="T22" s="120"/>
    </x:row>
    <x:row r="23" ht="29" customHeight="1">
      <x:c r="A23" t="str">
        <x:v>DAYARAM</x:v>
      </x:c>
      <x:c r="B23" t="str">
        <x:v>Aapki Apni Party (Peoples)</x:v>
      </x:c>
      <x:c r="C23" s="83" t="n">
        <x:f>SUM('2019 Form20'!T9:T396)</x:f>
        <x:v>81</x:v>
      </x:c>
      <x:c r="D23" s="50" t="n">
        <x:f>IFERROR(C23/SUM('2019 Form20'!D9:D396),0)</x:f>
        <x:v>0.0003736472585362253</x:v>
      </x:c>
      <x:c r="E23" t="n">
        <x:v>0</x:v>
      </x:c>
      <x:c r="F23" t="n">
        <x:v>0</x:v>
      </x:c>
      <x:c r="G23" s="50" t="n">
        <x:f>IFERROR(E23/388,0)</x:f>
        <x:v>0</x:v>
      </x:c>
    </x:row>
    <x:row r="24" ht="32" customHeight="1">
      <x:c r="M24" s="123" t="str">
        <x:v>Median margin</x:v>
      </x:c>
      <x:c r="N24" s="124" t="n">
        <x:f>MEDIAN($H$60:$H$447)</x:f>
        <x:v>-0.12128722786356627</x:v>
      </x:c>
      <x:c r="O24" s="123" t="str">
        <x:v>Trail stations</x:v>
      </x:c>
      <x:c r="P24" s="123" t="n">
        <x:f>COUNTIF($H$60:$H$447,"&lt;0")</x:f>
        <x:v>213</x:v>
      </x:c>
      <x:c r="Q24" s="123" t="str">
        <x:v>Lead stations</x:v>
      </x:c>
      <x:c r="R24" s="123" t="n">
        <x:f>COUNTIF($H$60:$H$447,"&gt;0")</x:f>
        <x:v>175</x:v>
      </x:c>
      <x:c r="S24" s="123" t="str">
        <x:v>Near 5pp</x:v>
      </x:c>
      <x:c r="T24" s="123" t="n">
        <x:f>COUNTIFS($H$60:$H$447,"&gt;=-0.05",$H$60:$H$447,"&lt;=0.05",$D$60:$D$447,"&gt;0")</x:f>
        <x:v>15</x:v>
      </x:c>
    </x:row>
    <x:row r="26" ht="43" customHeight="1">
      <x:c r="A26" s="16" t="str">
        <x:v>FOCAL CANDIDATE — VOTE-SHARE HISTOGRAM</x:v>
      </x:c>
      <x:c r="B26" s="16"/>
      <x:c r="C26" s="16"/>
      <x:c r="D26" s="16"/>
      <x:c r="E26" s="16"/>
      <x:c r="F26" s="16"/>
      <x:c r="M26" s="116" t="str">
        <x:v>On 213 valid stations, the focus candidate trailed the strongest rival; on 175, the candidate led. This is candidate-versus-best-rival margin, not the constituency-wide winner–runner-up margin.</x:v>
      </x:c>
      <x:c r="N26" s="116"/>
      <x:c r="O26" s="116"/>
      <x:c r="P26" s="116"/>
      <x:c r="Q26" s="116"/>
      <x:c r="R26" s="116"/>
      <x:c r="S26" s="116"/>
      <x:c r="T26" s="116"/>
    </x:row>
    <x:row r="27" ht="27" customHeight="1">
      <x:c r="A27" s="45" t="str">
        <x:v>Vote-share band</x:v>
      </x:c>
      <x:c r="B27" s="45" t="str">
        <x:v>Station count</x:v>
      </x:c>
      <x:c r="C27" s="45" t="str">
        <x:v>% stations</x:v>
      </x:c>
      <x:c r="D27" s="16" t="str">
        <x:v>VOTE-SHARE × STATION LEADER MATRIX</x:v>
      </x:c>
      <x:c r="E27" s="16"/>
      <x:c r="F27" s="16"/>
      <x:c r="G27" s="16"/>
      <x:c r="H27" s="16"/>
      <x:c r="I27" s="16"/>
      <x:c r="J27" s="16"/>
    </x:row>
    <x:row r="28" ht="27" customHeight="1">
      <x:c r="A28" t="str">
        <x:v>0–5%</x:v>
      </x:c>
      <x:c r="B28" t="n">
        <x:v>12</x:v>
      </x:c>
      <x:c r="C28" s="50" t="n">
        <x:f>IFERROR(B28/$D$7,0)</x:f>
        <x:v>0.030927835051546393</x:v>
      </x:c>
      <x:c r="D28" s="45" t="str">
        <x:v>Focus share</x:v>
      </x:c>
      <x:c r="E28" s="45" t="str">
        <x:v>Focus</x:v>
      </x:c>
      <x:c r="F28" s="45" t="str">
        <x:v>BJP</x:v>
      </x:c>
      <x:c r="G28" s="45" t="str">
        <x:v>BSP</x:v>
      </x:c>
      <x:c r="H28" s="45" t="str">
        <x:v>Other</x:v>
      </x:c>
      <x:c r="I28" s="45" t="str">
        <x:v>All</x:v>
      </x:c>
      <x:c r="M28" s="113" t="str">
        <x:v>03   VOTE SHARE  ×  VOTE MARGIN MATRIX</x:v>
      </x:c>
      <x:c r="N28" s="113"/>
      <x:c r="O28" s="113"/>
      <x:c r="P28" s="113"/>
      <x:c r="Q28" s="113"/>
      <x:c r="R28" s="113"/>
      <x:c r="S28" s="113"/>
      <x:c r="T28" s="113"/>
    </x:row>
    <x:row r="29" ht="42" customHeight="1">
      <x:c r="A29" t="str">
        <x:v>5–10%</x:v>
      </x:c>
      <x:c r="B29" t="n">
        <x:v>24</x:v>
      </x:c>
      <x:c r="C29" s="50" t="n">
        <x:f>IFERROR(B29/$D$7,0)</x:f>
        <x:v>0.061855670103092786</x:v>
      </x:c>
      <x:c r="D29" t="str">
        <x:v>0–5%</x:v>
      </x:c>
      <x:c r="E29" t="n">
        <x:v>0</x:v>
      </x:c>
      <x:c r="F29" t="n">
        <x:v>12</x:v>
      </x:c>
      <x:c r="G29" t="n">
        <x:v>0</x:v>
      </x:c>
      <x:c r="H29" t="n">
        <x:v>0</x:v>
      </x:c>
      <x:c r="I29" t="n">
        <x:v>12</x:v>
      </x:c>
      <x:c r="M29" s="126" t="str">
        <x:v>Share band</x:v>
      </x:c>
      <x:c r="N29" s="126" t="str">
        <x:v>Large deficit</x:v>
      </x:c>
      <x:c r="O29" s="126" t="str">
        <x:v>Moderate deficit</x:v>
      </x:c>
      <x:c r="P29" s="126" t="str">
        <x:v>Narrow deficit</x:v>
      </x:c>
      <x:c r="Q29" s="126" t="str">
        <x:v>Narrow lead/tie</x:v>
      </x:c>
      <x:c r="R29" s="126" t="str">
        <x:v>Moderate lead</x:v>
      </x:c>
      <x:c r="S29" s="126" t="str">
        <x:v>Large lead</x:v>
      </x:c>
      <x:c r="T29" s="126" t="str">
        <x:v>TOTAL</x:v>
      </x:c>
    </x:row>
    <x:row r="30" ht="27" customHeight="1">
      <x:c r="A30" t="str">
        <x:v>10–20%</x:v>
      </x:c>
      <x:c r="B30" t="n">
        <x:v>54</x:v>
      </x:c>
      <x:c r="C30" s="50" t="n">
        <x:f>IFERROR(B30/$D$7,0)</x:f>
        <x:v>0.13917525773195877</x:v>
      </x:c>
      <x:c r="D30" t="str">
        <x:v>5–10%</x:v>
      </x:c>
      <x:c r="E30" t="n">
        <x:v>0</x:v>
      </x:c>
      <x:c r="F30" t="n">
        <x:v>24</x:v>
      </x:c>
      <x:c r="G30" t="n">
        <x:v>0</x:v>
      </x:c>
      <x:c r="H30" t="n">
        <x:v>0</x:v>
      </x:c>
      <x:c r="I30" t="n">
        <x:v>24</x:v>
      </x:c>
      <x:c r="M30" s="127" t="str">
        <x:v>Low</x:v>
      </x:c>
      <x:c r="N30" s="127" t="n">
        <x:f>COUNTIFS($L$60:$L$447,$M30,$M$60:$M$447,N$29)</x:f>
        <x:v>97</x:v>
      </x:c>
      <x:c r="O30" s="127" t="n">
        <x:f>COUNTIFS($L$60:$L$447,$M30,$M$60:$M$447,O$29)</x:f>
        <x:v>0</x:v>
      </x:c>
      <x:c r="P30" s="127" t="n">
        <x:f>COUNTIFS($L$60:$L$447,$M30,$M$60:$M$447,P$29)</x:f>
        <x:v>0</x:v>
      </x:c>
      <x:c r="Q30" s="127" t="n">
        <x:f>COUNTIFS($L$60:$L$447,$M30,$M$60:$M$447,Q$29)</x:f>
        <x:v>0</x:v>
      </x:c>
      <x:c r="R30" s="127" t="n">
        <x:f>COUNTIFS($L$60:$L$447,$M30,$M$60:$M$447,R$29)</x:f>
        <x:v>0</x:v>
      </x:c>
      <x:c r="S30" s="127" t="n">
        <x:f>COUNTIFS($L$60:$L$447,$M30,$M$60:$M$447,S$29)</x:f>
        <x:v>0</x:v>
      </x:c>
      <x:c r="T30" s="127" t="n">
        <x:f>SUM(N30:S30)</x:f>
        <x:v>97</x:v>
      </x:c>
    </x:row>
    <x:row r="31" ht="27" customHeight="1">
      <x:c r="A31" t="str">
        <x:v>20–35%</x:v>
      </x:c>
      <x:c r="B31" t="n">
        <x:v>64</x:v>
      </x:c>
      <x:c r="C31" s="50" t="n">
        <x:f>IFERROR(B31/$D$7,0)</x:f>
        <x:v>0.16494845360824742</x:v>
      </x:c>
      <x:c r="D31" t="str">
        <x:v>10–20%</x:v>
      </x:c>
      <x:c r="E31" t="n">
        <x:v>0</x:v>
      </x:c>
      <x:c r="F31" t="n">
        <x:v>54</x:v>
      </x:c>
      <x:c r="G31" t="n">
        <x:v>0</x:v>
      </x:c>
      <x:c r="H31" t="n">
        <x:v>0</x:v>
      </x:c>
      <x:c r="I31" t="n">
        <x:v>54</x:v>
      </x:c>
      <x:c r="M31" s="128" t="str">
        <x:v>Middle</x:v>
      </x:c>
      <x:c r="N31" s="128" t="n">
        <x:f>COUNTIFS($L$60:$L$447,$M31,$M$60:$M$447,N$29)</x:f>
        <x:v>79</x:v>
      </x:c>
      <x:c r="O31" s="128" t="n">
        <x:f>COUNTIFS($L$60:$L$447,$M31,$M$60:$M$447,O$29)</x:f>
        <x:v>31</x:v>
      </x:c>
      <x:c r="P31" s="128" t="n">
        <x:f>COUNTIFS($L$60:$L$447,$M31,$M$60:$M$447,P$29)</x:f>
        <x:v>6</x:v>
      </x:c>
      <x:c r="Q31" s="128" t="n">
        <x:f>COUNTIFS($L$60:$L$447,$M31,$M$60:$M$447,Q$29)</x:f>
        <x:v>9</x:v>
      </x:c>
      <x:c r="R31" s="128" t="n">
        <x:f>COUNTIFS($L$60:$L$447,$M31,$M$60:$M$447,R$29)</x:f>
        <x:v>34</x:v>
      </x:c>
      <x:c r="S31" s="128" t="n">
        <x:f>COUNTIFS($L$60:$L$447,$M31,$M$60:$M$447,S$29)</x:f>
        <x:v>35</x:v>
      </x:c>
      <x:c r="T31" s="128" t="n">
        <x:f>SUM(N31:S31)</x:f>
        <x:v>194</x:v>
      </x:c>
    </x:row>
    <x:row r="32" ht="27" customHeight="1">
      <x:c r="A32" t="str">
        <x:v>35–50%</x:v>
      </x:c>
      <x:c r="B32" t="n">
        <x:v>65</x:v>
      </x:c>
      <x:c r="C32" s="50" t="n">
        <x:f>IFERROR(B32/$D$7,0)</x:f>
        <x:v>0.16752577319587628</x:v>
      </x:c>
      <x:c r="D32" t="str">
        <x:v>20–35%</x:v>
      </x:c>
      <x:c r="E32" t="n">
        <x:v>0</x:v>
      </x:c>
      <x:c r="F32" t="n">
        <x:v>64</x:v>
      </x:c>
      <x:c r="G32" t="n">
        <x:v>0</x:v>
      </x:c>
      <x:c r="H32" t="n">
        <x:v>0</x:v>
      </x:c>
      <x:c r="I32" t="n">
        <x:v>64</x:v>
      </x:c>
      <x:c r="M32" s="127" t="str">
        <x:v>High</x:v>
      </x:c>
      <x:c r="N32" s="127" t="n">
        <x:f>COUNTIFS($L$60:$L$447,$M32,$M$60:$M$447,N$29)</x:f>
        <x:v>0</x:v>
      </x:c>
      <x:c r="O32" s="127" t="n">
        <x:f>COUNTIFS($L$60:$L$447,$M32,$M$60:$M$447,O$29)</x:f>
        <x:v>0</x:v>
      </x:c>
      <x:c r="P32" s="127" t="n">
        <x:f>COUNTIFS($L$60:$L$447,$M32,$M$60:$M$447,P$29)</x:f>
        <x:v>0</x:v>
      </x:c>
      <x:c r="Q32" s="127" t="n">
        <x:f>COUNTIFS($L$60:$L$447,$M32,$M$60:$M$447,Q$29)</x:f>
        <x:v>0</x:v>
      </x:c>
      <x:c r="R32" s="127" t="n">
        <x:f>COUNTIFS($L$60:$L$447,$M32,$M$60:$M$447,R$29)</x:f>
        <x:v>0</x:v>
      </x:c>
      <x:c r="S32" s="127" t="n">
        <x:f>COUNTIFS($L$60:$L$447,$M32,$M$60:$M$447,S$29)</x:f>
        <x:v>97</x:v>
      </x:c>
      <x:c r="T32" s="127" t="n">
        <x:f>SUM(N32:S32)</x:f>
        <x:v>97</x:v>
      </x:c>
    </x:row>
    <x:row r="33" ht="27" customHeight="1">
      <x:c r="A33" t="str">
        <x:v>50–100%</x:v>
      </x:c>
      <x:c r="B33" t="n">
        <x:v>169</x:v>
      </x:c>
      <x:c r="C33" s="50" t="n">
        <x:f>IFERROR(B33/$D$7,0)</x:f>
        <x:v>0.43556701030927836</x:v>
      </x:c>
      <x:c r="D33" t="str">
        <x:v>35–50%</x:v>
      </x:c>
      <x:c r="E33" t="n">
        <x:v>6</x:v>
      </x:c>
      <x:c r="F33" t="n">
        <x:v>59</x:v>
      </x:c>
      <x:c r="G33" t="n">
        <x:v>0</x:v>
      </x:c>
      <x:c r="H33" t="n">
        <x:v>0</x:v>
      </x:c>
      <x:c r="I33" t="n">
        <x:v>65</x:v>
      </x:c>
      <x:c r="M33" s="129" t="str">
        <x:v>TOTAL</x:v>
      </x:c>
      <x:c r="N33" s="129" t="n">
        <x:f>SUM(N30:N32)</x:f>
        <x:v>176</x:v>
      </x:c>
      <x:c r="O33" s="129" t="n">
        <x:f>SUM(O30:O32)</x:f>
        <x:v>31</x:v>
      </x:c>
      <x:c r="P33" s="129" t="n">
        <x:f>SUM(P30:P32)</x:f>
        <x:v>6</x:v>
      </x:c>
      <x:c r="Q33" s="129" t="n">
        <x:f>SUM(Q30:Q32)</x:f>
        <x:v>9</x:v>
      </x:c>
      <x:c r="R33" s="129" t="n">
        <x:f>SUM(R30:R32)</x:f>
        <x:v>34</x:v>
      </x:c>
      <x:c r="S33" s="129" t="n">
        <x:f>SUM(S30:S32)</x:f>
        <x:v>132</x:v>
      </x:c>
      <x:c r="T33" s="129" t="n">
        <x:f>SUM(T30:T32)</x:f>
        <x:v>388</x:v>
      </x:c>
    </x:row>
    <x:row r="34">
      <x:c r="D34" t="str">
        <x:v>50–100%</x:v>
      </x:c>
      <x:c r="E34" t="n">
        <x:v>169</x:v>
      </x:c>
      <x:c r="F34" t="n">
        <x:v>0</x:v>
      </x:c>
      <x:c r="G34" t="n">
        <x:v>0</x:v>
      </x:c>
      <x:c r="H34" t="n">
        <x:v>0</x:v>
      </x:c>
      <x:c r="I34" t="n">
        <x:v>169</x:v>
      </x:c>
    </x:row>
    <x:row r="35" ht="43" customHeight="1">
      <x:c r="M35" s="116" t="str">
        <x:v>Matrix reading: even among 97 High-share stations (&gt;Q3), 0 trailed the best rival. High SHARE and positive MARGIN describe different things.</x:v>
      </x:c>
      <x:c r="N35" s="116"/>
      <x:c r="O35" s="116"/>
      <x:c r="P35" s="116"/>
      <x:c r="Q35" s="116"/>
      <x:c r="R35" s="116"/>
      <x:c r="S35" s="116"/>
      <x:c r="T35" s="116"/>
    </x:row>
    <x:row r="36" ht="43" customHeight="1">
      <x:c r="M36" s="116" t="str">
        <x:v>Historical pattern: 97 Low-share stations were also Large-deficit stations; 79 Middle-share stations were Large-deficit stations. These are counts, not reasons for voting.</x:v>
      </x:c>
      <x:c r="N36" s="116"/>
      <x:c r="O36" s="116"/>
      <x:c r="P36" s="116"/>
      <x:c r="Q36" s="116"/>
      <x:c r="R36" s="116"/>
      <x:c r="S36" s="116"/>
      <x:c r="T36" s="116"/>
    </x:row>
    <x:row r="37" ht="43" customHeight="1">
      <x:c r="A37" s="16" t="str">
        <x:v>FOCAL CANDIDATE — LEAD / TRAIL MARGIN HISTOGRAM</x:v>
      </x:c>
      <x:c r="B37" s="16"/>
      <x:c r="C37" s="16"/>
      <x:c r="D37" s="16"/>
      <x:c r="E37" s="16"/>
      <x:c r="F37" s="16"/>
      <x:c r="M37" s="119" t="str">
        <x:v>2027 relevance: old booth identifiers, candidate and alliance changes, and local issues need independent verification before making any current claims. Research gaps can be addressed through records reconciliation and transparent constituency monitoring.</x:v>
      </x:c>
      <x:c r="N37" s="119"/>
      <x:c r="O37" s="119"/>
      <x:c r="P37" s="119"/>
      <x:c r="Q37" s="119"/>
      <x:c r="R37" s="119"/>
      <x:c r="S37" s="119"/>
      <x:c r="T37" s="119"/>
    </x:row>
    <x:row r="38" ht="38" customHeight="1">
      <x:c r="A38" s="45" t="str">
        <x:v>Margin (percentage points)</x:v>
      </x:c>
      <x:c r="B38" s="45" t="str">
        <x:v>Stations</x:v>
      </x:c>
    </x:row>
    <x:row r="39" ht="25" customHeight="1">
      <x:c r="A39" t="str">
        <x:v>Trail &gt;30pp</x:v>
      </x:c>
      <x:c r="B39" t="n">
        <x:v>142</x:v>
      </x:c>
      <x:c r="M39" s="131" t="str">
        <x:v>Margin classes: &lt;−20pp, −20 to −5pp, −5 to &lt;0pp, 0 to +5pp (ties included), &gt;+5 to +20pp, &gt;+20pp.</x:v>
      </x:c>
      <x:c r="N39" s="131"/>
      <x:c r="O39" s="131"/>
      <x:c r="P39" s="131"/>
      <x:c r="Q39" s="131"/>
      <x:c r="R39" s="131"/>
      <x:c r="S39" s="131"/>
      <x:c r="T39" s="131"/>
    </x:row>
    <x:row r="40">
      <x:c r="A40" t="str">
        <x:v>Trail 10–30pp</x:v>
      </x:c>
      <x:c r="B40" t="n">
        <x:v>56</x:v>
      </x:c>
    </x:row>
    <x:row r="41">
      <x:c r="A41" t="str">
        <x:v>Trail 3–10pp</x:v>
      </x:c>
      <x:c r="B41" t="n">
        <x:v>13</x:v>
      </x:c>
    </x:row>
    <x:row r="42" ht="27" customHeight="1">
      <x:c r="A42" t="str">
        <x:v>Within ±3pp</x:v>
      </x:c>
      <x:c r="B42" t="n">
        <x:v>5</x:v>
      </x:c>
      <x:c r="R42" s="135" t="str">
        <x:v>04   CONTINUOUS SHARE HISTOGRAM SOURCE (5pp BINS)</x:v>
      </x:c>
      <x:c r="S42" s="135"/>
      <x:c r="T42" s="135"/>
    </x:row>
    <x:row r="43" ht="28" customHeight="1">
      <x:c r="A43" t="str">
        <x:v>Lead 3–10pp</x:v>
      </x:c>
      <x:c r="B43" t="n">
        <x:v>19</x:v>
      </x:c>
      <x:c r="R43" s="104" t="str">
        <x:v>Vote share band</x:v>
      </x:c>
      <x:c r="S43" s="104" t="str">
        <x:v>Lower bound</x:v>
      </x:c>
      <x:c r="T43" s="104" t="str">
        <x:v>Stations</x:v>
      </x:c>
    </x:row>
    <x:row r="44" ht="20" customHeight="1">
      <x:c r="A44" t="str">
        <x:v>Lead 10–30pp</x:v>
      </x:c>
      <x:c r="B44" t="n">
        <x:v>43</x:v>
      </x:c>
      <x:c r="R44" s="114" t="str">
        <x:v>00–05%</x:v>
      </x:c>
      <x:c r="S44" s="136" t="n">
        <x:v>0</x:v>
      </x:c>
      <x:c r="T44" s="114" t="n">
        <x:f>COUNTIFS($D$60:$D$447,"&gt;0",$E$60:$E$447,"&gt;="&amp;S44,$E$60:$E$447,"&lt;"&amp;S45)</x:f>
        <x:v>12</x:v>
      </x:c>
    </x:row>
    <x:row r="45" ht="20" customHeight="1">
      <x:c r="A45" t="str">
        <x:v>Lead &gt;30pp</x:v>
      </x:c>
      <x:c r="B45" t="n">
        <x:v>110</x:v>
      </x:c>
      <x:c r="R45" s="114" t="str">
        <x:v>05–10%</x:v>
      </x:c>
      <x:c r="S45" s="136" t="n">
        <x:v>0.05</x:v>
      </x:c>
      <x:c r="T45" s="114" t="n">
        <x:f>COUNTIFS($D$60:$D$447,"&gt;0",$E$60:$E$447,"&gt;="&amp;S45,$E$60:$E$447,"&lt;"&amp;S46)</x:f>
        <x:v>24</x:v>
      </x:c>
    </x:row>
    <x:row r="46" ht="20" customHeight="1">
      <x:c r="R46" s="114" t="str">
        <x:v>10–15%</x:v>
      </x:c>
      <x:c r="S46" s="136" t="n">
        <x:v>0.1</x:v>
      </x:c>
      <x:c r="T46" s="114" t="n">
        <x:f>COUNTIFS($D$60:$D$447,"&gt;0",$E$60:$E$447,"&gt;="&amp;S46,$E$60:$E$447,"&lt;"&amp;S47)</x:f>
        <x:v>30</x:v>
      </x:c>
    </x:row>
    <x:row r="47" ht="20" customHeight="1">
      <x:c r="R47" s="114" t="str">
        <x:v>15–20%</x:v>
      </x:c>
      <x:c r="S47" s="136" t="n">
        <x:v>0.15</x:v>
      </x:c>
      <x:c r="T47" s="114" t="n">
        <x:f>COUNTIFS($D$60:$D$447,"&gt;0",$E$60:$E$447,"&gt;="&amp;S47,$E$60:$E$447,"&lt;"&amp;S48)</x:f>
        <x:v>24</x:v>
      </x:c>
    </x:row>
    <x:row r="48" ht="20" customHeight="1">
      <x:c r="R48" s="114" t="str">
        <x:v>20–25%</x:v>
      </x:c>
      <x:c r="S48" s="136" t="n">
        <x:v>0.2</x:v>
      </x:c>
      <x:c r="T48" s="114" t="n">
        <x:f>COUNTIFS($D$60:$D$447,"&gt;0",$E$60:$E$447,"&gt;="&amp;S48,$E$60:$E$447,"&lt;"&amp;S49)</x:f>
        <x:v>15</x:v>
      </x:c>
    </x:row>
    <x:row r="49" ht="20" customHeight="1">
      <x:c r="R49" s="114" t="str">
        <x:v>25–30%</x:v>
      </x:c>
      <x:c r="S49" s="136" t="n">
        <x:v>0.25</x:v>
      </x:c>
      <x:c r="T49" s="114" t="n">
        <x:f>COUNTIFS($D$60:$D$447,"&gt;0",$E$60:$E$447,"&gt;="&amp;S49,$E$60:$E$447,"&lt;"&amp;S50)</x:f>
        <x:v>26</x:v>
      </x:c>
    </x:row>
    <x:row r="50" ht="20" customHeight="1">
      <x:c r="R50" s="114" t="str">
        <x:v>30–35%</x:v>
      </x:c>
      <x:c r="S50" s="136" t="n">
        <x:v>0.3</x:v>
      </x:c>
      <x:c r="T50" s="114" t="n">
        <x:f>COUNTIFS($D$60:$D$447,"&gt;0",$E$60:$E$447,"&gt;="&amp;S50,$E$60:$E$447,"&lt;"&amp;S51)</x:f>
        <x:v>23</x:v>
      </x:c>
    </x:row>
    <x:row r="51" ht="20" customHeight="1">
      <x:c r="R51" s="114" t="str">
        <x:v>35–40%</x:v>
      </x:c>
      <x:c r="S51" s="136" t="n">
        <x:v>0.35</x:v>
      </x:c>
      <x:c r="T51" s="114" t="n">
        <x:f>COUNTIFS($D$60:$D$447,"&gt;0",$E$60:$E$447,"&gt;="&amp;S51,$E$60:$E$447,"&lt;"&amp;S52)</x:f>
        <x:v>32</x:v>
      </x:c>
    </x:row>
    <x:row r="52" ht="20" customHeight="1">
      <x:c r="R52" s="114" t="str">
        <x:v>40–45%</x:v>
      </x:c>
      <x:c r="S52" s="136" t="n">
        <x:v>0.4</x:v>
      </x:c>
      <x:c r="T52" s="114" t="n">
        <x:f>COUNTIFS($D$60:$D$447,"&gt;0",$E$60:$E$447,"&gt;="&amp;S52,$E$60:$E$447,"&lt;"&amp;S53)</x:f>
        <x:v>19</x:v>
      </x:c>
    </x:row>
    <x:row r="53" ht="20" customHeight="1">
      <x:c r="R53" s="114" t="str">
        <x:v>45–50%</x:v>
      </x:c>
      <x:c r="S53" s="136" t="n">
        <x:v>0.45</x:v>
      </x:c>
      <x:c r="T53" s="114" t="n">
        <x:f>COUNTIFS($D$60:$D$447,"&gt;0",$E$60:$E$447,"&gt;="&amp;S53,$E$60:$E$447,"&lt;"&amp;S54)</x:f>
        <x:v>14</x:v>
      </x:c>
    </x:row>
    <x:row r="54" ht="20" customHeight="1">
      <x:c r="R54" s="114" t="str">
        <x:v>50–55%</x:v>
      </x:c>
      <x:c r="S54" s="136" t="n">
        <x:v>0.5</x:v>
      </x:c>
      <x:c r="T54" s="114" t="n">
        <x:f>COUNTIFS($D$60:$D$447,"&gt;0",$E$60:$E$447,"&gt;="&amp;S54,$E$60:$E$447,"&lt;"&amp;S55)</x:f>
        <x:v>26</x:v>
      </x:c>
    </x:row>
    <x:row r="55" ht="20" customHeight="1">
      <x:c r="R55" s="114" t="str">
        <x:v>55–60%</x:v>
      </x:c>
      <x:c r="S55" s="136" t="n">
        <x:v>0.55</x:v>
      </x:c>
      <x:c r="T55" s="114" t="n">
        <x:f>COUNTIFS($D$60:$D$447,"&gt;0",$E$60:$E$447,"&gt;="&amp;S55,$E$60:$E$447,"&lt;"&amp;S56)</x:f>
        <x:v>16</x:v>
      </x:c>
    </x:row>
    <x:row r="56" ht="20" customHeight="1">
      <x:c r="R56" s="114" t="str">
        <x:v>60–65%</x:v>
      </x:c>
      <x:c r="S56" s="136" t="n">
        <x:v>0.6</x:v>
      </x:c>
      <x:c r="T56" s="114" t="n">
        <x:f>COUNTIFS($D$60:$D$447,"&gt;0",$E$60:$E$447,"&gt;="&amp;S56,$E$60:$E$447,"&lt;"&amp;S57)</x:f>
        <x:v>24</x:v>
      </x:c>
    </x:row>
    <x:row r="57" ht="20" customHeight="1">
      <x:c r="R57" s="114" t="str">
        <x:v>65–70%</x:v>
      </x:c>
      <x:c r="S57" s="136" t="n">
        <x:v>0.65</x:v>
      </x:c>
      <x:c r="T57" s="114" t="n">
        <x:f>COUNTIFS($D$60:$D$447,"&gt;0",$E$60:$E$447,"&gt;="&amp;S57,$E$60:$E$447,"&lt;"&amp;S58)</x:f>
        <x:v>18</x:v>
      </x:c>
    </x:row>
    <x:row r="58" ht="20" customHeight="1">
      <x:c r="A58" s="16" t="str">
        <x:v>POLLING-STATION DETAIL — SORT / FILTER BY FOCAL SHARE, MARGIN OR EVM LEADER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R58" s="114" t="str">
        <x:v>70–75%</x:v>
      </x:c>
      <x:c r="S58" s="136" t="n">
        <x:v>0.7</x:v>
      </x:c>
      <x:c r="T58" s="114" t="n">
        <x:f>COUNTIFS($D$60:$D$447,"&gt;0",$E$60:$E$447,"&gt;="&amp;S58,$E$60:$E$447,"&lt;"&amp;S59)</x:f>
        <x:v>13</x:v>
      </x:c>
    </x:row>
    <x:row r="59" ht="20" customHeight="1">
      <x:c r="A59" s="45" t="str">
        <x:v>Station #</x:v>
      </x:c>
      <x:c r="B59" s="45" t="str">
        <x:v>Name (source or unavailable)</x:v>
      </x:c>
      <x:c r="C59" s="45" t="str">
        <x:v>Focus votes</x:v>
      </x:c>
      <x:c r="D59" s="45" t="str">
        <x:v>Total EVM</x:v>
      </x:c>
      <x:c r="E59" s="45" t="str">
        <x:v>Focus share</x:v>
      </x:c>
      <x:c r="F59" s="45" t="str">
        <x:v>Max rival votes</x:v>
      </x:c>
      <x:c r="G59" s="45" t="str">
        <x:v>Lead votes</x:v>
      </x:c>
      <x:c r="H59" s="45" t="str">
        <x:v>Lead pp</x:v>
      </x:c>
      <x:c r="I59" s="45" t="str">
        <x:v>Top candidate (EVM)</x:v>
      </x:c>
      <x:c r="J59" s="45" t="str">
        <x:v>Top party (EVM)</x:v>
      </x:c>
      <x:c r="K59" s="45" t="str">
        <x:v>Data status</x:v>
      </x:c>
      <x:c r="L59" s="132" t="str">
        <x:v>Q1/Q3 Share group</x:v>
      </x:c>
      <x:c r="M59" s="132" t="str">
        <x:v>Signed margin class</x:v>
      </x:c>
      <x:c r="R59" s="114" t="str">
        <x:v>75–80%</x:v>
      </x:c>
      <x:c r="S59" s="136" t="n">
        <x:v>0.75</x:v>
      </x:c>
      <x:c r="T59" s="114" t="n">
        <x:f>COUNTIFS($D$60:$D$447,"&gt;0",$E$60:$E$447,"&gt;="&amp;S59,$E$60:$E$447,"&lt;"&amp;S60)</x:f>
        <x:v>17</x:v>
      </x:c>
    </x:row>
    <x:row r="60" ht="20" customHeight="1">
      <x:c r="A60" t="n">
        <x:v>1</x:v>
      </x:c>
      <x:c r="B60" t="str">
        <x:v>AMICHAND I.C.KASNA K.N.1</x:v>
      </x:c>
      <x:c r="C60" s="83" t="n">
        <x:f>'2019 Form20'!H9</x:f>
        <x:v>181</x:v>
      </x:c>
      <x:c r="D60" s="83" t="n">
        <x:f>'2019 Form20'!D9</x:f>
        <x:v>588</x:v>
      </x:c>
      <x:c r="E60" s="50" t="n">
        <x:f>'2019 Form20'!U9</x:f>
        <x:v>0.3078231292517007</x:v>
      </x:c>
      <x:c r="F60" t="n">
        <x:f>'2019 Form20'!V9</x:f>
        <x:v>387</x:v>
      </x:c>
      <x:c r="G60" t="n">
        <x:f>'2019 Form20'!W9</x:f>
        <x:v>-206</x:v>
      </x:c>
      <x:c r="H60" s="52" t="n">
        <x:f>'2019 Form20'!X9</x:f>
        <x:v>-0.35034013605442177</x:v>
      </x:c>
      <x:c r="I60" t="str">
        <x:v>DR. MAHESH SHARMA</x:v>
      </x:c>
      <x:c r="J60" t="str">
        <x:v>BJP</x:v>
      </x:c>
      <x:c r="K60" t="str">
        <x:v>EVM row</x:v>
      </x:c>
      <x:c r="L60" s="133" t="str">
        <x:f>IF(D60&lt;=0,"No EVM votes",IF(E60&lt;$N$7,"Low",IF(E60&gt;$R$7,"High","Middle")))</x:f>
        <x:v>Middle</x:v>
      </x:c>
      <x:c r="M60" s="133" t="str">
        <x:f>IF(D60&lt;=0,"No EVM votes",IF(H60&lt;-20%,"Large deficit",IF(H60&lt;-5%,"Moderate deficit",IF(H60&lt;0,"Narrow deficit",IF(H60&lt;=5%,"Narrow lead/tie",IF(H60&lt;=20%,"Moderate lead","Large lead"))))))</x:f>
        <x:v>Large deficit</x:v>
      </x:c>
      <x:c r="R60" s="114" t="str">
        <x:v>80–85%</x:v>
      </x:c>
      <x:c r="S60" s="136" t="n">
        <x:v>0.8</x:v>
      </x:c>
      <x:c r="T60" s="114" t="n">
        <x:f>COUNTIFS($D$60:$D$447,"&gt;0",$E$60:$E$447,"&gt;="&amp;S60,$E$60:$E$447,"&lt;"&amp;S61)</x:f>
        <x:v>18</x:v>
      </x:c>
    </x:row>
    <x:row r="61" ht="20" customHeight="1">
      <x:c r="A61" t="n">
        <x:v>2</x:v>
      </x:c>
      <x:c r="B61" t="str">
        <x:v>AMICHAND I.C.KASNA K.N.2</x:v>
      </x:c>
      <x:c r="C61" s="83" t="n">
        <x:f>'2019 Form20'!H10</x:f>
        <x:v>182</x:v>
      </x:c>
      <x:c r="D61" s="83" t="n">
        <x:f>'2019 Form20'!D10</x:f>
        <x:v>531</x:v>
      </x:c>
      <x:c r="E61" s="50" t="n">
        <x:f>'2019 Form20'!U10</x:f>
        <x:v>0.3427495291902072</x:v>
      </x:c>
      <x:c r="F61" t="n">
        <x:f>'2019 Form20'!V10</x:f>
        <x:v>327</x:v>
      </x:c>
      <x:c r="G61" t="n">
        <x:f>'2019 Form20'!W10</x:f>
        <x:v>-145</x:v>
      </x:c>
      <x:c r="H61" s="52" t="n">
        <x:f>'2019 Form20'!X10</x:f>
        <x:v>-0.2730696798493409</x:v>
      </x:c>
      <x:c r="I61" t="str">
        <x:v>DR. MAHESH SHARMA</x:v>
      </x:c>
      <x:c r="J61" t="str">
        <x:v>BJP</x:v>
      </x:c>
      <x:c r="K61" t="str">
        <x:v>EVM row</x:v>
      </x:c>
      <x:c r="L61" s="133" t="str">
        <x:f>IF(D61&lt;=0,"No EVM votes",IF(E61&lt;$N$7,"Low",IF(E61&gt;$R$7,"High","Middle")))</x:f>
        <x:v>Middle</x:v>
      </x:c>
      <x:c r="M61" s="133" t="str">
        <x:f>IF(D61&lt;=0,"No EVM votes",IF(H61&lt;-20%,"Large deficit",IF(H61&lt;-5%,"Moderate deficit",IF(H61&lt;0,"Narrow deficit",IF(H61&lt;=5%,"Narrow lead/tie",IF(H61&lt;=20%,"Moderate lead","Large lead"))))))</x:f>
        <x:v>Large deficit</x:v>
      </x:c>
      <x:c r="R61" s="114" t="str">
        <x:v>85–90%</x:v>
      </x:c>
      <x:c r="S61" s="136" t="n">
        <x:v>0.85</x:v>
      </x:c>
      <x:c r="T61" s="114" t="n">
        <x:f>COUNTIFS($D$60:$D$447,"&gt;0",$E$60:$E$447,"&gt;="&amp;S61,$E$60:$E$447,"&lt;"&amp;S62)</x:f>
        <x:v>12</x:v>
      </x:c>
    </x:row>
    <x:row r="62" ht="20" customHeight="1">
      <x:c r="A62" t="n">
        <x:v>3</x:v>
      </x:c>
      <x:c r="B62" t="str">
        <x:v>AMICHAND I.C.KASNA K.N. 3</x:v>
      </x:c>
      <x:c r="C62" s="83" t="n">
        <x:f>'2019 Form20'!H11</x:f>
        <x:v>536</x:v>
      </x:c>
      <x:c r="D62" s="83" t="n">
        <x:f>'2019 Form20'!D11</x:f>
        <x:v>695</x:v>
      </x:c>
      <x:c r="E62" s="50" t="n">
        <x:f>'2019 Form20'!U11</x:f>
        <x:v>0.7712230215827338</x:v>
      </x:c>
      <x:c r="F62" t="n">
        <x:f>'2019 Form20'!V11</x:f>
        <x:v>149</x:v>
      </x:c>
      <x:c r="G62" t="n">
        <x:f>'2019 Form20'!W11</x:f>
        <x:v>387</x:v>
      </x:c>
      <x:c r="H62" s="52" t="n">
        <x:f>'2019 Form20'!X11</x:f>
        <x:v>0.5568345323741007</x:v>
      </x:c>
      <x:c r="I62" t="str">
        <x:v>SATVEER</x:v>
      </x:c>
      <x:c r="J62" t="str">
        <x:v>BSP</x:v>
      </x:c>
      <x:c r="K62" t="str">
        <x:v>EVM row</x:v>
      </x:c>
      <x:c r="L62" s="133" t="str">
        <x:f>IF(D62&lt;=0,"No EVM votes",IF(E62&lt;$N$7,"Low",IF(E62&gt;$R$7,"High","Middle")))</x:f>
        <x:v>High</x:v>
      </x:c>
      <x:c r="M62" s="133" t="str">
        <x:f>IF(D62&lt;=0,"No EVM votes",IF(H62&lt;-20%,"Large deficit",IF(H62&lt;-5%,"Moderate deficit",IF(H62&lt;0,"Narrow deficit",IF(H62&lt;=5%,"Narrow lead/tie",IF(H62&lt;=20%,"Moderate lead","Large lead"))))))</x:f>
        <x:v>Large lead</x:v>
      </x:c>
      <x:c r="R62" s="114" t="str">
        <x:v>90–95%</x:v>
      </x:c>
      <x:c r="S62" s="136" t="n">
        <x:v>0.9</x:v>
      </x:c>
      <x:c r="T62" s="114" t="n">
        <x:f>COUNTIFS($D$60:$D$447,"&gt;0",$E$60:$E$447,"&gt;="&amp;S62,$E$60:$E$447,"&lt;"&amp;S63)</x:f>
        <x:v>14</x:v>
      </x:c>
    </x:row>
    <x:row r="63" ht="20" customHeight="1">
      <x:c r="A63" t="n">
        <x:v>4</x:v>
      </x:c>
      <x:c r="B63" t="str">
        <x:v>AMICHAND I.C.KASNA K.N. 4</x:v>
      </x:c>
      <x:c r="C63" s="83" t="n">
        <x:f>'2019 Form20'!H12</x:f>
        <x:v>281</x:v>
      </x:c>
      <x:c r="D63" s="83" t="n">
        <x:f>'2019 Form20'!D12</x:f>
        <x:v>659</x:v>
      </x:c>
      <x:c r="E63" s="50" t="n">
        <x:f>'2019 Form20'!U12</x:f>
        <x:v>0.4264036418816389</x:v>
      </x:c>
      <x:c r="F63" t="n">
        <x:f>'2019 Form20'!V12</x:f>
        <x:v>348</x:v>
      </x:c>
      <x:c r="G63" t="n">
        <x:f>'2019 Form20'!W12</x:f>
        <x:v>-67</x:v>
      </x:c>
      <x:c r="H63" s="52" t="n">
        <x:f>'2019 Form20'!X12</x:f>
        <x:v>-0.10166919575113809</x:v>
      </x:c>
      <x:c r="I63" t="str">
        <x:v>DR. MAHESH SHARMA</x:v>
      </x:c>
      <x:c r="J63" t="str">
        <x:v>BJP</x:v>
      </x:c>
      <x:c r="K63" t="str">
        <x:v>EVM row</x:v>
      </x:c>
      <x:c r="L63" s="133" t="str">
        <x:f>IF(D63&lt;=0,"No EVM votes",IF(E63&lt;$N$7,"Low",IF(E63&gt;$R$7,"High","Middle")))</x:f>
        <x:v>Middle</x:v>
      </x:c>
      <x:c r="M63" s="133" t="str">
        <x:f>IF(D63&lt;=0,"No EVM votes",IF(H63&lt;-20%,"Large deficit",IF(H63&lt;-5%,"Moderate deficit",IF(H63&lt;0,"Narrow deficit",IF(H63&lt;=5%,"Narrow lead/tie",IF(H63&lt;=20%,"Moderate lead","Large lead"))))))</x:f>
        <x:v>Moderate deficit</x:v>
      </x:c>
      <x:c r="R63" s="114" t="str">
        <x:v>95–100%</x:v>
      </x:c>
      <x:c r="S63" s="136" t="n">
        <x:v>0.95</x:v>
      </x:c>
      <x:c r="T63" s="114" t="n">
        <x:f>COUNTIFS($D$60:$D$447,"&gt;0",$E$60:$E$447,"&gt;="&amp;S63,$E$60:$E$447,"&lt;=1")</x:f>
        <x:v>11</x:v>
      </x:c>
    </x:row>
    <x:row r="64">
      <x:c r="A64" t="n">
        <x:v>5</x:v>
      </x:c>
      <x:c r="B64" t="str">
        <x:v>AMICHAND I.C.KASNA K.N. 5</x:v>
      </x:c>
      <x:c r="C64" s="83" t="n">
        <x:f>'2019 Form20'!H13</x:f>
        <x:v>130</x:v>
      </x:c>
      <x:c r="D64" s="83" t="n">
        <x:f>'2019 Form20'!D13</x:f>
        <x:v>467</x:v>
      </x:c>
      <x:c r="E64" s="50" t="n">
        <x:f>'2019 Form20'!U13</x:f>
        <x:v>0.278372591006424</x:v>
      </x:c>
      <x:c r="F64" t="n">
        <x:f>'2019 Form20'!V13</x:f>
        <x:v>328</x:v>
      </x:c>
      <x:c r="G64" t="n">
        <x:f>'2019 Form20'!W13</x:f>
        <x:v>-198</x:v>
      </x:c>
      <x:c r="H64" s="52" t="n">
        <x:f>'2019 Form20'!X13</x:f>
        <x:v>-0.42398286937901497</x:v>
      </x:c>
      <x:c r="I64" t="str">
        <x:v>DR. MAHESH SHARMA</x:v>
      </x:c>
      <x:c r="J64" t="str">
        <x:v>BJP</x:v>
      </x:c>
      <x:c r="K64" t="str">
        <x:v>EVM row</x:v>
      </x:c>
      <x:c r="L64" s="133" t="str">
        <x:f>IF(D64&lt;=0,"No EVM votes",IF(E64&lt;$N$7,"Low",IF(E64&gt;$R$7,"High","Middle")))</x:f>
        <x:v>Middle</x:v>
      </x:c>
      <x:c r="M64" s="133" t="str">
        <x:f>IF(D64&lt;=0,"No EVM votes",IF(H64&lt;-20%,"Large deficit",IF(H64&lt;-5%,"Moderate deficit",IF(H64&lt;0,"Narrow deficit",IF(H64&lt;=5%,"Narrow lead/tie",IF(H64&lt;=20%,"Moderate lead","Large lead"))))))</x:f>
        <x:v>Large deficit</x:v>
      </x:c>
    </x:row>
    <x:row r="65">
      <x:c r="A65" t="n">
        <x:v>6</x:v>
      </x:c>
      <x:c r="B65" t="str">
        <x:v>KENDRYA VIDHYALAY SECTOR P-3 K.N. 1</x:v>
      </x:c>
      <x:c r="C65" s="83" t="n">
        <x:f>'2019 Form20'!H14</x:f>
        <x:v>19</x:v>
      </x:c>
      <x:c r="D65" s="83" t="n">
        <x:f>'2019 Form20'!D14</x:f>
        <x:v>190</x:v>
      </x:c>
      <x:c r="E65" s="50" t="n">
        <x:f>'2019 Form20'!U14</x:f>
        <x:v>0.1</x:v>
      </x:c>
      <x:c r="F65" t="n">
        <x:f>'2019 Form20'!V14</x:f>
        <x:v>169</x:v>
      </x:c>
      <x:c r="G65" t="n">
        <x:f>'2019 Form20'!W14</x:f>
        <x:v>-150</x:v>
      </x:c>
      <x:c r="H65" s="52" t="n">
        <x:f>'2019 Form20'!X14</x:f>
        <x:v>-0.7894736842105263</x:v>
      </x:c>
      <x:c r="I65" t="str">
        <x:v>DR. MAHESH SHARMA</x:v>
      </x:c>
      <x:c r="J65" t="str">
        <x:v>BJP</x:v>
      </x:c>
      <x:c r="K65" t="str">
        <x:v>EVM row</x:v>
      </x:c>
      <x:c r="L65" s="133" t="str">
        <x:f>IF(D65&lt;=0,"No EVM votes",IF(E65&lt;$N$7,"Low",IF(E65&gt;$R$7,"High","Middle")))</x:f>
        <x:v>Low</x:v>
      </x:c>
      <x:c r="M65" s="133" t="str">
        <x:f>IF(D65&lt;=0,"No EVM votes",IF(H65&lt;-20%,"Large deficit",IF(H65&lt;-5%,"Moderate deficit",IF(H65&lt;0,"Narrow deficit",IF(H65&lt;=5%,"Narrow lead/tie",IF(H65&lt;=20%,"Moderate lead","Large lead"))))))</x:f>
        <x:v>Large deficit</x:v>
      </x:c>
    </x:row>
    <x:row r="66">
      <x:c r="A66" t="n">
        <x:v>7</x:v>
      </x:c>
      <x:c r="B66" t="str">
        <x:v>KENDRYA VIDHYALAY SECTOR P-3 K.N. 2</x:v>
      </x:c>
      <x:c r="C66" s="83" t="n">
        <x:f>'2019 Form20'!H15</x:f>
        <x:v>52</x:v>
      </x:c>
      <x:c r="D66" s="83" t="n">
        <x:f>'2019 Form20'!D15</x:f>
        <x:v>399</x:v>
      </x:c>
      <x:c r="E66" s="50" t="n">
        <x:f>'2019 Form20'!U15</x:f>
        <x:v>0.13032581453634084</x:v>
      </x:c>
      <x:c r="F66" t="n">
        <x:f>'2019 Form20'!V15</x:f>
        <x:v>338</x:v>
      </x:c>
      <x:c r="G66" t="n">
        <x:f>'2019 Form20'!W15</x:f>
        <x:v>-286</x:v>
      </x:c>
      <x:c r="H66" s="52" t="n">
        <x:f>'2019 Form20'!X15</x:f>
        <x:v>-0.7167919799498746</x:v>
      </x:c>
      <x:c r="I66" t="str">
        <x:v>DR. MAHESH SHARMA</x:v>
      </x:c>
      <x:c r="J66" t="str">
        <x:v>BJP</x:v>
      </x:c>
      <x:c r="K66" t="str">
        <x:v>EVM row</x:v>
      </x:c>
      <x:c r="L66" s="133" t="str">
        <x:f>IF(D66&lt;=0,"No EVM votes",IF(E66&lt;$N$7,"Low",IF(E66&gt;$R$7,"High","Middle")))</x:f>
        <x:v>Low</x:v>
      </x:c>
      <x:c r="M66" s="133" t="str">
        <x:f>IF(D66&lt;=0,"No EVM votes",IF(H66&lt;-20%,"Large deficit",IF(H66&lt;-5%,"Moderate deficit",IF(H66&lt;0,"Narrow deficit",IF(H66&lt;=5%,"Narrow lead/tie",IF(H66&lt;=20%,"Moderate lead","Large lead"))))))</x:f>
        <x:v>Large deficit</x:v>
      </x:c>
    </x:row>
    <x:row r="67">
      <x:c r="A67" t="n">
        <x:v>8</x:v>
      </x:c>
      <x:c r="B67" t="str">
        <x:v>KENDRYA VIDHYALAY SECTOR P-3 K.N. 3</x:v>
      </x:c>
      <x:c r="C67" s="83" t="n">
        <x:f>'2019 Form20'!H16</x:f>
        <x:v>71</x:v>
      </x:c>
      <x:c r="D67" s="83" t="n">
        <x:f>'2019 Form20'!D16</x:f>
        <x:v>479</x:v>
      </x:c>
      <x:c r="E67" s="50" t="n">
        <x:f>'2019 Form20'!U16</x:f>
        <x:v>0.14822546972860126</x:v>
      </x:c>
      <x:c r="F67" t="n">
        <x:f>'2019 Form20'!V16</x:f>
        <x:v>392</x:v>
      </x:c>
      <x:c r="G67" t="n">
        <x:f>'2019 Form20'!W16</x:f>
        <x:v>-321</x:v>
      </x:c>
      <x:c r="H67" s="52" t="n">
        <x:f>'2019 Form20'!X16</x:f>
        <x:v>-0.6701461377870563</x:v>
      </x:c>
      <x:c r="I67" t="str">
        <x:v>DR. MAHESH SHARMA</x:v>
      </x:c>
      <x:c r="J67" t="str">
        <x:v>BJP</x:v>
      </x:c>
      <x:c r="K67" t="str">
        <x:v>EVM row</x:v>
      </x:c>
      <x:c r="L67" s="133" t="str">
        <x:f>IF(D67&lt;=0,"No EVM votes",IF(E67&lt;$N$7,"Low",IF(E67&gt;$R$7,"High","Middle")))</x:f>
        <x:v>Low</x:v>
      </x:c>
      <x:c r="M67" s="133" t="str">
        <x:f>IF(D67&lt;=0,"No EVM votes",IF(H67&lt;-20%,"Large deficit",IF(H67&lt;-5%,"Moderate deficit",IF(H67&lt;0,"Narrow deficit",IF(H67&lt;=5%,"Narrow lead/tie",IF(H67&lt;=20%,"Moderate lead","Large lead"))))))</x:f>
        <x:v>Large deficit</x:v>
      </x:c>
    </x:row>
    <x:row r="68">
      <x:c r="A68" t="n">
        <x:v>9</x:v>
      </x:c>
      <x:c r="B68" t="str">
        <x:v>KENDRYA VIDHYALAY SECTOR P-3 K.N. 4</x:v>
      </x:c>
      <x:c r="C68" s="83" t="n">
        <x:f>'2019 Form20'!H17</x:f>
        <x:v>53</x:v>
      </x:c>
      <x:c r="D68" s="83" t="n">
        <x:f>'2019 Form20'!D17</x:f>
        <x:v>454</x:v>
      </x:c>
      <x:c r="E68" s="50" t="n">
        <x:f>'2019 Form20'!U17</x:f>
        <x:v>0.11674008810572688</x:v>
      </x:c>
      <x:c r="F68" t="n">
        <x:f>'2019 Form20'!V17</x:f>
        <x:v>384</x:v>
      </x:c>
      <x:c r="G68" t="n">
        <x:f>'2019 Form20'!W17</x:f>
        <x:v>-331</x:v>
      </x:c>
      <x:c r="H68" s="52" t="n">
        <x:f>'2019 Form20'!X17</x:f>
        <x:v>-0.7290748898678414</x:v>
      </x:c>
      <x:c r="I68" t="str">
        <x:v>DR. MAHESH SHARMA</x:v>
      </x:c>
      <x:c r="J68" t="str">
        <x:v>BJP</x:v>
      </x:c>
      <x:c r="K68" t="str">
        <x:v>EVM row</x:v>
      </x:c>
      <x:c r="L68" s="133" t="str">
        <x:f>IF(D68&lt;=0,"No EVM votes",IF(E68&lt;$N$7,"Low",IF(E68&gt;$R$7,"High","Middle")))</x:f>
        <x:v>Low</x:v>
      </x:c>
      <x:c r="M68" s="133" t="str">
        <x:f>IF(D68&lt;=0,"No EVM votes",IF(H68&lt;-20%,"Large deficit",IF(H68&lt;-5%,"Moderate deficit",IF(H68&lt;0,"Narrow deficit",IF(H68&lt;=5%,"Narrow lead/tie",IF(H68&lt;=20%,"Moderate lead","Large lead"))))))</x:f>
        <x:v>Large deficit</x:v>
      </x:c>
    </x:row>
    <x:row r="69">
      <x:c r="A69" t="n">
        <x:v>10</x:v>
      </x:c>
      <x:c r="B69" t="str">
        <x:v>ARSHLINE PUBLIC SCHOOL SEC.36 K.N. 1</x:v>
      </x:c>
      <x:c r="C69" s="83" t="n">
        <x:f>'2019 Form20'!H18</x:f>
        <x:v>364</x:v>
      </x:c>
      <x:c r="D69" s="83" t="n">
        <x:f>'2019 Form20'!D18</x:f>
        <x:v>740</x:v>
      </x:c>
      <x:c r="E69" s="50" t="n">
        <x:f>'2019 Form20'!U18</x:f>
        <x:v>0.4918918918918919</x:v>
      </x:c>
      <x:c r="F69" t="n">
        <x:f>'2019 Form20'!V18</x:f>
        <x:v>331</x:v>
      </x:c>
      <x:c r="G69" t="n">
        <x:f>'2019 Form20'!W18</x:f>
        <x:v>33</x:v>
      </x:c>
      <x:c r="H69" s="52" t="n">
        <x:f>'2019 Form20'!X18</x:f>
        <x:v>0.0445945945945946</x:v>
      </x:c>
      <x:c r="I69" t="str">
        <x:v>SATVEER</x:v>
      </x:c>
      <x:c r="J69" t="str">
        <x:v>BSP</x:v>
      </x:c>
      <x:c r="K69" t="str">
        <x:v>EVM row</x:v>
      </x:c>
      <x:c r="L69" s="133" t="str">
        <x:f>IF(D69&lt;=0,"No EVM votes",IF(E69&lt;$N$7,"Low",IF(E69&gt;$R$7,"High","Middle")))</x:f>
        <x:v>Middle</x:v>
      </x:c>
      <x:c r="M69" s="133" t="str">
        <x:f>IF(D69&lt;=0,"No EVM votes",IF(H69&lt;-20%,"Large deficit",IF(H69&lt;-5%,"Moderate deficit",IF(H69&lt;0,"Narrow deficit",IF(H69&lt;=5%,"Narrow lead/tie",IF(H69&lt;=20%,"Moderate lead","Large lead"))))))</x:f>
        <x:v>Narrow lead/tie</x:v>
      </x:c>
    </x:row>
    <x:row r="70">
      <x:c r="A70" t="n">
        <x:v>11</x:v>
      </x:c>
      <x:c r="B70" t="str">
        <x:v>ARSHLINE PUBLIC SCHOOL SEC.36 K.N. 2</x:v>
      </x:c>
      <x:c r="C70" s="83" t="n">
        <x:f>'2019 Form20'!H19</x:f>
        <x:v>43</x:v>
      </x:c>
      <x:c r="D70" s="83" t="n">
        <x:f>'2019 Form20'!D19</x:f>
        <x:v>338</x:v>
      </x:c>
      <x:c r="E70" s="50" t="n">
        <x:f>'2019 Form20'!U19</x:f>
        <x:v>0.12721893491124261</x:v>
      </x:c>
      <x:c r="F70" t="n">
        <x:f>'2019 Form20'!V19</x:f>
        <x:v>275</x:v>
      </x:c>
      <x:c r="G70" t="n">
        <x:f>'2019 Form20'!W19</x:f>
        <x:v>-232</x:v>
      </x:c>
      <x:c r="H70" s="52" t="n">
        <x:f>'2019 Form20'!X19</x:f>
        <x:v>-0.6863905325443787</x:v>
      </x:c>
      <x:c r="I70" t="str">
        <x:v>DR. MAHESH SHARMA</x:v>
      </x:c>
      <x:c r="J70" t="str">
        <x:v>BJP</x:v>
      </x:c>
      <x:c r="K70" t="str">
        <x:v>EVM row</x:v>
      </x:c>
      <x:c r="L70" s="133" t="str">
        <x:f>IF(D70&lt;=0,"No EVM votes",IF(E70&lt;$N$7,"Low",IF(E70&gt;$R$7,"High","Middle")))</x:f>
        <x:v>Low</x:v>
      </x:c>
      <x:c r="M70" s="133" t="str">
        <x:f>IF(D70&lt;=0,"No EVM votes",IF(H70&lt;-20%,"Large deficit",IF(H70&lt;-5%,"Moderate deficit",IF(H70&lt;0,"Narrow deficit",IF(H70&lt;=5%,"Narrow lead/tie",IF(H70&lt;=20%,"Moderate lead","Large lead"))))))</x:f>
        <x:v>Large deficit</x:v>
      </x:c>
    </x:row>
    <x:row r="71">
      <x:c r="A71" t="n">
        <x:v>12</x:v>
      </x:c>
      <x:c r="B71" t="str">
        <x:v>ARSHLINE PUBLIC SCHOOL SEC.36 K.N. 3</x:v>
      </x:c>
      <x:c r="C71" s="83" t="n">
        <x:f>'2019 Form20'!H20</x:f>
        <x:v>88</x:v>
      </x:c>
      <x:c r="D71" s="83" t="n">
        <x:f>'2019 Form20'!D20</x:f>
        <x:v>560</x:v>
      </x:c>
      <x:c r="E71" s="50" t="n">
        <x:f>'2019 Form20'!U20</x:f>
        <x:v>0.15714285714285714</x:v>
      </x:c>
      <x:c r="F71" t="n">
        <x:f>'2019 Form20'!V20</x:f>
        <x:v>430</x:v>
      </x:c>
      <x:c r="G71" t="n">
        <x:f>'2019 Form20'!W20</x:f>
        <x:v>-342</x:v>
      </x:c>
      <x:c r="H71" s="52" t="n">
        <x:f>'2019 Form20'!X20</x:f>
        <x:v>-0.6107142857142858</x:v>
      </x:c>
      <x:c r="I71" t="str">
        <x:v>DR. MAHESH SHARMA</x:v>
      </x:c>
      <x:c r="J71" t="str">
        <x:v>BJP</x:v>
      </x:c>
      <x:c r="K71" t="str">
        <x:v>EVM row</x:v>
      </x:c>
      <x:c r="L71" s="133" t="str">
        <x:f>IF(D71&lt;=0,"No EVM votes",IF(E71&lt;$N$7,"Low",IF(E71&gt;$R$7,"High","Middle")))</x:f>
        <x:v>Low</x:v>
      </x:c>
      <x:c r="M71" s="133" t="str">
        <x:f>IF(D71&lt;=0,"No EVM votes",IF(H71&lt;-20%,"Large deficit",IF(H71&lt;-5%,"Moderate deficit",IF(H71&lt;0,"Narrow deficit",IF(H71&lt;=5%,"Narrow lead/tie",IF(H71&lt;=20%,"Moderate lead","Large lead"))))))</x:f>
        <x:v>Large deficit</x:v>
      </x:c>
    </x:row>
    <x:row r="72">
      <x:c r="A72" t="n">
        <x:v>13</x:v>
      </x:c>
      <x:c r="B72" t="str">
        <x:v>ARSHLINE PUBLIC SCHOOL SEC.36 K.N. 4</x:v>
      </x:c>
      <x:c r="C72" s="83" t="n">
        <x:f>'2019 Form20'!H21</x:f>
        <x:v>73</x:v>
      </x:c>
      <x:c r="D72" s="83" t="n">
        <x:f>'2019 Form20'!D21</x:f>
        <x:v>660</x:v>
      </x:c>
      <x:c r="E72" s="50" t="n">
        <x:f>'2019 Form20'!U21</x:f>
        <x:v>0.11060606060606061</x:v>
      </x:c>
      <x:c r="F72" t="n">
        <x:f>'2019 Form20'!V21</x:f>
        <x:v>540</x:v>
      </x:c>
      <x:c r="G72" t="n">
        <x:f>'2019 Form20'!W21</x:f>
        <x:v>-467</x:v>
      </x:c>
      <x:c r="H72" s="52" t="n">
        <x:f>'2019 Form20'!X21</x:f>
        <x:v>-0.7075757575757575</x:v>
      </x:c>
      <x:c r="I72" t="str">
        <x:v>DR. MAHESH SHARMA</x:v>
      </x:c>
      <x:c r="J72" t="str">
        <x:v>BJP</x:v>
      </x:c>
      <x:c r="K72" t="str">
        <x:v>EVM row</x:v>
      </x:c>
      <x:c r="L72" s="133" t="str">
        <x:f>IF(D72&lt;=0,"No EVM votes",IF(E72&lt;$N$7,"Low",IF(E72&gt;$R$7,"High","Middle")))</x:f>
        <x:v>Low</x:v>
      </x:c>
      <x:c r="M72" s="133" t="str">
        <x:f>IF(D72&lt;=0,"No EVM votes",IF(H72&lt;-20%,"Large deficit",IF(H72&lt;-5%,"Moderate deficit",IF(H72&lt;0,"Narrow deficit",IF(H72&lt;=5%,"Narrow lead/tie",IF(H72&lt;=20%,"Moderate lead","Large lead"))))))</x:f>
        <x:v>Large deficit</x:v>
      </x:c>
    </x:row>
    <x:row r="73">
      <x:c r="A73" t="n">
        <x:v>14</x:v>
      </x:c>
      <x:c r="B73" t="str">
        <x:v>ARSHLINE PUBLIC SCHOOL SEC.36 K.N. 5</x:v>
      </x:c>
      <x:c r="C73" s="83" t="n">
        <x:f>'2019 Form20'!H22</x:f>
        <x:v>133</x:v>
      </x:c>
      <x:c r="D73" s="83" t="n">
        <x:f>'2019 Form20'!D22</x:f>
        <x:v>705</x:v>
      </x:c>
      <x:c r="E73" s="50" t="n">
        <x:f>'2019 Form20'!U22</x:f>
        <x:v>0.18865248226950354</x:v>
      </x:c>
      <x:c r="F73" t="n">
        <x:f>'2019 Form20'!V22</x:f>
        <x:v>543</x:v>
      </x:c>
      <x:c r="G73" t="n">
        <x:f>'2019 Form20'!W22</x:f>
        <x:v>-410</x:v>
      </x:c>
      <x:c r="H73" s="52" t="n">
        <x:f>'2019 Form20'!X22</x:f>
        <x:v>-0.5815602836879432</x:v>
      </x:c>
      <x:c r="I73" t="str">
        <x:v>DR. MAHESH SHARMA</x:v>
      </x:c>
      <x:c r="J73" t="str">
        <x:v>BJP</x:v>
      </x:c>
      <x:c r="K73" t="str">
        <x:v>EVM row</x:v>
      </x:c>
      <x:c r="L73" s="133" t="str">
        <x:f>IF(D73&lt;=0,"No EVM votes",IF(E73&lt;$N$7,"Low",IF(E73&gt;$R$7,"High","Middle")))</x:f>
        <x:v>Low</x:v>
      </x:c>
      <x:c r="M73" s="133" t="str">
        <x:f>IF(D73&lt;=0,"No EVM votes",IF(H73&lt;-20%,"Large deficit",IF(H73&lt;-5%,"Moderate deficit",IF(H73&lt;0,"Narrow deficit",IF(H73&lt;=5%,"Narrow lead/tie",IF(H73&lt;=20%,"Moderate lead","Large lead"))))))</x:f>
        <x:v>Large deficit</x:v>
      </x:c>
    </x:row>
    <x:row r="74">
      <x:c r="A74" t="n">
        <x:v>15</x:v>
      </x:c>
      <x:c r="B74" t="str">
        <x:v>ARSHLINE PUBLIC SCHOOL SEC.36 K.N. 6</x:v>
      </x:c>
      <x:c r="C74" s="83" t="n">
        <x:f>'2019 Form20'!H23</x:f>
        <x:v>60</x:v>
      </x:c>
      <x:c r="D74" s="83" t="n">
        <x:f>'2019 Form20'!D23</x:f>
        <x:v>431</x:v>
      </x:c>
      <x:c r="E74" s="50" t="n">
        <x:f>'2019 Form20'!U23</x:f>
        <x:v>0.13921113689095127</x:v>
      </x:c>
      <x:c r="F74" t="n">
        <x:f>'2019 Form20'!V23</x:f>
        <x:v>340</x:v>
      </x:c>
      <x:c r="G74" t="n">
        <x:f>'2019 Form20'!W23</x:f>
        <x:v>-280</x:v>
      </x:c>
      <x:c r="H74" s="52" t="n">
        <x:f>'2019 Form20'!X23</x:f>
        <x:v>-0.6496519721577726</x:v>
      </x:c>
      <x:c r="I74" t="str">
        <x:v>DR. MAHESH SHARMA</x:v>
      </x:c>
      <x:c r="J74" t="str">
        <x:v>BJP</x:v>
      </x:c>
      <x:c r="K74" t="str">
        <x:v>EVM row</x:v>
      </x:c>
      <x:c r="L74" s="133" t="str">
        <x:f>IF(D74&lt;=0,"No EVM votes",IF(E74&lt;$N$7,"Low",IF(E74&gt;$R$7,"High","Middle")))</x:f>
        <x:v>Low</x:v>
      </x:c>
      <x:c r="M74" s="133" t="str">
        <x:f>IF(D74&lt;=0,"No EVM votes",IF(H74&lt;-20%,"Large deficit",IF(H74&lt;-5%,"Moderate deficit",IF(H74&lt;0,"Narrow deficit",IF(H74&lt;=5%,"Narrow lead/tie",IF(H74&lt;=20%,"Moderate lead","Large lead"))))))</x:f>
        <x:v>Large deficit</x:v>
      </x:c>
    </x:row>
    <x:row r="75">
      <x:c r="A75" t="n">
        <x:v>16</x:v>
      </x:c>
      <x:c r="B75" t="str">
        <x:v>PRY. SCHOOL BIRAUNDA R.NO. 1</x:v>
      </x:c>
      <x:c r="C75" s="83" t="n">
        <x:f>'2019 Form20'!H24</x:f>
        <x:v>275</x:v>
      </x:c>
      <x:c r="D75" s="83" t="n">
        <x:f>'2019 Form20'!D24</x:f>
        <x:v>702</x:v>
      </x:c>
      <x:c r="E75" s="50" t="n">
        <x:f>'2019 Form20'!U24</x:f>
        <x:v>0.39173789173789175</x:v>
      </x:c>
      <x:c r="F75" t="n">
        <x:f>'2019 Form20'!V24</x:f>
        <x:v>392</x:v>
      </x:c>
      <x:c r="G75" t="n">
        <x:f>'2019 Form20'!W24</x:f>
        <x:v>-117</x:v>
      </x:c>
      <x:c r="H75" s="52" t="n">
        <x:f>'2019 Form20'!X24</x:f>
        <x:v>-0.16666666666666666</x:v>
      </x:c>
      <x:c r="I75" t="str">
        <x:v>DR. MAHESH SHARMA</x:v>
      </x:c>
      <x:c r="J75" t="str">
        <x:v>BJP</x:v>
      </x:c>
      <x:c r="K75" t="str">
        <x:v>EVM row</x:v>
      </x:c>
      <x:c r="L75" s="133" t="str">
        <x:f>IF(D75&lt;=0,"No EVM votes",IF(E75&lt;$N$7,"Low",IF(E75&gt;$R$7,"High","Middle")))</x:f>
        <x:v>Middle</x:v>
      </x:c>
      <x:c r="M75" s="133" t="str">
        <x:f>IF(D75&lt;=0,"No EVM votes",IF(H75&lt;-20%,"Large deficit",IF(H75&lt;-5%,"Moderate deficit",IF(H75&lt;0,"Narrow deficit",IF(H75&lt;=5%,"Narrow lead/tie",IF(H75&lt;=20%,"Moderate lead","Large lead"))))))</x:f>
        <x:v>Moderate deficit</x:v>
      </x:c>
    </x:row>
    <x:row r="76">
      <x:c r="A76" t="n">
        <x:v>17</x:v>
      </x:c>
      <x:c r="B76" t="str">
        <x:v>PRY. SCHOOL BIRAUNDA R.NO. 2</x:v>
      </x:c>
      <x:c r="C76" s="83" t="n">
        <x:f>'2019 Form20'!H25</x:f>
        <x:v>49</x:v>
      </x:c>
      <x:c r="D76" s="83" t="n">
        <x:f>'2019 Form20'!D25</x:f>
        <x:v>423</x:v>
      </x:c>
      <x:c r="E76" s="50" t="n">
        <x:f>'2019 Form20'!U25</x:f>
        <x:v>0.11583924349881797</x:v>
      </x:c>
      <x:c r="F76" t="n">
        <x:f>'2019 Form20'!V25</x:f>
        <x:v>341</x:v>
      </x:c>
      <x:c r="G76" t="n">
        <x:f>'2019 Form20'!W25</x:f>
        <x:v>-292</x:v>
      </x:c>
      <x:c r="H76" s="52" t="n">
        <x:f>'2019 Form20'!X25</x:f>
        <x:v>-0.6903073286052009</x:v>
      </x:c>
      <x:c r="I76" t="str">
        <x:v>DR. MAHESH SHARMA</x:v>
      </x:c>
      <x:c r="J76" t="str">
        <x:v>BJP</x:v>
      </x:c>
      <x:c r="K76" t="str">
        <x:v>EVM row</x:v>
      </x:c>
      <x:c r="L76" s="133" t="str">
        <x:f>IF(D76&lt;=0,"No EVM votes",IF(E76&lt;$N$7,"Low",IF(E76&gt;$R$7,"High","Middle")))</x:f>
        <x:v>Low</x:v>
      </x:c>
      <x:c r="M76" s="133" t="str">
        <x:f>IF(D76&lt;=0,"No EVM votes",IF(H76&lt;-20%,"Large deficit",IF(H76&lt;-5%,"Moderate deficit",IF(H76&lt;0,"Narrow deficit",IF(H76&lt;=5%,"Narrow lead/tie",IF(H76&lt;=20%,"Moderate lead","Large lead"))))))</x:f>
        <x:v>Large deficit</x:v>
      </x:c>
    </x:row>
    <x:row r="77">
      <x:c r="A77" t="n">
        <x:v>18</x:v>
      </x:c>
      <x:c r="B77" t="str">
        <x:v>PRY. SCHOOL BIRAUNDA R.NO. 3</x:v>
      </x:c>
      <x:c r="C77" s="83" t="n">
        <x:f>'2019 Form20'!H26</x:f>
        <x:v>76</x:v>
      </x:c>
      <x:c r="D77" s="83" t="n">
        <x:f>'2019 Form20'!D26</x:f>
        <x:v>763</x:v>
      </x:c>
      <x:c r="E77" s="50" t="n">
        <x:f>'2019 Form20'!U26</x:f>
        <x:v>0.09960681520314547</x:v>
      </x:c>
      <x:c r="F77" t="n">
        <x:f>'2019 Form20'!V26</x:f>
        <x:v>625</x:v>
      </x:c>
      <x:c r="G77" t="n">
        <x:f>'2019 Form20'!W26</x:f>
        <x:v>-549</x:v>
      </x:c>
      <x:c r="H77" s="52" t="n">
        <x:f>'2019 Form20'!X26</x:f>
        <x:v>-0.7195281782437746</x:v>
      </x:c>
      <x:c r="I77" t="str">
        <x:v>DR. MAHESH SHARMA</x:v>
      </x:c>
      <x:c r="J77" t="str">
        <x:v>BJP</x:v>
      </x:c>
      <x:c r="K77" t="str">
        <x:v>EVM row</x:v>
      </x:c>
      <x:c r="L77" s="133" t="str">
        <x:f>IF(D77&lt;=0,"No EVM votes",IF(E77&lt;$N$7,"Low",IF(E77&gt;$R$7,"High","Middle")))</x:f>
        <x:v>Low</x:v>
      </x:c>
      <x:c r="M77" s="133" t="str">
        <x:f>IF(D77&lt;=0,"No EVM votes",IF(H77&lt;-20%,"Large deficit",IF(H77&lt;-5%,"Moderate deficit",IF(H77&lt;0,"Narrow deficit",IF(H77&lt;=5%,"Narrow lead/tie",IF(H77&lt;=20%,"Moderate lead","Large lead"))))))</x:f>
        <x:v>Large deficit</x:v>
      </x:c>
    </x:row>
    <x:row r="78">
      <x:c r="A78" t="n">
        <x:v>19</x:v>
      </x:c>
      <x:c r="B78" t="str">
        <x:v>PRY. SCHOOL BIRAUNDA R.NO. 4</x:v>
      </x:c>
      <x:c r="C78" s="83" t="n">
        <x:f>'2019 Form20'!H27</x:f>
        <x:v>85</x:v>
      </x:c>
      <x:c r="D78" s="83" t="n">
        <x:f>'2019 Form20'!D27</x:f>
        <x:v>574</x:v>
      </x:c>
      <x:c r="E78" s="50" t="n">
        <x:f>'2019 Form20'!U27</x:f>
        <x:v>0.1480836236933798</x:v>
      </x:c>
      <x:c r="F78" t="n">
        <x:f>'2019 Form20'!V27</x:f>
        <x:v>454</x:v>
      </x:c>
      <x:c r="G78" t="n">
        <x:f>'2019 Form20'!W27</x:f>
        <x:v>-369</x:v>
      </x:c>
      <x:c r="H78" s="52" t="n">
        <x:f>'2019 Form20'!X27</x:f>
        <x:v>-0.6428571428571429</x:v>
      </x:c>
      <x:c r="I78" t="str">
        <x:v>DR. MAHESH SHARMA</x:v>
      </x:c>
      <x:c r="J78" t="str">
        <x:v>BJP</x:v>
      </x:c>
      <x:c r="K78" t="str">
        <x:v>EVM row</x:v>
      </x:c>
      <x:c r="L78" s="133" t="str">
        <x:f>IF(D78&lt;=0,"No EVM votes",IF(E78&lt;$N$7,"Low",IF(E78&gt;$R$7,"High","Middle")))</x:f>
        <x:v>Low</x:v>
      </x:c>
      <x:c r="M78" s="133" t="str">
        <x:f>IF(D78&lt;=0,"No EVM votes",IF(H78&lt;-20%,"Large deficit",IF(H78&lt;-5%,"Moderate deficit",IF(H78&lt;0,"Narrow deficit",IF(H78&lt;=5%,"Narrow lead/tie",IF(H78&lt;=20%,"Moderate lead","Large lead"))))))</x:f>
        <x:v>Large deficit</x:v>
      </x:c>
    </x:row>
    <x:row r="79">
      <x:c r="A79" t="n">
        <x:v>20</x:v>
      </x:c>
      <x:c r="B79" t="str">
        <x:v>PRY. SCHOOL DADHA K.N. 1</x:v>
      </x:c>
      <x:c r="C79" s="83" t="n">
        <x:f>'2019 Form20'!H28</x:f>
        <x:v>427</x:v>
      </x:c>
      <x:c r="D79" s="83" t="n">
        <x:f>'2019 Form20'!D28</x:f>
        <x:v>907</x:v>
      </x:c>
      <x:c r="E79" s="50" t="n">
        <x:f>'2019 Form20'!U28</x:f>
        <x:v>0.47078280044101434</x:v>
      </x:c>
      <x:c r="F79" t="n">
        <x:f>'2019 Form20'!V28</x:f>
        <x:v>463</x:v>
      </x:c>
      <x:c r="G79" t="n">
        <x:f>'2019 Form20'!W28</x:f>
        <x:v>-36</x:v>
      </x:c>
      <x:c r="H79" s="52" t="n">
        <x:f>'2019 Form20'!X28</x:f>
        <x:v>-0.03969128996692393</x:v>
      </x:c>
      <x:c r="I79" t="str">
        <x:v>DR. MAHESH SHARMA</x:v>
      </x:c>
      <x:c r="J79" t="str">
        <x:v>BJP</x:v>
      </x:c>
      <x:c r="K79" t="str">
        <x:v>EVM row</x:v>
      </x:c>
      <x:c r="L79" s="133" t="str">
        <x:f>IF(D79&lt;=0,"No EVM votes",IF(E79&lt;$N$7,"Low",IF(E79&gt;$R$7,"High","Middle")))</x:f>
        <x:v>Middle</x:v>
      </x:c>
      <x:c r="M79" s="133" t="str">
        <x:f>IF(D79&lt;=0,"No EVM votes",IF(H79&lt;-20%,"Large deficit",IF(H79&lt;-5%,"Moderate deficit",IF(H79&lt;0,"Narrow deficit",IF(H79&lt;=5%,"Narrow lead/tie",IF(H79&lt;=20%,"Moderate lead","Large lead"))))))</x:f>
        <x:v>Narrow deficit</x:v>
      </x:c>
    </x:row>
    <x:row r="80">
      <x:c r="A80" t="n">
        <x:v>21</x:v>
      </x:c>
      <x:c r="B80" t="str">
        <x:v>PRY. SCHOOL DADHA K.N. 2</x:v>
      </x:c>
      <x:c r="C80" s="83" t="n">
        <x:f>'2019 Form20'!H29</x:f>
        <x:v>249</x:v>
      </x:c>
      <x:c r="D80" s="83" t="n">
        <x:f>'2019 Form20'!D29</x:f>
        <x:v>653</x:v>
      </x:c>
      <x:c r="E80" s="50" t="n">
        <x:f>'2019 Form20'!U29</x:f>
        <x:v>0.38131699846860645</x:v>
      </x:c>
      <x:c r="F80" t="n">
        <x:f>'2019 Form20'!V29</x:f>
        <x:v>388</x:v>
      </x:c>
      <x:c r="G80" t="n">
        <x:f>'2019 Form20'!W29</x:f>
        <x:v>-139</x:v>
      </x:c>
      <x:c r="H80" s="52" t="n">
        <x:f>'2019 Form20'!X29</x:f>
        <x:v>-0.21286370597243492</x:v>
      </x:c>
      <x:c r="I80" t="str">
        <x:v>DR. MAHESH SHARMA</x:v>
      </x:c>
      <x:c r="J80" t="str">
        <x:v>BJP</x:v>
      </x:c>
      <x:c r="K80" t="str">
        <x:v>EVM row</x:v>
      </x:c>
      <x:c r="L80" s="133" t="str">
        <x:f>IF(D80&lt;=0,"No EVM votes",IF(E80&lt;$N$7,"Low",IF(E80&gt;$R$7,"High","Middle")))</x:f>
        <x:v>Middle</x:v>
      </x:c>
      <x:c r="M80" s="133" t="str">
        <x:f>IF(D80&lt;=0,"No EVM votes",IF(H80&lt;-20%,"Large deficit",IF(H80&lt;-5%,"Moderate deficit",IF(H80&lt;0,"Narrow deficit",IF(H80&lt;=5%,"Narrow lead/tie",IF(H80&lt;=20%,"Moderate lead","Large lead"))))))</x:f>
        <x:v>Large deficit</x:v>
      </x:c>
    </x:row>
    <x:row r="81">
      <x:c r="A81" t="n">
        <x:v>22</x:v>
      </x:c>
      <x:c r="B81" t="str">
        <x:v>PRY. SCHOOL SIRSA R.NO.1</x:v>
      </x:c>
      <x:c r="C81" s="83" t="n">
        <x:f>'2019 Form20'!H30</x:f>
        <x:v>199</x:v>
      </x:c>
      <x:c r="D81" s="83" t="n">
        <x:f>'2019 Form20'!D30</x:f>
        <x:v>527</x:v>
      </x:c>
      <x:c r="E81" s="50" t="n">
        <x:f>'2019 Form20'!U30</x:f>
        <x:v>0.3776091081593928</x:v>
      </x:c>
      <x:c r="F81" t="n">
        <x:f>'2019 Form20'!V30</x:f>
        <x:v>302</x:v>
      </x:c>
      <x:c r="G81" t="n">
        <x:f>'2019 Form20'!W30</x:f>
        <x:v>-103</x:v>
      </x:c>
      <x:c r="H81" s="52" t="n">
        <x:f>'2019 Form20'!X30</x:f>
        <x:v>-0.1954459203036053</x:v>
      </x:c>
      <x:c r="I81" t="str">
        <x:v>DR. MAHESH SHARMA</x:v>
      </x:c>
      <x:c r="J81" t="str">
        <x:v>BJP</x:v>
      </x:c>
      <x:c r="K81" t="str">
        <x:v>EVM row</x:v>
      </x:c>
      <x:c r="L81" s="133" t="str">
        <x:f>IF(D81&lt;=0,"No EVM votes",IF(E81&lt;$N$7,"Low",IF(E81&gt;$R$7,"High","Middle")))</x:f>
        <x:v>Middle</x:v>
      </x:c>
      <x:c r="M81" s="133" t="str">
        <x:f>IF(D81&lt;=0,"No EVM votes",IF(H81&lt;-20%,"Large deficit",IF(H81&lt;-5%,"Moderate deficit",IF(H81&lt;0,"Narrow deficit",IF(H81&lt;=5%,"Narrow lead/tie",IF(H81&lt;=20%,"Moderate lead","Large lead"))))))</x:f>
        <x:v>Moderate deficit</x:v>
      </x:c>
    </x:row>
    <x:row r="82">
      <x:c r="A82" t="n">
        <x:v>23</x:v>
      </x:c>
      <x:c r="B82" t="str">
        <x:v>PRY. SCHOOL SIRSA R.NO.2</x:v>
      </x:c>
      <x:c r="C82" s="83" t="n">
        <x:f>'2019 Form20'!H31</x:f>
        <x:v>244</x:v>
      </x:c>
      <x:c r="D82" s="83" t="n">
        <x:f>'2019 Form20'!D31</x:f>
        <x:v>637</x:v>
      </x:c>
      <x:c r="E82" s="50" t="n">
        <x:f>'2019 Form20'!U31</x:f>
        <x:v>0.38304552590266877</x:v>
      </x:c>
      <x:c r="F82" t="n">
        <x:f>'2019 Form20'!V31</x:f>
        <x:v>377</x:v>
      </x:c>
      <x:c r="G82" t="n">
        <x:f>'2019 Form20'!W31</x:f>
        <x:v>-133</x:v>
      </x:c>
      <x:c r="H82" s="52" t="n">
        <x:f>'2019 Form20'!X31</x:f>
        <x:v>-0.2087912087912088</x:v>
      </x:c>
      <x:c r="I82" t="str">
        <x:v>DR. MAHESH SHARMA</x:v>
      </x:c>
      <x:c r="J82" t="str">
        <x:v>BJP</x:v>
      </x:c>
      <x:c r="K82" t="str">
        <x:v>EVM row</x:v>
      </x:c>
      <x:c r="L82" s="133" t="str">
        <x:f>IF(D82&lt;=0,"No EVM votes",IF(E82&lt;$N$7,"Low",IF(E82&gt;$R$7,"High","Middle")))</x:f>
        <x:v>Middle</x:v>
      </x:c>
      <x:c r="M82" s="133" t="str">
        <x:f>IF(D82&lt;=0,"No EVM votes",IF(H82&lt;-20%,"Large deficit",IF(H82&lt;-5%,"Moderate deficit",IF(H82&lt;0,"Narrow deficit",IF(H82&lt;=5%,"Narrow lead/tie",IF(H82&lt;=20%,"Moderate lead","Large lead"))))))</x:f>
        <x:v>Large deficit</x:v>
      </x:c>
    </x:row>
    <x:row r="83">
      <x:c r="A83" t="n">
        <x:v>24</x:v>
      </x:c>
      <x:c r="B83" t="str">
        <x:v>PRY. SCHOOL KHANPUR R.NO. 1</x:v>
      </x:c>
      <x:c r="C83" s="83" t="n">
        <x:f>'2019 Form20'!H32</x:f>
        <x:v>294</x:v>
      </x:c>
      <x:c r="D83" s="83" t="n">
        <x:f>'2019 Form20'!D32</x:f>
        <x:v>639</x:v>
      </x:c>
      <x:c r="E83" s="50" t="n">
        <x:f>'2019 Form20'!U32</x:f>
        <x:v>0.460093896713615</x:v>
      </x:c>
      <x:c r="F83" t="n">
        <x:f>'2019 Form20'!V32</x:f>
        <x:v>323</x:v>
      </x:c>
      <x:c r="G83" t="n">
        <x:f>'2019 Form20'!W32</x:f>
        <x:v>-29</x:v>
      </x:c>
      <x:c r="H83" s="52" t="n">
        <x:f>'2019 Form20'!X32</x:f>
        <x:v>-0.04538341158059468</x:v>
      </x:c>
      <x:c r="I83" t="str">
        <x:v>DR. MAHESH SHARMA</x:v>
      </x:c>
      <x:c r="J83" t="str">
        <x:v>BJP</x:v>
      </x:c>
      <x:c r="K83" t="str">
        <x:v>EVM row</x:v>
      </x:c>
      <x:c r="L83" s="133" t="str">
        <x:f>IF(D83&lt;=0,"No EVM votes",IF(E83&lt;$N$7,"Low",IF(E83&gt;$R$7,"High","Middle")))</x:f>
        <x:v>Middle</x:v>
      </x:c>
      <x:c r="M83" s="133" t="str">
        <x:f>IF(D83&lt;=0,"No EVM votes",IF(H83&lt;-20%,"Large deficit",IF(H83&lt;-5%,"Moderate deficit",IF(H83&lt;0,"Narrow deficit",IF(H83&lt;=5%,"Narrow lead/tie",IF(H83&lt;=20%,"Moderate lead","Large lead"))))))</x:f>
        <x:v>Narrow deficit</x:v>
      </x:c>
    </x:row>
    <x:row r="84">
      <x:c r="A84" t="n">
        <x:v>25</x:v>
      </x:c>
      <x:c r="B84" t="str">
        <x:v>PRY. SCHOOL KHANPUR R.NO. 2</x:v>
      </x:c>
      <x:c r="C84" s="83" t="n">
        <x:f>'2019 Form20'!H33</x:f>
        <x:v>429</x:v>
      </x:c>
      <x:c r="D84" s="83" t="n">
        <x:f>'2019 Form20'!D33</x:f>
        <x:v>762</x:v>
      </x:c>
      <x:c r="E84" s="50" t="n">
        <x:f>'2019 Form20'!U33</x:f>
        <x:v>0.562992125984252</x:v>
      </x:c>
      <x:c r="F84" t="n">
        <x:f>'2019 Form20'!V33</x:f>
        <x:v>307</x:v>
      </x:c>
      <x:c r="G84" t="n">
        <x:f>'2019 Form20'!W33</x:f>
        <x:v>122</x:v>
      </x:c>
      <x:c r="H84" s="52" t="n">
        <x:f>'2019 Form20'!X33</x:f>
        <x:v>0.16010498687664043</x:v>
      </x:c>
      <x:c r="I84" t="str">
        <x:v>SATVEER</x:v>
      </x:c>
      <x:c r="J84" t="str">
        <x:v>BSP</x:v>
      </x:c>
      <x:c r="K84" t="str">
        <x:v>EVM row</x:v>
      </x:c>
      <x:c r="L84" s="133" t="str">
        <x:f>IF(D84&lt;=0,"No EVM votes",IF(E84&lt;$N$7,"Low",IF(E84&gt;$R$7,"High","Middle")))</x:f>
        <x:v>Middle</x:v>
      </x:c>
      <x:c r="M84" s="133" t="str">
        <x:f>IF(D84&lt;=0,"No EVM votes",IF(H84&lt;-20%,"Large deficit",IF(H84&lt;-5%,"Moderate deficit",IF(H84&lt;0,"Narrow deficit",IF(H84&lt;=5%,"Narrow lead/tie",IF(H84&lt;=20%,"Moderate lead","Large lead"))))))</x:f>
        <x:v>Moderate lead</x:v>
      </x:c>
    </x:row>
    <x:row r="85">
      <x:c r="A85" t="n">
        <x:v>26</x:v>
      </x:c>
      <x:c r="B85" t="str">
        <x:v>PRY. SCHOOL LUKSAR R.NO. 1</x:v>
      </x:c>
      <x:c r="C85" s="83" t="n">
        <x:f>'2019 Form20'!H34</x:f>
        <x:v>285</x:v>
      </x:c>
      <x:c r="D85" s="83" t="n">
        <x:f>'2019 Form20'!D34</x:f>
        <x:v>764</x:v>
      </x:c>
      <x:c r="E85" s="50" t="n">
        <x:f>'2019 Form20'!U34</x:f>
        <x:v>0.3730366492146597</x:v>
      </x:c>
      <x:c r="F85" t="n">
        <x:f>'2019 Form20'!V34</x:f>
        <x:v>457</x:v>
      </x:c>
      <x:c r="G85" t="n">
        <x:f>'2019 Form20'!W34</x:f>
        <x:v>-172</x:v>
      </x:c>
      <x:c r="H85" s="52" t="n">
        <x:f>'2019 Form20'!X34</x:f>
        <x:v>-0.225130890052356</x:v>
      </x:c>
      <x:c r="I85" t="str">
        <x:v>DR. MAHESH SHARMA</x:v>
      </x:c>
      <x:c r="J85" t="str">
        <x:v>BJP</x:v>
      </x:c>
      <x:c r="K85" t="str">
        <x:v>EVM row</x:v>
      </x:c>
      <x:c r="L85" s="133" t="str">
        <x:f>IF(D85&lt;=0,"No EVM votes",IF(E85&lt;$N$7,"Low",IF(E85&gt;$R$7,"High","Middle")))</x:f>
        <x:v>Middle</x:v>
      </x:c>
      <x:c r="M85" s="133" t="str">
        <x:f>IF(D85&lt;=0,"No EVM votes",IF(H85&lt;-20%,"Large deficit",IF(H85&lt;-5%,"Moderate deficit",IF(H85&lt;0,"Narrow deficit",IF(H85&lt;=5%,"Narrow lead/tie",IF(H85&lt;=20%,"Moderate lead","Large lead"))))))</x:f>
        <x:v>Large deficit</x:v>
      </x:c>
    </x:row>
    <x:row r="86">
      <x:c r="A86" t="n">
        <x:v>27</x:v>
      </x:c>
      <x:c r="B86" t="str">
        <x:v>PRY. SCHOOL MURSHADPUR R.NO.1</x:v>
      </x:c>
      <x:c r="C86" s="83" t="n">
        <x:f>'2019 Form20'!H35</x:f>
        <x:v>318</x:v>
      </x:c>
      <x:c r="D86" s="83" t="n">
        <x:f>'2019 Form20'!D35</x:f>
        <x:v>554</x:v>
      </x:c>
      <x:c r="E86" s="50" t="n">
        <x:f>'2019 Form20'!U35</x:f>
        <x:v>0.5740072202166066</x:v>
      </x:c>
      <x:c r="F86" t="n">
        <x:f>'2019 Form20'!V35</x:f>
        <x:v>215</x:v>
      </x:c>
      <x:c r="G86" t="n">
        <x:f>'2019 Form20'!W35</x:f>
        <x:v>103</x:v>
      </x:c>
      <x:c r="H86" s="52" t="n">
        <x:f>'2019 Form20'!X35</x:f>
        <x:v>0.18592057761732853</x:v>
      </x:c>
      <x:c r="I86" t="str">
        <x:v>SATVEER</x:v>
      </x:c>
      <x:c r="J86" t="str">
        <x:v>BSP</x:v>
      </x:c>
      <x:c r="K86" t="str">
        <x:v>EVM row</x:v>
      </x:c>
      <x:c r="L86" s="133" t="str">
        <x:f>IF(D86&lt;=0,"No EVM votes",IF(E86&lt;$N$7,"Low",IF(E86&gt;$R$7,"High","Middle")))</x:f>
        <x:v>Middle</x:v>
      </x:c>
      <x:c r="M86" s="133" t="str">
        <x:f>IF(D86&lt;=0,"No EVM votes",IF(H86&lt;-20%,"Large deficit",IF(H86&lt;-5%,"Moderate deficit",IF(H86&lt;0,"Narrow deficit",IF(H86&lt;=5%,"Narrow lead/tie",IF(H86&lt;=20%,"Moderate lead","Large lead"))))))</x:f>
        <x:v>Moderate lead</x:v>
      </x:c>
    </x:row>
    <x:row r="87">
      <x:c r="A87" t="n">
        <x:v>28</x:v>
      </x:c>
      <x:c r="B87" t="str">
        <x:v>PRY. SCHOOL GHARBARA R. NO.1</x:v>
      </x:c>
      <x:c r="C87" s="83" t="n">
        <x:f>'2019 Form20'!H36</x:f>
        <x:v>444</x:v>
      </x:c>
      <x:c r="D87" s="83" t="n">
        <x:f>'2019 Form20'!D36</x:f>
        <x:v>623</x:v>
      </x:c>
      <x:c r="E87" s="50" t="n">
        <x:f>'2019 Form20'!U36</x:f>
        <x:v>0.7126805778491172</x:v>
      </x:c>
      <x:c r="F87" t="n">
        <x:f>'2019 Form20'!V36</x:f>
        <x:v>168</x:v>
      </x:c>
      <x:c r="G87" t="n">
        <x:f>'2019 Form20'!W36</x:f>
        <x:v>276</x:v>
      </x:c>
      <x:c r="H87" s="52" t="n">
        <x:f>'2019 Form20'!X36</x:f>
        <x:v>0.44301765650080255</x:v>
      </x:c>
      <x:c r="I87" t="str">
        <x:v>SATVEER</x:v>
      </x:c>
      <x:c r="J87" t="str">
        <x:v>BSP</x:v>
      </x:c>
      <x:c r="K87" t="str">
        <x:v>EVM row</x:v>
      </x:c>
      <x:c r="L87" s="133" t="str">
        <x:f>IF(D87&lt;=0,"No EVM votes",IF(E87&lt;$N$7,"Low",IF(E87&gt;$R$7,"High","Middle")))</x:f>
        <x:v>High</x:v>
      </x:c>
      <x:c r="M87" s="133" t="str">
        <x:f>IF(D87&lt;=0,"No EVM votes",IF(H87&lt;-20%,"Large deficit",IF(H87&lt;-5%,"Moderate deficit",IF(H87&lt;0,"Narrow deficit",IF(H87&lt;=5%,"Narrow lead/tie",IF(H87&lt;=20%,"Moderate lead","Large lead"))))))</x:f>
        <x:v>Large lead</x:v>
      </x:c>
    </x:row>
    <x:row r="88">
      <x:c r="A88" t="n">
        <x:v>29</x:v>
      </x:c>
      <x:c r="B88" t="str">
        <x:v>PRY. SCHOOL GHARBARA R. NO.2</x:v>
      </x:c>
      <x:c r="C88" s="83" t="n">
        <x:f>'2019 Form20'!H37</x:f>
        <x:v>372</x:v>
      </x:c>
      <x:c r="D88" s="83" t="n">
        <x:f>'2019 Form20'!D37</x:f>
        <x:v>582</x:v>
      </x:c>
      <x:c r="E88" s="50" t="n">
        <x:f>'2019 Form20'!U37</x:f>
        <x:v>0.6391752577319587</x:v>
      </x:c>
      <x:c r="F88" t="n">
        <x:f>'2019 Form20'!V37</x:f>
        <x:v>202</x:v>
      </x:c>
      <x:c r="G88" t="n">
        <x:f>'2019 Form20'!W37</x:f>
        <x:v>170</x:v>
      </x:c>
      <x:c r="H88" s="52" t="n">
        <x:f>'2019 Form20'!X37</x:f>
        <x:v>0.2920962199312715</x:v>
      </x:c>
      <x:c r="I88" t="str">
        <x:v>SATVEER</x:v>
      </x:c>
      <x:c r="J88" t="str">
        <x:v>BSP</x:v>
      </x:c>
      <x:c r="K88" t="str">
        <x:v>EVM row</x:v>
      </x:c>
      <x:c r="L88" s="133" t="str">
        <x:f>IF(D88&lt;=0,"No EVM votes",IF(E88&lt;$N$7,"Low",IF(E88&gt;$R$7,"High","Middle")))</x:f>
        <x:v>Middle</x:v>
      </x:c>
      <x:c r="M88" s="133" t="str">
        <x:f>IF(D88&lt;=0,"No EVM votes",IF(H88&lt;-20%,"Large deficit",IF(H88&lt;-5%,"Moderate deficit",IF(H88&lt;0,"Narrow deficit",IF(H88&lt;=5%,"Narrow lead/tie",IF(H88&lt;=20%,"Moderate lead","Large lead"))))))</x:f>
        <x:v>Large lead</x:v>
      </x:c>
    </x:row>
    <x:row r="89">
      <x:c r="A89" t="n">
        <x:v>30</x:v>
      </x:c>
      <x:c r="B89" t="str">
        <x:v>J. H. SCHOOL ATAI MURADPUR R.NO.1</x:v>
      </x:c>
      <x:c r="C89" s="83" t="n">
        <x:f>'2019 Form20'!H38</x:f>
        <x:v>171</x:v>
      </x:c>
      <x:c r="D89" s="83" t="n">
        <x:f>'2019 Form20'!D38</x:f>
        <x:v>410</x:v>
      </x:c>
      <x:c r="E89" s="50" t="n">
        <x:f>'2019 Form20'!U38</x:f>
        <x:v>0.4170731707317073</x:v>
      </x:c>
      <x:c r="F89" t="n">
        <x:f>'2019 Form20'!V38</x:f>
        <x:v>226</x:v>
      </x:c>
      <x:c r="G89" t="n">
        <x:f>'2019 Form20'!W38</x:f>
        <x:v>-55</x:v>
      </x:c>
      <x:c r="H89" s="52" t="n">
        <x:f>'2019 Form20'!X38</x:f>
        <x:v>-0.13414634146341464</x:v>
      </x:c>
      <x:c r="I89" t="str">
        <x:v>DR. MAHESH SHARMA</x:v>
      </x:c>
      <x:c r="J89" t="str">
        <x:v>BJP</x:v>
      </x:c>
      <x:c r="K89" t="str">
        <x:v>EVM row</x:v>
      </x:c>
      <x:c r="L89" s="133" t="str">
        <x:f>IF(D89&lt;=0,"No EVM votes",IF(E89&lt;$N$7,"Low",IF(E89&gt;$R$7,"High","Middle")))</x:f>
        <x:v>Middle</x:v>
      </x:c>
      <x:c r="M89" s="133" t="str">
        <x:f>IF(D89&lt;=0,"No EVM votes",IF(H89&lt;-20%,"Large deficit",IF(H89&lt;-5%,"Moderate deficit",IF(H89&lt;0,"Narrow deficit",IF(H89&lt;=5%,"Narrow lead/tie",IF(H89&lt;=20%,"Moderate lead","Large lead"))))))</x:f>
        <x:v>Moderate deficit</x:v>
      </x:c>
    </x:row>
    <x:row r="90">
      <x:c r="A90" t="n">
        <x:v>31</x:v>
      </x:c>
      <x:c r="B90" t="str">
        <x:v>PRY. SCHOOL IMALIYAKA R.NO.1</x:v>
      </x:c>
      <x:c r="C90" s="83" t="n">
        <x:f>'2019 Form20'!H39</x:f>
        <x:v>483</x:v>
      </x:c>
      <x:c r="D90" s="83" t="n">
        <x:f>'2019 Form20'!D39</x:f>
        <x:v>751</x:v>
      </x:c>
      <x:c r="E90" s="50" t="n">
        <x:f>'2019 Form20'!U39</x:f>
        <x:v>0.6431424766977364</x:v>
      </x:c>
      <x:c r="F90" t="n">
        <x:f>'2019 Form20'!V39</x:f>
        <x:v>251</x:v>
      </x:c>
      <x:c r="G90" t="n">
        <x:f>'2019 Form20'!W39</x:f>
        <x:v>232</x:v>
      </x:c>
      <x:c r="H90" s="52" t="n">
        <x:f>'2019 Form20'!X39</x:f>
        <x:v>0.30892143808255657</x:v>
      </x:c>
      <x:c r="I90" t="str">
        <x:v>SATVEER</x:v>
      </x:c>
      <x:c r="J90" t="str">
        <x:v>BSP</x:v>
      </x:c>
      <x:c r="K90" t="str">
        <x:v>EVM row</x:v>
      </x:c>
      <x:c r="L90" s="133" t="str">
        <x:f>IF(D90&lt;=0,"No EVM votes",IF(E90&lt;$N$7,"Low",IF(E90&gt;$R$7,"High","Middle")))</x:f>
        <x:v>Middle</x:v>
      </x:c>
      <x:c r="M90" s="133" t="str">
        <x:f>IF(D90&lt;=0,"No EVM votes",IF(H90&lt;-20%,"Large deficit",IF(H90&lt;-5%,"Moderate deficit",IF(H90&lt;0,"Narrow deficit",IF(H90&lt;=5%,"Narrow lead/tie",IF(H90&lt;=20%,"Moderate lead","Large lead"))))))</x:f>
        <x:v>Large lead</x:v>
      </x:c>
    </x:row>
    <x:row r="91">
      <x:c r="A91" t="n">
        <x:v>32</x:v>
      </x:c>
      <x:c r="B91" t="str">
        <x:v>PRY. SCHOOL IMALIYAKA R.NO.2</x:v>
      </x:c>
      <x:c r="C91" s="83" t="n">
        <x:f>'2019 Form20'!H40</x:f>
        <x:v>348</x:v>
      </x:c>
      <x:c r="D91" s="83" t="n">
        <x:f>'2019 Form20'!D40</x:f>
        <x:v>547</x:v>
      </x:c>
      <x:c r="E91" s="50" t="n">
        <x:f>'2019 Form20'!U40</x:f>
        <x:v>0.6361974405850092</x:v>
      </x:c>
      <x:c r="F91" t="n">
        <x:f>'2019 Form20'!V40</x:f>
        <x:v>189</x:v>
      </x:c>
      <x:c r="G91" t="n">
        <x:f>'2019 Form20'!W40</x:f>
        <x:v>159</x:v>
      </x:c>
      <x:c r="H91" s="52" t="n">
        <x:f>'2019 Form20'!X40</x:f>
        <x:v>0.2906764168190128</x:v>
      </x:c>
      <x:c r="I91" t="str">
        <x:v>SATVEER</x:v>
      </x:c>
      <x:c r="J91" t="str">
        <x:v>BSP</x:v>
      </x:c>
      <x:c r="K91" t="str">
        <x:v>EVM row</x:v>
      </x:c>
      <x:c r="L91" s="133" t="str">
        <x:f>IF(D91&lt;=0,"No EVM votes",IF(E91&lt;$N$7,"Low",IF(E91&gt;$R$7,"High","Middle")))</x:f>
        <x:v>Middle</x:v>
      </x:c>
      <x:c r="M91" s="133" t="str">
        <x:f>IF(D91&lt;=0,"No EVM votes",IF(H91&lt;-20%,"Large deficit",IF(H91&lt;-5%,"Moderate deficit",IF(H91&lt;0,"Narrow deficit",IF(H91&lt;=5%,"Narrow lead/tie",IF(H91&lt;=20%,"Moderate lead","Large lead"))))))</x:f>
        <x:v>Large lead</x:v>
      </x:c>
    </x:row>
    <x:row r="92">
      <x:c r="A92" t="n">
        <x:v>33</x:v>
      </x:c>
      <x:c r="B92" t="str">
        <x:v>PRY. SCHOOL LADPURA R.NO. 1</x:v>
      </x:c>
      <x:c r="C92" s="83" t="n">
        <x:f>'2019 Form20'!H41</x:f>
        <x:v>349</x:v>
      </x:c>
      <x:c r="D92" s="83" t="n">
        <x:f>'2019 Form20'!D41</x:f>
        <x:v>790</x:v>
      </x:c>
      <x:c r="E92" s="50" t="n">
        <x:f>'2019 Form20'!U41</x:f>
        <x:v>0.4417721518987342</x:v>
      </x:c>
      <x:c r="F92" t="n">
        <x:f>'2019 Form20'!V41</x:f>
        <x:v>423</x:v>
      </x:c>
      <x:c r="G92" t="n">
        <x:f>'2019 Form20'!W41</x:f>
        <x:v>-74</x:v>
      </x:c>
      <x:c r="H92" s="52" t="n">
        <x:f>'2019 Form20'!X41</x:f>
        <x:v>-0.09367088607594937</x:v>
      </x:c>
      <x:c r="I92" t="str">
        <x:v>DR. MAHESH SHARMA</x:v>
      </x:c>
      <x:c r="J92" t="str">
        <x:v>BJP</x:v>
      </x:c>
      <x:c r="K92" t="str">
        <x:v>EVM row</x:v>
      </x:c>
      <x:c r="L92" s="133" t="str">
        <x:f>IF(D92&lt;=0,"No EVM votes",IF(E92&lt;$N$7,"Low",IF(E92&gt;$R$7,"High","Middle")))</x:f>
        <x:v>Middle</x:v>
      </x:c>
      <x:c r="M92" s="133" t="str">
        <x:f>IF(D92&lt;=0,"No EVM votes",IF(H92&lt;-20%,"Large deficit",IF(H92&lt;-5%,"Moderate deficit",IF(H92&lt;0,"Narrow deficit",IF(H92&lt;=5%,"Narrow lead/tie",IF(H92&lt;=20%,"Moderate lead","Large lead"))))))</x:f>
        <x:v>Moderate deficit</x:v>
      </x:c>
    </x:row>
    <x:row r="93">
      <x:c r="A93" t="n">
        <x:v>34</x:v>
      </x:c>
      <x:c r="B93" t="str">
        <x:v>PRY. SCHOOL LADPURA R.NO. 2</x:v>
      </x:c>
      <x:c r="C93" s="83" t="n">
        <x:f>'2019 Form20'!H42</x:f>
        <x:v>443</x:v>
      </x:c>
      <x:c r="D93" s="83" t="n">
        <x:f>'2019 Form20'!D42</x:f>
        <x:v>735</x:v>
      </x:c>
      <x:c r="E93" s="50" t="n">
        <x:f>'2019 Form20'!U42</x:f>
        <x:v>0.6027210884353742</x:v>
      </x:c>
      <x:c r="F93" t="n">
        <x:f>'2019 Form20'!V42</x:f>
        <x:v>278</x:v>
      </x:c>
      <x:c r="G93" t="n">
        <x:f>'2019 Form20'!W42</x:f>
        <x:v>165</x:v>
      </x:c>
      <x:c r="H93" s="52" t="n">
        <x:f>'2019 Form20'!X42</x:f>
        <x:v>0.22448979591836735</x:v>
      </x:c>
      <x:c r="I93" t="str">
        <x:v>SATVEER</x:v>
      </x:c>
      <x:c r="J93" t="str">
        <x:v>BSP</x:v>
      </x:c>
      <x:c r="K93" t="str">
        <x:v>EVM row</x:v>
      </x:c>
      <x:c r="L93" s="133" t="str">
        <x:f>IF(D93&lt;=0,"No EVM votes",IF(E93&lt;$N$7,"Low",IF(E93&gt;$R$7,"High","Middle")))</x:f>
        <x:v>Middle</x:v>
      </x:c>
      <x:c r="M93" s="133" t="str">
        <x:f>IF(D93&lt;=0,"No EVM votes",IF(H93&lt;-20%,"Large deficit",IF(H93&lt;-5%,"Moderate deficit",IF(H93&lt;0,"Narrow deficit",IF(H93&lt;=5%,"Narrow lead/tie",IF(H93&lt;=20%,"Moderate lead","Large lead"))))))</x:f>
        <x:v>Large lead</x:v>
      </x:c>
    </x:row>
    <x:row r="94">
      <x:c r="A94" t="n">
        <x:v>35</x:v>
      </x:c>
      <x:c r="B94" t="str">
        <x:v>PRY. SCHOOL LADPURA R.NO. 3</x:v>
      </x:c>
      <x:c r="C94" s="83" t="n">
        <x:f>'2019 Form20'!H43</x:f>
        <x:v>386</x:v>
      </x:c>
      <x:c r="D94" s="83" t="n">
        <x:f>'2019 Form20'!D43</x:f>
        <x:v>628</x:v>
      </x:c>
      <x:c r="E94" s="50" t="n">
        <x:f>'2019 Form20'!U43</x:f>
        <x:v>0.6146496815286624</x:v>
      </x:c>
      <x:c r="F94" t="n">
        <x:f>'2019 Form20'!V43</x:f>
        <x:v>227</x:v>
      </x:c>
      <x:c r="G94" t="n">
        <x:f>'2019 Form20'!W43</x:f>
        <x:v>159</x:v>
      </x:c>
      <x:c r="H94" s="52" t="n">
        <x:f>'2019 Form20'!X43</x:f>
        <x:v>0.2531847133757962</x:v>
      </x:c>
      <x:c r="I94" t="str">
        <x:v>SATVEER</x:v>
      </x:c>
      <x:c r="J94" t="str">
        <x:v>BSP</x:v>
      </x:c>
      <x:c r="K94" t="str">
        <x:v>EVM row</x:v>
      </x:c>
      <x:c r="L94" s="133" t="str">
        <x:f>IF(D94&lt;=0,"No EVM votes",IF(E94&lt;$N$7,"Low",IF(E94&gt;$R$7,"High","Middle")))</x:f>
        <x:v>Middle</x:v>
      </x:c>
      <x:c r="M94" s="133" t="str">
        <x:f>IF(D94&lt;=0,"No EVM votes",IF(H94&lt;-20%,"Large deficit",IF(H94&lt;-5%,"Moderate deficit",IF(H94&lt;0,"Narrow deficit",IF(H94&lt;=5%,"Narrow lead/tie",IF(H94&lt;=20%,"Moderate lead","Large lead"))))))</x:f>
        <x:v>Large lead</x:v>
      </x:c>
    </x:row>
    <x:row r="95">
      <x:c r="A95" t="n">
        <x:v>36</x:v>
      </x:c>
      <x:c r="B95" t="str">
        <x:v>PRY. SCHOOL GHAGHAULA R.NO. 1</x:v>
      </x:c>
      <x:c r="C95" s="83" t="n">
        <x:f>'2019 Form20'!H44</x:f>
        <x:v>183</x:v>
      </x:c>
      <x:c r="D95" s="83" t="n">
        <x:f>'2019 Form20'!D44</x:f>
        <x:v>476</x:v>
      </x:c>
      <x:c r="E95" s="50" t="n">
        <x:f>'2019 Form20'!U44</x:f>
        <x:v>0.38445378151260506</x:v>
      </x:c>
      <x:c r="F95" t="n">
        <x:f>'2019 Form20'!V44</x:f>
        <x:v>265</x:v>
      </x:c>
      <x:c r="G95" t="n">
        <x:f>'2019 Form20'!W44</x:f>
        <x:v>-82</x:v>
      </x:c>
      <x:c r="H95" s="52" t="n">
        <x:f>'2019 Form20'!X44</x:f>
        <x:v>-0.1722689075630252</x:v>
      </x:c>
      <x:c r="I95" t="str">
        <x:v>DR. MAHESH SHARMA</x:v>
      </x:c>
      <x:c r="J95" t="str">
        <x:v>BJP</x:v>
      </x:c>
      <x:c r="K95" t="str">
        <x:v>EVM row</x:v>
      </x:c>
      <x:c r="L95" s="133" t="str">
        <x:f>IF(D95&lt;=0,"No EVM votes",IF(E95&lt;$N$7,"Low",IF(E95&gt;$R$7,"High","Middle")))</x:f>
        <x:v>Middle</x:v>
      </x:c>
      <x:c r="M95" s="133" t="str">
        <x:f>IF(D95&lt;=0,"No EVM votes",IF(H95&lt;-20%,"Large deficit",IF(H95&lt;-5%,"Moderate deficit",IF(H95&lt;0,"Narrow deficit",IF(H95&lt;=5%,"Narrow lead/tie",IF(H95&lt;=20%,"Moderate lead","Large lead"))))))</x:f>
        <x:v>Moderate deficit</x:v>
      </x:c>
    </x:row>
    <x:row r="96">
      <x:c r="A96" t="n">
        <x:v>37</x:v>
      </x:c>
      <x:c r="B96" t="str">
        <x:v>PRY. SCHOOL GHAGHAULA R.NO. 2</x:v>
      </x:c>
      <x:c r="C96" s="83" t="n">
        <x:f>'2019 Form20'!H45</x:f>
        <x:v>207</x:v>
      </x:c>
      <x:c r="D96" s="83" t="n">
        <x:f>'2019 Form20'!D45</x:f>
        <x:v>508</x:v>
      </x:c>
      <x:c r="E96" s="50" t="n">
        <x:f>'2019 Form20'!U45</x:f>
        <x:v>0.4074803149606299</x:v>
      </x:c>
      <x:c r="F96" t="n">
        <x:f>'2019 Form20'!V45</x:f>
        <x:v>277</x:v>
      </x:c>
      <x:c r="G96" t="n">
        <x:f>'2019 Form20'!W45</x:f>
        <x:v>-70</x:v>
      </x:c>
      <x:c r="H96" s="52" t="n">
        <x:f>'2019 Form20'!X45</x:f>
        <x:v>-0.1377952755905512</x:v>
      </x:c>
      <x:c r="I96" t="str">
        <x:v>DR. MAHESH SHARMA</x:v>
      </x:c>
      <x:c r="J96" t="str">
        <x:v>BJP</x:v>
      </x:c>
      <x:c r="K96" t="str">
        <x:v>EVM row</x:v>
      </x:c>
      <x:c r="L96" s="133" t="str">
        <x:f>IF(D96&lt;=0,"No EVM votes",IF(E96&lt;$N$7,"Low",IF(E96&gt;$R$7,"High","Middle")))</x:f>
        <x:v>Middle</x:v>
      </x:c>
      <x:c r="M96" s="133" t="str">
        <x:f>IF(D96&lt;=0,"No EVM votes",IF(H96&lt;-20%,"Large deficit",IF(H96&lt;-5%,"Moderate deficit",IF(H96&lt;0,"Narrow deficit",IF(H96&lt;=5%,"Narrow lead/tie",IF(H96&lt;=20%,"Moderate lead","Large lead"))))))</x:f>
        <x:v>Moderate deficit</x:v>
      </x:c>
    </x:row>
    <x:row r="97">
      <x:c r="A97" t="n">
        <x:v>38</x:v>
      </x:c>
      <x:c r="B97" t="str">
        <x:v>PRY. SCHOOL GHAGHAULA R.NO. 3</x:v>
      </x:c>
      <x:c r="C97" s="83" t="n">
        <x:f>'2019 Form20'!H46</x:f>
        <x:v>282</x:v>
      </x:c>
      <x:c r="D97" s="83" t="n">
        <x:f>'2019 Form20'!D46</x:f>
        <x:v>505</x:v>
      </x:c>
      <x:c r="E97" s="50" t="n">
        <x:f>'2019 Form20'!U46</x:f>
        <x:v>0.5584158415841585</x:v>
      </x:c>
      <x:c r="F97" t="n">
        <x:f>'2019 Form20'!V46</x:f>
        <x:v>215</x:v>
      </x:c>
      <x:c r="G97" t="n">
        <x:f>'2019 Form20'!W46</x:f>
        <x:v>67</x:v>
      </x:c>
      <x:c r="H97" s="52" t="n">
        <x:f>'2019 Form20'!X46</x:f>
        <x:v>0.13267326732673268</x:v>
      </x:c>
      <x:c r="I97" t="str">
        <x:v>SATVEER</x:v>
      </x:c>
      <x:c r="J97" t="str">
        <x:v>BSP</x:v>
      </x:c>
      <x:c r="K97" t="str">
        <x:v>EVM row</x:v>
      </x:c>
      <x:c r="L97" s="133" t="str">
        <x:f>IF(D97&lt;=0,"No EVM votes",IF(E97&lt;$N$7,"Low",IF(E97&gt;$R$7,"High","Middle")))</x:f>
        <x:v>Middle</x:v>
      </x:c>
      <x:c r="M97" s="133" t="str">
        <x:f>IF(D97&lt;=0,"No EVM votes",IF(H97&lt;-20%,"Large deficit",IF(H97&lt;-5%,"Moderate deficit",IF(H97&lt;0,"Narrow deficit",IF(H97&lt;=5%,"Narrow lead/tie",IF(H97&lt;=20%,"Moderate lead","Large lead"))))))</x:f>
        <x:v>Moderate lead</x:v>
      </x:c>
    </x:row>
    <x:row r="98">
      <x:c r="A98" t="n">
        <x:v>39</x:v>
      </x:c>
      <x:c r="B98" t="str">
        <x:v>PRY. SCHOOL CHEERSI R.NO.1</x:v>
      </x:c>
      <x:c r="C98" s="83" t="n">
        <x:f>'2019 Form20'!H47</x:f>
        <x:v>311</x:v>
      </x:c>
      <x:c r="D98" s="83" t="n">
        <x:f>'2019 Form20'!D47</x:f>
        <x:v>804</x:v>
      </x:c>
      <x:c r="E98" s="50" t="n">
        <x:f>'2019 Form20'!U47</x:f>
        <x:v>0.38681592039800994</x:v>
      </x:c>
      <x:c r="F98" t="n">
        <x:f>'2019 Form20'!V47</x:f>
        <x:v>454</x:v>
      </x:c>
      <x:c r="G98" t="n">
        <x:f>'2019 Form20'!W47</x:f>
        <x:v>-143</x:v>
      </x:c>
      <x:c r="H98" s="52" t="n">
        <x:f>'2019 Form20'!X47</x:f>
        <x:v>-0.17786069651741293</x:v>
      </x:c>
      <x:c r="I98" t="str">
        <x:v>DR. MAHESH SHARMA</x:v>
      </x:c>
      <x:c r="J98" t="str">
        <x:v>BJP</x:v>
      </x:c>
      <x:c r="K98" t="str">
        <x:v>EVM row</x:v>
      </x:c>
      <x:c r="L98" s="133" t="str">
        <x:f>IF(D98&lt;=0,"No EVM votes",IF(E98&lt;$N$7,"Low",IF(E98&gt;$R$7,"High","Middle")))</x:f>
        <x:v>Middle</x:v>
      </x:c>
      <x:c r="M98" s="133" t="str">
        <x:f>IF(D98&lt;=0,"No EVM votes",IF(H98&lt;-20%,"Large deficit",IF(H98&lt;-5%,"Moderate deficit",IF(H98&lt;0,"Narrow deficit",IF(H98&lt;=5%,"Narrow lead/tie",IF(H98&lt;=20%,"Moderate lead","Large lead"))))))</x:f>
        <x:v>Moderate deficit</x:v>
      </x:c>
    </x:row>
    <x:row r="99">
      <x:c r="A99" t="n">
        <x:v>40</x:v>
      </x:c>
      <x:c r="B99" t="str">
        <x:v>PRY. SCHOOL FAZAYALPUR R.NO.1</x:v>
      </x:c>
      <x:c r="C99" s="83" t="n">
        <x:f>'2019 Form20'!H48</x:f>
        <x:v>297</x:v>
      </x:c>
      <x:c r="D99" s="83" t="n">
        <x:f>'2019 Form20'!D48</x:f>
        <x:v>549</x:v>
      </x:c>
      <x:c r="E99" s="50" t="n">
        <x:f>'2019 Form20'!U48</x:f>
        <x:v>0.5409836065573771</x:v>
      </x:c>
      <x:c r="F99" t="n">
        <x:f>'2019 Form20'!V48</x:f>
        <x:v>188</x:v>
      </x:c>
      <x:c r="G99" t="n">
        <x:f>'2019 Form20'!W48</x:f>
        <x:v>109</x:v>
      </x:c>
      <x:c r="H99" s="52" t="n">
        <x:f>'2019 Form20'!X48</x:f>
        <x:v>0.19854280510018216</x:v>
      </x:c>
      <x:c r="I99" t="str">
        <x:v>SATVEER</x:v>
      </x:c>
      <x:c r="J99" t="str">
        <x:v>BSP</x:v>
      </x:c>
      <x:c r="K99" t="str">
        <x:v>EVM row</x:v>
      </x:c>
      <x:c r="L99" s="133" t="str">
        <x:f>IF(D99&lt;=0,"No EVM votes",IF(E99&lt;$N$7,"Low",IF(E99&gt;$R$7,"High","Middle")))</x:f>
        <x:v>Middle</x:v>
      </x:c>
      <x:c r="M99" s="133" t="str">
        <x:f>IF(D99&lt;=0,"No EVM votes",IF(H99&lt;-20%,"Large deficit",IF(H99&lt;-5%,"Moderate deficit",IF(H99&lt;0,"Narrow deficit",IF(H99&lt;=5%,"Narrow lead/tie",IF(H99&lt;=20%,"Moderate lead","Large lead"))))))</x:f>
        <x:v>Moderate lead</x:v>
      </x:c>
    </x:row>
    <x:row r="100">
      <x:c r="A100" t="n">
        <x:v>41</x:v>
      </x:c>
      <x:c r="B100" t="str">
        <x:v>PRY. SCHOOL FAZAYALPUR R.NO.2</x:v>
      </x:c>
      <x:c r="C100" s="83" t="n">
        <x:f>'2019 Form20'!H49</x:f>
        <x:v>299</x:v>
      </x:c>
      <x:c r="D100" s="83" t="n">
        <x:f>'2019 Form20'!D49</x:f>
        <x:v>560</x:v>
      </x:c>
      <x:c r="E100" s="50" t="n">
        <x:f>'2019 Form20'!U49</x:f>
        <x:v>0.5339285714285714</x:v>
      </x:c>
      <x:c r="F100" t="n">
        <x:f>'2019 Form20'!V49</x:f>
        <x:v>207</x:v>
      </x:c>
      <x:c r="G100" t="n">
        <x:f>'2019 Form20'!W49</x:f>
        <x:v>92</x:v>
      </x:c>
      <x:c r="H100" s="52" t="n">
        <x:f>'2019 Form20'!X49</x:f>
        <x:v>0.16428571428571428</x:v>
      </x:c>
      <x:c r="I100" t="str">
        <x:v>SATVEER</x:v>
      </x:c>
      <x:c r="J100" t="str">
        <x:v>BSP</x:v>
      </x:c>
      <x:c r="K100" t="str">
        <x:v>EVM row</x:v>
      </x:c>
      <x:c r="L100" s="133" t="str">
        <x:f>IF(D100&lt;=0,"No EVM votes",IF(E100&lt;$N$7,"Low",IF(E100&gt;$R$7,"High","Middle")))</x:f>
        <x:v>Middle</x:v>
      </x:c>
      <x:c r="M100" s="133" t="str">
        <x:f>IF(D100&lt;=0,"No EVM votes",IF(H100&lt;-20%,"Large deficit",IF(H100&lt;-5%,"Moderate deficit",IF(H100&lt;0,"Narrow deficit",IF(H100&lt;=5%,"Narrow lead/tie",IF(H100&lt;=20%,"Moderate lead","Large lead"))))))</x:f>
        <x:v>Moderate lead</x:v>
      </x:c>
    </x:row>
    <x:row r="101">
      <x:c r="A101" t="n">
        <x:v>42</x:v>
      </x:c>
      <x:c r="B101" t="str">
        <x:v>PRY. SCHOOL DOLARAZPURA R.NO.1</x:v>
      </x:c>
      <x:c r="C101" s="83" t="n">
        <x:f>'2019 Form20'!H50</x:f>
        <x:v>695</x:v>
      </x:c>
      <x:c r="D101" s="83" t="n">
        <x:f>'2019 Form20'!D50</x:f>
        <x:v>794</x:v>
      </x:c>
      <x:c r="E101" s="50" t="n">
        <x:f>'2019 Form20'!U50</x:f>
        <x:v>0.8753148614609572</x:v>
      </x:c>
      <x:c r="F101" t="n">
        <x:f>'2019 Form20'!V50</x:f>
        <x:v>47</x:v>
      </x:c>
      <x:c r="G101" t="n">
        <x:f>'2019 Form20'!W50</x:f>
        <x:v>648</x:v>
      </x:c>
      <x:c r="H101" s="52" t="n">
        <x:f>'2019 Form20'!X50</x:f>
        <x:v>0.8161209068010076</x:v>
      </x:c>
      <x:c r="I101" t="str">
        <x:v>SATVEER</x:v>
      </x:c>
      <x:c r="J101" t="str">
        <x:v>BSP</x:v>
      </x:c>
      <x:c r="K101" t="str">
        <x:v>EVM row</x:v>
      </x:c>
      <x:c r="L101" s="133" t="str">
        <x:f>IF(D101&lt;=0,"No EVM votes",IF(E101&lt;$N$7,"Low",IF(E101&gt;$R$7,"High","Middle")))</x:f>
        <x:v>High</x:v>
      </x:c>
      <x:c r="M101" s="133" t="str">
        <x:f>IF(D101&lt;=0,"No EVM votes",IF(H101&lt;-20%,"Large deficit",IF(H101&lt;-5%,"Moderate deficit",IF(H101&lt;0,"Narrow deficit",IF(H101&lt;=5%,"Narrow lead/tie",IF(H101&lt;=20%,"Moderate lead","Large lead"))))))</x:f>
        <x:v>Large lead</x:v>
      </x:c>
    </x:row>
    <x:row r="102">
      <x:c r="A102" t="n">
        <x:v>43</x:v>
      </x:c>
      <x:c r="B102" t="str">
        <x:v>PRY. SCHOOL DOLARAZPURA R.NO.2</x:v>
      </x:c>
      <x:c r="C102" s="83" t="n">
        <x:f>'2019 Form20'!H51</x:f>
        <x:v>654</x:v>
      </x:c>
      <x:c r="D102" s="83" t="n">
        <x:f>'2019 Form20'!D51</x:f>
        <x:v>691</x:v>
      </x:c>
      <x:c r="E102" s="50" t="n">
        <x:f>'2019 Form20'!U51</x:f>
        <x:v>0.9464544138929089</x:v>
      </x:c>
      <x:c r="F102" t="n">
        <x:f>'2019 Form20'!V51</x:f>
        <x:v>19</x:v>
      </x:c>
      <x:c r="G102" t="n">
        <x:f>'2019 Form20'!W51</x:f>
        <x:v>635</x:v>
      </x:c>
      <x:c r="H102" s="52" t="n">
        <x:f>'2019 Form20'!X51</x:f>
        <x:v>0.918958031837916</x:v>
      </x:c>
      <x:c r="I102" t="str">
        <x:v>SATVEER</x:v>
      </x:c>
      <x:c r="J102" t="str">
        <x:v>BSP</x:v>
      </x:c>
      <x:c r="K102" t="str">
        <x:v>EVM row</x:v>
      </x:c>
      <x:c r="L102" s="133" t="str">
        <x:f>IF(D102&lt;=0,"No EVM votes",IF(E102&lt;$N$7,"Low",IF(E102&gt;$R$7,"High","Middle")))</x:f>
        <x:v>High</x:v>
      </x:c>
      <x:c r="M102" s="133" t="str">
        <x:f>IF(D102&lt;=0,"No EVM votes",IF(H102&lt;-20%,"Large deficit",IF(H102&lt;-5%,"Moderate deficit",IF(H102&lt;0,"Narrow deficit",IF(H102&lt;=5%,"Narrow lead/tie",IF(H102&lt;=20%,"Moderate lead","Large lead"))))))</x:f>
        <x:v>Large lead</x:v>
      </x:c>
    </x:row>
    <x:row r="103">
      <x:c r="A103" t="n">
        <x:v>44</x:v>
      </x:c>
      <x:c r="B103" t="str">
        <x:v>PRY. SCHOOL SALEHPUR R.NO.1</x:v>
      </x:c>
      <x:c r="C103" s="83" t="n">
        <x:f>'2019 Form20'!H52</x:f>
        <x:v>77</x:v>
      </x:c>
      <x:c r="D103" s="83" t="n">
        <x:f>'2019 Form20'!D52</x:f>
        <x:v>679</x:v>
      </x:c>
      <x:c r="E103" s="50" t="n">
        <x:f>'2019 Form20'!U52</x:f>
        <x:v>0.1134020618556701</x:v>
      </x:c>
      <x:c r="F103" t="n">
        <x:f>'2019 Form20'!V52</x:f>
        <x:v>588</x:v>
      </x:c>
      <x:c r="G103" t="n">
        <x:f>'2019 Form20'!W52</x:f>
        <x:v>-511</x:v>
      </x:c>
      <x:c r="H103" s="52" t="n">
        <x:f>'2019 Form20'!X52</x:f>
        <x:v>-0.7525773195876289</x:v>
      </x:c>
      <x:c r="I103" t="str">
        <x:v>DR. MAHESH SHARMA</x:v>
      </x:c>
      <x:c r="J103" t="str">
        <x:v>BJP</x:v>
      </x:c>
      <x:c r="K103" t="str">
        <x:v>EVM row</x:v>
      </x:c>
      <x:c r="L103" s="133" t="str">
        <x:f>IF(D103&lt;=0,"No EVM votes",IF(E103&lt;$N$7,"Low",IF(E103&gt;$R$7,"High","Middle")))</x:f>
        <x:v>Low</x:v>
      </x:c>
      <x:c r="M103" s="133" t="str">
        <x:f>IF(D103&lt;=0,"No EVM votes",IF(H103&lt;-20%,"Large deficit",IF(H103&lt;-5%,"Moderate deficit",IF(H103&lt;0,"Narrow deficit",IF(H103&lt;=5%,"Narrow lead/tie",IF(H103&lt;=20%,"Moderate lead","Large lead"))))))</x:f>
        <x:v>Large deficit</x:v>
      </x:c>
    </x:row>
    <x:row r="104">
      <x:c r="A104" t="n">
        <x:v>45</x:v>
      </x:c>
      <x:c r="B104" t="str">
        <x:v>PRY. SCHOOL MANDPA R.NO.1</x:v>
      </x:c>
      <x:c r="C104" s="83" t="n">
        <x:f>'2019 Form20'!H53</x:f>
        <x:v>703</x:v>
      </x:c>
      <x:c r="D104" s="83" t="n">
        <x:f>'2019 Form20'!D53</x:f>
        <x:v>734</x:v>
      </x:c>
      <x:c r="E104" s="50" t="n">
        <x:f>'2019 Form20'!U53</x:f>
        <x:v>0.9577656675749319</x:v>
      </x:c>
      <x:c r="F104" t="n">
        <x:f>'2019 Form20'!V53</x:f>
        <x:v>12</x:v>
      </x:c>
      <x:c r="G104" t="n">
        <x:f>'2019 Form20'!W53</x:f>
        <x:v>691</x:v>
      </x:c>
      <x:c r="H104" s="52" t="n">
        <x:f>'2019 Form20'!X53</x:f>
        <x:v>0.94141689373297</x:v>
      </x:c>
      <x:c r="I104" t="str">
        <x:v>SATVEER</x:v>
      </x:c>
      <x:c r="J104" t="str">
        <x:v>BSP</x:v>
      </x:c>
      <x:c r="K104" t="str">
        <x:v>EVM row</x:v>
      </x:c>
      <x:c r="L104" s="133" t="str">
        <x:f>IF(D104&lt;=0,"No EVM votes",IF(E104&lt;$N$7,"Low",IF(E104&gt;$R$7,"High","Middle")))</x:f>
        <x:v>High</x:v>
      </x:c>
      <x:c r="M104" s="133" t="str">
        <x:f>IF(D104&lt;=0,"No EVM votes",IF(H104&lt;-20%,"Large deficit",IF(H104&lt;-5%,"Moderate deficit",IF(H104&lt;0,"Narrow deficit",IF(H104&lt;=5%,"Narrow lead/tie",IF(H104&lt;=20%,"Moderate lead","Large lead"))))))</x:f>
        <x:v>Large lead</x:v>
      </x:c>
    </x:row>
    <x:row r="105">
      <x:c r="A105" t="n">
        <x:v>46</x:v>
      </x:c>
      <x:c r="B105" t="str">
        <x:v>PRY. SCHOOL MANDPA R.NO.2</x:v>
      </x:c>
      <x:c r="C105" s="83" t="n">
        <x:f>'2019 Form20'!H54</x:f>
        <x:v>727</x:v>
      </x:c>
      <x:c r="D105" s="83" t="n">
        <x:f>'2019 Form20'!D54</x:f>
        <x:v>759</x:v>
      </x:c>
      <x:c r="E105" s="50" t="n">
        <x:f>'2019 Form20'!U54</x:f>
        <x:v>0.9578392621870883</x:v>
      </x:c>
      <x:c r="F105" t="n">
        <x:f>'2019 Form20'!V54</x:f>
        <x:v>10</x:v>
      </x:c>
      <x:c r="G105" t="n">
        <x:f>'2019 Form20'!W54</x:f>
        <x:v>717</x:v>
      </x:c>
      <x:c r="H105" s="52" t="n">
        <x:f>'2019 Form20'!X54</x:f>
        <x:v>0.9446640316205533</x:v>
      </x:c>
      <x:c r="I105" t="str">
        <x:v>SATVEER</x:v>
      </x:c>
      <x:c r="J105" t="str">
        <x:v>BSP</x:v>
      </x:c>
      <x:c r="K105" t="str">
        <x:v>EVM row</x:v>
      </x:c>
      <x:c r="L105" s="133" t="str">
        <x:f>IF(D105&lt;=0,"No EVM votes",IF(E105&lt;$N$7,"Low",IF(E105&gt;$R$7,"High","Middle")))</x:f>
        <x:v>High</x:v>
      </x:c>
      <x:c r="M105" s="133" t="str">
        <x:f>IF(D105&lt;=0,"No EVM votes",IF(H105&lt;-20%,"Large deficit",IF(H105&lt;-5%,"Moderate deficit",IF(H105&lt;0,"Narrow deficit",IF(H105&lt;=5%,"Narrow lead/tie",IF(H105&lt;=20%,"Moderate lead","Large lead"))))))</x:f>
        <x:v>Large lead</x:v>
      </x:c>
    </x:row>
    <x:row r="106">
      <x:c r="A106" t="n">
        <x:v>47</x:v>
      </x:c>
      <x:c r="B106" t="str">
        <x:v>PRY. SCHOOL NO. 2 ZAMALPUR NO 2 R.NO.-1</x:v>
      </x:c>
      <x:c r="C106" s="83" t="n">
        <x:f>'2019 Form20'!H55</x:f>
        <x:v>327</x:v>
      </x:c>
      <x:c r="D106" s="83" t="n">
        <x:f>'2019 Form20'!D55</x:f>
        <x:v>508</x:v>
      </x:c>
      <x:c r="E106" s="50" t="n">
        <x:f>'2019 Form20'!U55</x:f>
        <x:v>0.6437007874015748</x:v>
      </x:c>
      <x:c r="F106" t="n">
        <x:f>'2019 Form20'!V55</x:f>
        <x:v>162</x:v>
      </x:c>
      <x:c r="G106" t="n">
        <x:f>'2019 Form20'!W55</x:f>
        <x:v>165</x:v>
      </x:c>
      <x:c r="H106" s="52" t="n">
        <x:f>'2019 Form20'!X55</x:f>
        <x:v>0.3248031496062992</x:v>
      </x:c>
      <x:c r="I106" t="str">
        <x:v>SATVEER</x:v>
      </x:c>
      <x:c r="J106" t="str">
        <x:v>BSP</x:v>
      </x:c>
      <x:c r="K106" t="str">
        <x:v>EVM row</x:v>
      </x:c>
      <x:c r="L106" s="133" t="str">
        <x:f>IF(D106&lt;=0,"No EVM votes",IF(E106&lt;$N$7,"Low",IF(E106&gt;$R$7,"High","Middle")))</x:f>
        <x:v>Middle</x:v>
      </x:c>
      <x:c r="M106" s="133" t="str">
        <x:f>IF(D106&lt;=0,"No EVM votes",IF(H106&lt;-20%,"Large deficit",IF(H106&lt;-5%,"Moderate deficit",IF(H106&lt;0,"Narrow deficit",IF(H106&lt;=5%,"Narrow lead/tie",IF(H106&lt;=20%,"Moderate lead","Large lead"))))))</x:f>
        <x:v>Large lead</x:v>
      </x:c>
    </x:row>
    <x:row r="107">
      <x:c r="A107" t="n">
        <x:v>48</x:v>
      </x:c>
      <x:c r="B107" t="str">
        <x:v>PRY. SCHOOL NO. 2 ZAMALPUR NO 2 R.NO.-2</x:v>
      </x:c>
      <x:c r="C107" s="83" t="n">
        <x:f>'2019 Form20'!H56</x:f>
        <x:v>341</x:v>
      </x:c>
      <x:c r="D107" s="83" t="n">
        <x:f>'2019 Form20'!D56</x:f>
        <x:v>484</x:v>
      </x:c>
      <x:c r="E107" s="50" t="n">
        <x:f>'2019 Form20'!U56</x:f>
        <x:v>0.7045454545454546</x:v>
      </x:c>
      <x:c r="F107" t="n">
        <x:f>'2019 Form20'!V56</x:f>
        <x:v>124</x:v>
      </x:c>
      <x:c r="G107" t="n">
        <x:f>'2019 Form20'!W56</x:f>
        <x:v>217</x:v>
      </x:c>
      <x:c r="H107" s="52" t="n">
        <x:f>'2019 Form20'!X56</x:f>
        <x:v>0.44834710743801653</x:v>
      </x:c>
      <x:c r="I107" t="str">
        <x:v>SATVEER</x:v>
      </x:c>
      <x:c r="J107" t="str">
        <x:v>BSP</x:v>
      </x:c>
      <x:c r="K107" t="str">
        <x:v>EVM row</x:v>
      </x:c>
      <x:c r="L107" s="133" t="str">
        <x:f>IF(D107&lt;=0,"No EVM votes",IF(E107&lt;$N$7,"Low",IF(E107&gt;$R$7,"High","Middle")))</x:f>
        <x:v>High</x:v>
      </x:c>
      <x:c r="M107" s="133" t="str">
        <x:f>IF(D107&lt;=0,"No EVM votes",IF(H107&lt;-20%,"Large deficit",IF(H107&lt;-5%,"Moderate deficit",IF(H107&lt;0,"Narrow deficit",IF(H107&lt;=5%,"Narrow lead/tie",IF(H107&lt;=20%,"Moderate lead","Large lead"))))))</x:f>
        <x:v>Large lead</x:v>
      </x:c>
    </x:row>
    <x:row r="108">
      <x:c r="A108" t="n">
        <x:v>49</x:v>
      </x:c>
      <x:c r="B108" t="str">
        <x:v>J. H. SCHOOL RAJPUR KALAN R.NO. 1</x:v>
      </x:c>
      <x:c r="C108" s="83" t="n">
        <x:f>'2019 Form20'!H57</x:f>
        <x:v>374</x:v>
      </x:c>
      <x:c r="D108" s="83" t="n">
        <x:f>'2019 Form20'!D57</x:f>
        <x:v>721</x:v>
      </x:c>
      <x:c r="E108" s="50" t="n">
        <x:f>'2019 Form20'!U57</x:f>
        <x:v>0.5187239944521498</x:v>
      </x:c>
      <x:c r="F108" t="n">
        <x:f>'2019 Form20'!V57</x:f>
        <x:v>330</x:v>
      </x:c>
      <x:c r="G108" t="n">
        <x:f>'2019 Form20'!W57</x:f>
        <x:v>44</x:v>
      </x:c>
      <x:c r="H108" s="52" t="n">
        <x:f>'2019 Form20'!X57</x:f>
        <x:v>0.06102635228848821</x:v>
      </x:c>
      <x:c r="I108" t="str">
        <x:v>SATVEER</x:v>
      </x:c>
      <x:c r="J108" t="str">
        <x:v>BSP</x:v>
      </x:c>
      <x:c r="K108" t="str">
        <x:v>EVM row</x:v>
      </x:c>
      <x:c r="L108" s="133" t="str">
        <x:f>IF(D108&lt;=0,"No EVM votes",IF(E108&lt;$N$7,"Low",IF(E108&gt;$R$7,"High","Middle")))</x:f>
        <x:v>Middle</x:v>
      </x:c>
      <x:c r="M108" s="133" t="str">
        <x:f>IF(D108&lt;=0,"No EVM votes",IF(H108&lt;-20%,"Large deficit",IF(H108&lt;-5%,"Moderate deficit",IF(H108&lt;0,"Narrow deficit",IF(H108&lt;=5%,"Narrow lead/tie",IF(H108&lt;=20%,"Moderate lead","Large lead"))))))</x:f>
        <x:v>Moderate lead</x:v>
      </x:c>
    </x:row>
    <x:row r="109">
      <x:c r="A109" t="n">
        <x:v>50</x:v>
      </x:c>
      <x:c r="B109" t="str">
        <x:v>PRY. SCHOOL CHEETI R.NO.-1</x:v>
      </x:c>
      <x:c r="C109" s="83" t="n">
        <x:f>'2019 Form20'!H58</x:f>
        <x:v>325</x:v>
      </x:c>
      <x:c r="D109" s="83" t="n">
        <x:f>'2019 Form20'!D58</x:f>
        <x:v>637</x:v>
      </x:c>
      <x:c r="E109" s="50" t="n">
        <x:f>'2019 Form20'!U58</x:f>
        <x:v>0.5102040816326531</x:v>
      </x:c>
      <x:c r="F109" t="n">
        <x:f>'2019 Form20'!V58</x:f>
        <x:v>285</x:v>
      </x:c>
      <x:c r="G109" t="n">
        <x:f>'2019 Form20'!W58</x:f>
        <x:v>40</x:v>
      </x:c>
      <x:c r="H109" s="52" t="n">
        <x:f>'2019 Form20'!X58</x:f>
        <x:v>0.06279434850863422</x:v>
      </x:c>
      <x:c r="I109" t="str">
        <x:v>SATVEER</x:v>
      </x:c>
      <x:c r="J109" t="str">
        <x:v>BSP</x:v>
      </x:c>
      <x:c r="K109" t="str">
        <x:v>EVM row</x:v>
      </x:c>
      <x:c r="L109" s="133" t="str">
        <x:f>IF(D109&lt;=0,"No EVM votes",IF(E109&lt;$N$7,"Low",IF(E109&gt;$R$7,"High","Middle")))</x:f>
        <x:v>Middle</x:v>
      </x:c>
      <x:c r="M109" s="133" t="str">
        <x:f>IF(D109&lt;=0,"No EVM votes",IF(H109&lt;-20%,"Large deficit",IF(H109&lt;-5%,"Moderate deficit",IF(H109&lt;0,"Narrow deficit",IF(H109&lt;=5%,"Narrow lead/tie",IF(H109&lt;=20%,"Moderate lead","Large lead"))))))</x:f>
        <x:v>Moderate lead</x:v>
      </x:c>
    </x:row>
    <x:row r="110">
      <x:c r="A110" t="n">
        <x:v>51</x:v>
      </x:c>
      <x:c r="B110" t="str">
        <x:v>PRY. SCHOOL CHEETI R.NO.-2</x:v>
      </x:c>
      <x:c r="C110" s="83" t="n">
        <x:f>'2019 Form20'!H59</x:f>
        <x:v>119</x:v>
      </x:c>
      <x:c r="D110" s="83" t="n">
        <x:f>'2019 Form20'!D59</x:f>
        <x:v>463</x:v>
      </x:c>
      <x:c r="E110" s="50" t="n">
        <x:f>'2019 Form20'!U59</x:f>
        <x:v>0.2570194384449244</x:v>
      </x:c>
      <x:c r="F110" t="n">
        <x:f>'2019 Form20'!V59</x:f>
        <x:v>318</x:v>
      </x:c>
      <x:c r="G110" t="n">
        <x:f>'2019 Form20'!W59</x:f>
        <x:v>-199</x:v>
      </x:c>
      <x:c r="H110" s="52" t="n">
        <x:f>'2019 Form20'!X59</x:f>
        <x:v>-0.4298056155507559</x:v>
      </x:c>
      <x:c r="I110" t="str">
        <x:v>DR. MAHESH SHARMA</x:v>
      </x:c>
      <x:c r="J110" t="str">
        <x:v>BJP</x:v>
      </x:c>
      <x:c r="K110" t="str">
        <x:v>EVM row</x:v>
      </x:c>
      <x:c r="L110" s="133" t="str">
        <x:f>IF(D110&lt;=0,"No EVM votes",IF(E110&lt;$N$7,"Low",IF(E110&gt;$R$7,"High","Middle")))</x:f>
        <x:v>Middle</x:v>
      </x:c>
      <x:c r="M110" s="133" t="str">
        <x:f>IF(D110&lt;=0,"No EVM votes",IF(H110&lt;-20%,"Large deficit",IF(H110&lt;-5%,"Moderate deficit",IF(H110&lt;0,"Narrow deficit",IF(H110&lt;=5%,"Narrow lead/tie",IF(H110&lt;=20%,"Moderate lead","Large lead"))))))</x:f>
        <x:v>Large deficit</x:v>
      </x:c>
    </x:row>
    <x:row r="111">
      <x:c r="A111" t="n">
        <x:v>52</x:v>
      </x:c>
      <x:c r="B111" t="str">
        <x:v>PRY. SCHOOL CHEETI R.NO-3</x:v>
      </x:c>
      <x:c r="C111" s="83" t="n">
        <x:f>'2019 Form20'!H60</x:f>
        <x:v>200</x:v>
      </x:c>
      <x:c r="D111" s="83" t="n">
        <x:f>'2019 Form20'!D60</x:f>
        <x:v>549</x:v>
      </x:c>
      <x:c r="E111" s="50" t="n">
        <x:f>'2019 Form20'!U60</x:f>
        <x:v>0.36429872495446264</x:v>
      </x:c>
      <x:c r="F111" t="n">
        <x:f>'2019 Form20'!V60</x:f>
        <x:v>333</x:v>
      </x:c>
      <x:c r="G111" t="n">
        <x:f>'2019 Form20'!W60</x:f>
        <x:v>-133</x:v>
      </x:c>
      <x:c r="H111" s="52" t="n">
        <x:f>'2019 Form20'!X60</x:f>
        <x:v>-0.24225865209471767</x:v>
      </x:c>
      <x:c r="I111" t="str">
        <x:v>DR. MAHESH SHARMA</x:v>
      </x:c>
      <x:c r="J111" t="str">
        <x:v>BJP</x:v>
      </x:c>
      <x:c r="K111" t="str">
        <x:v>EVM row</x:v>
      </x:c>
      <x:c r="L111" s="133" t="str">
        <x:f>IF(D111&lt;=0,"No EVM votes",IF(E111&lt;$N$7,"Low",IF(E111&gt;$R$7,"High","Middle")))</x:f>
        <x:v>Middle</x:v>
      </x:c>
      <x:c r="M111" s="133" t="str">
        <x:f>IF(D111&lt;=0,"No EVM votes",IF(H111&lt;-20%,"Large deficit",IF(H111&lt;-5%,"Moderate deficit",IF(H111&lt;0,"Narrow deficit",IF(H111&lt;=5%,"Narrow lead/tie",IF(H111&lt;=20%,"Moderate lead","Large lead"))))))</x:f>
        <x:v>Large deficit</x:v>
      </x:c>
    </x:row>
    <x:row r="112">
      <x:c r="A112" t="n">
        <x:v>53</x:v>
      </x:c>
      <x:c r="B112" t="str">
        <x:v>PRY. SCHOOL NAGLA CHEETI R.NO.-1</x:v>
      </x:c>
      <x:c r="C112" s="83" t="n">
        <x:f>'2019 Form20'!H61</x:f>
        <x:v>98</x:v>
      </x:c>
      <x:c r="D112" s="83" t="n">
        <x:f>'2019 Form20'!D61</x:f>
        <x:v>350</x:v>
      </x:c>
      <x:c r="E112" s="50" t="n">
        <x:f>'2019 Form20'!U61</x:f>
        <x:v>0.28</x:v>
      </x:c>
      <x:c r="F112" t="n">
        <x:f>'2019 Form20'!V61</x:f>
        <x:v>243</x:v>
      </x:c>
      <x:c r="G112" t="n">
        <x:f>'2019 Form20'!W61</x:f>
        <x:v>-145</x:v>
      </x:c>
      <x:c r="H112" s="52" t="n">
        <x:f>'2019 Form20'!X61</x:f>
        <x:v>-0.4142857142857143</x:v>
      </x:c>
      <x:c r="I112" t="str">
        <x:v>DR. MAHESH SHARMA</x:v>
      </x:c>
      <x:c r="J112" t="str">
        <x:v>BJP</x:v>
      </x:c>
      <x:c r="K112" t="str">
        <x:v>EVM row</x:v>
      </x:c>
      <x:c r="L112" s="133" t="str">
        <x:f>IF(D112&lt;=0,"No EVM votes",IF(E112&lt;$N$7,"Low",IF(E112&gt;$R$7,"High","Middle")))</x:f>
        <x:v>Middle</x:v>
      </x:c>
      <x:c r="M112" s="133" t="str">
        <x:f>IF(D112&lt;=0,"No EVM votes",IF(H112&lt;-20%,"Large deficit",IF(H112&lt;-5%,"Moderate deficit",IF(H112&lt;0,"Narrow deficit",IF(H112&lt;=5%,"Narrow lead/tie",IF(H112&lt;=20%,"Moderate lead","Large lead"))))))</x:f>
        <x:v>Large deficit</x:v>
      </x:c>
    </x:row>
    <x:row r="113">
      <x:c r="A113" t="n">
        <x:v>54</x:v>
      </x:c>
      <x:c r="B113" t="str">
        <x:v>PRY. SCHOOL DEVTA R.NO.-1</x:v>
      </x:c>
      <x:c r="C113" s="83" t="n">
        <x:f>'2019 Form20'!H62</x:f>
        <x:v>306</x:v>
      </x:c>
      <x:c r="D113" s="83" t="n">
        <x:f>'2019 Form20'!D62</x:f>
        <x:v>538</x:v>
      </x:c>
      <x:c r="E113" s="50" t="n">
        <x:f>'2019 Form20'!U62</x:f>
        <x:v>0.5687732342007435</x:v>
      </x:c>
      <x:c r="F113" t="n">
        <x:f>'2019 Form20'!V62</x:f>
        <x:v>210</x:v>
      </x:c>
      <x:c r="G113" t="n">
        <x:f>'2019 Form20'!W62</x:f>
        <x:v>96</x:v>
      </x:c>
      <x:c r="H113" s="52" t="n">
        <x:f>'2019 Form20'!X62</x:f>
        <x:v>0.17843866171003717</x:v>
      </x:c>
      <x:c r="I113" t="str">
        <x:v>SATVEER</x:v>
      </x:c>
      <x:c r="J113" t="str">
        <x:v>BSP</x:v>
      </x:c>
      <x:c r="K113" t="str">
        <x:v>EVM row</x:v>
      </x:c>
      <x:c r="L113" s="133" t="str">
        <x:f>IF(D113&lt;=0,"No EVM votes",IF(E113&lt;$N$7,"Low",IF(E113&gt;$R$7,"High","Middle")))</x:f>
        <x:v>Middle</x:v>
      </x:c>
      <x:c r="M113" s="133" t="str">
        <x:f>IF(D113&lt;=0,"No EVM votes",IF(H113&lt;-20%,"Large deficit",IF(H113&lt;-5%,"Moderate deficit",IF(H113&lt;0,"Narrow deficit",IF(H113&lt;=5%,"Narrow lead/tie",IF(H113&lt;=20%,"Moderate lead","Large lead"))))))</x:f>
        <x:v>Moderate lead</x:v>
      </x:c>
    </x:row>
    <x:row r="114">
      <x:c r="A114" t="n">
        <x:v>55</x:v>
      </x:c>
      <x:c r="B114" t="str">
        <x:v>PRY. SCHOOL DEVTA R.NO.-2</x:v>
      </x:c>
      <x:c r="C114" s="83" t="n">
        <x:f>'2019 Form20'!H63</x:f>
        <x:v>395</x:v>
      </x:c>
      <x:c r="D114" s="83" t="n">
        <x:f>'2019 Form20'!D63</x:f>
        <x:v>647</x:v>
      </x:c>
      <x:c r="E114" s="50" t="n">
        <x:f>'2019 Form20'!U63</x:f>
        <x:v>0.6105100463678517</x:v>
      </x:c>
      <x:c r="F114" t="n">
        <x:f>'2019 Form20'!V63</x:f>
        <x:v>238</x:v>
      </x:c>
      <x:c r="G114" t="n">
        <x:f>'2019 Form20'!W63</x:f>
        <x:v>157</x:v>
      </x:c>
      <x:c r="H114" s="52" t="n">
        <x:f>'2019 Form20'!X63</x:f>
        <x:v>0.2426584234930448</x:v>
      </x:c>
      <x:c r="I114" t="str">
        <x:v>SATVEER</x:v>
      </x:c>
      <x:c r="J114" t="str">
        <x:v>BSP</x:v>
      </x:c>
      <x:c r="K114" t="str">
        <x:v>EVM row</x:v>
      </x:c>
      <x:c r="L114" s="133" t="str">
        <x:f>IF(D114&lt;=0,"No EVM votes",IF(E114&lt;$N$7,"Low",IF(E114&gt;$R$7,"High","Middle")))</x:f>
        <x:v>Middle</x:v>
      </x:c>
      <x:c r="M114" s="133" t="str">
        <x:f>IF(D114&lt;=0,"No EVM votes",IF(H114&lt;-20%,"Large deficit",IF(H114&lt;-5%,"Moderate deficit",IF(H114&lt;0,"Narrow deficit",IF(H114&lt;=5%,"Narrow lead/tie",IF(H114&lt;=20%,"Moderate lead","Large lead"))))))</x:f>
        <x:v>Large lead</x:v>
      </x:c>
    </x:row>
    <x:row r="115">
      <x:c r="A115" t="n">
        <x:v>56</x:v>
      </x:c>
      <x:c r="B115" t="str">
        <x:v>PATEL I.C. ASTAULI R.NO.-1</x:v>
      </x:c>
      <x:c r="C115" s="83" t="n">
        <x:f>'2019 Form20'!H64</x:f>
        <x:v>354</x:v>
      </x:c>
      <x:c r="D115" s="83" t="n">
        <x:f>'2019 Form20'!D64</x:f>
        <x:v>541</x:v>
      </x:c>
      <x:c r="E115" s="50" t="n">
        <x:f>'2019 Form20'!U64</x:f>
        <x:v>0.6543438077634011</x:v>
      </x:c>
      <x:c r="F115" t="n">
        <x:f>'2019 Form20'!V64</x:f>
        <x:v>172</x:v>
      </x:c>
      <x:c r="G115" t="n">
        <x:f>'2019 Form20'!W64</x:f>
        <x:v>182</x:v>
      </x:c>
      <x:c r="H115" s="52" t="n">
        <x:f>'2019 Form20'!X64</x:f>
        <x:v>0.3364140480591497</x:v>
      </x:c>
      <x:c r="I115" t="str">
        <x:v>SATVEER</x:v>
      </x:c>
      <x:c r="J115" t="str">
        <x:v>BSP</x:v>
      </x:c>
      <x:c r="K115" t="str">
        <x:v>EVM row</x:v>
      </x:c>
      <x:c r="L115" s="133" t="str">
        <x:f>IF(D115&lt;=0,"No EVM votes",IF(E115&lt;$N$7,"Low",IF(E115&gt;$R$7,"High","Middle")))</x:f>
        <x:v>Middle</x:v>
      </x:c>
      <x:c r="M115" s="133" t="str">
        <x:f>IF(D115&lt;=0,"No EVM votes",IF(H115&lt;-20%,"Large deficit",IF(H115&lt;-5%,"Moderate deficit",IF(H115&lt;0,"Narrow deficit",IF(H115&lt;=5%,"Narrow lead/tie",IF(H115&lt;=20%,"Moderate lead","Large lead"))))))</x:f>
        <x:v>Large lead</x:v>
      </x:c>
    </x:row>
    <x:row r="116">
      <x:c r="A116" t="n">
        <x:v>57</x:v>
      </x:c>
      <x:c r="B116" t="str">
        <x:v>PATEL I.C. ASTAULI R.NO.-2</x:v>
      </x:c>
      <x:c r="C116" s="83" t="n">
        <x:f>'2019 Form20'!H65</x:f>
        <x:v>280</x:v>
      </x:c>
      <x:c r="D116" s="83" t="n">
        <x:f>'2019 Form20'!D65</x:f>
        <x:v>676</x:v>
      </x:c>
      <x:c r="E116" s="50" t="n">
        <x:f>'2019 Form20'!U65</x:f>
        <x:v>0.41420118343195267</x:v>
      </x:c>
      <x:c r="F116" t="n">
        <x:f>'2019 Form20'!V65</x:f>
        <x:v>371</x:v>
      </x:c>
      <x:c r="G116" t="n">
        <x:f>'2019 Form20'!W65</x:f>
        <x:v>-91</x:v>
      </x:c>
      <x:c r="H116" s="52" t="n">
        <x:f>'2019 Form20'!X65</x:f>
        <x:v>-0.1346153846153846</x:v>
      </x:c>
      <x:c r="I116" t="str">
        <x:v>DR. MAHESH SHARMA</x:v>
      </x:c>
      <x:c r="J116" t="str">
        <x:v>BJP</x:v>
      </x:c>
      <x:c r="K116" t="str">
        <x:v>EVM row</x:v>
      </x:c>
      <x:c r="L116" s="133" t="str">
        <x:f>IF(D116&lt;=0,"No EVM votes",IF(E116&lt;$N$7,"Low",IF(E116&gt;$R$7,"High","Middle")))</x:f>
        <x:v>Middle</x:v>
      </x:c>
      <x:c r="M116" s="133" t="str">
        <x:f>IF(D116&lt;=0,"No EVM votes",IF(H116&lt;-20%,"Large deficit",IF(H116&lt;-5%,"Moderate deficit",IF(H116&lt;0,"Narrow deficit",IF(H116&lt;=5%,"Narrow lead/tie",IF(H116&lt;=20%,"Moderate lead","Large lead"))))))</x:f>
        <x:v>Moderate deficit</x:v>
      </x:c>
    </x:row>
    <x:row r="117">
      <x:c r="A117" t="n">
        <x:v>58</x:v>
      </x:c>
      <x:c r="B117" t="str">
        <x:v>PATEL I.C. ASTAULI R.NO.-3</x:v>
      </x:c>
      <x:c r="C117" s="83" t="n">
        <x:f>'2019 Form20'!H66</x:f>
        <x:v>198</x:v>
      </x:c>
      <x:c r="D117" s="83" t="n">
        <x:f>'2019 Form20'!D66</x:f>
        <x:v>419</x:v>
      </x:c>
      <x:c r="E117" s="50" t="n">
        <x:f>'2019 Form20'!U66</x:f>
        <x:v>0.47255369928400953</x:v>
      </x:c>
      <x:c r="F117" t="n">
        <x:f>'2019 Form20'!V66</x:f>
        <x:v>200</x:v>
      </x:c>
      <x:c r="G117" t="n">
        <x:f>'2019 Form20'!W66</x:f>
        <x:v>-2</x:v>
      </x:c>
      <x:c r="H117" s="52" t="n">
        <x:f>'2019 Form20'!X66</x:f>
        <x:v>-0.00477326968973747</x:v>
      </x:c>
      <x:c r="I117" t="str">
        <x:v>DR. MAHESH SHARMA</x:v>
      </x:c>
      <x:c r="J117" t="str">
        <x:v>BJP</x:v>
      </x:c>
      <x:c r="K117" t="str">
        <x:v>EVM row</x:v>
      </x:c>
      <x:c r="L117" s="133" t="str">
        <x:f>IF(D117&lt;=0,"No EVM votes",IF(E117&lt;$N$7,"Low",IF(E117&gt;$R$7,"High","Middle")))</x:f>
        <x:v>Middle</x:v>
      </x:c>
      <x:c r="M117" s="133" t="str">
        <x:f>IF(D117&lt;=0,"No EVM votes",IF(H117&lt;-20%,"Large deficit",IF(H117&lt;-5%,"Moderate deficit",IF(H117&lt;0,"Narrow deficit",IF(H117&lt;=5%,"Narrow lead/tie",IF(H117&lt;=20%,"Moderate lead","Large lead"))))))</x:f>
        <x:v>Narrow deficit</x:v>
      </x:c>
    </x:row>
    <x:row r="118">
      <x:c r="A118" t="n">
        <x:v>59</x:v>
      </x:c>
      <x:c r="B118" t="str">
        <x:v>CH. LAXMINARAYAN I.C. MANDI SHYAM NAGAR URF KHERLI HAFIZPUR R. NO.-1</x:v>
      </x:c>
      <x:c r="C118" s="83" t="n">
        <x:f>'2019 Form20'!H67</x:f>
        <x:v>344</x:v>
      </x:c>
      <x:c r="D118" s="83" t="n">
        <x:f>'2019 Form20'!D67</x:f>
        <x:v>711</x:v>
      </x:c>
      <x:c r="E118" s="50" t="n">
        <x:f>'2019 Form20'!U67</x:f>
        <x:v>0.4838255977496484</x:v>
      </x:c>
      <x:c r="F118" t="n">
        <x:f>'2019 Form20'!V67</x:f>
        <x:v>337</x:v>
      </x:c>
      <x:c r="G118" t="n">
        <x:f>'2019 Form20'!W67</x:f>
        <x:v>7</x:v>
      </x:c>
      <x:c r="H118" s="52" t="n">
        <x:f>'2019 Form20'!X67</x:f>
        <x:v>0.009845288326300985</x:v>
      </x:c>
      <x:c r="I118" t="str">
        <x:v>SATVEER</x:v>
      </x:c>
      <x:c r="J118" t="str">
        <x:v>BSP</x:v>
      </x:c>
      <x:c r="K118" t="str">
        <x:v>EVM row</x:v>
      </x:c>
      <x:c r="L118" s="133" t="str">
        <x:f>IF(D118&lt;=0,"No EVM votes",IF(E118&lt;$N$7,"Low",IF(E118&gt;$R$7,"High","Middle")))</x:f>
        <x:v>Middle</x:v>
      </x:c>
      <x:c r="M118" s="133" t="str">
        <x:f>IF(D118&lt;=0,"No EVM votes",IF(H118&lt;-20%,"Large deficit",IF(H118&lt;-5%,"Moderate deficit",IF(H118&lt;0,"Narrow deficit",IF(H118&lt;=5%,"Narrow lead/tie",IF(H118&lt;=20%,"Moderate lead","Large lead"))))))</x:f>
        <x:v>Narrow lead/tie</x:v>
      </x:c>
    </x:row>
    <x:row r="119">
      <x:c r="A119" t="n">
        <x:v>60</x:v>
      </x:c>
      <x:c r="B119" t="str">
        <x:v>CH. LAXMINARAYAN I.C. MANDI SHYAMNAGAR URF KHERLI HAFIZPUR R.NO.-2</x:v>
      </x:c>
      <x:c r="C119" s="83" t="n">
        <x:f>'2019 Form20'!H68</x:f>
        <x:v>151</x:v>
      </x:c>
      <x:c r="D119" s="83" t="n">
        <x:f>'2019 Form20'!D68</x:f>
        <x:v>671</x:v>
      </x:c>
      <x:c r="E119" s="50" t="n">
        <x:f>'2019 Form20'!U68</x:f>
        <x:v>0.22503725782414308</x:v>
      </x:c>
      <x:c r="F119" t="n">
        <x:f>'2019 Form20'!V68</x:f>
        <x:v>508</x:v>
      </x:c>
      <x:c r="G119" t="n">
        <x:f>'2019 Form20'!W68</x:f>
        <x:v>-357</x:v>
      </x:c>
      <x:c r="H119" s="52" t="n">
        <x:f>'2019 Form20'!X68</x:f>
        <x:v>-0.5320417287630402</x:v>
      </x:c>
      <x:c r="I119" t="str">
        <x:v>DR. MAHESH SHARMA</x:v>
      </x:c>
      <x:c r="J119" t="str">
        <x:v>BJP</x:v>
      </x:c>
      <x:c r="K119" t="str">
        <x:v>EVM row</x:v>
      </x:c>
      <x:c r="L119" s="133" t="str">
        <x:f>IF(D119&lt;=0,"No EVM votes",IF(E119&lt;$N$7,"Low",IF(E119&gt;$R$7,"High","Middle")))</x:f>
        <x:v>Middle</x:v>
      </x:c>
      <x:c r="M119" s="133" t="str">
        <x:f>IF(D119&lt;=0,"No EVM votes",IF(H119&lt;-20%,"Large deficit",IF(H119&lt;-5%,"Moderate deficit",IF(H119&lt;0,"Narrow deficit",IF(H119&lt;=5%,"Narrow lead/tie",IF(H119&lt;=20%,"Moderate lead","Large lead"))))))</x:f>
        <x:v>Large deficit</x:v>
      </x:c>
    </x:row>
    <x:row r="120">
      <x:c r="A120" t="n">
        <x:v>61</x:v>
      </x:c>
      <x:c r="B120" t="str">
        <x:v>CH. LAXMINARAYAN I.C. MANDI SHYAMNAGAR URF KHERLI HAFIZPUR R.NO.-3</x:v>
      </x:c>
      <x:c r="C120" s="83" t="n">
        <x:f>'2019 Form20'!H69</x:f>
        <x:v>111</x:v>
      </x:c>
      <x:c r="D120" s="83" t="n">
        <x:f>'2019 Form20'!D69</x:f>
        <x:v>645</x:v>
      </x:c>
      <x:c r="E120" s="50" t="n">
        <x:f>'2019 Form20'!U69</x:f>
        <x:v>0.17209302325581396</x:v>
      </x:c>
      <x:c r="F120" t="n">
        <x:f>'2019 Form20'!V69</x:f>
        <x:v>514</x:v>
      </x:c>
      <x:c r="G120" t="n">
        <x:f>'2019 Form20'!W69</x:f>
        <x:v>-403</x:v>
      </x:c>
      <x:c r="H120" s="52" t="n">
        <x:f>'2019 Form20'!X69</x:f>
        <x:v>-0.6248062015503876</x:v>
      </x:c>
      <x:c r="I120" t="str">
        <x:v>DR. MAHESH SHARMA</x:v>
      </x:c>
      <x:c r="J120" t="str">
        <x:v>BJP</x:v>
      </x:c>
      <x:c r="K120" t="str">
        <x:v>EVM row</x:v>
      </x:c>
      <x:c r="L120" s="133" t="str">
        <x:f>IF(D120&lt;=0,"No EVM votes",IF(E120&lt;$N$7,"Low",IF(E120&gt;$R$7,"High","Middle")))</x:f>
        <x:v>Low</x:v>
      </x:c>
      <x:c r="M120" s="133" t="str">
        <x:f>IF(D120&lt;=0,"No EVM votes",IF(H120&lt;-20%,"Large deficit",IF(H120&lt;-5%,"Moderate deficit",IF(H120&lt;0,"Narrow deficit",IF(H120&lt;=5%,"Narrow lead/tie",IF(H120&lt;=20%,"Moderate lead","Large lead"))))))</x:f>
        <x:v>Large deficit</x:v>
      </x:c>
    </x:row>
    <x:row r="121">
      <x:c r="A121" t="n">
        <x:v>62</x:v>
      </x:c>
      <x:c r="B121" t="str">
        <x:v>CH. LAXMI NARAYAN I.C. MANDI SHYAMNAGAR URF KHERLI HAFIZPUR R.NO.-4</x:v>
      </x:c>
      <x:c r="C121" s="83" t="n">
        <x:f>'2019 Form20'!H70</x:f>
        <x:v>84</x:v>
      </x:c>
      <x:c r="D121" s="83" t="n">
        <x:f>'2019 Form20'!D70</x:f>
        <x:v>622</x:v>
      </x:c>
      <x:c r="E121" s="50" t="n">
        <x:f>'2019 Form20'!U70</x:f>
        <x:v>0.13504823151125403</x:v>
      </x:c>
      <x:c r="F121" t="n">
        <x:f>'2019 Form20'!V70</x:f>
        <x:v>510</x:v>
      </x:c>
      <x:c r="G121" t="n">
        <x:f>'2019 Form20'!W70</x:f>
        <x:v>-426</x:v>
      </x:c>
      <x:c r="H121" s="52" t="n">
        <x:f>'2019 Form20'!X70</x:f>
        <x:v>-0.684887459807074</x:v>
      </x:c>
      <x:c r="I121" t="str">
        <x:v>DR. MAHESH SHARMA</x:v>
      </x:c>
      <x:c r="J121" t="str">
        <x:v>BJP</x:v>
      </x:c>
      <x:c r="K121" t="str">
        <x:v>EVM row</x:v>
      </x:c>
      <x:c r="L121" s="133" t="str">
        <x:f>IF(D121&lt;=0,"No EVM votes",IF(E121&lt;$N$7,"Low",IF(E121&gt;$R$7,"High","Middle")))</x:f>
        <x:v>Low</x:v>
      </x:c>
      <x:c r="M121" s="133" t="str">
        <x:f>IF(D121&lt;=0,"No EVM votes",IF(H121&lt;-20%,"Large deficit",IF(H121&lt;-5%,"Moderate deficit",IF(H121&lt;0,"Narrow deficit",IF(H121&lt;=5%,"Narrow lead/tie",IF(H121&lt;=20%,"Moderate lead","Large lead"))))))</x:f>
        <x:v>Large deficit</x:v>
      </x:c>
    </x:row>
    <x:row r="122">
      <x:c r="A122" t="n">
        <x:v>63</x:v>
      </x:c>
      <x:c r="B122" t="str">
        <x:v>CH. LAXMI NARAYAN I.C. MANDI SHYAMNAGAR URF KHERLI HAFIZPUR R.NO.-5</x:v>
      </x:c>
      <x:c r="C122" s="83" t="n">
        <x:f>'2019 Form20'!H71</x:f>
        <x:v>160</x:v>
      </x:c>
      <x:c r="D122" s="83" t="n">
        <x:f>'2019 Form20'!D71</x:f>
        <x:v>674</x:v>
      </x:c>
      <x:c r="E122" s="50" t="n">
        <x:f>'2019 Form20'!U71</x:f>
        <x:v>0.23738872403560832</x:v>
      </x:c>
      <x:c r="F122" t="n">
        <x:f>'2019 Form20'!V71</x:f>
        <x:v>490</x:v>
      </x:c>
      <x:c r="G122" t="n">
        <x:f>'2019 Form20'!W71</x:f>
        <x:v>-330</x:v>
      </x:c>
      <x:c r="H122" s="52" t="n">
        <x:f>'2019 Form20'!X71</x:f>
        <x:v>-0.4896142433234421</x:v>
      </x:c>
      <x:c r="I122" t="str">
        <x:v>DR. MAHESH SHARMA</x:v>
      </x:c>
      <x:c r="J122" t="str">
        <x:v>BJP</x:v>
      </x:c>
      <x:c r="K122" t="str">
        <x:v>EVM row</x:v>
      </x:c>
      <x:c r="L122" s="133" t="str">
        <x:f>IF(D122&lt;=0,"No EVM votes",IF(E122&lt;$N$7,"Low",IF(E122&gt;$R$7,"High","Middle")))</x:f>
        <x:v>Middle</x:v>
      </x:c>
      <x:c r="M122" s="133" t="str">
        <x:f>IF(D122&lt;=0,"No EVM votes",IF(H122&lt;-20%,"Large deficit",IF(H122&lt;-5%,"Moderate deficit",IF(H122&lt;0,"Narrow deficit",IF(H122&lt;=5%,"Narrow lead/tie",IF(H122&lt;=20%,"Moderate lead","Large lead"))))))</x:f>
        <x:v>Large deficit</x:v>
      </x:c>
    </x:row>
    <x:row r="123">
      <x:c r="A123" t="n">
        <x:v>64</x:v>
      </x:c>
      <x:c r="B123" t="str">
        <x:v>PRY. SCHOOL PANCHAYATAN INAYATPUR R.NO. 1</x:v>
      </x:c>
      <x:c r="C123" s="83" t="n">
        <x:f>'2019 Form20'!H72</x:f>
        <x:v>329</x:v>
      </x:c>
      <x:c r="D123" s="83" t="n">
        <x:f>'2019 Form20'!D72</x:f>
        <x:v>507</x:v>
      </x:c>
      <x:c r="E123" s="50" t="n">
        <x:f>'2019 Form20'!U72</x:f>
        <x:v>0.6489151873767258</x:v>
      </x:c>
      <x:c r="F123" t="n">
        <x:f>'2019 Form20'!V72</x:f>
        <x:v>163</x:v>
      </x:c>
      <x:c r="G123" t="n">
        <x:f>'2019 Form20'!W72</x:f>
        <x:v>166</x:v>
      </x:c>
      <x:c r="H123" s="52" t="n">
        <x:f>'2019 Form20'!X72</x:f>
        <x:v>0.32741617357001973</x:v>
      </x:c>
      <x:c r="I123" t="str">
        <x:v>SATVEER</x:v>
      </x:c>
      <x:c r="J123" t="str">
        <x:v>BSP</x:v>
      </x:c>
      <x:c r="K123" t="str">
        <x:v>EVM row</x:v>
      </x:c>
      <x:c r="L123" s="133" t="str">
        <x:f>IF(D123&lt;=0,"No EVM votes",IF(E123&lt;$N$7,"Low",IF(E123&gt;$R$7,"High","Middle")))</x:f>
        <x:v>Middle</x:v>
      </x:c>
      <x:c r="M123" s="133" t="str">
        <x:f>IF(D123&lt;=0,"No EVM votes",IF(H123&lt;-20%,"Large deficit",IF(H123&lt;-5%,"Moderate deficit",IF(H123&lt;0,"Narrow deficit",IF(H123&lt;=5%,"Narrow lead/tie",IF(H123&lt;=20%,"Moderate lead","Large lead"))))))</x:f>
        <x:v>Large lead</x:v>
      </x:c>
    </x:row>
    <x:row r="124">
      <x:c r="A124" t="n">
        <x:v>65</x:v>
      </x:c>
      <x:c r="B124" t="str">
        <x:v>PRY. SCHOOL PANCHAYATAN INAYATPUR R.NO. 2</x:v>
      </x:c>
      <x:c r="C124" s="83" t="n">
        <x:f>'2019 Form20'!H73</x:f>
        <x:v>184</x:v>
      </x:c>
      <x:c r="D124" s="83" t="n">
        <x:f>'2019 Form20'!D73</x:f>
        <x:v>432</x:v>
      </x:c>
      <x:c r="E124" s="50" t="n">
        <x:f>'2019 Form20'!U73</x:f>
        <x:v>0.42592592592592593</x:v>
      </x:c>
      <x:c r="F124" t="n">
        <x:f>'2019 Form20'!V73</x:f>
        <x:v>228</x:v>
      </x:c>
      <x:c r="G124" t="n">
        <x:f>'2019 Form20'!W73</x:f>
        <x:v>-44</x:v>
      </x:c>
      <x:c r="H124" s="52" t="n">
        <x:f>'2019 Form20'!X73</x:f>
        <x:v>-0.10185185185185185</x:v>
      </x:c>
      <x:c r="I124" t="str">
        <x:v>DR. MAHESH SHARMA</x:v>
      </x:c>
      <x:c r="J124" t="str">
        <x:v>BJP</x:v>
      </x:c>
      <x:c r="K124" t="str">
        <x:v>EVM row</x:v>
      </x:c>
      <x:c r="L124" s="133" t="str">
        <x:f>IF(D124&lt;=0,"No EVM votes",IF(E124&lt;$N$7,"Low",IF(E124&gt;$R$7,"High","Middle")))</x:f>
        <x:v>Middle</x:v>
      </x:c>
      <x:c r="M124" s="133" t="str">
        <x:f>IF(D124&lt;=0,"No EVM votes",IF(H124&lt;-20%,"Large deficit",IF(H124&lt;-5%,"Moderate deficit",IF(H124&lt;0,"Narrow deficit",IF(H124&lt;=5%,"Narrow lead/tie",IF(H124&lt;=20%,"Moderate lead","Large lead"))))))</x:f>
        <x:v>Moderate deficit</x:v>
      </x:c>
    </x:row>
    <x:row r="125">
      <x:c r="A125" t="n">
        <x:v>66</x:v>
      </x:c>
      <x:c r="B125" t="str">
        <x:v>UCHCHA PRY. VIDHYALAYA GIRDHARPUR R.NO. 1</x:v>
      </x:c>
      <x:c r="C125" s="83" t="n">
        <x:f>'2019 Form20'!H74</x:f>
        <x:v>196</x:v>
      </x:c>
      <x:c r="D125" s="83" t="n">
        <x:f>'2019 Form20'!D74</x:f>
        <x:v>537</x:v>
      </x:c>
      <x:c r="E125" s="50" t="n">
        <x:f>'2019 Form20'!U74</x:f>
        <x:v>0.3649906890130354</x:v>
      </x:c>
      <x:c r="F125" t="n">
        <x:f>'2019 Form20'!V74</x:f>
        <x:v>331</x:v>
      </x:c>
      <x:c r="G125" t="n">
        <x:f>'2019 Form20'!W74</x:f>
        <x:v>-135</x:v>
      </x:c>
      <x:c r="H125" s="52" t="n">
        <x:f>'2019 Form20'!X74</x:f>
        <x:v>-0.25139664804469275</x:v>
      </x:c>
      <x:c r="I125" t="str">
        <x:v>DR. MAHESH SHARMA</x:v>
      </x:c>
      <x:c r="J125" t="str">
        <x:v>BJP</x:v>
      </x:c>
      <x:c r="K125" t="str">
        <x:v>EVM row</x:v>
      </x:c>
      <x:c r="L125" s="133" t="str">
        <x:f>IF(D125&lt;=0,"No EVM votes",IF(E125&lt;$N$7,"Low",IF(E125&gt;$R$7,"High","Middle")))</x:f>
        <x:v>Middle</x:v>
      </x:c>
      <x:c r="M125" s="133" t="str">
        <x:f>IF(D125&lt;=0,"No EVM votes",IF(H125&lt;-20%,"Large deficit",IF(H125&lt;-5%,"Moderate deficit",IF(H125&lt;0,"Narrow deficit",IF(H125&lt;=5%,"Narrow lead/tie",IF(H125&lt;=20%,"Moderate lead","Large lead"))))))</x:f>
        <x:v>Large deficit</x:v>
      </x:c>
    </x:row>
    <x:row r="126">
      <x:c r="A126" t="n">
        <x:v>67</x:v>
      </x:c>
      <x:c r="B126" t="str">
        <x:v>UCHCHA PRY. VIDHYALAYA GIRDHARPUR R.NO. 2</x:v>
      </x:c>
      <x:c r="C126" s="83" t="n">
        <x:f>'2019 Form20'!H75</x:f>
        <x:v>245</x:v>
      </x:c>
      <x:c r="D126" s="83" t="n">
        <x:f>'2019 Form20'!D75</x:f>
        <x:v>469</x:v>
      </x:c>
      <x:c r="E126" s="50" t="n">
        <x:f>'2019 Form20'!U75</x:f>
        <x:v>0.5223880597014925</x:v>
      </x:c>
      <x:c r="F126" t="n">
        <x:f>'2019 Form20'!V75</x:f>
        <x:v>211</x:v>
      </x:c>
      <x:c r="G126" t="n">
        <x:f>'2019 Form20'!W75</x:f>
        <x:v>34</x:v>
      </x:c>
      <x:c r="H126" s="52" t="n">
        <x:f>'2019 Form20'!X75</x:f>
        <x:v>0.07249466950959488</x:v>
      </x:c>
      <x:c r="I126" t="str">
        <x:v>SATVEER</x:v>
      </x:c>
      <x:c r="J126" t="str">
        <x:v>BSP</x:v>
      </x:c>
      <x:c r="K126" t="str">
        <x:v>EVM row</x:v>
      </x:c>
      <x:c r="L126" s="133" t="str">
        <x:f>IF(D126&lt;=0,"No EVM votes",IF(E126&lt;$N$7,"Low",IF(E126&gt;$R$7,"High","Middle")))</x:f>
        <x:v>Middle</x:v>
      </x:c>
      <x:c r="M126" s="133" t="str">
        <x:f>IF(D126&lt;=0,"No EVM votes",IF(H126&lt;-20%,"Large deficit",IF(H126&lt;-5%,"Moderate deficit",IF(H126&lt;0,"Narrow deficit",IF(H126&lt;=5%,"Narrow lead/tie",IF(H126&lt;=20%,"Moderate lead","Large lead"))))))</x:f>
        <x:v>Moderate lead</x:v>
      </x:c>
    </x:row>
    <x:row r="127">
      <x:c r="A127" t="n">
        <x:v>68</x:v>
      </x:c>
      <x:c r="B127" t="str">
        <x:v>PRY. SCHOOL RAUNI R.NO. 1</x:v>
      </x:c>
      <x:c r="C127" s="83" t="n">
        <x:f>'2019 Form20'!H76</x:f>
        <x:v>373</x:v>
      </x:c>
      <x:c r="D127" s="83" t="n">
        <x:f>'2019 Form20'!D76</x:f>
        <x:v>500</x:v>
      </x:c>
      <x:c r="E127" s="50" t="n">
        <x:f>'2019 Form20'!U76</x:f>
        <x:v>0.746</x:v>
      </x:c>
      <x:c r="F127" t="n">
        <x:f>'2019 Form20'!V76</x:f>
        <x:v>114</x:v>
      </x:c>
      <x:c r="G127" t="n">
        <x:f>'2019 Form20'!W76</x:f>
        <x:v>259</x:v>
      </x:c>
      <x:c r="H127" s="52" t="n">
        <x:f>'2019 Form20'!X76</x:f>
        <x:v>0.518</x:v>
      </x:c>
      <x:c r="I127" t="str">
        <x:v>SATVEER</x:v>
      </x:c>
      <x:c r="J127" t="str">
        <x:v>BSP</x:v>
      </x:c>
      <x:c r="K127" t="str">
        <x:v>EVM row</x:v>
      </x:c>
      <x:c r="L127" s="133" t="str">
        <x:f>IF(D127&lt;=0,"No EVM votes",IF(E127&lt;$N$7,"Low",IF(E127&gt;$R$7,"High","Middle")))</x:f>
        <x:v>High</x:v>
      </x:c>
      <x:c r="M127" s="133" t="str">
        <x:f>IF(D127&lt;=0,"No EVM votes",IF(H127&lt;-20%,"Large deficit",IF(H127&lt;-5%,"Moderate deficit",IF(H127&lt;0,"Narrow deficit",IF(H127&lt;=5%,"Narrow lead/tie",IF(H127&lt;=20%,"Moderate lead","Large lead"))))))</x:f>
        <x:v>Large lead</x:v>
      </x:c>
    </x:row>
    <x:row r="128">
      <x:c r="A128" t="n">
        <x:v>69</x:v>
      </x:c>
      <x:c r="B128" t="str">
        <x:v>PRY SCHOOL SALEMPUR GUJAR R.NO. 1</x:v>
      </x:c>
      <x:c r="C128" s="83" t="n">
        <x:f>'2019 Form20'!H77</x:f>
        <x:v>377</x:v>
      </x:c>
      <x:c r="D128" s="83" t="n">
        <x:f>'2019 Form20'!D77</x:f>
        <x:v>752</x:v>
      </x:c>
      <x:c r="E128" s="50" t="n">
        <x:f>'2019 Form20'!U77</x:f>
        <x:v>0.5013297872340425</x:v>
      </x:c>
      <x:c r="F128" t="n">
        <x:f>'2019 Form20'!V77</x:f>
        <x:v>342</x:v>
      </x:c>
      <x:c r="G128" t="n">
        <x:f>'2019 Form20'!W77</x:f>
        <x:v>35</x:v>
      </x:c>
      <x:c r="H128" s="52" t="n">
        <x:f>'2019 Form20'!X77</x:f>
        <x:v>0.04654255319148936</x:v>
      </x:c>
      <x:c r="I128" t="str">
        <x:v>SATVEER</x:v>
      </x:c>
      <x:c r="J128" t="str">
        <x:v>BSP</x:v>
      </x:c>
      <x:c r="K128" t="str">
        <x:v>EVM row</x:v>
      </x:c>
      <x:c r="L128" s="133" t="str">
        <x:f>IF(D128&lt;=0,"No EVM votes",IF(E128&lt;$N$7,"Low",IF(E128&gt;$R$7,"High","Middle")))</x:f>
        <x:v>Middle</x:v>
      </x:c>
      <x:c r="M128" s="133" t="str">
        <x:f>IF(D128&lt;=0,"No EVM votes",IF(H128&lt;-20%,"Large deficit",IF(H128&lt;-5%,"Moderate deficit",IF(H128&lt;0,"Narrow deficit",IF(H128&lt;=5%,"Narrow lead/tie",IF(H128&lt;=20%,"Moderate lead","Large lead"))))))</x:f>
        <x:v>Narrow lead/tie</x:v>
      </x:c>
    </x:row>
    <x:row r="129">
      <x:c r="A129" t="n">
        <x:v>70</x:v>
      </x:c>
      <x:c r="B129" t="str">
        <x:v>PRY. SCHOOL SALEMPUR GUJAR R.NO. 2</x:v>
      </x:c>
      <x:c r="C129" s="83" t="n">
        <x:f>'2019 Form20'!H78</x:f>
        <x:v>354</x:v>
      </x:c>
      <x:c r="D129" s="83" t="n">
        <x:f>'2019 Form20'!D78</x:f>
        <x:v>558</x:v>
      </x:c>
      <x:c r="E129" s="50" t="n">
        <x:f>'2019 Form20'!U78</x:f>
        <x:v>0.6344086021505376</x:v>
      </x:c>
      <x:c r="F129" t="n">
        <x:f>'2019 Form20'!V78</x:f>
        <x:v>192</x:v>
      </x:c>
      <x:c r="G129" t="n">
        <x:f>'2019 Form20'!W78</x:f>
        <x:v>162</x:v>
      </x:c>
      <x:c r="H129" s="52" t="n">
        <x:f>'2019 Form20'!X78</x:f>
        <x:v>0.2903225806451613</x:v>
      </x:c>
      <x:c r="I129" t="str">
        <x:v>SATVEER</x:v>
      </x:c>
      <x:c r="J129" t="str">
        <x:v>BSP</x:v>
      </x:c>
      <x:c r="K129" t="str">
        <x:v>EVM row</x:v>
      </x:c>
      <x:c r="L129" s="133" t="str">
        <x:f>IF(D129&lt;=0,"No EVM votes",IF(E129&lt;$N$7,"Low",IF(E129&gt;$R$7,"High","Middle")))</x:f>
        <x:v>Middle</x:v>
      </x:c>
      <x:c r="M129" s="133" t="str">
        <x:f>IF(D129&lt;=0,"No EVM votes",IF(H129&lt;-20%,"Large deficit",IF(H129&lt;-5%,"Moderate deficit",IF(H129&lt;0,"Narrow deficit",IF(H129&lt;=5%,"Narrow lead/tie",IF(H129&lt;=20%,"Moderate lead","Large lead"))))))</x:f>
        <x:v>Large lead</x:v>
      </x:c>
    </x:row>
    <x:row r="130">
      <x:c r="A130" t="n">
        <x:v>71</x:v>
      </x:c>
      <x:c r="B130" t="str">
        <x:v>PRY. SCHOOL SALEMPUR GUJAR R.NO. 3</x:v>
      </x:c>
      <x:c r="C130" s="83" t="n">
        <x:f>'2019 Form20'!H79</x:f>
        <x:v>440</x:v>
      </x:c>
      <x:c r="D130" s="83" t="n">
        <x:f>'2019 Form20'!D79</x:f>
        <x:v>636</x:v>
      </x:c>
      <x:c r="E130" s="50" t="n">
        <x:f>'2019 Form20'!U79</x:f>
        <x:v>0.6918238993710691</x:v>
      </x:c>
      <x:c r="F130" t="n">
        <x:f>'2019 Form20'!V79</x:f>
        <x:v>189</x:v>
      </x:c>
      <x:c r="G130" t="n">
        <x:f>'2019 Form20'!W79</x:f>
        <x:v>251</x:v>
      </x:c>
      <x:c r="H130" s="52" t="n">
        <x:f>'2019 Form20'!X79</x:f>
        <x:v>0.3946540880503145</x:v>
      </x:c>
      <x:c r="I130" t="str">
        <x:v>SATVEER</x:v>
      </x:c>
      <x:c r="J130" t="str">
        <x:v>BSP</x:v>
      </x:c>
      <x:c r="K130" t="str">
        <x:v>EVM row</x:v>
      </x:c>
      <x:c r="L130" s="133" t="str">
        <x:f>IF(D130&lt;=0,"No EVM votes",IF(E130&lt;$N$7,"Low",IF(E130&gt;$R$7,"High","Middle")))</x:f>
        <x:v>High</x:v>
      </x:c>
      <x:c r="M130" s="133" t="str">
        <x:f>IF(D130&lt;=0,"No EVM votes",IF(H130&lt;-20%,"Large deficit",IF(H130&lt;-5%,"Moderate deficit",IF(H130&lt;0,"Narrow deficit",IF(H130&lt;=5%,"Narrow lead/tie",IF(H130&lt;=20%,"Moderate lead","Large lead"))))))</x:f>
        <x:v>Large lead</x:v>
      </x:c>
    </x:row>
    <x:row r="131">
      <x:c r="A131" t="n">
        <x:v>72</x:v>
      </x:c>
      <x:c r="B131" t="str">
        <x:v>PRY. SCHOOL AMINABAD URF NYANA R.NO. 1</x:v>
      </x:c>
      <x:c r="C131" s="83" t="n">
        <x:f>'2019 Form20'!H80</x:f>
        <x:v>451</x:v>
      </x:c>
      <x:c r="D131" s="83" t="n">
        <x:f>'2019 Form20'!D80</x:f>
        <x:v>776</x:v>
      </x:c>
      <x:c r="E131" s="50" t="n">
        <x:f>'2019 Form20'!U80</x:f>
        <x:v>0.5811855670103093</x:v>
      </x:c>
      <x:c r="F131" t="n">
        <x:f>'2019 Form20'!V80</x:f>
        <x:v>304</x:v>
      </x:c>
      <x:c r="G131" t="n">
        <x:f>'2019 Form20'!W80</x:f>
        <x:v>147</x:v>
      </x:c>
      <x:c r="H131" s="52" t="n">
        <x:f>'2019 Form20'!X80</x:f>
        <x:v>0.18943298969072164</x:v>
      </x:c>
      <x:c r="I131" t="str">
        <x:v>SATVEER</x:v>
      </x:c>
      <x:c r="J131" t="str">
        <x:v>BSP</x:v>
      </x:c>
      <x:c r="K131" t="str">
        <x:v>EVM row</x:v>
      </x:c>
      <x:c r="L131" s="133" t="str">
        <x:f>IF(D131&lt;=0,"No EVM votes",IF(E131&lt;$N$7,"Low",IF(E131&gt;$R$7,"High","Middle")))</x:f>
        <x:v>Middle</x:v>
      </x:c>
      <x:c r="M131" s="133" t="str">
        <x:f>IF(D131&lt;=0,"No EVM votes",IF(H131&lt;-20%,"Large deficit",IF(H131&lt;-5%,"Moderate deficit",IF(H131&lt;0,"Narrow deficit",IF(H131&lt;=5%,"Narrow lead/tie",IF(H131&lt;=20%,"Moderate lead","Large lead"))))))</x:f>
        <x:v>Moderate lead</x:v>
      </x:c>
    </x:row>
    <x:row r="132">
      <x:c r="A132" t="n">
        <x:v>73</x:v>
      </x:c>
      <x:c r="B132" t="str">
        <x:v>NEHA PUBLIC SCHOOL RAMPUR MAZRA R.NO. 1</x:v>
      </x:c>
      <x:c r="C132" s="83" t="n">
        <x:f>'2019 Form20'!H81</x:f>
        <x:v>304</x:v>
      </x:c>
      <x:c r="D132" s="83" t="n">
        <x:f>'2019 Form20'!D81</x:f>
        <x:v>451</x:v>
      </x:c>
      <x:c r="E132" s="50" t="n">
        <x:f>'2019 Form20'!U81</x:f>
        <x:v>0.6740576496674058</x:v>
      </x:c>
      <x:c r="F132" t="n">
        <x:f>'2019 Form20'!V81</x:f>
        <x:v>138</x:v>
      </x:c>
      <x:c r="G132" t="n">
        <x:f>'2019 Form20'!W81</x:f>
        <x:v>166</x:v>
      </x:c>
      <x:c r="H132" s="52" t="n">
        <x:f>'2019 Form20'!X81</x:f>
        <x:v>0.36807095343680707</x:v>
      </x:c>
      <x:c r="I132" t="str">
        <x:v>SATVEER</x:v>
      </x:c>
      <x:c r="J132" t="str">
        <x:v>BSP</x:v>
      </x:c>
      <x:c r="K132" t="str">
        <x:v>EVM row</x:v>
      </x:c>
      <x:c r="L132" s="133" t="str">
        <x:f>IF(D132&lt;=0,"No EVM votes",IF(E132&lt;$N$7,"Low",IF(E132&gt;$R$7,"High","Middle")))</x:f>
        <x:v>High</x:v>
      </x:c>
      <x:c r="M132" s="133" t="str">
        <x:f>IF(D132&lt;=0,"No EVM votes",IF(H132&lt;-20%,"Large deficit",IF(H132&lt;-5%,"Moderate deficit",IF(H132&lt;0,"Narrow deficit",IF(H132&lt;=5%,"Narrow lead/tie",IF(H132&lt;=20%,"Moderate lead","Large lead"))))))</x:f>
        <x:v>Large lead</x:v>
      </x:c>
    </x:row>
    <x:row r="133">
      <x:c r="A133" t="n">
        <x:v>74</x:v>
      </x:c>
      <x:c r="B133" t="str">
        <x:v>NEHA PUBLIC SCHOOL RAMPUR MAZRA R.NO. 2</x:v>
      </x:c>
      <x:c r="C133" s="83" t="n">
        <x:f>'2019 Form20'!H82</x:f>
        <x:v>271</x:v>
      </x:c>
      <x:c r="D133" s="83" t="n">
        <x:f>'2019 Form20'!D82</x:f>
        <x:v>442</x:v>
      </x:c>
      <x:c r="E133" s="50" t="n">
        <x:f>'2019 Form20'!U82</x:f>
        <x:v>0.6131221719457014</x:v>
      </x:c>
      <x:c r="F133" t="n">
        <x:f>'2019 Form20'!V82</x:f>
        <x:v>158</x:v>
      </x:c>
      <x:c r="G133" t="n">
        <x:f>'2019 Form20'!W82</x:f>
        <x:v>113</x:v>
      </x:c>
      <x:c r="H133" s="52" t="n">
        <x:f>'2019 Form20'!X82</x:f>
        <x:v>0.25565610859728505</x:v>
      </x:c>
      <x:c r="I133" t="str">
        <x:v>SATVEER</x:v>
      </x:c>
      <x:c r="J133" t="str">
        <x:v>BSP</x:v>
      </x:c>
      <x:c r="K133" t="str">
        <x:v>EVM row</x:v>
      </x:c>
      <x:c r="L133" s="133" t="str">
        <x:f>IF(D133&lt;=0,"No EVM votes",IF(E133&lt;$N$7,"Low",IF(E133&gt;$R$7,"High","Middle")))</x:f>
        <x:v>Middle</x:v>
      </x:c>
      <x:c r="M133" s="133" t="str">
        <x:f>IF(D133&lt;=0,"No EVM votes",IF(H133&lt;-20%,"Large deficit",IF(H133&lt;-5%,"Moderate deficit",IF(H133&lt;0,"Narrow deficit",IF(H133&lt;=5%,"Narrow lead/tie",IF(H133&lt;=20%,"Moderate lead","Large lead"))))))</x:f>
        <x:v>Large lead</x:v>
      </x:c>
    </x:row>
    <x:row r="134">
      <x:c r="A134" t="n">
        <x:v>75</x:v>
      </x:c>
      <x:c r="B134" t="str">
        <x:v>PRY. SCHOOL KULIPURA R.NO. 1</x:v>
      </x:c>
      <x:c r="C134" s="83" t="n">
        <x:f>'2019 Form20'!H83</x:f>
        <x:v>305</x:v>
      </x:c>
      <x:c r="D134" s="83" t="n">
        <x:f>'2019 Form20'!D83</x:f>
        <x:v>588</x:v>
      </x:c>
      <x:c r="E134" s="50" t="n">
        <x:f>'2019 Form20'!U83</x:f>
        <x:v>0.5187074829931972</x:v>
      </x:c>
      <x:c r="F134" t="n">
        <x:f>'2019 Form20'!V83</x:f>
        <x:v>268</x:v>
      </x:c>
      <x:c r="G134" t="n">
        <x:f>'2019 Form20'!W83</x:f>
        <x:v>37</x:v>
      </x:c>
      <x:c r="H134" s="52" t="n">
        <x:f>'2019 Form20'!X83</x:f>
        <x:v>0.06292517006802721</x:v>
      </x:c>
      <x:c r="I134" t="str">
        <x:v>SATVEER</x:v>
      </x:c>
      <x:c r="J134" t="str">
        <x:v>BSP</x:v>
      </x:c>
      <x:c r="K134" t="str">
        <x:v>EVM row</x:v>
      </x:c>
      <x:c r="L134" s="133" t="str">
        <x:f>IF(D134&lt;=0,"No EVM votes",IF(E134&lt;$N$7,"Low",IF(E134&gt;$R$7,"High","Middle")))</x:f>
        <x:v>Middle</x:v>
      </x:c>
      <x:c r="M134" s="133" t="str">
        <x:f>IF(D134&lt;=0,"No EVM votes",IF(H134&lt;-20%,"Large deficit",IF(H134&lt;-5%,"Moderate deficit",IF(H134&lt;0,"Narrow deficit",IF(H134&lt;=5%,"Narrow lead/tie",IF(H134&lt;=20%,"Moderate lead","Large lead"))))))</x:f>
        <x:v>Moderate lead</x:v>
      </x:c>
    </x:row>
    <x:row r="135">
      <x:c r="A135" t="n">
        <x:v>76</x:v>
      </x:c>
      <x:c r="B135" t="str">
        <x:v>RAJENDRA I. C. VILASPUR R.NO. 1</x:v>
      </x:c>
      <x:c r="C135" s="83" t="n">
        <x:f>'2019 Form20'!H84</x:f>
        <x:v>244</x:v>
      </x:c>
      <x:c r="D135" s="83" t="n">
        <x:f>'2019 Form20'!D84</x:f>
        <x:v>558</x:v>
      </x:c>
      <x:c r="E135" s="50" t="n">
        <x:f>'2019 Form20'!U84</x:f>
        <x:v>0.43727598566308246</x:v>
      </x:c>
      <x:c r="F135" t="n">
        <x:f>'2019 Form20'!V84</x:f>
        <x:v>296</x:v>
      </x:c>
      <x:c r="G135" t="n">
        <x:f>'2019 Form20'!W84</x:f>
        <x:v>-52</x:v>
      </x:c>
      <x:c r="H135" s="52" t="n">
        <x:f>'2019 Form20'!X84</x:f>
        <x:v>-0.0931899641577061</x:v>
      </x:c>
      <x:c r="I135" t="str">
        <x:v>DR. MAHESH SHARMA</x:v>
      </x:c>
      <x:c r="J135" t="str">
        <x:v>BJP</x:v>
      </x:c>
      <x:c r="K135" t="str">
        <x:v>EVM row</x:v>
      </x:c>
      <x:c r="L135" s="133" t="str">
        <x:f>IF(D135&lt;=0,"No EVM votes",IF(E135&lt;$N$7,"Low",IF(E135&gt;$R$7,"High","Middle")))</x:f>
        <x:v>Middle</x:v>
      </x:c>
      <x:c r="M135" s="133" t="str">
        <x:f>IF(D135&lt;=0,"No EVM votes",IF(H135&lt;-20%,"Large deficit",IF(H135&lt;-5%,"Moderate deficit",IF(H135&lt;0,"Narrow deficit",IF(H135&lt;=5%,"Narrow lead/tie",IF(H135&lt;=20%,"Moderate lead","Large lead"))))))</x:f>
        <x:v>Moderate deficit</x:v>
      </x:c>
    </x:row>
    <x:row r="136">
      <x:c r="A136" t="n">
        <x:v>77</x:v>
      </x:c>
      <x:c r="B136" t="str">
        <x:v>RAJENDRA I. C. VILASPUR R.NO. 2</x:v>
      </x:c>
      <x:c r="C136" s="83" t="n">
        <x:f>'2019 Form20'!H85</x:f>
        <x:v>138</x:v>
      </x:c>
      <x:c r="D136" s="83" t="n">
        <x:f>'2019 Form20'!D85</x:f>
        <x:v>408</x:v>
      </x:c>
      <x:c r="E136" s="50" t="n">
        <x:f>'2019 Form20'!U85</x:f>
        <x:v>0.3382352941176471</x:v>
      </x:c>
      <x:c r="F136" t="n">
        <x:f>'2019 Form20'!V85</x:f>
        <x:v>259</x:v>
      </x:c>
      <x:c r="G136" t="n">
        <x:f>'2019 Form20'!W85</x:f>
        <x:v>-121</x:v>
      </x:c>
      <x:c r="H136" s="52" t="n">
        <x:f>'2019 Form20'!X85</x:f>
        <x:v>-0.2965686274509804</x:v>
      </x:c>
      <x:c r="I136" t="str">
        <x:v>DR. MAHESH SHARMA</x:v>
      </x:c>
      <x:c r="J136" t="str">
        <x:v>BJP</x:v>
      </x:c>
      <x:c r="K136" t="str">
        <x:v>EVM row</x:v>
      </x:c>
      <x:c r="L136" s="133" t="str">
        <x:f>IF(D136&lt;=0,"No EVM votes",IF(E136&lt;$N$7,"Low",IF(E136&gt;$R$7,"High","Middle")))</x:f>
        <x:v>Middle</x:v>
      </x:c>
      <x:c r="M136" s="133" t="str">
        <x:f>IF(D136&lt;=0,"No EVM votes",IF(H136&lt;-20%,"Large deficit",IF(H136&lt;-5%,"Moderate deficit",IF(H136&lt;0,"Narrow deficit",IF(H136&lt;=5%,"Narrow lead/tie",IF(H136&lt;=20%,"Moderate lead","Large lead"))))))</x:f>
        <x:v>Large deficit</x:v>
      </x:c>
    </x:row>
    <x:row r="137">
      <x:c r="A137" t="n">
        <x:v>78</x:v>
      </x:c>
      <x:c r="B137" t="str">
        <x:v>RAJENDRA I. C. VILASPUR R.NO. 3</x:v>
      </x:c>
      <x:c r="C137" s="83" t="n">
        <x:f>'2019 Form20'!H86</x:f>
        <x:v>380</x:v>
      </x:c>
      <x:c r="D137" s="83" t="n">
        <x:f>'2019 Form20'!D86</x:f>
        <x:v>632</x:v>
      </x:c>
      <x:c r="E137" s="50" t="n">
        <x:f>'2019 Form20'!U86</x:f>
        <x:v>0.6012658227848101</x:v>
      </x:c>
      <x:c r="F137" t="n">
        <x:f>'2019 Form20'!V86</x:f>
        <x:v>234</x:v>
      </x:c>
      <x:c r="G137" t="n">
        <x:f>'2019 Form20'!W86</x:f>
        <x:v>146</x:v>
      </x:c>
      <x:c r="H137" s="52" t="n">
        <x:f>'2019 Form20'!X86</x:f>
        <x:v>0.2310126582278481</x:v>
      </x:c>
      <x:c r="I137" t="str">
        <x:v>SATVEER</x:v>
      </x:c>
      <x:c r="J137" t="str">
        <x:v>BSP</x:v>
      </x:c>
      <x:c r="K137" t="str">
        <x:v>EVM row</x:v>
      </x:c>
      <x:c r="L137" s="133" t="str">
        <x:f>IF(D137&lt;=0,"No EVM votes",IF(E137&lt;$N$7,"Low",IF(E137&gt;$R$7,"High","Middle")))</x:f>
        <x:v>Middle</x:v>
      </x:c>
      <x:c r="M137" s="133" t="str">
        <x:f>IF(D137&lt;=0,"No EVM votes",IF(H137&lt;-20%,"Large deficit",IF(H137&lt;-5%,"Moderate deficit",IF(H137&lt;0,"Narrow deficit",IF(H137&lt;=5%,"Narrow lead/tie",IF(H137&lt;=20%,"Moderate lead","Large lead"))))))</x:f>
        <x:v>Large lead</x:v>
      </x:c>
    </x:row>
    <x:row r="138">
      <x:c r="A138" t="n">
        <x:v>79</x:v>
      </x:c>
      <x:c r="B138" t="str">
        <x:v>RAJENDRA I. C. VILASPUR R.NO. 4</x:v>
      </x:c>
      <x:c r="C138" s="83" t="n">
        <x:f>'2019 Form20'!H87</x:f>
        <x:v>419</x:v>
      </x:c>
      <x:c r="D138" s="83" t="n">
        <x:f>'2019 Form20'!D87</x:f>
        <x:v>581</x:v>
      </x:c>
      <x:c r="E138" s="50" t="n">
        <x:f>'2019 Form20'!U87</x:f>
        <x:v>0.7211703958691911</x:v>
      </x:c>
      <x:c r="F138" t="n">
        <x:f>'2019 Form20'!V87</x:f>
        <x:v>144</x:v>
      </x:c>
      <x:c r="G138" t="n">
        <x:f>'2019 Form20'!W87</x:f>
        <x:v>275</x:v>
      </x:c>
      <x:c r="H138" s="52" t="n">
        <x:f>'2019 Form20'!X87</x:f>
        <x:v>0.47332185886402756</x:v>
      </x:c>
      <x:c r="I138" t="str">
        <x:v>SATVEER</x:v>
      </x:c>
      <x:c r="J138" t="str">
        <x:v>BSP</x:v>
      </x:c>
      <x:c r="K138" t="str">
        <x:v>EVM row</x:v>
      </x:c>
      <x:c r="L138" s="133" t="str">
        <x:f>IF(D138&lt;=0,"No EVM votes",IF(E138&lt;$N$7,"Low",IF(E138&gt;$R$7,"High","Middle")))</x:f>
        <x:v>High</x:v>
      </x:c>
      <x:c r="M138" s="133" t="str">
        <x:f>IF(D138&lt;=0,"No EVM votes",IF(H138&lt;-20%,"Large deficit",IF(H138&lt;-5%,"Moderate deficit",IF(H138&lt;0,"Narrow deficit",IF(H138&lt;=5%,"Narrow lead/tie",IF(H138&lt;=20%,"Moderate lead","Large lead"))))))</x:f>
        <x:v>Large lead</x:v>
      </x:c>
    </x:row>
    <x:row r="139">
      <x:c r="A139" t="n">
        <x:v>80</x:v>
      </x:c>
      <x:c r="B139" t="str">
        <x:v>RAJENDRA I. C. VILASPUR R.NO. 5</x:v>
      </x:c>
      <x:c r="C139" s="83" t="n">
        <x:f>'2019 Form20'!H88</x:f>
        <x:v>149</x:v>
      </x:c>
      <x:c r="D139" s="83" t="n">
        <x:f>'2019 Form20'!D88</x:f>
        <x:v>595</x:v>
      </x:c>
      <x:c r="E139" s="50" t="n">
        <x:f>'2019 Form20'!U88</x:f>
        <x:v>0.2504201680672269</x:v>
      </x:c>
      <x:c r="F139" t="n">
        <x:f>'2019 Form20'!V88</x:f>
        <x:v>429</x:v>
      </x:c>
      <x:c r="G139" t="n">
        <x:f>'2019 Form20'!W88</x:f>
        <x:v>-280</x:v>
      </x:c>
      <x:c r="H139" s="52" t="n">
        <x:f>'2019 Form20'!X88</x:f>
        <x:v>-0.47058823529411764</x:v>
      </x:c>
      <x:c r="I139" t="str">
        <x:v>DR. MAHESH SHARMA</x:v>
      </x:c>
      <x:c r="J139" t="str">
        <x:v>BJP</x:v>
      </x:c>
      <x:c r="K139" t="str">
        <x:v>EVM row</x:v>
      </x:c>
      <x:c r="L139" s="133" t="str">
        <x:f>IF(D139&lt;=0,"No EVM votes",IF(E139&lt;$N$7,"Low",IF(E139&gt;$R$7,"High","Middle")))</x:f>
        <x:v>Middle</x:v>
      </x:c>
      <x:c r="M139" s="133" t="str">
        <x:f>IF(D139&lt;=0,"No EVM votes",IF(H139&lt;-20%,"Large deficit",IF(H139&lt;-5%,"Moderate deficit",IF(H139&lt;0,"Narrow deficit",IF(H139&lt;=5%,"Narrow lead/tie",IF(H139&lt;=20%,"Moderate lead","Large lead"))))))</x:f>
        <x:v>Large deficit</x:v>
      </x:c>
    </x:row>
    <x:row r="140">
      <x:c r="A140" t="n">
        <x:v>81</x:v>
      </x:c>
      <x:c r="B140" t="str">
        <x:v>RAJENDRA I. C. VILASPUR R.NO. 6</x:v>
      </x:c>
      <x:c r="C140" s="83" t="n">
        <x:f>'2019 Form20'!H89</x:f>
        <x:v>159</x:v>
      </x:c>
      <x:c r="D140" s="83" t="n">
        <x:f>'2019 Form20'!D89</x:f>
        <x:v>429</x:v>
      </x:c>
      <x:c r="E140" s="50" t="n">
        <x:f>'2019 Form20'!U89</x:f>
        <x:v>0.3706293706293706</x:v>
      </x:c>
      <x:c r="F140" t="n">
        <x:f>'2019 Form20'!V89</x:f>
        <x:v>248</x:v>
      </x:c>
      <x:c r="G140" t="n">
        <x:f>'2019 Form20'!W89</x:f>
        <x:v>-89</x:v>
      </x:c>
      <x:c r="H140" s="52" t="n">
        <x:f>'2019 Form20'!X89</x:f>
        <x:v>-0.20745920745920746</x:v>
      </x:c>
      <x:c r="I140" t="str">
        <x:v>DR. MAHESH SHARMA</x:v>
      </x:c>
      <x:c r="J140" t="str">
        <x:v>BJP</x:v>
      </x:c>
      <x:c r="K140" t="str">
        <x:v>EVM row</x:v>
      </x:c>
      <x:c r="L140" s="133" t="str">
        <x:f>IF(D140&lt;=0,"No EVM votes",IF(E140&lt;$N$7,"Low",IF(E140&gt;$R$7,"High","Middle")))</x:f>
        <x:v>Middle</x:v>
      </x:c>
      <x:c r="M140" s="133" t="str">
        <x:f>IF(D140&lt;=0,"No EVM votes",IF(H140&lt;-20%,"Large deficit",IF(H140&lt;-5%,"Moderate deficit",IF(H140&lt;0,"Narrow deficit",IF(H140&lt;=5%,"Narrow lead/tie",IF(H140&lt;=20%,"Moderate lead","Large lead"))))))</x:f>
        <x:v>Large deficit</x:v>
      </x:c>
    </x:row>
    <x:row r="141">
      <x:c r="A141" t="n">
        <x:v>82</x:v>
      </x:c>
      <x:c r="B141" t="str">
        <x:v>RAJENDRA I. C. VILASPUR R.NO. 7</x:v>
      </x:c>
      <x:c r="C141" s="83" t="n">
        <x:f>'2019 Form20'!H90</x:f>
        <x:v>510</x:v>
      </x:c>
      <x:c r="D141" s="83" t="n">
        <x:f>'2019 Form20'!D90</x:f>
        <x:v>605</x:v>
      </x:c>
      <x:c r="E141" s="50" t="n">
        <x:f>'2019 Form20'!U90</x:f>
        <x:v>0.8429752066115702</x:v>
      </x:c>
      <x:c r="F141" t="n">
        <x:f>'2019 Form20'!V90</x:f>
        <x:v>83</x:v>
      </x:c>
      <x:c r="G141" t="n">
        <x:f>'2019 Form20'!W90</x:f>
        <x:v>427</x:v>
      </x:c>
      <x:c r="H141" s="52" t="n">
        <x:f>'2019 Form20'!X90</x:f>
        <x:v>0.7057851239669422</x:v>
      </x:c>
      <x:c r="I141" t="str">
        <x:v>SATVEER</x:v>
      </x:c>
      <x:c r="J141" t="str">
        <x:v>BSP</x:v>
      </x:c>
      <x:c r="K141" t="str">
        <x:v>EVM row</x:v>
      </x:c>
      <x:c r="L141" s="133" t="str">
        <x:f>IF(D141&lt;=0,"No EVM votes",IF(E141&lt;$N$7,"Low",IF(E141&gt;$R$7,"High","Middle")))</x:f>
        <x:v>High</x:v>
      </x:c>
      <x:c r="M141" s="133" t="str">
        <x:f>IF(D141&lt;=0,"No EVM votes",IF(H141&lt;-20%,"Large deficit",IF(H141&lt;-5%,"Moderate deficit",IF(H141&lt;0,"Narrow deficit",IF(H141&lt;=5%,"Narrow lead/tie",IF(H141&lt;=20%,"Moderate lead","Large lead"))))))</x:f>
        <x:v>Large lead</x:v>
      </x:c>
    </x:row>
    <x:row r="142">
      <x:c r="A142" t="n">
        <x:v>83</x:v>
      </x:c>
      <x:c r="B142" t="str">
        <x:v>RAJENDRA I. C. VILASPUR R.NO. 8</x:v>
      </x:c>
      <x:c r="C142" s="83" t="n">
        <x:f>'2019 Form20'!H91</x:f>
        <x:v>495</x:v>
      </x:c>
      <x:c r="D142" s="83" t="n">
        <x:f>'2019 Form20'!D91</x:f>
        <x:v>619</x:v>
      </x:c>
      <x:c r="E142" s="50" t="n">
        <x:f>'2019 Form20'!U91</x:f>
        <x:v>0.7996768982229402</x:v>
      </x:c>
      <x:c r="F142" t="n">
        <x:f>'2019 Form20'!V91</x:f>
        <x:v>91</x:v>
      </x:c>
      <x:c r="G142" t="n">
        <x:f>'2019 Form20'!W91</x:f>
        <x:v>404</x:v>
      </x:c>
      <x:c r="H142" s="52" t="n">
        <x:f>'2019 Form20'!X91</x:f>
        <x:v>0.6526655896607432</x:v>
      </x:c>
      <x:c r="I142" t="str">
        <x:v>SATVEER</x:v>
      </x:c>
      <x:c r="J142" t="str">
        <x:v>BSP</x:v>
      </x:c>
      <x:c r="K142" t="str">
        <x:v>EVM row</x:v>
      </x:c>
      <x:c r="L142" s="133" t="str">
        <x:f>IF(D142&lt;=0,"No EVM votes",IF(E142&lt;$N$7,"Low",IF(E142&gt;$R$7,"High","Middle")))</x:f>
        <x:v>High</x:v>
      </x:c>
      <x:c r="M142" s="133" t="str">
        <x:f>IF(D142&lt;=0,"No EVM votes",IF(H142&lt;-20%,"Large deficit",IF(H142&lt;-5%,"Moderate deficit",IF(H142&lt;0,"Narrow deficit",IF(H142&lt;=5%,"Narrow lead/tie",IF(H142&lt;=20%,"Moderate lead","Large lead"))))))</x:f>
        <x:v>Large lead</x:v>
      </x:c>
    </x:row>
    <x:row r="143">
      <x:c r="A143" t="n">
        <x:v>84</x:v>
      </x:c>
      <x:c r="B143" t="str">
        <x:v>RAJENDRA I. C. VILASPUR R.NO. 9</x:v>
      </x:c>
      <x:c r="C143" s="83" t="n">
        <x:f>'2019 Form20'!H92</x:f>
        <x:v>686</x:v>
      </x:c>
      <x:c r="D143" s="83" t="n">
        <x:f>'2019 Form20'!D92</x:f>
        <x:v>732</x:v>
      </x:c>
      <x:c r="E143" s="50" t="n">
        <x:f>'2019 Form20'!U92</x:f>
        <x:v>0.9371584699453552</x:v>
      </x:c>
      <x:c r="F143" t="n">
        <x:f>'2019 Form20'!V92</x:f>
        <x:v>28</x:v>
      </x:c>
      <x:c r="G143" t="n">
        <x:f>'2019 Form20'!W92</x:f>
        <x:v>658</x:v>
      </x:c>
      <x:c r="H143" s="52" t="n">
        <x:f>'2019 Form20'!X92</x:f>
        <x:v>0.8989071038251366</x:v>
      </x:c>
      <x:c r="I143" t="str">
        <x:v>SATVEER</x:v>
      </x:c>
      <x:c r="J143" t="str">
        <x:v>BSP</x:v>
      </x:c>
      <x:c r="K143" t="str">
        <x:v>EVM row</x:v>
      </x:c>
      <x:c r="L143" s="133" t="str">
        <x:f>IF(D143&lt;=0,"No EVM votes",IF(E143&lt;$N$7,"Low",IF(E143&gt;$R$7,"High","Middle")))</x:f>
        <x:v>High</x:v>
      </x:c>
      <x:c r="M143" s="133" t="str">
        <x:f>IF(D143&lt;=0,"No EVM votes",IF(H143&lt;-20%,"Large deficit",IF(H143&lt;-5%,"Moderate deficit",IF(H143&lt;0,"Narrow deficit",IF(H143&lt;=5%,"Narrow lead/tie",IF(H143&lt;=20%,"Moderate lead","Large lead"))))))</x:f>
        <x:v>Large lead</x:v>
      </x:c>
    </x:row>
    <x:row r="144">
      <x:c r="A144" t="n">
        <x:v>85</x:v>
      </x:c>
      <x:c r="B144" t="str">
        <x:v>PRY. SCHOOL AZAMPUR GARHI R.NO. 1</x:v>
      </x:c>
      <x:c r="C144" s="83" t="n">
        <x:f>'2019 Form20'!H93</x:f>
        <x:v>250</x:v>
      </x:c>
      <x:c r="D144" s="83" t="n">
        <x:f>'2019 Form20'!D93</x:f>
        <x:v>715</x:v>
      </x:c>
      <x:c r="E144" s="50" t="n">
        <x:f>'2019 Form20'!U93</x:f>
        <x:v>0.34965034965034963</x:v>
      </x:c>
      <x:c r="F144" t="n">
        <x:f>'2019 Form20'!V93</x:f>
        <x:v>434</x:v>
      </x:c>
      <x:c r="G144" t="n">
        <x:f>'2019 Form20'!W93</x:f>
        <x:v>-184</x:v>
      </x:c>
      <x:c r="H144" s="52" t="n">
        <x:f>'2019 Form20'!X93</x:f>
        <x:v>-0.2573426573426573</x:v>
      </x:c>
      <x:c r="I144" t="str">
        <x:v>DR. MAHESH SHARMA</x:v>
      </x:c>
      <x:c r="J144" t="str">
        <x:v>BJP</x:v>
      </x:c>
      <x:c r="K144" t="str">
        <x:v>EVM row</x:v>
      </x:c>
      <x:c r="L144" s="133" t="str">
        <x:f>IF(D144&lt;=0,"No EVM votes",IF(E144&lt;$N$7,"Low",IF(E144&gt;$R$7,"High","Middle")))</x:f>
        <x:v>Middle</x:v>
      </x:c>
      <x:c r="M144" s="133" t="str">
        <x:f>IF(D144&lt;=0,"No EVM votes",IF(H144&lt;-20%,"Large deficit",IF(H144&lt;-5%,"Moderate deficit",IF(H144&lt;0,"Narrow deficit",IF(H144&lt;=5%,"Narrow lead/tie",IF(H144&lt;=20%,"Moderate lead","Large lead"))))))</x:f>
        <x:v>Large deficit</x:v>
      </x:c>
    </x:row>
    <x:row r="145">
      <x:c r="A145" t="n">
        <x:v>86</x:v>
      </x:c>
      <x:c r="B145" t="str">
        <x:v>PRY. SCHOOL BANJARPUR R.NO. 1</x:v>
      </x:c>
      <x:c r="C145" s="83" t="n">
        <x:f>'2019 Form20'!H94</x:f>
        <x:v>525</x:v>
      </x:c>
      <x:c r="D145" s="83" t="n">
        <x:f>'2019 Form20'!D94</x:f>
        <x:v>664</x:v>
      </x:c>
      <x:c r="E145" s="50" t="n">
        <x:f>'2019 Form20'!U94</x:f>
        <x:v>0.7906626506024096</x:v>
      </x:c>
      <x:c r="F145" t="n">
        <x:f>'2019 Form20'!V94</x:f>
        <x:v>131</x:v>
      </x:c>
      <x:c r="G145" t="n">
        <x:f>'2019 Form20'!W94</x:f>
        <x:v>394</x:v>
      </x:c>
      <x:c r="H145" s="52" t="n">
        <x:f>'2019 Form20'!X94</x:f>
        <x:v>0.5933734939759037</x:v>
      </x:c>
      <x:c r="I145" t="str">
        <x:v>SATVEER</x:v>
      </x:c>
      <x:c r="J145" t="str">
        <x:v>BSP</x:v>
      </x:c>
      <x:c r="K145" t="str">
        <x:v>EVM row</x:v>
      </x:c>
      <x:c r="L145" s="133" t="str">
        <x:f>IF(D145&lt;=0,"No EVM votes",IF(E145&lt;$N$7,"Low",IF(E145&gt;$R$7,"High","Middle")))</x:f>
        <x:v>High</x:v>
      </x:c>
      <x:c r="M145" s="133" t="str">
        <x:f>IF(D145&lt;=0,"No EVM votes",IF(H145&lt;-20%,"Large deficit",IF(H145&lt;-5%,"Moderate deficit",IF(H145&lt;0,"Narrow deficit",IF(H145&lt;=5%,"Narrow lead/tie",IF(H145&lt;=20%,"Moderate lead","Large lead"))))))</x:f>
        <x:v>Large lead</x:v>
      </x:c>
    </x:row>
    <x:row r="146">
      <x:c r="A146" t="n">
        <x:v>87</x:v>
      </x:c>
      <x:c r="B146" t="str">
        <x:v>PRY. SCHOOL BANJARPUR R.NO. 2</x:v>
      </x:c>
      <x:c r="C146" s="83" t="n">
        <x:f>'2019 Form20'!H95</x:f>
        <x:v>490</x:v>
      </x:c>
      <x:c r="D146" s="83" t="n">
        <x:f>'2019 Form20'!D95</x:f>
        <x:v>584</x:v>
      </x:c>
      <x:c r="E146" s="50" t="n">
        <x:f>'2019 Form20'!U95</x:f>
        <x:v>0.839041095890411</x:v>
      </x:c>
      <x:c r="F146" t="n">
        <x:f>'2019 Form20'!V95</x:f>
        <x:v>80</x:v>
      </x:c>
      <x:c r="G146" t="n">
        <x:f>'2019 Form20'!W95</x:f>
        <x:v>410</x:v>
      </x:c>
      <x:c r="H146" s="52" t="n">
        <x:f>'2019 Form20'!X95</x:f>
        <x:v>0.702054794520548</x:v>
      </x:c>
      <x:c r="I146" t="str">
        <x:v>SATVEER</x:v>
      </x:c>
      <x:c r="J146" t="str">
        <x:v>BSP</x:v>
      </x:c>
      <x:c r="K146" t="str">
        <x:v>EVM row</x:v>
      </x:c>
      <x:c r="L146" s="133" t="str">
        <x:f>IF(D146&lt;=0,"No EVM votes",IF(E146&lt;$N$7,"Low",IF(E146&gt;$R$7,"High","Middle")))</x:f>
        <x:v>High</x:v>
      </x:c>
      <x:c r="M146" s="133" t="str">
        <x:f>IF(D146&lt;=0,"No EVM votes",IF(H146&lt;-20%,"Large deficit",IF(H146&lt;-5%,"Moderate deficit",IF(H146&lt;0,"Narrow deficit",IF(H146&lt;=5%,"Narrow lead/tie",IF(H146&lt;=20%,"Moderate lead","Large lead"))))))</x:f>
        <x:v>Large lead</x:v>
      </x:c>
    </x:row>
    <x:row r="147">
      <x:c r="A147" t="n">
        <x:v>88</x:v>
      </x:c>
      <x:c r="B147" t="str">
        <x:v>PRY. SCHOOL SARAKPUR R.NO. 1</x:v>
      </x:c>
      <x:c r="C147" s="83" t="n">
        <x:f>'2019 Form20'!H96</x:f>
        <x:v>210</x:v>
      </x:c>
      <x:c r="D147" s="83" t="n">
        <x:f>'2019 Form20'!D96</x:f>
        <x:v>478</x:v>
      </x:c>
      <x:c r="E147" s="50" t="n">
        <x:f>'2019 Form20'!U96</x:f>
        <x:v>0.4393305439330544</x:v>
      </x:c>
      <x:c r="F147" t="n">
        <x:f>'2019 Form20'!V96</x:f>
        <x:v>264</x:v>
      </x:c>
      <x:c r="G147" t="n">
        <x:f>'2019 Form20'!W96</x:f>
        <x:v>-54</x:v>
      </x:c>
      <x:c r="H147" s="52" t="n">
        <x:f>'2019 Form20'!X96</x:f>
        <x:v>-0.11297071129707113</x:v>
      </x:c>
      <x:c r="I147" t="str">
        <x:v>DR. MAHESH SHARMA</x:v>
      </x:c>
      <x:c r="J147" t="str">
        <x:v>BJP</x:v>
      </x:c>
      <x:c r="K147" t="str">
        <x:v>EVM row</x:v>
      </x:c>
      <x:c r="L147" s="133" t="str">
        <x:f>IF(D147&lt;=0,"No EVM votes",IF(E147&lt;$N$7,"Low",IF(E147&gt;$R$7,"High","Middle")))</x:f>
        <x:v>Middle</x:v>
      </x:c>
      <x:c r="M147" s="133" t="str">
        <x:f>IF(D147&lt;=0,"No EVM votes",IF(H147&lt;-20%,"Large deficit",IF(H147&lt;-5%,"Moderate deficit",IF(H147&lt;0,"Narrow deficit",IF(H147&lt;=5%,"Narrow lead/tie",IF(H147&lt;=20%,"Moderate lead","Large lead"))))))</x:f>
        <x:v>Moderate deficit</x:v>
      </x:c>
    </x:row>
    <x:row r="148">
      <x:c r="A148" t="n">
        <x:v>89</x:v>
      </x:c>
      <x:c r="B148" t="str">
        <x:v>PRY. SCHOOL BHATTA R.NO. 1</x:v>
      </x:c>
      <x:c r="C148" s="83" t="n">
        <x:f>'2019 Form20'!H97</x:f>
        <x:v>239</x:v>
      </x:c>
      <x:c r="D148" s="83" t="n">
        <x:f>'2019 Form20'!D97</x:f>
        <x:v>668</x:v>
      </x:c>
      <x:c r="E148" s="50" t="n">
        <x:f>'2019 Form20'!U97</x:f>
        <x:v>0.35778443113772457</x:v>
      </x:c>
      <x:c r="F148" t="n">
        <x:f>'2019 Form20'!V97</x:f>
        <x:v>391</x:v>
      </x:c>
      <x:c r="G148" t="n">
        <x:f>'2019 Form20'!W97</x:f>
        <x:v>-152</x:v>
      </x:c>
      <x:c r="H148" s="52" t="n">
        <x:f>'2019 Form20'!X97</x:f>
        <x:v>-0.2275449101796407</x:v>
      </x:c>
      <x:c r="I148" t="str">
        <x:v>DR. MAHESH SHARMA</x:v>
      </x:c>
      <x:c r="J148" t="str">
        <x:v>BJP</x:v>
      </x:c>
      <x:c r="K148" t="str">
        <x:v>EVM row</x:v>
      </x:c>
      <x:c r="L148" s="133" t="str">
        <x:f>IF(D148&lt;=0,"No EVM votes",IF(E148&lt;$N$7,"Low",IF(E148&gt;$R$7,"High","Middle")))</x:f>
        <x:v>Middle</x:v>
      </x:c>
      <x:c r="M148" s="133" t="str">
        <x:f>IF(D148&lt;=0,"No EVM votes",IF(H148&lt;-20%,"Large deficit",IF(H148&lt;-5%,"Moderate deficit",IF(H148&lt;0,"Narrow deficit",IF(H148&lt;=5%,"Narrow lead/tie",IF(H148&lt;=20%,"Moderate lead","Large lead"))))))</x:f>
        <x:v>Large deficit</x:v>
      </x:c>
    </x:row>
    <x:row r="149">
      <x:c r="A149" t="n">
        <x:v>90</x:v>
      </x:c>
      <x:c r="B149" t="str">
        <x:v>PRY. SCHOOL BHATTA R.NO. 2</x:v>
      </x:c>
      <x:c r="C149" s="83" t="n">
        <x:f>'2019 Form20'!H98</x:f>
        <x:v>170</x:v>
      </x:c>
      <x:c r="D149" s="83" t="n">
        <x:f>'2019 Form20'!D98</x:f>
        <x:v>606</x:v>
      </x:c>
      <x:c r="E149" s="50" t="n">
        <x:f>'2019 Form20'!U98</x:f>
        <x:v>0.28052805280528054</x:v>
      </x:c>
      <x:c r="F149" t="n">
        <x:f>'2019 Form20'!V98</x:f>
        <x:v>415</x:v>
      </x:c>
      <x:c r="G149" t="n">
        <x:f>'2019 Form20'!W98</x:f>
        <x:v>-245</x:v>
      </x:c>
      <x:c r="H149" s="52" t="n">
        <x:f>'2019 Form20'!X98</x:f>
        <x:v>-0.4042904290429043</x:v>
      </x:c>
      <x:c r="I149" t="str">
        <x:v>DR. MAHESH SHARMA</x:v>
      </x:c>
      <x:c r="J149" t="str">
        <x:v>BJP</x:v>
      </x:c>
      <x:c r="K149" t="str">
        <x:v>EVM row</x:v>
      </x:c>
      <x:c r="L149" s="133" t="str">
        <x:f>IF(D149&lt;=0,"No EVM votes",IF(E149&lt;$N$7,"Low",IF(E149&gt;$R$7,"High","Middle")))</x:f>
        <x:v>Middle</x:v>
      </x:c>
      <x:c r="M149" s="133" t="str">
        <x:f>IF(D149&lt;=0,"No EVM votes",IF(H149&lt;-20%,"Large deficit",IF(H149&lt;-5%,"Moderate deficit",IF(H149&lt;0,"Narrow deficit",IF(H149&lt;=5%,"Narrow lead/tie",IF(H149&lt;=20%,"Moderate lead","Large lead"))))))</x:f>
        <x:v>Large deficit</x:v>
      </x:c>
    </x:row>
    <x:row r="150">
      <x:c r="A150" t="n">
        <x:v>91</x:v>
      </x:c>
      <x:c r="B150" t="str">
        <x:v>PRY. SCHOOL BHATTA R.NO. 3</x:v>
      </x:c>
      <x:c r="C150" s="83" t="n">
        <x:f>'2019 Form20'!H99</x:f>
        <x:v>269</x:v>
      </x:c>
      <x:c r="D150" s="83" t="n">
        <x:f>'2019 Form20'!D99</x:f>
        <x:v>474</x:v>
      </x:c>
      <x:c r="E150" s="50" t="n">
        <x:f>'2019 Form20'!U99</x:f>
        <x:v>0.5675105485232067</x:v>
      </x:c>
      <x:c r="F150" t="n">
        <x:f>'2019 Form20'!V99</x:f>
        <x:v>174</x:v>
      </x:c>
      <x:c r="G150" t="n">
        <x:f>'2019 Form20'!W99</x:f>
        <x:v>95</x:v>
      </x:c>
      <x:c r="H150" s="52" t="n">
        <x:f>'2019 Form20'!X99</x:f>
        <x:v>0.20042194092827004</x:v>
      </x:c>
      <x:c r="I150" t="str">
        <x:v>SATVEER</x:v>
      </x:c>
      <x:c r="J150" t="str">
        <x:v>BSP</x:v>
      </x:c>
      <x:c r="K150" t="str">
        <x:v>EVM row</x:v>
      </x:c>
      <x:c r="L150" s="133" t="str">
        <x:f>IF(D150&lt;=0,"No EVM votes",IF(E150&lt;$N$7,"Low",IF(E150&gt;$R$7,"High","Middle")))</x:f>
        <x:v>Middle</x:v>
      </x:c>
      <x:c r="M150" s="133" t="str">
        <x:f>IF(D150&lt;=0,"No EVM votes",IF(H150&lt;-20%,"Large deficit",IF(H150&lt;-5%,"Moderate deficit",IF(H150&lt;0,"Narrow deficit",IF(H150&lt;=5%,"Narrow lead/tie",IF(H150&lt;=20%,"Moderate lead","Large lead"))))))</x:f>
        <x:v>Large lead</x:v>
      </x:c>
    </x:row>
    <x:row r="151">
      <x:c r="A151" t="n">
        <x:v>92</x:v>
      </x:c>
      <x:c r="B151" t="str">
        <x:v>PRY. SCHOOL CHUHARPUR BANGAR R.NO. 1</x:v>
      </x:c>
      <x:c r="C151" s="83" t="n">
        <x:f>'2019 Form20'!H100</x:f>
        <x:v>708</x:v>
      </x:c>
      <x:c r="D151" s="83" t="n">
        <x:f>'2019 Form20'!D100</x:f>
        <x:v>750</x:v>
      </x:c>
      <x:c r="E151" s="50" t="n">
        <x:f>'2019 Form20'!U100</x:f>
        <x:v>0.944</x:v>
      </x:c>
      <x:c r="F151" t="n">
        <x:f>'2019 Form20'!V100</x:f>
        <x:v>29</x:v>
      </x:c>
      <x:c r="G151" t="n">
        <x:f>'2019 Form20'!W100</x:f>
        <x:v>679</x:v>
      </x:c>
      <x:c r="H151" s="52" t="n">
        <x:f>'2019 Form20'!X100</x:f>
        <x:v>0.9053333333333333</x:v>
      </x:c>
      <x:c r="I151" t="str">
        <x:v>SATVEER</x:v>
      </x:c>
      <x:c r="J151" t="str">
        <x:v>BSP</x:v>
      </x:c>
      <x:c r="K151" t="str">
        <x:v>EVM row</x:v>
      </x:c>
      <x:c r="L151" s="133" t="str">
        <x:f>IF(D151&lt;=0,"No EVM votes",IF(E151&lt;$N$7,"Low",IF(E151&gt;$R$7,"High","Middle")))</x:f>
        <x:v>High</x:v>
      </x:c>
      <x:c r="M151" s="133" t="str">
        <x:f>IF(D151&lt;=0,"No EVM votes",IF(H151&lt;-20%,"Large deficit",IF(H151&lt;-5%,"Moderate deficit",IF(H151&lt;0,"Narrow deficit",IF(H151&lt;=5%,"Narrow lead/tie",IF(H151&lt;=20%,"Moderate lead","Large lead"))))))</x:f>
        <x:v>Large lead</x:v>
      </x:c>
    </x:row>
    <x:row r="152">
      <x:c r="A152" t="n">
        <x:v>93</x:v>
      </x:c>
      <x:c r="B152" t="str">
        <x:v>PRY. PATH. TALRA R.NO. 1</x:v>
      </x:c>
      <x:c r="C152" s="83" t="n">
        <x:f>'2019 Form20'!H101</x:f>
        <x:v>480</x:v>
      </x:c>
      <x:c r="D152" s="83" t="n">
        <x:f>'2019 Form20'!D101</x:f>
        <x:v>583</x:v>
      </x:c>
      <x:c r="E152" s="50" t="n">
        <x:f>'2019 Form20'!U101</x:f>
        <x:v>0.823327615780446</x:v>
      </x:c>
      <x:c r="F152" t="n">
        <x:f>'2019 Form20'!V101</x:f>
        <x:v>94</x:v>
      </x:c>
      <x:c r="G152" t="n">
        <x:f>'2019 Form20'!W101</x:f>
        <x:v>386</x:v>
      </x:c>
      <x:c r="H152" s="52" t="n">
        <x:f>'2019 Form20'!X101</x:f>
        <x:v>0.6620926243567753</x:v>
      </x:c>
      <x:c r="I152" t="str">
        <x:v>SATVEER</x:v>
      </x:c>
      <x:c r="J152" t="str">
        <x:v>BSP</x:v>
      </x:c>
      <x:c r="K152" t="str">
        <x:v>EVM row</x:v>
      </x:c>
      <x:c r="L152" s="133" t="str">
        <x:f>IF(D152&lt;=0,"No EVM votes",IF(E152&lt;$N$7,"Low",IF(E152&gt;$R$7,"High","Middle")))</x:f>
        <x:v>High</x:v>
      </x:c>
      <x:c r="M152" s="133" t="str">
        <x:f>IF(D152&lt;=0,"No EVM votes",IF(H152&lt;-20%,"Large deficit",IF(H152&lt;-5%,"Moderate deficit",IF(H152&lt;0,"Narrow deficit",IF(H152&lt;=5%,"Narrow lead/tie",IF(H152&lt;=20%,"Moderate lead","Large lead"))))))</x:f>
        <x:v>Large lead</x:v>
      </x:c>
    </x:row>
    <x:row r="153">
      <x:c r="A153" t="n">
        <x:v>94</x:v>
      </x:c>
      <x:c r="B153" t="str">
        <x:v>PRY. PATH. TALRA R.NO. 2</x:v>
      </x:c>
      <x:c r="C153" s="83" t="n">
        <x:f>'2019 Form20'!H102</x:f>
        <x:v>392</x:v>
      </x:c>
      <x:c r="D153" s="83" t="n">
        <x:f>'2019 Form20'!D102</x:f>
        <x:v>531</x:v>
      </x:c>
      <x:c r="E153" s="50" t="n">
        <x:f>'2019 Form20'!U102</x:f>
        <x:v>0.7382297551789078</x:v>
      </x:c>
      <x:c r="F153" t="n">
        <x:f>'2019 Form20'!V102</x:f>
        <x:v>127</x:v>
      </x:c>
      <x:c r="G153" t="n">
        <x:f>'2019 Form20'!W102</x:f>
        <x:v>265</x:v>
      </x:c>
      <x:c r="H153" s="52" t="n">
        <x:f>'2019 Form20'!X102</x:f>
        <x:v>0.4990583804143126</x:v>
      </x:c>
      <x:c r="I153" t="str">
        <x:v>SATVEER</x:v>
      </x:c>
      <x:c r="J153" t="str">
        <x:v>BSP</x:v>
      </x:c>
      <x:c r="K153" t="str">
        <x:v>EVM row</x:v>
      </x:c>
      <x:c r="L153" s="133" t="str">
        <x:f>IF(D153&lt;=0,"No EVM votes",IF(E153&lt;$N$7,"Low",IF(E153&gt;$R$7,"High","Middle")))</x:f>
        <x:v>High</x:v>
      </x:c>
      <x:c r="M153" s="133" t="str">
        <x:f>IF(D153&lt;=0,"No EVM votes",IF(H153&lt;-20%,"Large deficit",IF(H153&lt;-5%,"Moderate deficit",IF(H153&lt;0,"Narrow deficit",IF(H153&lt;=5%,"Narrow lead/tie",IF(H153&lt;=20%,"Moderate lead","Large lead"))))))</x:f>
        <x:v>Large lead</x:v>
      </x:c>
    </x:row>
    <x:row r="154">
      <x:c r="A154" t="n">
        <x:v>95</x:v>
      </x:c>
      <x:c r="B154" t="str">
        <x:v>PRY. SCHOOL HATEVA R.NO. 1</x:v>
      </x:c>
      <x:c r="C154" s="83" t="n">
        <x:f>'2019 Form20'!H103</x:f>
        <x:v>380</x:v>
      </x:c>
      <x:c r="D154" s="83" t="n">
        <x:f>'2019 Form20'!D103</x:f>
        <x:v>935</x:v>
      </x:c>
      <x:c r="E154" s="50" t="n">
        <x:f>'2019 Form20'!U103</x:f>
        <x:v>0.40641711229946526</x:v>
      </x:c>
      <x:c r="F154" t="n">
        <x:f>'2019 Form20'!V103</x:f>
        <x:v>529</x:v>
      </x:c>
      <x:c r="G154" t="n">
        <x:f>'2019 Form20'!W103</x:f>
        <x:v>-149</x:v>
      </x:c>
      <x:c r="H154" s="52" t="n">
        <x:f>'2019 Form20'!X103</x:f>
        <x:v>-0.15935828877005348</x:v>
      </x:c>
      <x:c r="I154" t="str">
        <x:v>DR. MAHESH SHARMA</x:v>
      </x:c>
      <x:c r="J154" t="str">
        <x:v>BJP</x:v>
      </x:c>
      <x:c r="K154" t="str">
        <x:v>EVM row</x:v>
      </x:c>
      <x:c r="L154" s="133" t="str">
        <x:f>IF(D154&lt;=0,"No EVM votes",IF(E154&lt;$N$7,"Low",IF(E154&gt;$R$7,"High","Middle")))</x:f>
        <x:v>Middle</x:v>
      </x:c>
      <x:c r="M154" s="133" t="str">
        <x:f>IF(D154&lt;=0,"No EVM votes",IF(H154&lt;-20%,"Large deficit",IF(H154&lt;-5%,"Moderate deficit",IF(H154&lt;0,"Narrow deficit",IF(H154&lt;=5%,"Narrow lead/tie",IF(H154&lt;=20%,"Moderate lead","Large lead"))))))</x:f>
        <x:v>Moderate deficit</x:v>
      </x:c>
    </x:row>
    <x:row r="155">
      <x:c r="A155" t="n">
        <x:v>96</x:v>
      </x:c>
      <x:c r="B155" t="str">
        <x:v>PRY. SCHOOL DALEL GARH R.NO. 1</x:v>
      </x:c>
      <x:c r="C155" s="83" t="n">
        <x:f>'2019 Form20'!H104</x:f>
        <x:v>381</x:v>
      </x:c>
      <x:c r="D155" s="83" t="n">
        <x:f>'2019 Form20'!D104</x:f>
        <x:v>551</x:v>
      </x:c>
      <x:c r="E155" s="50" t="n">
        <x:f>'2019 Form20'!U104</x:f>
        <x:v>0.691470054446461</x:v>
      </x:c>
      <x:c r="F155" t="n">
        <x:f>'2019 Form20'!V104</x:f>
        <x:v>158</x:v>
      </x:c>
      <x:c r="G155" t="n">
        <x:f>'2019 Form20'!W104</x:f>
        <x:v>223</x:v>
      </x:c>
      <x:c r="H155" s="52" t="n">
        <x:f>'2019 Form20'!X104</x:f>
        <x:v>0.4047186932849365</x:v>
      </x:c>
      <x:c r="I155" t="str">
        <x:v>SATVEER</x:v>
      </x:c>
      <x:c r="J155" t="str">
        <x:v>BSP</x:v>
      </x:c>
      <x:c r="K155" t="str">
        <x:v>EVM row</x:v>
      </x:c>
      <x:c r="L155" s="133" t="str">
        <x:f>IF(D155&lt;=0,"No EVM votes",IF(E155&lt;$N$7,"Low",IF(E155&gt;$R$7,"High","Middle")))</x:f>
        <x:v>High</x:v>
      </x:c>
      <x:c r="M155" s="133" t="str">
        <x:f>IF(D155&lt;=0,"No EVM votes",IF(H155&lt;-20%,"Large deficit",IF(H155&lt;-5%,"Moderate deficit",IF(H155&lt;0,"Narrow deficit",IF(H155&lt;=5%,"Narrow lead/tie",IF(H155&lt;=20%,"Moderate lead","Large lead"))))))</x:f>
        <x:v>Large lead</x:v>
      </x:c>
    </x:row>
    <x:row r="156">
      <x:c r="A156" t="n">
        <x:v>97</x:v>
      </x:c>
      <x:c r="B156" t="str">
        <x:v>PRY. SCHOOL DALEL GARH R.NO. 2</x:v>
      </x:c>
      <x:c r="C156" s="83" t="n">
        <x:f>'2019 Form20'!H105</x:f>
        <x:v>378</x:v>
      </x:c>
      <x:c r="D156" s="83" t="n">
        <x:f>'2019 Form20'!D105</x:f>
        <x:v>536</x:v>
      </x:c>
      <x:c r="E156" s="50" t="n">
        <x:f>'2019 Form20'!U105</x:f>
        <x:v>0.7052238805970149</x:v>
      </x:c>
      <x:c r="F156" t="n">
        <x:f>'2019 Form20'!V105</x:f>
        <x:v>143</x:v>
      </x:c>
      <x:c r="G156" t="n">
        <x:f>'2019 Form20'!W105</x:f>
        <x:v>235</x:v>
      </x:c>
      <x:c r="H156" s="52" t="n">
        <x:f>'2019 Form20'!X105</x:f>
        <x:v>0.43843283582089554</x:v>
      </x:c>
      <x:c r="I156" t="str">
        <x:v>SATVEER</x:v>
      </x:c>
      <x:c r="J156" t="str">
        <x:v>BSP</x:v>
      </x:c>
      <x:c r="K156" t="str">
        <x:v>EVM row</x:v>
      </x:c>
      <x:c r="L156" s="133" t="str">
        <x:f>IF(D156&lt;=0,"No EVM votes",IF(E156&lt;$N$7,"Low",IF(E156&gt;$R$7,"High","Middle")))</x:f>
        <x:v>High</x:v>
      </x:c>
      <x:c r="M156" s="133" t="str">
        <x:f>IF(D156&lt;=0,"No EVM votes",IF(H156&lt;-20%,"Large deficit",IF(H156&lt;-5%,"Moderate deficit",IF(H156&lt;0,"Narrow deficit",IF(H156&lt;=5%,"Narrow lead/tie",IF(H156&lt;=20%,"Moderate lead","Large lead"))))))</x:f>
        <x:v>Large lead</x:v>
      </x:c>
    </x:row>
    <x:row r="157">
      <x:c r="A157" t="n">
        <x:v>98</x:v>
      </x:c>
      <x:c r="B157" t="str">
        <x:v>PRY. SCHOOL BAGPUR R.NO. 1</x:v>
      </x:c>
      <x:c r="C157" s="83" t="n">
        <x:f>'2019 Form20'!H106</x:f>
        <x:v>381</x:v>
      </x:c>
      <x:c r="D157" s="83" t="n">
        <x:f>'2019 Form20'!D106</x:f>
        <x:v>750</x:v>
      </x:c>
      <x:c r="E157" s="50" t="n">
        <x:f>'2019 Form20'!U106</x:f>
        <x:v>0.508</x:v>
      </x:c>
      <x:c r="F157" t="n">
        <x:f>'2019 Form20'!V106</x:f>
        <x:v>350</x:v>
      </x:c>
      <x:c r="G157" t="n">
        <x:f>'2019 Form20'!W106</x:f>
        <x:v>31</x:v>
      </x:c>
      <x:c r="H157" s="52" t="n">
        <x:f>'2019 Form20'!X106</x:f>
        <x:v>0.04133333333333333</x:v>
      </x:c>
      <x:c r="I157" t="str">
        <x:v>SATVEER</x:v>
      </x:c>
      <x:c r="J157" t="str">
        <x:v>BSP</x:v>
      </x:c>
      <x:c r="K157" t="str">
        <x:v>EVM row</x:v>
      </x:c>
      <x:c r="L157" s="133" t="str">
        <x:f>IF(D157&lt;=0,"No EVM votes",IF(E157&lt;$N$7,"Low",IF(E157&gt;$R$7,"High","Middle")))</x:f>
        <x:v>Middle</x:v>
      </x:c>
      <x:c r="M157" s="133" t="str">
        <x:f>IF(D157&lt;=0,"No EVM votes",IF(H157&lt;-20%,"Large deficit",IF(H157&lt;-5%,"Moderate deficit",IF(H157&lt;0,"Narrow deficit",IF(H157&lt;=5%,"Narrow lead/tie",IF(H157&lt;=20%,"Moderate lead","Large lead"))))))</x:f>
        <x:v>Narrow lead/tie</x:v>
      </x:c>
    </x:row>
    <x:row r="158">
      <x:c r="A158" t="n">
        <x:v>99</x:v>
      </x:c>
      <x:c r="B158" t="str">
        <x:v>J.H. SCHOOL PIPALKA SURATPUR R.NO. 1</x:v>
      </x:c>
      <x:c r="C158" s="83" t="n">
        <x:f>'2019 Form20'!H107</x:f>
        <x:v>283</x:v>
      </x:c>
      <x:c r="D158" s="83" t="n">
        <x:f>'2019 Form20'!D107</x:f>
        <x:v>487</x:v>
      </x:c>
      <x:c r="E158" s="50" t="n">
        <x:f>'2019 Form20'!U107</x:f>
        <x:v>0.5811088295687885</x:v>
      </x:c>
      <x:c r="F158" t="n">
        <x:f>'2019 Form20'!V107</x:f>
        <x:v>158</x:v>
      </x:c>
      <x:c r="G158" t="n">
        <x:f>'2019 Form20'!W107</x:f>
        <x:v>125</x:v>
      </x:c>
      <x:c r="H158" s="52" t="n">
        <x:f>'2019 Form20'!X107</x:f>
        <x:v>0.25667351129363447</x:v>
      </x:c>
      <x:c r="I158" t="str">
        <x:v>SATVEER</x:v>
      </x:c>
      <x:c r="J158" t="str">
        <x:v>BSP</x:v>
      </x:c>
      <x:c r="K158" t="str">
        <x:v>EVM row</x:v>
      </x:c>
      <x:c r="L158" s="133" t="str">
        <x:f>IF(D158&lt;=0,"No EVM votes",IF(E158&lt;$N$7,"Low",IF(E158&gt;$R$7,"High","Middle")))</x:f>
        <x:v>Middle</x:v>
      </x:c>
      <x:c r="M158" s="133" t="str">
        <x:f>IF(D158&lt;=0,"No EVM votes",IF(H158&lt;-20%,"Large deficit",IF(H158&lt;-5%,"Moderate deficit",IF(H158&lt;0,"Narrow deficit",IF(H158&lt;=5%,"Narrow lead/tie",IF(H158&lt;=20%,"Moderate lead","Large lead"))))))</x:f>
        <x:v>Large lead</x:v>
      </x:c>
    </x:row>
    <x:row r="159">
      <x:c r="A159" t="n">
        <x:v>100</x:v>
      </x:c>
      <x:c r="B159" t="str">
        <x:v>J.H. SCHOOL PIPALKA SURATPUR R.NO. 2</x:v>
      </x:c>
      <x:c r="C159" s="83" t="n">
        <x:f>'2019 Form20'!H108</x:f>
        <x:v>367</x:v>
      </x:c>
      <x:c r="D159" s="83" t="n">
        <x:f>'2019 Form20'!D108</x:f>
        <x:v>699</x:v>
      </x:c>
      <x:c r="E159" s="50" t="n">
        <x:f>'2019 Form20'!U108</x:f>
        <x:v>0.525035765379113</x:v>
      </x:c>
      <x:c r="F159" t="n">
        <x:f>'2019 Form20'!V108</x:f>
        <x:v>305</x:v>
      </x:c>
      <x:c r="G159" t="n">
        <x:f>'2019 Form20'!W108</x:f>
        <x:v>62</x:v>
      </x:c>
      <x:c r="H159" s="52" t="n">
        <x:f>'2019 Form20'!X108</x:f>
        <x:v>0.08869814020028613</x:v>
      </x:c>
      <x:c r="I159" t="str">
        <x:v>SATVEER</x:v>
      </x:c>
      <x:c r="J159" t="str">
        <x:v>BSP</x:v>
      </x:c>
      <x:c r="K159" t="str">
        <x:v>EVM row</x:v>
      </x:c>
      <x:c r="L159" s="133" t="str">
        <x:f>IF(D159&lt;=0,"No EVM votes",IF(E159&lt;$N$7,"Low",IF(E159&gt;$R$7,"High","Middle")))</x:f>
        <x:v>Middle</x:v>
      </x:c>
      <x:c r="M159" s="133" t="str">
        <x:f>IF(D159&lt;=0,"No EVM votes",IF(H159&lt;-20%,"Large deficit",IF(H159&lt;-5%,"Moderate deficit",IF(H159&lt;0,"Narrow deficit",IF(H159&lt;=5%,"Narrow lead/tie",IF(H159&lt;=20%,"Moderate lead","Large lead"))))))</x:f>
        <x:v>Moderate lead</x:v>
      </x:c>
    </x:row>
    <x:row r="160">
      <x:c r="A160" t="n">
        <x:v>101</x:v>
      </x:c>
      <x:c r="B160" t="str">
        <x:v>PRY. SCHOOL VISAECH R.NO. 1</x:v>
      </x:c>
      <x:c r="C160" s="83" t="n">
        <x:f>'2019 Form20'!H109</x:f>
        <x:v>263</x:v>
      </x:c>
      <x:c r="D160" s="83" t="n">
        <x:f>'2019 Form20'!D109</x:f>
        <x:v>416</x:v>
      </x:c>
      <x:c r="E160" s="50" t="n">
        <x:f>'2019 Form20'!U109</x:f>
        <x:v>0.6322115384615384</x:v>
      </x:c>
      <x:c r="F160" t="n">
        <x:f>'2019 Form20'!V109</x:f>
        <x:v>150</x:v>
      </x:c>
      <x:c r="G160" t="n">
        <x:f>'2019 Form20'!W109</x:f>
        <x:v>113</x:v>
      </x:c>
      <x:c r="H160" s="52" t="n">
        <x:f>'2019 Form20'!X109</x:f>
        <x:v>0.27163461538461536</x:v>
      </x:c>
      <x:c r="I160" t="str">
        <x:v>SATVEER</x:v>
      </x:c>
      <x:c r="J160" t="str">
        <x:v>BSP</x:v>
      </x:c>
      <x:c r="K160" t="str">
        <x:v>EVM row</x:v>
      </x:c>
      <x:c r="L160" s="133" t="str">
        <x:f>IF(D160&lt;=0,"No EVM votes",IF(E160&lt;$N$7,"Low",IF(E160&gt;$R$7,"High","Middle")))</x:f>
        <x:v>Middle</x:v>
      </x:c>
      <x:c r="M160" s="133" t="str">
        <x:f>IF(D160&lt;=0,"No EVM votes",IF(H160&lt;-20%,"Large deficit",IF(H160&lt;-5%,"Moderate deficit",IF(H160&lt;0,"Narrow deficit",IF(H160&lt;=5%,"Narrow lead/tie",IF(H160&lt;=20%,"Moderate lead","Large lead"))))))</x:f>
        <x:v>Large lead</x:v>
      </x:c>
    </x:row>
    <x:row r="161">
      <x:c r="A161" t="n">
        <x:v>102</x:v>
      </x:c>
      <x:c r="B161" t="str">
        <x:v>PRY. SCHOOL DADUPUR DANKAUR R.NO. 1</x:v>
      </x:c>
      <x:c r="C161" s="83" t="n">
        <x:f>'2019 Form20'!H110</x:f>
        <x:v>446</x:v>
      </x:c>
      <x:c r="D161" s="83" t="n">
        <x:f>'2019 Form20'!D110</x:f>
        <x:v>683</x:v>
      </x:c>
      <x:c r="E161" s="50" t="n">
        <x:f>'2019 Form20'!U110</x:f>
        <x:v>0.6530014641288433</x:v>
      </x:c>
      <x:c r="F161" t="n">
        <x:f>'2019 Form20'!V110</x:f>
        <x:v>205</x:v>
      </x:c>
      <x:c r="G161" t="n">
        <x:f>'2019 Form20'!W110</x:f>
        <x:v>241</x:v>
      </x:c>
      <x:c r="H161" s="52" t="n">
        <x:f>'2019 Form20'!X110</x:f>
        <x:v>0.3528550512445095</x:v>
      </x:c>
      <x:c r="I161" t="str">
        <x:v>SATVEER</x:v>
      </x:c>
      <x:c r="J161" t="str">
        <x:v>BSP</x:v>
      </x:c>
      <x:c r="K161" t="str">
        <x:v>EVM row</x:v>
      </x:c>
      <x:c r="L161" s="133" t="str">
        <x:f>IF(D161&lt;=0,"No EVM votes",IF(E161&lt;$N$7,"Low",IF(E161&gt;$R$7,"High","Middle")))</x:f>
        <x:v>Middle</x:v>
      </x:c>
      <x:c r="M161" s="133" t="str">
        <x:f>IF(D161&lt;=0,"No EVM votes",IF(H161&lt;-20%,"Large deficit",IF(H161&lt;-5%,"Moderate deficit",IF(H161&lt;0,"Narrow deficit",IF(H161&lt;=5%,"Narrow lead/tie",IF(H161&lt;=20%,"Moderate lead","Large lead"))))))</x:f>
        <x:v>Large lead</x:v>
      </x:c>
    </x:row>
    <x:row r="162">
      <x:c r="A162" t="n">
        <x:v>103</x:v>
      </x:c>
      <x:c r="B162" t="str">
        <x:v>PRY. SCHOOL DADUPUR DANKAUR R.NO. 2</x:v>
      </x:c>
      <x:c r="C162" s="83" t="n">
        <x:f>'2019 Form20'!H111</x:f>
        <x:v>328</x:v>
      </x:c>
      <x:c r="D162" s="83" t="n">
        <x:f>'2019 Form20'!D111</x:f>
        <x:v>612</x:v>
      </x:c>
      <x:c r="E162" s="50" t="n">
        <x:f>'2019 Form20'!U111</x:f>
        <x:v>0.5359477124183006</x:v>
      </x:c>
      <x:c r="F162" t="n">
        <x:f>'2019 Form20'!V111</x:f>
        <x:v>256</x:v>
      </x:c>
      <x:c r="G162" t="n">
        <x:f>'2019 Form20'!W111</x:f>
        <x:v>72</x:v>
      </x:c>
      <x:c r="H162" s="52" t="n">
        <x:f>'2019 Form20'!X111</x:f>
        <x:v>0.11764705882352941</x:v>
      </x:c>
      <x:c r="I162" t="str">
        <x:v>SATVEER</x:v>
      </x:c>
      <x:c r="J162" t="str">
        <x:v>BSP</x:v>
      </x:c>
      <x:c r="K162" t="str">
        <x:v>EVM row</x:v>
      </x:c>
      <x:c r="L162" s="133" t="str">
        <x:f>IF(D162&lt;=0,"No EVM votes",IF(E162&lt;$N$7,"Low",IF(E162&gt;$R$7,"High","Middle")))</x:f>
        <x:v>Middle</x:v>
      </x:c>
      <x:c r="M162" s="133" t="str">
        <x:f>IF(D162&lt;=0,"No EVM votes",IF(H162&lt;-20%,"Large deficit",IF(H162&lt;-5%,"Moderate deficit",IF(H162&lt;0,"Narrow deficit",IF(H162&lt;=5%,"Narrow lead/tie",IF(H162&lt;=20%,"Moderate lead","Large lead"))))))</x:f>
        <x:v>Moderate lead</x:v>
      </x:c>
    </x:row>
    <x:row r="163">
      <x:c r="A163" t="n">
        <x:v>104</x:v>
      </x:c>
      <x:c r="B163" t="str">
        <x:v>PRY. SCHOOL DADUPUR DANKAUR R.NO. 3</x:v>
      </x:c>
      <x:c r="C163" s="83" t="n">
        <x:f>'2019 Form20'!H112</x:f>
        <x:v>410</x:v>
      </x:c>
      <x:c r="D163" s="83" t="n">
        <x:f>'2019 Form20'!D112</x:f>
        <x:v>602</x:v>
      </x:c>
      <x:c r="E163" s="50" t="n">
        <x:f>'2019 Form20'!U112</x:f>
        <x:v>0.6810631229235881</x:v>
      </x:c>
      <x:c r="F163" t="n">
        <x:f>'2019 Form20'!V112</x:f>
        <x:v>163</x:v>
      </x:c>
      <x:c r="G163" t="n">
        <x:f>'2019 Form20'!W112</x:f>
        <x:v>247</x:v>
      </x:c>
      <x:c r="H163" s="52" t="n">
        <x:f>'2019 Form20'!X112</x:f>
        <x:v>0.41029900332225916</x:v>
      </x:c>
      <x:c r="I163" t="str">
        <x:v>SATVEER</x:v>
      </x:c>
      <x:c r="J163" t="str">
        <x:v>BSP</x:v>
      </x:c>
      <x:c r="K163" t="str">
        <x:v>EVM row</x:v>
      </x:c>
      <x:c r="L163" s="133" t="str">
        <x:f>IF(D163&lt;=0,"No EVM votes",IF(E163&lt;$N$7,"Low",IF(E163&gt;$R$7,"High","Middle")))</x:f>
        <x:v>High</x:v>
      </x:c>
      <x:c r="M163" s="133" t="str">
        <x:f>IF(D163&lt;=0,"No EVM votes",IF(H163&lt;-20%,"Large deficit",IF(H163&lt;-5%,"Moderate deficit",IF(H163&lt;0,"Narrow deficit",IF(H163&lt;=5%,"Narrow lead/tie",IF(H163&lt;=20%,"Moderate lead","Large lead"))))))</x:f>
        <x:v>Large lead</x:v>
      </x:c>
    </x:row>
    <x:row r="164">
      <x:c r="A164" t="n">
        <x:v>105</x:v>
      </x:c>
      <x:c r="B164" t="str">
        <x:v>PRY. SCHOOL AMARPUR R.NO. 1</x:v>
      </x:c>
      <x:c r="C164" s="83" t="n">
        <x:f>'2019 Form20'!H113</x:f>
        <x:v>739</x:v>
      </x:c>
      <x:c r="D164" s="83" t="n">
        <x:f>'2019 Form20'!D113</x:f>
        <x:v>901</x:v>
      </x:c>
      <x:c r="E164" s="50" t="n">
        <x:f>'2019 Form20'!U113</x:f>
        <x:v>0.8201997780244173</x:v>
      </x:c>
      <x:c r="F164" t="n">
        <x:f>'2019 Form20'!V113</x:f>
        <x:v>151</x:v>
      </x:c>
      <x:c r="G164" t="n">
        <x:f>'2019 Form20'!W113</x:f>
        <x:v>588</x:v>
      </x:c>
      <x:c r="H164" s="52" t="n">
        <x:f>'2019 Form20'!X113</x:f>
        <x:v>0.6526082130965594</x:v>
      </x:c>
      <x:c r="I164" t="str">
        <x:v>SATVEER</x:v>
      </x:c>
      <x:c r="J164" t="str">
        <x:v>BSP</x:v>
      </x:c>
      <x:c r="K164" t="str">
        <x:v>EVM row</x:v>
      </x:c>
      <x:c r="L164" s="133" t="str">
        <x:f>IF(D164&lt;=0,"No EVM votes",IF(E164&lt;$N$7,"Low",IF(E164&gt;$R$7,"High","Middle")))</x:f>
        <x:v>High</x:v>
      </x:c>
      <x:c r="M164" s="133" t="str">
        <x:f>IF(D164&lt;=0,"No EVM votes",IF(H164&lt;-20%,"Large deficit",IF(H164&lt;-5%,"Moderate deficit",IF(H164&lt;0,"Narrow deficit",IF(H164&lt;=5%,"Narrow lead/tie",IF(H164&lt;=20%,"Moderate lead","Large lead"))))))</x:f>
        <x:v>Large lead</x:v>
      </x:c>
    </x:row>
    <x:row r="165">
      <x:c r="A165" t="n">
        <x:v>106</x:v>
      </x:c>
      <x:c r="B165" t="str">
        <x:v>PRY. SCHOOL NANUAKA RAJPUR R.NO. 1</x:v>
      </x:c>
      <x:c r="C165" s="83" t="n">
        <x:f>'2019 Form20'!H114</x:f>
        <x:v>389</x:v>
      </x:c>
      <x:c r="D165" s="83" t="n">
        <x:f>'2019 Form20'!D114</x:f>
        <x:v>486</x:v>
      </x:c>
      <x:c r="E165" s="50" t="n">
        <x:f>'2019 Form20'!U114</x:f>
        <x:v>0.8004115226337448</x:v>
      </x:c>
      <x:c r="F165" t="n">
        <x:f>'2019 Form20'!V114</x:f>
        <x:v>95</x:v>
      </x:c>
      <x:c r="G165" t="n">
        <x:f>'2019 Form20'!W114</x:f>
        <x:v>294</x:v>
      </x:c>
      <x:c r="H165" s="52" t="n">
        <x:f>'2019 Form20'!X114</x:f>
        <x:v>0.6049382716049383</x:v>
      </x:c>
      <x:c r="I165" t="str">
        <x:v>SATVEER</x:v>
      </x:c>
      <x:c r="J165" t="str">
        <x:v>BSP</x:v>
      </x:c>
      <x:c r="K165" t="str">
        <x:v>EVM row</x:v>
      </x:c>
      <x:c r="L165" s="133" t="str">
        <x:f>IF(D165&lt;=0,"No EVM votes",IF(E165&lt;$N$7,"Low",IF(E165&gt;$R$7,"High","Middle")))</x:f>
        <x:v>High</x:v>
      </x:c>
      <x:c r="M165" s="133" t="str">
        <x:f>IF(D165&lt;=0,"No EVM votes",IF(H165&lt;-20%,"Large deficit",IF(H165&lt;-5%,"Moderate deficit",IF(H165&lt;0,"Narrow deficit",IF(H165&lt;=5%,"Narrow lead/tie",IF(H165&lt;=20%,"Moderate lead","Large lead"))))))</x:f>
        <x:v>Large lead</x:v>
      </x:c>
    </x:row>
    <x:row r="166">
      <x:c r="A166" t="n">
        <x:v>107</x:v>
      </x:c>
      <x:c r="B166" t="str">
        <x:v>PRY. SCHOOL NAVADA R.NO. 1</x:v>
      </x:c>
      <x:c r="C166" s="83" t="n">
        <x:f>'2019 Form20'!H115</x:f>
        <x:v>384</x:v>
      </x:c>
      <x:c r="D166" s="83" t="n">
        <x:f>'2019 Form20'!D115</x:f>
        <x:v>638</x:v>
      </x:c>
      <x:c r="E166" s="50" t="n">
        <x:f>'2019 Form20'!U115</x:f>
        <x:v>0.6018808777429467</x:v>
      </x:c>
      <x:c r="F166" t="n">
        <x:f>'2019 Form20'!V115</x:f>
        <x:v>234</x:v>
      </x:c>
      <x:c r="G166" t="n">
        <x:f>'2019 Form20'!W115</x:f>
        <x:v>150</x:v>
      </x:c>
      <x:c r="H166" s="52" t="n">
        <x:f>'2019 Form20'!X115</x:f>
        <x:v>0.23510971786833856</x:v>
      </x:c>
      <x:c r="I166" t="str">
        <x:v>SATVEER</x:v>
      </x:c>
      <x:c r="J166" t="str">
        <x:v>BSP</x:v>
      </x:c>
      <x:c r="K166" t="str">
        <x:v>EVM row</x:v>
      </x:c>
      <x:c r="L166" s="133" t="str">
        <x:f>IF(D166&lt;=0,"No EVM votes",IF(E166&lt;$N$7,"Low",IF(E166&gt;$R$7,"High","Middle")))</x:f>
        <x:v>Middle</x:v>
      </x:c>
      <x:c r="M166" s="133" t="str">
        <x:f>IF(D166&lt;=0,"No EVM votes",IF(H166&lt;-20%,"Large deficit",IF(H166&lt;-5%,"Moderate deficit",IF(H166&lt;0,"Narrow deficit",IF(H166&lt;=5%,"Narrow lead/tie",IF(H166&lt;=20%,"Moderate lead","Large lead"))))))</x:f>
        <x:v>Large lead</x:v>
      </x:c>
    </x:row>
    <x:row r="167">
      <x:c r="A167" t="n">
        <x:v>108</x:v>
      </x:c>
      <x:c r="B167" t="str">
        <x:v>PRY. SCHOOL NAVADA R.NO. 2</x:v>
      </x:c>
      <x:c r="C167" s="83" t="n">
        <x:f>'2019 Form20'!H116</x:f>
        <x:v>319</x:v>
      </x:c>
      <x:c r="D167" s="83" t="n">
        <x:f>'2019 Form20'!D116</x:f>
        <x:v>474</x:v>
      </x:c>
      <x:c r="E167" s="50" t="n">
        <x:f>'2019 Form20'!U116</x:f>
        <x:v>0.6729957805907173</x:v>
      </x:c>
      <x:c r="F167" t="n">
        <x:f>'2019 Form20'!V116</x:f>
        <x:v>145</x:v>
      </x:c>
      <x:c r="G167" t="n">
        <x:f>'2019 Form20'!W116</x:f>
        <x:v>174</x:v>
      </x:c>
      <x:c r="H167" s="52" t="n">
        <x:f>'2019 Form20'!X116</x:f>
        <x:v>0.3670886075949367</x:v>
      </x:c>
      <x:c r="I167" t="str">
        <x:v>SATVEER</x:v>
      </x:c>
      <x:c r="J167" t="str">
        <x:v>BSP</x:v>
      </x:c>
      <x:c r="K167" t="str">
        <x:v>EVM row</x:v>
      </x:c>
      <x:c r="L167" s="133" t="str">
        <x:f>IF(D167&lt;=0,"No EVM votes",IF(E167&lt;$N$7,"Low",IF(E167&gt;$R$7,"High","Middle")))</x:f>
        <x:v>Middle</x:v>
      </x:c>
      <x:c r="M167" s="133" t="str">
        <x:f>IF(D167&lt;=0,"No EVM votes",IF(H167&lt;-20%,"Large deficit",IF(H167&lt;-5%,"Moderate deficit",IF(H167&lt;0,"Narrow deficit",IF(H167&lt;=5%,"Narrow lead/tie",IF(H167&lt;=20%,"Moderate lead","Large lead"))))))</x:f>
        <x:v>Large lead</x:v>
      </x:c>
    </x:row>
    <x:row r="168">
      <x:c r="A168" t="n">
        <x:v>109</x:v>
      </x:c>
      <x:c r="B168" t="str">
        <x:v>PRY. SCHOOL NAVADA R.NO. 3</x:v>
      </x:c>
      <x:c r="C168" s="83" t="n">
        <x:f>'2019 Form20'!H117</x:f>
        <x:v>414</x:v>
      </x:c>
      <x:c r="D168" s="83" t="n">
        <x:f>'2019 Form20'!D117</x:f>
        <x:v>555</x:v>
      </x:c>
      <x:c r="E168" s="50" t="n">
        <x:f>'2019 Form20'!U117</x:f>
        <x:v>0.745945945945946</x:v>
      </x:c>
      <x:c r="F168" t="n">
        <x:f>'2019 Form20'!V117</x:f>
        <x:v>124</x:v>
      </x:c>
      <x:c r="G168" t="n">
        <x:f>'2019 Form20'!W117</x:f>
        <x:v>290</x:v>
      </x:c>
      <x:c r="H168" s="52" t="n">
        <x:f>'2019 Form20'!X117</x:f>
        <x:v>0.5225225225225225</x:v>
      </x:c>
      <x:c r="I168" t="str">
        <x:v>SATVEER</x:v>
      </x:c>
      <x:c r="J168" t="str">
        <x:v>BSP</x:v>
      </x:c>
      <x:c r="K168" t="str">
        <x:v>EVM row</x:v>
      </x:c>
      <x:c r="L168" s="133" t="str">
        <x:f>IF(D168&lt;=0,"No EVM votes",IF(E168&lt;$N$7,"Low",IF(E168&gt;$R$7,"High","Middle")))</x:f>
        <x:v>High</x:v>
      </x:c>
      <x:c r="M168" s="133" t="str">
        <x:f>IF(D168&lt;=0,"No EVM votes",IF(H168&lt;-20%,"Large deficit",IF(H168&lt;-5%,"Moderate deficit",IF(H168&lt;0,"Narrow deficit",IF(H168&lt;=5%,"Narrow lead/tie",IF(H168&lt;=20%,"Moderate lead","Large lead"))))))</x:f>
        <x:v>Large lead</x:v>
      </x:c>
    </x:row>
    <x:row r="169">
      <x:c r="A169" t="n">
        <x:v>110</x:v>
      </x:c>
      <x:c r="B169" t="str">
        <x:v>PRY. SCHOOL KANRSA MAZRA KANARSI R.NO. 1</x:v>
      </x:c>
      <x:c r="C169" s="83" t="n">
        <x:f>'2019 Form20'!H118</x:f>
        <x:v>556</x:v>
      </x:c>
      <x:c r="D169" s="83" t="n">
        <x:f>'2019 Form20'!D118</x:f>
        <x:v>705</x:v>
      </x:c>
      <x:c r="E169" s="50" t="n">
        <x:f>'2019 Form20'!U118</x:f>
        <x:v>0.7886524822695036</x:v>
      </x:c>
      <x:c r="F169" t="n">
        <x:f>'2019 Form20'!V118</x:f>
        <x:v>119</x:v>
      </x:c>
      <x:c r="G169" t="n">
        <x:f>'2019 Form20'!W118</x:f>
        <x:v>437</x:v>
      </x:c>
      <x:c r="H169" s="52" t="n">
        <x:f>'2019 Form20'!X118</x:f>
        <x:v>0.6198581560283688</x:v>
      </x:c>
      <x:c r="I169" t="str">
        <x:v>SATVEER</x:v>
      </x:c>
      <x:c r="J169" t="str">
        <x:v>BSP</x:v>
      </x:c>
      <x:c r="K169" t="str">
        <x:v>EVM row</x:v>
      </x:c>
      <x:c r="L169" s="133" t="str">
        <x:f>IF(D169&lt;=0,"No EVM votes",IF(E169&lt;$N$7,"Low",IF(E169&gt;$R$7,"High","Middle")))</x:f>
        <x:v>High</x:v>
      </x:c>
      <x:c r="M169" s="133" t="str">
        <x:f>IF(D169&lt;=0,"No EVM votes",IF(H169&lt;-20%,"Large deficit",IF(H169&lt;-5%,"Moderate deficit",IF(H169&lt;0,"Narrow deficit",IF(H169&lt;=5%,"Narrow lead/tie",IF(H169&lt;=20%,"Moderate lead","Large lead"))))))</x:f>
        <x:v>Large lead</x:v>
      </x:c>
    </x:row>
    <x:row r="170">
      <x:c r="A170" t="n">
        <x:v>111</x:v>
      </x:c>
      <x:c r="B170" t="str">
        <x:v>PRY. SCHOOL KANARSI R.NO. 1</x:v>
      </x:c>
      <x:c r="C170" s="83" t="n">
        <x:f>'2019 Form20'!H119</x:f>
        <x:v>336</x:v>
      </x:c>
      <x:c r="D170" s="83" t="n">
        <x:f>'2019 Form20'!D119</x:f>
        <x:v>643</x:v>
      </x:c>
      <x:c r="E170" s="50" t="n">
        <x:f>'2019 Form20'!U119</x:f>
        <x:v>0.5225505443234837</x:v>
      </x:c>
      <x:c r="F170" t="n">
        <x:f>'2019 Form20'!V119</x:f>
        <x:v>297</x:v>
      </x:c>
      <x:c r="G170" t="n">
        <x:f>'2019 Form20'!W119</x:f>
        <x:v>39</x:v>
      </x:c>
      <x:c r="H170" s="52" t="n">
        <x:f>'2019 Form20'!X119</x:f>
        <x:v>0.060653188180404355</x:v>
      </x:c>
      <x:c r="I170" t="str">
        <x:v>SATVEER</x:v>
      </x:c>
      <x:c r="J170" t="str">
        <x:v>BSP</x:v>
      </x:c>
      <x:c r="K170" t="str">
        <x:v>EVM row</x:v>
      </x:c>
      <x:c r="L170" s="133" t="str">
        <x:f>IF(D170&lt;=0,"No EVM votes",IF(E170&lt;$N$7,"Low",IF(E170&gt;$R$7,"High","Middle")))</x:f>
        <x:v>Middle</x:v>
      </x:c>
      <x:c r="M170" s="133" t="str">
        <x:f>IF(D170&lt;=0,"No EVM votes",IF(H170&lt;-20%,"Large deficit",IF(H170&lt;-5%,"Moderate deficit",IF(H170&lt;0,"Narrow deficit",IF(H170&lt;=5%,"Narrow lead/tie",IF(H170&lt;=20%,"Moderate lead","Large lead"))))))</x:f>
        <x:v>Moderate lead</x:v>
      </x:c>
    </x:row>
    <x:row r="171">
      <x:c r="A171" t="n">
        <x:v>112</x:v>
      </x:c>
      <x:c r="B171" t="str">
        <x:v>PRY. SCHOOL KANARSI R.NO. 2</x:v>
      </x:c>
      <x:c r="C171" s="83" t="n">
        <x:f>'2019 Form20'!H120</x:f>
        <x:v>285</x:v>
      </x:c>
      <x:c r="D171" s="83" t="n">
        <x:f>'2019 Form20'!D120</x:f>
        <x:v>657</x:v>
      </x:c>
      <x:c r="E171" s="50" t="n">
        <x:f>'2019 Form20'!U120</x:f>
        <x:v>0.4337899543378995</x:v>
      </x:c>
      <x:c r="F171" t="n">
        <x:f>'2019 Form20'!V120</x:f>
        <x:v>350</x:v>
      </x:c>
      <x:c r="G171" t="n">
        <x:f>'2019 Form20'!W120</x:f>
        <x:v>-65</x:v>
      </x:c>
      <x:c r="H171" s="52" t="n">
        <x:f>'2019 Form20'!X120</x:f>
        <x:v>-0.0989345509893455</x:v>
      </x:c>
      <x:c r="I171" t="str">
        <x:v>DR. MAHESH SHARMA</x:v>
      </x:c>
      <x:c r="J171" t="str">
        <x:v>BJP</x:v>
      </x:c>
      <x:c r="K171" t="str">
        <x:v>EVM row</x:v>
      </x:c>
      <x:c r="L171" s="133" t="str">
        <x:f>IF(D171&lt;=0,"No EVM votes",IF(E171&lt;$N$7,"Low",IF(E171&gt;$R$7,"High","Middle")))</x:f>
        <x:v>Middle</x:v>
      </x:c>
      <x:c r="M171" s="133" t="str">
        <x:f>IF(D171&lt;=0,"No EVM votes",IF(H171&lt;-20%,"Large deficit",IF(H171&lt;-5%,"Moderate deficit",IF(H171&lt;0,"Narrow deficit",IF(H171&lt;=5%,"Narrow lead/tie",IF(H171&lt;=20%,"Moderate lead","Large lead"))))))</x:f>
        <x:v>Moderate deficit</x:v>
      </x:c>
    </x:row>
    <x:row r="172">
      <x:c r="A172" t="n">
        <x:v>113</x:v>
      </x:c>
      <x:c r="B172" t="str">
        <x:v>PRY. SCHOOL JUNAIDPUR R.NO. 1</x:v>
      </x:c>
      <x:c r="C172" s="83" t="n">
        <x:f>'2019 Form20'!H121</x:f>
        <x:v>475</x:v>
      </x:c>
      <x:c r="D172" s="83" t="n">
        <x:f>'2019 Form20'!D121</x:f>
        <x:v>600</x:v>
      </x:c>
      <x:c r="E172" s="50" t="n">
        <x:f>'2019 Form20'!U121</x:f>
        <x:v>0.7916666666666666</x:v>
      </x:c>
      <x:c r="F172" t="n">
        <x:f>'2019 Form20'!V121</x:f>
        <x:v>106</x:v>
      </x:c>
      <x:c r="G172" t="n">
        <x:f>'2019 Form20'!W121</x:f>
        <x:v>369</x:v>
      </x:c>
      <x:c r="H172" s="52" t="n">
        <x:f>'2019 Form20'!X121</x:f>
        <x:v>0.615</x:v>
      </x:c>
      <x:c r="I172" t="str">
        <x:v>SATVEER</x:v>
      </x:c>
      <x:c r="J172" t="str">
        <x:v>BSP</x:v>
      </x:c>
      <x:c r="K172" t="str">
        <x:v>EVM row</x:v>
      </x:c>
      <x:c r="L172" s="133" t="str">
        <x:f>IF(D172&lt;=0,"No EVM votes",IF(E172&lt;$N$7,"Low",IF(E172&gt;$R$7,"High","Middle")))</x:f>
        <x:v>High</x:v>
      </x:c>
      <x:c r="M172" s="133" t="str">
        <x:f>IF(D172&lt;=0,"No EVM votes",IF(H172&lt;-20%,"Large deficit",IF(H172&lt;-5%,"Moderate deficit",IF(H172&lt;0,"Narrow deficit",IF(H172&lt;=5%,"Narrow lead/tie",IF(H172&lt;=20%,"Moderate lead","Large lead"))))))</x:f>
        <x:v>Large lead</x:v>
      </x:c>
    </x:row>
    <x:row r="173">
      <x:c r="A173" t="n">
        <x:v>114</x:v>
      </x:c>
      <x:c r="B173" t="str">
        <x:v>PRY. SCHOOL JUNAIDPUR R.NO. 2</x:v>
      </x:c>
      <x:c r="C173" s="83" t="n">
        <x:f>'2019 Form20'!H122</x:f>
        <x:v>378</x:v>
      </x:c>
      <x:c r="D173" s="83" t="n">
        <x:f>'2019 Form20'!D122</x:f>
        <x:v>488</x:v>
      </x:c>
      <x:c r="E173" s="50" t="n">
        <x:f>'2019 Form20'!U122</x:f>
        <x:v>0.7745901639344263</x:v>
      </x:c>
      <x:c r="F173" t="n">
        <x:f>'2019 Form20'!V122</x:f>
        <x:v>91</x:v>
      </x:c>
      <x:c r="G173" t="n">
        <x:f>'2019 Form20'!W122</x:f>
        <x:v>287</x:v>
      </x:c>
      <x:c r="H173" s="52" t="n">
        <x:f>'2019 Form20'!X122</x:f>
        <x:v>0.5881147540983607</x:v>
      </x:c>
      <x:c r="I173" t="str">
        <x:v>SATVEER</x:v>
      </x:c>
      <x:c r="J173" t="str">
        <x:v>BSP</x:v>
      </x:c>
      <x:c r="K173" t="str">
        <x:v>EVM row</x:v>
      </x:c>
      <x:c r="L173" s="133" t="str">
        <x:f>IF(D173&lt;=0,"No EVM votes",IF(E173&lt;$N$7,"Low",IF(E173&gt;$R$7,"High","Middle")))</x:f>
        <x:v>High</x:v>
      </x:c>
      <x:c r="M173" s="133" t="str">
        <x:f>IF(D173&lt;=0,"No EVM votes",IF(H173&lt;-20%,"Large deficit",IF(H173&lt;-5%,"Moderate deficit",IF(H173&lt;0,"Narrow deficit",IF(H173&lt;=5%,"Narrow lead/tie",IF(H173&lt;=20%,"Moderate lead","Large lead"))))))</x:f>
        <x:v>Large lead</x:v>
      </x:c>
    </x:row>
    <x:row r="174">
      <x:c r="A174" t="n">
        <x:v>115</x:v>
      </x:c>
      <x:c r="B174" t="str">
        <x:v>PRY. SCHOOL CHACHULA R.NO. 1</x:v>
      </x:c>
      <x:c r="C174" s="83" t="n">
        <x:f>'2019 Form20'!H123</x:f>
        <x:v>304</x:v>
      </x:c>
      <x:c r="D174" s="83" t="n">
        <x:f>'2019 Form20'!D123</x:f>
        <x:v>674</x:v>
      </x:c>
      <x:c r="E174" s="50" t="n">
        <x:f>'2019 Form20'!U123</x:f>
        <x:v>0.45103857566765576</x:v>
      </x:c>
      <x:c r="F174" t="n">
        <x:f>'2019 Form20'!V123</x:f>
        <x:v>358</x:v>
      </x:c>
      <x:c r="G174" t="n">
        <x:f>'2019 Form20'!W123</x:f>
        <x:v>-54</x:v>
      </x:c>
      <x:c r="H174" s="52" t="n">
        <x:f>'2019 Form20'!X123</x:f>
        <x:v>-0.08011869436201781</x:v>
      </x:c>
      <x:c r="I174" t="str">
        <x:v>DR. MAHESH SHARMA</x:v>
      </x:c>
      <x:c r="J174" t="str">
        <x:v>BJP</x:v>
      </x:c>
      <x:c r="K174" t="str">
        <x:v>EVM row</x:v>
      </x:c>
      <x:c r="L174" s="133" t="str">
        <x:f>IF(D174&lt;=0,"No EVM votes",IF(E174&lt;$N$7,"Low",IF(E174&gt;$R$7,"High","Middle")))</x:f>
        <x:v>Middle</x:v>
      </x:c>
      <x:c r="M174" s="133" t="str">
        <x:f>IF(D174&lt;=0,"No EVM votes",IF(H174&lt;-20%,"Large deficit",IF(H174&lt;-5%,"Moderate deficit",IF(H174&lt;0,"Narrow deficit",IF(H174&lt;=5%,"Narrow lead/tie",IF(H174&lt;=20%,"Moderate lead","Large lead"))))))</x:f>
        <x:v>Moderate deficit</x:v>
      </x:c>
    </x:row>
    <x:row r="175">
      <x:c r="A175" t="n">
        <x:v>116</x:v>
      </x:c>
      <x:c r="B175" t="str">
        <x:v>PRY. SCHOOL CHACHULA R.NO. 2</x:v>
      </x:c>
      <x:c r="C175" s="83" t="n">
        <x:f>'2019 Form20'!H124</x:f>
        <x:v>252</x:v>
      </x:c>
      <x:c r="D175" s="83" t="n">
        <x:f>'2019 Form20'!D124</x:f>
        <x:v>501</x:v>
      </x:c>
      <x:c r="E175" s="50" t="n">
        <x:f>'2019 Form20'!U124</x:f>
        <x:v>0.5029940119760479</x:v>
      </x:c>
      <x:c r="F175" t="n">
        <x:f>'2019 Form20'!V124</x:f>
        <x:v>237</x:v>
      </x:c>
      <x:c r="G175" t="n">
        <x:f>'2019 Form20'!W124</x:f>
        <x:v>15</x:v>
      </x:c>
      <x:c r="H175" s="52" t="n">
        <x:f>'2019 Form20'!X124</x:f>
        <x:v>0.029940119760479042</x:v>
      </x:c>
      <x:c r="I175" t="str">
        <x:v>SATVEER</x:v>
      </x:c>
      <x:c r="J175" t="str">
        <x:v>BSP</x:v>
      </x:c>
      <x:c r="K175" t="str">
        <x:v>EVM row</x:v>
      </x:c>
      <x:c r="L175" s="133" t="str">
        <x:f>IF(D175&lt;=0,"No EVM votes",IF(E175&lt;$N$7,"Low",IF(E175&gt;$R$7,"High","Middle")))</x:f>
        <x:v>Middle</x:v>
      </x:c>
      <x:c r="M175" s="133" t="str">
        <x:f>IF(D175&lt;=0,"No EVM votes",IF(H175&lt;-20%,"Large deficit",IF(H175&lt;-5%,"Moderate deficit",IF(H175&lt;0,"Narrow deficit",IF(H175&lt;=5%,"Narrow lead/tie",IF(H175&lt;=20%,"Moderate lead","Large lead"))))))</x:f>
        <x:v>Narrow lead/tie</x:v>
      </x:c>
    </x:row>
    <x:row r="176">
      <x:c r="A176" t="n">
        <x:v>117</x:v>
      </x:c>
      <x:c r="B176" t="str">
        <x:v>PRY. SCHOOL ROSHANPUR R.NO. 1</x:v>
      </x:c>
      <x:c r="C176" s="83" t="n">
        <x:f>'2019 Form20'!H125</x:f>
        <x:v>289</x:v>
      </x:c>
      <x:c r="D176" s="83" t="n">
        <x:f>'2019 Form20'!D125</x:f>
        <x:v>539</x:v>
      </x:c>
      <x:c r="E176" s="50" t="n">
        <x:f>'2019 Form20'!U125</x:f>
        <x:v>0.536178107606679</x:v>
      </x:c>
      <x:c r="F176" t="n">
        <x:f>'2019 Form20'!V125</x:f>
        <x:v>236</x:v>
      </x:c>
      <x:c r="G176" t="n">
        <x:f>'2019 Form20'!W125</x:f>
        <x:v>53</x:v>
      </x:c>
      <x:c r="H176" s="52" t="n">
        <x:f>'2019 Form20'!X125</x:f>
        <x:v>0.09833024118738404</x:v>
      </x:c>
      <x:c r="I176" t="str">
        <x:v>SATVEER</x:v>
      </x:c>
      <x:c r="J176" t="str">
        <x:v>BSP</x:v>
      </x:c>
      <x:c r="K176" t="str">
        <x:v>EVM row</x:v>
      </x:c>
      <x:c r="L176" s="133" t="str">
        <x:f>IF(D176&lt;=0,"No EVM votes",IF(E176&lt;$N$7,"Low",IF(E176&gt;$R$7,"High","Middle")))</x:f>
        <x:v>Middle</x:v>
      </x:c>
      <x:c r="M176" s="133" t="str">
        <x:f>IF(D176&lt;=0,"No EVM votes",IF(H176&lt;-20%,"Large deficit",IF(H176&lt;-5%,"Moderate deficit",IF(H176&lt;0,"Narrow deficit",IF(H176&lt;=5%,"Narrow lead/tie",IF(H176&lt;=20%,"Moderate lead","Large lead"))))))</x:f>
        <x:v>Moderate lead</x:v>
      </x:c>
    </x:row>
    <x:row r="177">
      <x:c r="A177" t="n">
        <x:v>118</x:v>
      </x:c>
      <x:c r="B177" t="str">
        <x:v>PRY. SCHOOL DHANAURI R.NO. 1</x:v>
      </x:c>
      <x:c r="C177" s="83" t="n">
        <x:f>'2019 Form20'!H126</x:f>
        <x:v>259</x:v>
      </x:c>
      <x:c r="D177" s="83" t="n">
        <x:f>'2019 Form20'!D126</x:f>
        <x:v>726</x:v>
      </x:c>
      <x:c r="E177" s="50" t="n">
        <x:f>'2019 Form20'!U126</x:f>
        <x:v>0.35674931129476584</x:v>
      </x:c>
      <x:c r="F177" t="n">
        <x:f>'2019 Form20'!V126</x:f>
        <x:v>445</x:v>
      </x:c>
      <x:c r="G177" t="n">
        <x:f>'2019 Form20'!W126</x:f>
        <x:v>-186</x:v>
      </x:c>
      <x:c r="H177" s="52" t="n">
        <x:f>'2019 Form20'!X126</x:f>
        <x:v>-0.256198347107438</x:v>
      </x:c>
      <x:c r="I177" t="str">
        <x:v>DR. MAHESH SHARMA</x:v>
      </x:c>
      <x:c r="J177" t="str">
        <x:v>BJP</x:v>
      </x:c>
      <x:c r="K177" t="str">
        <x:v>EVM row</x:v>
      </x:c>
      <x:c r="L177" s="133" t="str">
        <x:f>IF(D177&lt;=0,"No EVM votes",IF(E177&lt;$N$7,"Low",IF(E177&gt;$R$7,"High","Middle")))</x:f>
        <x:v>Middle</x:v>
      </x:c>
      <x:c r="M177" s="133" t="str">
        <x:f>IF(D177&lt;=0,"No EVM votes",IF(H177&lt;-20%,"Large deficit",IF(H177&lt;-5%,"Moderate deficit",IF(H177&lt;0,"Narrow deficit",IF(H177&lt;=5%,"Narrow lead/tie",IF(H177&lt;=20%,"Moderate lead","Large lead"))))))</x:f>
        <x:v>Large deficit</x:v>
      </x:c>
    </x:row>
    <x:row r="178">
      <x:c r="A178" t="n">
        <x:v>119</x:v>
      </x:c>
      <x:c r="B178" t="str">
        <x:v>PRY. SCHOOL DHANAURI R.NO. 2</x:v>
      </x:c>
      <x:c r="C178" s="83" t="n">
        <x:f>'2019 Form20'!H127</x:f>
        <x:v>92</x:v>
      </x:c>
      <x:c r="D178" s="83" t="n">
        <x:f>'2019 Form20'!D127</x:f>
        <x:v>480</x:v>
      </x:c>
      <x:c r="E178" s="50" t="n">
        <x:f>'2019 Form20'!U127</x:f>
        <x:v>0.19166666666666668</x:v>
      </x:c>
      <x:c r="F178" t="n">
        <x:f>'2019 Form20'!V127</x:f>
        <x:v>371</x:v>
      </x:c>
      <x:c r="G178" t="n">
        <x:f>'2019 Form20'!W127</x:f>
        <x:v>-279</x:v>
      </x:c>
      <x:c r="H178" s="52" t="n">
        <x:f>'2019 Form20'!X127</x:f>
        <x:v>-0.58125</x:v>
      </x:c>
      <x:c r="I178" t="str">
        <x:v>DR. MAHESH SHARMA</x:v>
      </x:c>
      <x:c r="J178" t="str">
        <x:v>BJP</x:v>
      </x:c>
      <x:c r="K178" t="str">
        <x:v>EVM row</x:v>
      </x:c>
      <x:c r="L178" s="133" t="str">
        <x:f>IF(D178&lt;=0,"No EVM votes",IF(E178&lt;$N$7,"Low",IF(E178&gt;$R$7,"High","Middle")))</x:f>
        <x:v>Low</x:v>
      </x:c>
      <x:c r="M178" s="133" t="str">
        <x:f>IF(D178&lt;=0,"No EVM votes",IF(H178&lt;-20%,"Large deficit",IF(H178&lt;-5%,"Moderate deficit",IF(H178&lt;0,"Narrow deficit",IF(H178&lt;=5%,"Narrow lead/tie",IF(H178&lt;=20%,"Moderate lead","Large lead"))))))</x:f>
        <x:v>Large deficit</x:v>
      </x:c>
    </x:row>
    <x:row r="179">
      <x:c r="A179" t="n">
        <x:v>120</x:v>
      </x:c>
      <x:c r="B179" t="str">
        <x:v>SUNHARI LAL BALMUKUND I. C. DHANAURI R.NO. 1</x:v>
      </x:c>
      <x:c r="C179" s="83" t="n">
        <x:f>'2019 Form20'!H128</x:f>
        <x:v>309</x:v>
      </x:c>
      <x:c r="D179" s="83" t="n">
        <x:f>'2019 Form20'!D128</x:f>
        <x:v>571</x:v>
      </x:c>
      <x:c r="E179" s="50" t="n">
        <x:f>'2019 Form20'!U128</x:f>
        <x:v>0.5411558669001751</x:v>
      </x:c>
      <x:c r="F179" t="n">
        <x:f>'2019 Form20'!V128</x:f>
        <x:v>210</x:v>
      </x:c>
      <x:c r="G179" t="n">
        <x:f>'2019 Form20'!W128</x:f>
        <x:v>99</x:v>
      </x:c>
      <x:c r="H179" s="52" t="n">
        <x:f>'2019 Form20'!X128</x:f>
        <x:v>0.1733800350262697</x:v>
      </x:c>
      <x:c r="I179" t="str">
        <x:v>SATVEER</x:v>
      </x:c>
      <x:c r="J179" t="str">
        <x:v>BSP</x:v>
      </x:c>
      <x:c r="K179" t="str">
        <x:v>EVM row</x:v>
      </x:c>
      <x:c r="L179" s="133" t="str">
        <x:f>IF(D179&lt;=0,"No EVM votes",IF(E179&lt;$N$7,"Low",IF(E179&gt;$R$7,"High","Middle")))</x:f>
        <x:v>Middle</x:v>
      </x:c>
      <x:c r="M179" s="133" t="str">
        <x:f>IF(D179&lt;=0,"No EVM votes",IF(H179&lt;-20%,"Large deficit",IF(H179&lt;-5%,"Moderate deficit",IF(H179&lt;0,"Narrow deficit",IF(H179&lt;=5%,"Narrow lead/tie",IF(H179&lt;=20%,"Moderate lead","Large lead"))))))</x:f>
        <x:v>Moderate lead</x:v>
      </x:c>
    </x:row>
    <x:row r="180">
      <x:c r="A180" t="n">
        <x:v>121</x:v>
      </x:c>
      <x:c r="B180" t="str">
        <x:v>SUNHARI LAL BALMUKUND I. C. DHANAURI R.NO. 2</x:v>
      </x:c>
      <x:c r="C180" s="83" t="n">
        <x:f>'2019 Form20'!H129</x:f>
        <x:v>164</x:v>
      </x:c>
      <x:c r="D180" s="83" t="n">
        <x:f>'2019 Form20'!D129</x:f>
        <x:v>520</x:v>
      </x:c>
      <x:c r="E180" s="50" t="n">
        <x:f>'2019 Form20'!U129</x:f>
        <x:v>0.3153846153846154</x:v>
      </x:c>
      <x:c r="F180" t="n">
        <x:f>'2019 Form20'!V129</x:f>
        <x:v>330</x:v>
      </x:c>
      <x:c r="G180" t="n">
        <x:f>'2019 Form20'!W129</x:f>
        <x:v>-166</x:v>
      </x:c>
      <x:c r="H180" s="52" t="n">
        <x:f>'2019 Form20'!X129</x:f>
        <x:v>-0.3192307692307692</x:v>
      </x:c>
      <x:c r="I180" t="str">
        <x:v>DR. MAHESH SHARMA</x:v>
      </x:c>
      <x:c r="J180" t="str">
        <x:v>BJP</x:v>
      </x:c>
      <x:c r="K180" t="str">
        <x:v>EVM row</x:v>
      </x:c>
      <x:c r="L180" s="133" t="str">
        <x:f>IF(D180&lt;=0,"No EVM votes",IF(E180&lt;$N$7,"Low",IF(E180&gt;$R$7,"High","Middle")))</x:f>
        <x:v>Middle</x:v>
      </x:c>
      <x:c r="M180" s="133" t="str">
        <x:f>IF(D180&lt;=0,"No EVM votes",IF(H180&lt;-20%,"Large deficit",IF(H180&lt;-5%,"Moderate deficit",IF(H180&lt;0,"Narrow deficit",IF(H180&lt;=5%,"Narrow lead/tie",IF(H180&lt;=20%,"Moderate lead","Large lead"))))))</x:f>
        <x:v>Large deficit</x:v>
      </x:c>
    </x:row>
    <x:row r="181">
      <x:c r="A181" t="n">
        <x:v>122</x:v>
      </x:c>
      <x:c r="B181" t="str">
        <x:v>PRY. PATY. THASRANA R.NO. 1</x:v>
      </x:c>
      <x:c r="C181" s="83" t="n">
        <x:f>'2019 Form20'!H130</x:f>
        <x:v>165</x:v>
      </x:c>
      <x:c r="D181" s="83" t="n">
        <x:f>'2019 Form20'!D130</x:f>
        <x:v>715</x:v>
      </x:c>
      <x:c r="E181" s="50" t="n">
        <x:f>'2019 Form20'!U130</x:f>
        <x:v>0.23076923076923078</x:v>
      </x:c>
      <x:c r="F181" t="n">
        <x:f>'2019 Form20'!V130</x:f>
        <x:v>524</x:v>
      </x:c>
      <x:c r="G181" t="n">
        <x:f>'2019 Form20'!W130</x:f>
        <x:v>-359</x:v>
      </x:c>
      <x:c r="H181" s="52" t="n">
        <x:f>'2019 Form20'!X130</x:f>
        <x:v>-0.5020979020979021</x:v>
      </x:c>
      <x:c r="I181" t="str">
        <x:v>DR. MAHESH SHARMA</x:v>
      </x:c>
      <x:c r="J181" t="str">
        <x:v>BJP</x:v>
      </x:c>
      <x:c r="K181" t="str">
        <x:v>EVM row</x:v>
      </x:c>
      <x:c r="L181" s="133" t="str">
        <x:f>IF(D181&lt;=0,"No EVM votes",IF(E181&lt;$N$7,"Low",IF(E181&gt;$R$7,"High","Middle")))</x:f>
        <x:v>Middle</x:v>
      </x:c>
      <x:c r="M181" s="133" t="str">
        <x:f>IF(D181&lt;=0,"No EVM votes",IF(H181&lt;-20%,"Large deficit",IF(H181&lt;-5%,"Moderate deficit",IF(H181&lt;0,"Narrow deficit",IF(H181&lt;=5%,"Narrow lead/tie",IF(H181&lt;=20%,"Moderate lead","Large lead"))))))</x:f>
        <x:v>Large deficit</x:v>
      </x:c>
    </x:row>
    <x:row r="182">
      <x:c r="A182" t="n">
        <x:v>123</x:v>
      </x:c>
      <x:c r="B182" t="str">
        <x:v>PRY. SCHOOL CHANGAULI R.NO. 1</x:v>
      </x:c>
      <x:c r="C182" s="83" t="n">
        <x:f>'2019 Form20'!H131</x:f>
        <x:v>57</x:v>
      </x:c>
      <x:c r="D182" s="83" t="n">
        <x:f>'2019 Form20'!D131</x:f>
        <x:v>514</x:v>
      </x:c>
      <x:c r="E182" s="50" t="n">
        <x:f>'2019 Form20'!U131</x:f>
        <x:v>0.11089494163424124</x:v>
      </x:c>
      <x:c r="F182" t="n">
        <x:f>'2019 Form20'!V131</x:f>
        <x:v>449</x:v>
      </x:c>
      <x:c r="G182" t="n">
        <x:f>'2019 Form20'!W131</x:f>
        <x:v>-392</x:v>
      </x:c>
      <x:c r="H182" s="52" t="n">
        <x:f>'2019 Form20'!X131</x:f>
        <x:v>-0.7626459143968871</x:v>
      </x:c>
      <x:c r="I182" t="str">
        <x:v>DR. MAHESH SHARMA</x:v>
      </x:c>
      <x:c r="J182" t="str">
        <x:v>BJP</x:v>
      </x:c>
      <x:c r="K182" t="str">
        <x:v>EVM row</x:v>
      </x:c>
      <x:c r="L182" s="133" t="str">
        <x:f>IF(D182&lt;=0,"No EVM votes",IF(E182&lt;$N$7,"Low",IF(E182&gt;$R$7,"High","Middle")))</x:f>
        <x:v>Low</x:v>
      </x:c>
      <x:c r="M182" s="133" t="str">
        <x:f>IF(D182&lt;=0,"No EVM votes",IF(H182&lt;-20%,"Large deficit",IF(H182&lt;-5%,"Moderate deficit",IF(H182&lt;0,"Narrow deficit",IF(H182&lt;=5%,"Narrow lead/tie",IF(H182&lt;=20%,"Moderate lead","Large lead"))))))</x:f>
        <x:v>Large deficit</x:v>
      </x:c>
    </x:row>
    <x:row r="183">
      <x:c r="A183" t="n">
        <x:v>124</x:v>
      </x:c>
      <x:c r="B183" t="str">
        <x:v>PRY. SCHOOL USMANPUR R.NO. 1</x:v>
      </x:c>
      <x:c r="C183" s="83" t="n">
        <x:f>'2019 Form20'!H132</x:f>
        <x:v>605</x:v>
      </x:c>
      <x:c r="D183" s="83" t="n">
        <x:f>'2019 Form20'!D132</x:f>
        <x:v>682</x:v>
      </x:c>
      <x:c r="E183" s="50" t="n">
        <x:f>'2019 Form20'!U132</x:f>
        <x:v>0.8870967741935484</x:v>
      </x:c>
      <x:c r="F183" t="n">
        <x:f>'2019 Form20'!V132</x:f>
        <x:v>39</x:v>
      </x:c>
      <x:c r="G183" t="n">
        <x:f>'2019 Form20'!W132</x:f>
        <x:v>566</x:v>
      </x:c>
      <x:c r="H183" s="52" t="n">
        <x:f>'2019 Form20'!X132</x:f>
        <x:v>0.8299120234604106</x:v>
      </x:c>
      <x:c r="I183" t="str">
        <x:v>SATVEER</x:v>
      </x:c>
      <x:c r="J183" t="str">
        <x:v>BSP</x:v>
      </x:c>
      <x:c r="K183" t="str">
        <x:v>EVM row</x:v>
      </x:c>
      <x:c r="L183" s="133" t="str">
        <x:f>IF(D183&lt;=0,"No EVM votes",IF(E183&lt;$N$7,"Low",IF(E183&gt;$R$7,"High","Middle")))</x:f>
        <x:v>High</x:v>
      </x:c>
      <x:c r="M183" s="133" t="str">
        <x:f>IF(D183&lt;=0,"No EVM votes",IF(H183&lt;-20%,"Large deficit",IF(H183&lt;-5%,"Moderate deficit",IF(H183&lt;0,"Narrow deficit",IF(H183&lt;=5%,"Narrow lead/tie",IF(H183&lt;=20%,"Moderate lead","Large lead"))))))</x:f>
        <x:v>Large lead</x:v>
      </x:c>
    </x:row>
    <x:row r="184">
      <x:c r="A184" t="n">
        <x:v>125</x:v>
      </x:c>
      <x:c r="B184" t="str">
        <x:v>PRY. SCHOOL USMANPUR R.NO. 2</x:v>
      </x:c>
      <x:c r="C184" s="83" t="n">
        <x:f>'2019 Form20'!H133</x:f>
        <x:v>770</x:v>
      </x:c>
      <x:c r="D184" s="83" t="n">
        <x:f>'2019 Form20'!D133</x:f>
        <x:v>813</x:v>
      </x:c>
      <x:c r="E184" s="50" t="n">
        <x:f>'2019 Form20'!U133</x:f>
        <x:v>0.947109471094711</x:v>
      </x:c>
      <x:c r="F184" t="n">
        <x:f>'2019 Form20'!V133</x:f>
        <x:v>27</x:v>
      </x:c>
      <x:c r="G184" t="n">
        <x:f>'2019 Form20'!W133</x:f>
        <x:v>743</x:v>
      </x:c>
      <x:c r="H184" s="52" t="n">
        <x:f>'2019 Form20'!X133</x:f>
        <x:v>0.9138991389913899</x:v>
      </x:c>
      <x:c r="I184" t="str">
        <x:v>SATVEER</x:v>
      </x:c>
      <x:c r="J184" t="str">
        <x:v>BSP</x:v>
      </x:c>
      <x:c r="K184" t="str">
        <x:v>EVM row</x:v>
      </x:c>
      <x:c r="L184" s="133" t="str">
        <x:f>IF(D184&lt;=0,"No EVM votes",IF(E184&lt;$N$7,"Low",IF(E184&gt;$R$7,"High","Middle")))</x:f>
        <x:v>High</x:v>
      </x:c>
      <x:c r="M184" s="133" t="str">
        <x:f>IF(D184&lt;=0,"No EVM votes",IF(H184&lt;-20%,"Large deficit",IF(H184&lt;-5%,"Moderate deficit",IF(H184&lt;0,"Narrow deficit",IF(H184&lt;=5%,"Narrow lead/tie",IF(H184&lt;=20%,"Moderate lead","Large lead"))))))</x:f>
        <x:v>Large lead</x:v>
      </x:c>
    </x:row>
    <x:row r="185">
      <x:c r="A185" t="n">
        <x:v>126</x:v>
      </x:c>
      <x:c r="B185" t="str">
        <x:v>PRY. SCHOOL MUTAINA R.NO. 1</x:v>
      </x:c>
      <x:c r="C185" s="83" t="n">
        <x:f>'2019 Form20'!H134</x:f>
        <x:v>178</x:v>
      </x:c>
      <x:c r="D185" s="83" t="n">
        <x:f>'2019 Form20'!D134</x:f>
        <x:v>710</x:v>
      </x:c>
      <x:c r="E185" s="50" t="n">
        <x:f>'2019 Form20'!U134</x:f>
        <x:v>0.2507042253521127</x:v>
      </x:c>
      <x:c r="F185" t="n">
        <x:f>'2019 Form20'!V134</x:f>
        <x:v>510</x:v>
      </x:c>
      <x:c r="G185" t="n">
        <x:f>'2019 Form20'!W134</x:f>
        <x:v>-332</x:v>
      </x:c>
      <x:c r="H185" s="52" t="n">
        <x:f>'2019 Form20'!X134</x:f>
        <x:v>-0.4676056338028169</x:v>
      </x:c>
      <x:c r="I185" t="str">
        <x:v>DR. MAHESH SHARMA</x:v>
      </x:c>
      <x:c r="J185" t="str">
        <x:v>BJP</x:v>
      </x:c>
      <x:c r="K185" t="str">
        <x:v>EVM row</x:v>
      </x:c>
      <x:c r="L185" s="133" t="str">
        <x:f>IF(D185&lt;=0,"No EVM votes",IF(E185&lt;$N$7,"Low",IF(E185&gt;$R$7,"High","Middle")))</x:f>
        <x:v>Middle</x:v>
      </x:c>
      <x:c r="M185" s="133" t="str">
        <x:f>IF(D185&lt;=0,"No EVM votes",IF(H185&lt;-20%,"Large deficit",IF(H185&lt;-5%,"Moderate deficit",IF(H185&lt;0,"Narrow deficit",IF(H185&lt;=5%,"Narrow lead/tie",IF(H185&lt;=20%,"Moderate lead","Large lead"))))))</x:f>
        <x:v>Large deficit</x:v>
      </x:c>
    </x:row>
    <x:row r="186">
      <x:c r="A186" t="n">
        <x:v>127</x:v>
      </x:c>
      <x:c r="B186" t="str">
        <x:v>KISAN I. C. PARSAUL R.NO. 1</x:v>
      </x:c>
      <x:c r="C186" s="83" t="n">
        <x:f>'2019 Form20'!H135</x:f>
        <x:v>63</x:v>
      </x:c>
      <x:c r="D186" s="83" t="n">
        <x:f>'2019 Form20'!D135</x:f>
        <x:v>593</x:v>
      </x:c>
      <x:c r="E186" s="50" t="n">
        <x:f>'2019 Form20'!U135</x:f>
        <x:v>0.10623946037099494</x:v>
      </x:c>
      <x:c r="F186" t="n">
        <x:f>'2019 Form20'!V135</x:f>
        <x:v>527</x:v>
      </x:c>
      <x:c r="G186" t="n">
        <x:f>'2019 Form20'!W135</x:f>
        <x:v>-464</x:v>
      </x:c>
      <x:c r="H186" s="52" t="n">
        <x:f>'2019 Form20'!X135</x:f>
        <x:v>-0.7824620573355818</x:v>
      </x:c>
      <x:c r="I186" t="str">
        <x:v>DR. MAHESH SHARMA</x:v>
      </x:c>
      <x:c r="J186" t="str">
        <x:v>BJP</x:v>
      </x:c>
      <x:c r="K186" t="str">
        <x:v>EVM row</x:v>
      </x:c>
      <x:c r="L186" s="133" t="str">
        <x:f>IF(D186&lt;=0,"No EVM votes",IF(E186&lt;$N$7,"Low",IF(E186&gt;$R$7,"High","Middle")))</x:f>
        <x:v>Low</x:v>
      </x:c>
      <x:c r="M186" s="133" t="str">
        <x:f>IF(D186&lt;=0,"No EVM votes",IF(H186&lt;-20%,"Large deficit",IF(H186&lt;-5%,"Moderate deficit",IF(H186&lt;0,"Narrow deficit",IF(H186&lt;=5%,"Narrow lead/tie",IF(H186&lt;=20%,"Moderate lead","Large lead"))))))</x:f>
        <x:v>Large deficit</x:v>
      </x:c>
    </x:row>
    <x:row r="187">
      <x:c r="A187" t="n">
        <x:v>128</x:v>
      </x:c>
      <x:c r="B187" t="str">
        <x:v>KISAN I. C. PARSAUL R.NO. 2</x:v>
      </x:c>
      <x:c r="C187" s="83" t="n">
        <x:f>'2019 Form20'!H136</x:f>
        <x:v>196</x:v>
      </x:c>
      <x:c r="D187" s="83" t="n">
        <x:f>'2019 Form20'!D136</x:f>
        <x:v>653</x:v>
      </x:c>
      <x:c r="E187" s="50" t="n">
        <x:f>'2019 Form20'!U136</x:f>
        <x:v>0.3001531393568147</x:v>
      </x:c>
      <x:c r="F187" t="n">
        <x:f>'2019 Form20'!V136</x:f>
        <x:v>437</x:v>
      </x:c>
      <x:c r="G187" t="n">
        <x:f>'2019 Form20'!W136</x:f>
        <x:v>-241</x:v>
      </x:c>
      <x:c r="H187" s="52" t="n">
        <x:f>'2019 Form20'!X136</x:f>
        <x:v>-0.36906584992343033</x:v>
      </x:c>
      <x:c r="I187" t="str">
        <x:v>DR. MAHESH SHARMA</x:v>
      </x:c>
      <x:c r="J187" t="str">
        <x:v>BJP</x:v>
      </x:c>
      <x:c r="K187" t="str">
        <x:v>EVM row</x:v>
      </x:c>
      <x:c r="L187" s="133" t="str">
        <x:f>IF(D187&lt;=0,"No EVM votes",IF(E187&lt;$N$7,"Low",IF(E187&gt;$R$7,"High","Middle")))</x:f>
        <x:v>Middle</x:v>
      </x:c>
      <x:c r="M187" s="133" t="str">
        <x:f>IF(D187&lt;=0,"No EVM votes",IF(H187&lt;-20%,"Large deficit",IF(H187&lt;-5%,"Moderate deficit",IF(H187&lt;0,"Narrow deficit",IF(H187&lt;=5%,"Narrow lead/tie",IF(H187&lt;=20%,"Moderate lead","Large lead"))))))</x:f>
        <x:v>Large deficit</x:v>
      </x:c>
    </x:row>
    <x:row r="188">
      <x:c r="A188" t="n">
        <x:v>129</x:v>
      </x:c>
      <x:c r="B188" t="str">
        <x:v>KISAN I. C. PARSAUL R.NO.3</x:v>
      </x:c>
      <x:c r="C188" s="83" t="n">
        <x:f>'2019 Form20'!H137</x:f>
        <x:v>151</x:v>
      </x:c>
      <x:c r="D188" s="83" t="n">
        <x:f>'2019 Form20'!D137</x:f>
        <x:v>500</x:v>
      </x:c>
      <x:c r="E188" s="50" t="n">
        <x:f>'2019 Form20'!U137</x:f>
        <x:v>0.302</x:v>
      </x:c>
      <x:c r="F188" t="n">
        <x:f>'2019 Form20'!V137</x:f>
        <x:v>336</x:v>
      </x:c>
      <x:c r="G188" t="n">
        <x:f>'2019 Form20'!W137</x:f>
        <x:v>-185</x:v>
      </x:c>
      <x:c r="H188" s="52" t="n">
        <x:f>'2019 Form20'!X137</x:f>
        <x:v>-0.37</x:v>
      </x:c>
      <x:c r="I188" t="str">
        <x:v>DR. MAHESH SHARMA</x:v>
      </x:c>
      <x:c r="J188" t="str">
        <x:v>BJP</x:v>
      </x:c>
      <x:c r="K188" t="str">
        <x:v>EVM row</x:v>
      </x:c>
      <x:c r="L188" s="133" t="str">
        <x:f>IF(D188&lt;=0,"No EVM votes",IF(E188&lt;$N$7,"Low",IF(E188&gt;$R$7,"High","Middle")))</x:f>
        <x:v>Middle</x:v>
      </x:c>
      <x:c r="M188" s="133" t="str">
        <x:f>IF(D188&lt;=0,"No EVM votes",IF(H188&lt;-20%,"Large deficit",IF(H188&lt;-5%,"Moderate deficit",IF(H188&lt;0,"Narrow deficit",IF(H188&lt;=5%,"Narrow lead/tie",IF(H188&lt;=20%,"Moderate lead","Large lead"))))))</x:f>
        <x:v>Large deficit</x:v>
      </x:c>
    </x:row>
    <x:row r="189">
      <x:c r="A189" t="n">
        <x:v>130</x:v>
      </x:c>
      <x:c r="B189" t="str">
        <x:v>KISAN I. C. PARSAUL R.NO.4</x:v>
      </x:c>
      <x:c r="C189" s="83" t="n">
        <x:f>'2019 Form20'!H138</x:f>
        <x:v>154</x:v>
      </x:c>
      <x:c r="D189" s="83" t="n">
        <x:f>'2019 Form20'!D138</x:f>
        <x:v>399</x:v>
      </x:c>
      <x:c r="E189" s="50" t="n">
        <x:f>'2019 Form20'!U138</x:f>
        <x:v>0.38596491228070173</x:v>
      </x:c>
      <x:c r="F189" t="n">
        <x:f>'2019 Form20'!V138</x:f>
        <x:v>228</x:v>
      </x:c>
      <x:c r="G189" t="n">
        <x:f>'2019 Form20'!W138</x:f>
        <x:v>-74</x:v>
      </x:c>
      <x:c r="H189" s="52" t="n">
        <x:f>'2019 Form20'!X138</x:f>
        <x:v>-0.18546365914786966</x:v>
      </x:c>
      <x:c r="I189" t="str">
        <x:v>DR. MAHESH SHARMA</x:v>
      </x:c>
      <x:c r="J189" t="str">
        <x:v>BJP</x:v>
      </x:c>
      <x:c r="K189" t="str">
        <x:v>EVM row</x:v>
      </x:c>
      <x:c r="L189" s="133" t="str">
        <x:f>IF(D189&lt;=0,"No EVM votes",IF(E189&lt;$N$7,"Low",IF(E189&gt;$R$7,"High","Middle")))</x:f>
        <x:v>Middle</x:v>
      </x:c>
      <x:c r="M189" s="133" t="str">
        <x:f>IF(D189&lt;=0,"No EVM votes",IF(H189&lt;-20%,"Large deficit",IF(H189&lt;-5%,"Moderate deficit",IF(H189&lt;0,"Narrow deficit",IF(H189&lt;=5%,"Narrow lead/tie",IF(H189&lt;=20%,"Moderate lead","Large lead"))))))</x:f>
        <x:v>Moderate deficit</x:v>
      </x:c>
    </x:row>
    <x:row r="190">
      <x:c r="A190" t="n">
        <x:v>131</x:v>
      </x:c>
      <x:c r="B190" t="str">
        <x:v>PRY. SCHOOL ACHCHHEPUR R.NO. 1</x:v>
      </x:c>
      <x:c r="C190" s="83" t="n">
        <x:f>'2019 Form20'!H139</x:f>
        <x:v>19</x:v>
      </x:c>
      <x:c r="D190" s="83" t="n">
        <x:f>'2019 Form20'!D139</x:f>
        <x:v>491</x:v>
      </x:c>
      <x:c r="E190" s="50" t="n">
        <x:f>'2019 Form20'!U139</x:f>
        <x:v>0.038696537678207736</x:v>
      </x:c>
      <x:c r="F190" t="n">
        <x:f>'2019 Form20'!V139</x:f>
        <x:v>457</x:v>
      </x:c>
      <x:c r="G190" t="n">
        <x:f>'2019 Form20'!W139</x:f>
        <x:v>-438</x:v>
      </x:c>
      <x:c r="H190" s="52" t="n">
        <x:f>'2019 Form20'!X139</x:f>
        <x:v>-0.8920570264765784</x:v>
      </x:c>
      <x:c r="I190" t="str">
        <x:v>DR. MAHESH SHARMA</x:v>
      </x:c>
      <x:c r="J190" t="str">
        <x:v>BJP</x:v>
      </x:c>
      <x:c r="K190" t="str">
        <x:v>EVM row</x:v>
      </x:c>
      <x:c r="L190" s="133" t="str">
        <x:f>IF(D190&lt;=0,"No EVM votes",IF(E190&lt;$N$7,"Low",IF(E190&gt;$R$7,"High","Middle")))</x:f>
        <x:v>Low</x:v>
      </x:c>
      <x:c r="M190" s="133" t="str">
        <x:f>IF(D190&lt;=0,"No EVM votes",IF(H190&lt;-20%,"Large deficit",IF(H190&lt;-5%,"Moderate deficit",IF(H190&lt;0,"Narrow deficit",IF(H190&lt;=5%,"Narrow lead/tie",IF(H190&lt;=20%,"Moderate lead","Large lead"))))))</x:f>
        <x:v>Large deficit</x:v>
      </x:c>
    </x:row>
    <x:row r="191">
      <x:c r="A191" t="n">
        <x:v>132</x:v>
      </x:c>
      <x:c r="B191" t="str">
        <x:v>PRY. SCHOOL ACHCHHEPUR R.NO. 2</x:v>
      </x:c>
      <x:c r="C191" s="83" t="n">
        <x:f>'2019 Form20'!H140</x:f>
        <x:v>33</x:v>
      </x:c>
      <x:c r="D191" s="83" t="n">
        <x:f>'2019 Form20'!D140</x:f>
        <x:v>481</x:v>
      </x:c>
      <x:c r="E191" s="50" t="n">
        <x:f>'2019 Form20'!U140</x:f>
        <x:v>0.06860706860706861</x:v>
      </x:c>
      <x:c r="F191" t="n">
        <x:f>'2019 Form20'!V140</x:f>
        <x:v>427</x:v>
      </x:c>
      <x:c r="G191" t="n">
        <x:f>'2019 Form20'!W140</x:f>
        <x:v>-394</x:v>
      </x:c>
      <x:c r="H191" s="52" t="n">
        <x:f>'2019 Form20'!X140</x:f>
        <x:v>-0.8191268191268192</x:v>
      </x:c>
      <x:c r="I191" t="str">
        <x:v>DR. MAHESH SHARMA</x:v>
      </x:c>
      <x:c r="J191" t="str">
        <x:v>BJP</x:v>
      </x:c>
      <x:c r="K191" t="str">
        <x:v>EVM row</x:v>
      </x:c>
      <x:c r="L191" s="133" t="str">
        <x:f>IF(D191&lt;=0,"No EVM votes",IF(E191&lt;$N$7,"Low",IF(E191&gt;$R$7,"High","Middle")))</x:f>
        <x:v>Low</x:v>
      </x:c>
      <x:c r="M191" s="133" t="str">
        <x:f>IF(D191&lt;=0,"No EVM votes",IF(H191&lt;-20%,"Large deficit",IF(H191&lt;-5%,"Moderate deficit",IF(H191&lt;0,"Narrow deficit",IF(H191&lt;=5%,"Narrow lead/tie",IF(H191&lt;=20%,"Moderate lead","Large lead"))))))</x:f>
        <x:v>Large deficit</x:v>
      </x:c>
    </x:row>
    <x:row r="192">
      <x:c r="A192" t="n">
        <x:v>133</x:v>
      </x:c>
      <x:c r="B192" t="str">
        <x:v>PRY. SCHOOL CHANDPUR R.NO. 1</x:v>
      </x:c>
      <x:c r="C192" s="83" t="n">
        <x:f>'2019 Form20'!H141</x:f>
        <x:v>52</x:v>
      </x:c>
      <x:c r="D192" s="83" t="n">
        <x:f>'2019 Form20'!D141</x:f>
        <x:v>383</x:v>
      </x:c>
      <x:c r="E192" s="50" t="n">
        <x:f>'2019 Form20'!U141</x:f>
        <x:v>0.13577023498694518</x:v>
      </x:c>
      <x:c r="F192" t="n">
        <x:f>'2019 Form20'!V141</x:f>
        <x:v>306</x:v>
      </x:c>
      <x:c r="G192" t="n">
        <x:f>'2019 Form20'!W141</x:f>
        <x:v>-254</x:v>
      </x:c>
      <x:c r="H192" s="52" t="n">
        <x:f>'2019 Form20'!X141</x:f>
        <x:v>-0.6631853785900783</x:v>
      </x:c>
      <x:c r="I192" t="str">
        <x:v>DR. MAHESH SHARMA</x:v>
      </x:c>
      <x:c r="J192" t="str">
        <x:v>BJP</x:v>
      </x:c>
      <x:c r="K192" t="str">
        <x:v>EVM row</x:v>
      </x:c>
      <x:c r="L192" s="133" t="str">
        <x:f>IF(D192&lt;=0,"No EVM votes",IF(E192&lt;$N$7,"Low",IF(E192&gt;$R$7,"High","Middle")))</x:f>
        <x:v>Low</x:v>
      </x:c>
      <x:c r="M192" s="133" t="str">
        <x:f>IF(D192&lt;=0,"No EVM votes",IF(H192&lt;-20%,"Large deficit",IF(H192&lt;-5%,"Moderate deficit",IF(H192&lt;0,"Narrow deficit",IF(H192&lt;=5%,"Narrow lead/tie",IF(H192&lt;=20%,"Moderate lead","Large lead"))))))</x:f>
        <x:v>Large deficit</x:v>
      </x:c>
    </x:row>
    <x:row r="193">
      <x:c r="A193" t="n">
        <x:v>134</x:v>
      </x:c>
      <x:c r="B193" t="str">
        <x:v>PRY. PATH. NILAUNI R.NO. 1</x:v>
      </x:c>
      <x:c r="C193" s="83" t="n">
        <x:f>'2019 Form20'!H142</x:f>
        <x:v>309</x:v>
      </x:c>
      <x:c r="D193" s="83" t="n">
        <x:f>'2019 Form20'!D142</x:f>
        <x:v>588</x:v>
      </x:c>
      <x:c r="E193" s="50" t="n">
        <x:f>'2019 Form20'!U142</x:f>
        <x:v>0.5255102040816326</x:v>
      </x:c>
      <x:c r="F193" t="n">
        <x:f>'2019 Form20'!V142</x:f>
        <x:v>260</x:v>
      </x:c>
      <x:c r="G193" t="n">
        <x:f>'2019 Form20'!W142</x:f>
        <x:v>49</x:v>
      </x:c>
      <x:c r="H193" s="52" t="n">
        <x:f>'2019 Form20'!X142</x:f>
        <x:v>0.08333333333333333</x:v>
      </x:c>
      <x:c r="I193" t="str">
        <x:v>SATVEER</x:v>
      </x:c>
      <x:c r="J193" t="str">
        <x:v>BSP</x:v>
      </x:c>
      <x:c r="K193" t="str">
        <x:v>EVM row</x:v>
      </x:c>
      <x:c r="L193" s="133" t="str">
        <x:f>IF(D193&lt;=0,"No EVM votes",IF(E193&lt;$N$7,"Low",IF(E193&gt;$R$7,"High","Middle")))</x:f>
        <x:v>Middle</x:v>
      </x:c>
      <x:c r="M193" s="133" t="str">
        <x:f>IF(D193&lt;=0,"No EVM votes",IF(H193&lt;-20%,"Large deficit",IF(H193&lt;-5%,"Moderate deficit",IF(H193&lt;0,"Narrow deficit",IF(H193&lt;=5%,"Narrow lead/tie",IF(H193&lt;=20%,"Moderate lead","Large lead"))))))</x:f>
        <x:v>Moderate lead</x:v>
      </x:c>
    </x:row>
    <x:row r="194">
      <x:c r="A194" t="n">
        <x:v>135</x:v>
      </x:c>
      <x:c r="B194" t="str">
        <x:v>PRY. PATH. NILAUNI R.NO. 2</x:v>
      </x:c>
      <x:c r="C194" s="83" t="n">
        <x:f>'2019 Form20'!H143</x:f>
        <x:v>185</x:v>
      </x:c>
      <x:c r="D194" s="83" t="n">
        <x:f>'2019 Form20'!D143</x:f>
        <x:v>566</x:v>
      </x:c>
      <x:c r="E194" s="50" t="n">
        <x:f>'2019 Form20'!U143</x:f>
        <x:v>0.32685512367491165</x:v>
      </x:c>
      <x:c r="F194" t="n">
        <x:f>'2019 Form20'!V143</x:f>
        <x:v>356</x:v>
      </x:c>
      <x:c r="G194" t="n">
        <x:f>'2019 Form20'!W143</x:f>
        <x:v>-171</x:v>
      </x:c>
      <x:c r="H194" s="52" t="n">
        <x:f>'2019 Form20'!X143</x:f>
        <x:v>-0.30212014134275617</x:v>
      </x:c>
      <x:c r="I194" t="str">
        <x:v>DR. MAHESH SHARMA</x:v>
      </x:c>
      <x:c r="J194" t="str">
        <x:v>BJP</x:v>
      </x:c>
      <x:c r="K194" t="str">
        <x:v>EVM row</x:v>
      </x:c>
      <x:c r="L194" s="133" t="str">
        <x:f>IF(D194&lt;=0,"No EVM votes",IF(E194&lt;$N$7,"Low",IF(E194&gt;$R$7,"High","Middle")))</x:f>
        <x:v>Middle</x:v>
      </x:c>
      <x:c r="M194" s="133" t="str">
        <x:f>IF(D194&lt;=0,"No EVM votes",IF(H194&lt;-20%,"Large deficit",IF(H194&lt;-5%,"Moderate deficit",IF(H194&lt;0,"Narrow deficit",IF(H194&lt;=5%,"Narrow lead/tie",IF(H194&lt;=20%,"Moderate lead","Large lead"))))))</x:f>
        <x:v>Large deficit</x:v>
      </x:c>
    </x:row>
    <x:row r="195">
      <x:c r="A195" t="n">
        <x:v>136</x:v>
      </x:c>
      <x:c r="B195" t="str">
        <x:v>PRY. SCHOOL SHAHPUR R.NO. 1</x:v>
      </x:c>
      <x:c r="C195" s="83" t="n">
        <x:f>'2019 Form20'!H144</x:f>
        <x:v>188</x:v>
      </x:c>
      <x:c r="D195" s="83" t="n">
        <x:f>'2019 Form20'!D144</x:f>
        <x:v>377</x:v>
      </x:c>
      <x:c r="E195" s="50" t="n">
        <x:f>'2019 Form20'!U144</x:f>
        <x:v>0.4986737400530504</x:v>
      </x:c>
      <x:c r="F195" t="n">
        <x:f>'2019 Form20'!V144</x:f>
        <x:v>169</x:v>
      </x:c>
      <x:c r="G195" t="n">
        <x:f>'2019 Form20'!W144</x:f>
        <x:v>19</x:v>
      </x:c>
      <x:c r="H195" s="52" t="n">
        <x:f>'2019 Form20'!X144</x:f>
        <x:v>0.050397877984084884</x:v>
      </x:c>
      <x:c r="I195" t="str">
        <x:v>SATVEER</x:v>
      </x:c>
      <x:c r="J195" t="str">
        <x:v>BSP</x:v>
      </x:c>
      <x:c r="K195" t="str">
        <x:v>EVM row</x:v>
      </x:c>
      <x:c r="L195" s="133" t="str">
        <x:f>IF(D195&lt;=0,"No EVM votes",IF(E195&lt;$N$7,"Low",IF(E195&gt;$R$7,"High","Middle")))</x:f>
        <x:v>Middle</x:v>
      </x:c>
      <x:c r="M195" s="133" t="str">
        <x:f>IF(D195&lt;=0,"No EVM votes",IF(H195&lt;-20%,"Large deficit",IF(H195&lt;-5%,"Moderate deficit",IF(H195&lt;0,"Narrow deficit",IF(H195&lt;=5%,"Narrow lead/tie",IF(H195&lt;=20%,"Moderate lead","Large lead"))))))</x:f>
        <x:v>Moderate lead</x:v>
      </x:c>
    </x:row>
    <x:row r="196">
      <x:c r="A196" t="n">
        <x:v>137</x:v>
      </x:c>
      <x:c r="B196" t="str">
        <x:v>PRY. SCHOOL MIRZAPUR R.NO. 1</x:v>
      </x:c>
      <x:c r="C196" s="83" t="n">
        <x:f>'2019 Form20'!H145</x:f>
        <x:v>153</x:v>
      </x:c>
      <x:c r="D196" s="83" t="n">
        <x:f>'2019 Form20'!D145</x:f>
        <x:v>516</x:v>
      </x:c>
      <x:c r="E196" s="50" t="n">
        <x:f>'2019 Form20'!U145</x:f>
        <x:v>0.29651162790697677</x:v>
      </x:c>
      <x:c r="F196" t="n">
        <x:f>'2019 Form20'!V145</x:f>
        <x:v>335</x:v>
      </x:c>
      <x:c r="G196" t="n">
        <x:f>'2019 Form20'!W145</x:f>
        <x:v>-182</x:v>
      </x:c>
      <x:c r="H196" s="52" t="n">
        <x:f>'2019 Form20'!X145</x:f>
        <x:v>-0.35271317829457366</x:v>
      </x:c>
      <x:c r="I196" t="str">
        <x:v>DR. MAHESH SHARMA</x:v>
      </x:c>
      <x:c r="J196" t="str">
        <x:v>BJP</x:v>
      </x:c>
      <x:c r="K196" t="str">
        <x:v>EVM row</x:v>
      </x:c>
      <x:c r="L196" s="133" t="str">
        <x:f>IF(D196&lt;=0,"No EVM votes",IF(E196&lt;$N$7,"Low",IF(E196&gt;$R$7,"High","Middle")))</x:f>
        <x:v>Middle</x:v>
      </x:c>
      <x:c r="M196" s="133" t="str">
        <x:f>IF(D196&lt;=0,"No EVM votes",IF(H196&lt;-20%,"Large deficit",IF(H196&lt;-5%,"Moderate deficit",IF(H196&lt;0,"Narrow deficit",IF(H196&lt;=5%,"Narrow lead/tie",IF(H196&lt;=20%,"Moderate lead","Large lead"))))))</x:f>
        <x:v>Large deficit</x:v>
      </x:c>
    </x:row>
    <x:row r="197">
      <x:c r="A197" t="n">
        <x:v>138</x:v>
      </x:c>
      <x:c r="B197" t="str">
        <x:v>PRY. SCHOOL MIRZAPUR R.NO. 2</x:v>
      </x:c>
      <x:c r="C197" s="83" t="n">
        <x:f>'2019 Form20'!H146</x:f>
        <x:v>89</x:v>
      </x:c>
      <x:c r="D197" s="83" t="n">
        <x:f>'2019 Form20'!D146</x:f>
        <x:v>439</x:v>
      </x:c>
      <x:c r="E197" s="50" t="n">
        <x:f>'2019 Form20'!U146</x:f>
        <x:v>0.20273348519362186</x:v>
      </x:c>
      <x:c r="F197" t="n">
        <x:f>'2019 Form20'!V146</x:f>
        <x:v>337</x:v>
      </x:c>
      <x:c r="G197" t="n">
        <x:f>'2019 Form20'!W146</x:f>
        <x:v>-248</x:v>
      </x:c>
      <x:c r="H197" s="52" t="n">
        <x:f>'2019 Form20'!X146</x:f>
        <x:v>-0.5649202733485194</x:v>
      </x:c>
      <x:c r="I197" t="str">
        <x:v>DR. MAHESH SHARMA</x:v>
      </x:c>
      <x:c r="J197" t="str">
        <x:v>BJP</x:v>
      </x:c>
      <x:c r="K197" t="str">
        <x:v>EVM row</x:v>
      </x:c>
      <x:c r="L197" s="133" t="str">
        <x:f>IF(D197&lt;=0,"No EVM votes",IF(E197&lt;$N$7,"Low",IF(E197&gt;$R$7,"High","Middle")))</x:f>
        <x:v>Low</x:v>
      </x:c>
      <x:c r="M197" s="133" t="str">
        <x:f>IF(D197&lt;=0,"No EVM votes",IF(H197&lt;-20%,"Large deficit",IF(H197&lt;-5%,"Moderate deficit",IF(H197&lt;0,"Narrow deficit",IF(H197&lt;=5%,"Narrow lead/tie",IF(H197&lt;=20%,"Moderate lead","Large lead"))))))</x:f>
        <x:v>Large deficit</x:v>
      </x:c>
    </x:row>
    <x:row r="198">
      <x:c r="A198" t="n">
        <x:v>139</x:v>
      </x:c>
      <x:c r="B198" t="str">
        <x:v>SHRI HARDWARI LAL JANHIT H.S. SCHOOL MIRZAPUR R.NO. 1</x:v>
      </x:c>
      <x:c r="C198" s="83" t="n">
        <x:f>'2019 Form20'!H147</x:f>
        <x:v>208</x:v>
      </x:c>
      <x:c r="D198" s="83" t="n">
        <x:f>'2019 Form20'!D147</x:f>
        <x:v>786</x:v>
      </x:c>
      <x:c r="E198" s="50" t="n">
        <x:f>'2019 Form20'!U147</x:f>
        <x:v>0.26463104325699743</x:v>
      </x:c>
      <x:c r="F198" t="n">
        <x:f>'2019 Form20'!V147</x:f>
        <x:v>555</x:v>
      </x:c>
      <x:c r="G198" t="n">
        <x:f>'2019 Form20'!W147</x:f>
        <x:v>-347</x:v>
      </x:c>
      <x:c r="H198" s="52" t="n">
        <x:f>'2019 Form20'!X147</x:f>
        <x:v>-0.44147582697201015</x:v>
      </x:c>
      <x:c r="I198" t="str">
        <x:v>DR. MAHESH SHARMA</x:v>
      </x:c>
      <x:c r="J198" t="str">
        <x:v>BJP</x:v>
      </x:c>
      <x:c r="K198" t="str">
        <x:v>EVM row</x:v>
      </x:c>
      <x:c r="L198" s="133" t="str">
        <x:f>IF(D198&lt;=0,"No EVM votes",IF(E198&lt;$N$7,"Low",IF(E198&gt;$R$7,"High","Middle")))</x:f>
        <x:v>Middle</x:v>
      </x:c>
      <x:c r="M198" s="133" t="str">
        <x:f>IF(D198&lt;=0,"No EVM votes",IF(H198&lt;-20%,"Large deficit",IF(H198&lt;-5%,"Moderate deficit",IF(H198&lt;0,"Narrow deficit",IF(H198&lt;=5%,"Narrow lead/tie",IF(H198&lt;=20%,"Moderate lead","Large lead"))))))</x:f>
        <x:v>Large deficit</x:v>
      </x:c>
    </x:row>
    <x:row r="199">
      <x:c r="A199" t="n">
        <x:v>140</x:v>
      </x:c>
      <x:c r="B199" t="str">
        <x:v>SHRI HARDWARI LAL JANHIT H.S. SCHOOL MIRZAPUR R.NO.2</x:v>
      </x:c>
      <x:c r="C199" s="83" t="n">
        <x:f>'2019 Form20'!H148</x:f>
        <x:v>199</x:v>
      </x:c>
      <x:c r="D199" s="83" t="n">
        <x:f>'2019 Form20'!D148</x:f>
        <x:v>562</x:v>
      </x:c>
      <x:c r="E199" s="50" t="n">
        <x:f>'2019 Form20'!U148</x:f>
        <x:v>0.3540925266903915</x:v>
      </x:c>
      <x:c r="F199" t="n">
        <x:f>'2019 Form20'!V148</x:f>
        <x:v>353</x:v>
      </x:c>
      <x:c r="G199" t="n">
        <x:f>'2019 Form20'!W148</x:f>
        <x:v>-154</x:v>
      </x:c>
      <x:c r="H199" s="52" t="n">
        <x:f>'2019 Form20'!X148</x:f>
        <x:v>-0.27402135231316727</x:v>
      </x:c>
      <x:c r="I199" t="str">
        <x:v>DR. MAHESH SHARMA</x:v>
      </x:c>
      <x:c r="J199" t="str">
        <x:v>BJP</x:v>
      </x:c>
      <x:c r="K199" t="str">
        <x:v>EVM row</x:v>
      </x:c>
      <x:c r="L199" s="133" t="str">
        <x:f>IF(D199&lt;=0,"No EVM votes",IF(E199&lt;$N$7,"Low",IF(E199&gt;$R$7,"High","Middle")))</x:f>
        <x:v>Middle</x:v>
      </x:c>
      <x:c r="M199" s="133" t="str">
        <x:f>IF(D199&lt;=0,"No EVM votes",IF(H199&lt;-20%,"Large deficit",IF(H199&lt;-5%,"Moderate deficit",IF(H199&lt;0,"Narrow deficit",IF(H199&lt;=5%,"Narrow lead/tie",IF(H199&lt;=20%,"Moderate lead","Large lead"))))))</x:f>
        <x:v>Large deficit</x:v>
      </x:c>
    </x:row>
    <x:row r="200">
      <x:c r="A200" t="n">
        <x:v>141</x:v>
      </x:c>
      <x:c r="B200" t="str">
        <x:v>SHRI HARDWARI LAL JANHIT H.S. SCHOOL MIRZAPUR R.NO. 3</x:v>
      </x:c>
      <x:c r="C200" s="83" t="n">
        <x:f>'2019 Form20'!H149</x:f>
        <x:v>169</x:v>
      </x:c>
      <x:c r="D200" s="83" t="n">
        <x:f>'2019 Form20'!D149</x:f>
        <x:v>570</x:v>
      </x:c>
      <x:c r="E200" s="50" t="n">
        <x:f>'2019 Form20'!U149</x:f>
        <x:v>0.2964912280701754</x:v>
      </x:c>
      <x:c r="F200" t="n">
        <x:f>'2019 Form20'!V149</x:f>
        <x:v>396</x:v>
      </x:c>
      <x:c r="G200" t="n">
        <x:f>'2019 Form20'!W149</x:f>
        <x:v>-227</x:v>
      </x:c>
      <x:c r="H200" s="52" t="n">
        <x:f>'2019 Form20'!X149</x:f>
        <x:v>-0.39824561403508774</x:v>
      </x:c>
      <x:c r="I200" t="str">
        <x:v>DR. MAHESH SHARMA</x:v>
      </x:c>
      <x:c r="J200" t="str">
        <x:v>BJP</x:v>
      </x:c>
      <x:c r="K200" t="str">
        <x:v>EVM row</x:v>
      </x:c>
      <x:c r="L200" s="133" t="str">
        <x:f>IF(D200&lt;=0,"No EVM votes",IF(E200&lt;$N$7,"Low",IF(E200&gt;$R$7,"High","Middle")))</x:f>
        <x:v>Middle</x:v>
      </x:c>
      <x:c r="M200" s="133" t="str">
        <x:f>IF(D200&lt;=0,"No EVM votes",IF(H200&lt;-20%,"Large deficit",IF(H200&lt;-5%,"Moderate deficit",IF(H200&lt;0,"Narrow deficit",IF(H200&lt;=5%,"Narrow lead/tie",IF(H200&lt;=20%,"Moderate lead","Large lead"))))))</x:f>
        <x:v>Large deficit</x:v>
      </x:c>
    </x:row>
    <x:row r="201">
      <x:c r="A201" t="n">
        <x:v>142</x:v>
      </x:c>
      <x:c r="B201" t="str">
        <x:v>PRY. SCHOOL CHAPARGARH R.NO.1</x:v>
      </x:c>
      <x:c r="C201" s="83" t="n">
        <x:f>'2019 Form20'!H150</x:f>
        <x:v>337</x:v>
      </x:c>
      <x:c r="D201" s="83" t="n">
        <x:f>'2019 Form20'!D150</x:f>
        <x:v>469</x:v>
      </x:c>
      <x:c r="E201" s="50" t="n">
        <x:f>'2019 Form20'!U150</x:f>
        <x:v>0.7185501066098081</x:v>
      </x:c>
      <x:c r="F201" t="n">
        <x:f>'2019 Form20'!V150</x:f>
        <x:v>129</x:v>
      </x:c>
      <x:c r="G201" t="n">
        <x:f>'2019 Form20'!W150</x:f>
        <x:v>208</x:v>
      </x:c>
      <x:c r="H201" s="52" t="n">
        <x:f>'2019 Form20'!X150</x:f>
        <x:v>0.44349680170575695</x:v>
      </x:c>
      <x:c r="I201" t="str">
        <x:v>SATVEER</x:v>
      </x:c>
      <x:c r="J201" t="str">
        <x:v>BSP</x:v>
      </x:c>
      <x:c r="K201" t="str">
        <x:v>EVM row</x:v>
      </x:c>
      <x:c r="L201" s="133" t="str">
        <x:f>IF(D201&lt;=0,"No EVM votes",IF(E201&lt;$N$7,"Low",IF(E201&gt;$R$7,"High","Middle")))</x:f>
        <x:v>High</x:v>
      </x:c>
      <x:c r="M201" s="133" t="str">
        <x:f>IF(D201&lt;=0,"No EVM votes",IF(H201&lt;-20%,"Large deficit",IF(H201&lt;-5%,"Moderate deficit",IF(H201&lt;0,"Narrow deficit",IF(H201&lt;=5%,"Narrow lead/tie",IF(H201&lt;=20%,"Moderate lead","Large lead"))))))</x:f>
        <x:v>Large lead</x:v>
      </x:c>
    </x:row>
    <x:row r="202">
      <x:c r="A202" t="n">
        <x:v>143</x:v>
      </x:c>
      <x:c r="B202" t="str">
        <x:v>PRY. SCHOOL RAMPUR BANGAR R.NO. 1</x:v>
      </x:c>
      <x:c r="C202" s="83" t="n">
        <x:f>'2019 Form20'!H151</x:f>
        <x:v>195</x:v>
      </x:c>
      <x:c r="D202" s="83" t="n">
        <x:f>'2019 Form20'!D151</x:f>
        <x:v>551</x:v>
      </x:c>
      <x:c r="E202" s="50" t="n">
        <x:f>'2019 Form20'!U151</x:f>
        <x:v>0.35390199637023595</x:v>
      </x:c>
      <x:c r="F202" t="n">
        <x:f>'2019 Form20'!V151</x:f>
        <x:v>337</x:v>
      </x:c>
      <x:c r="G202" t="n">
        <x:f>'2019 Form20'!W151</x:f>
        <x:v>-142</x:v>
      </x:c>
      <x:c r="H202" s="52" t="n">
        <x:f>'2019 Form20'!X151</x:f>
        <x:v>-0.2577132486388385</x:v>
      </x:c>
      <x:c r="I202" t="str">
        <x:v>DR. MAHESH SHARMA</x:v>
      </x:c>
      <x:c r="J202" t="str">
        <x:v>BJP</x:v>
      </x:c>
      <x:c r="K202" t="str">
        <x:v>EVM row</x:v>
      </x:c>
      <x:c r="L202" s="133" t="str">
        <x:f>IF(D202&lt;=0,"No EVM votes",IF(E202&lt;$N$7,"Low",IF(E202&gt;$R$7,"High","Middle")))</x:f>
        <x:v>Middle</x:v>
      </x:c>
      <x:c r="M202" s="133" t="str">
        <x:f>IF(D202&lt;=0,"No EVM votes",IF(H202&lt;-20%,"Large deficit",IF(H202&lt;-5%,"Moderate deficit",IF(H202&lt;0,"Narrow deficit",IF(H202&lt;=5%,"Narrow lead/tie",IF(H202&lt;=20%,"Moderate lead","Large lead"))))))</x:f>
        <x:v>Large deficit</x:v>
      </x:c>
    </x:row>
    <x:row r="203">
      <x:c r="A203" t="n">
        <x:v>144</x:v>
      </x:c>
      <x:c r="B203" t="str">
        <x:v>PRY. PATH. ACHCHHEJA BUJURG R.NO. 1</x:v>
      </x:c>
      <x:c r="C203" s="83" t="n">
        <x:f>'2019 Form20'!H152</x:f>
        <x:v>451</x:v>
      </x:c>
      <x:c r="D203" s="83" t="n">
        <x:f>'2019 Form20'!D152</x:f>
        <x:v>513</x:v>
      </x:c>
      <x:c r="E203" s="50" t="n">
        <x:f>'2019 Form20'!U152</x:f>
        <x:v>0.8791423001949318</x:v>
      </x:c>
      <x:c r="F203" t="n">
        <x:f>'2019 Form20'!V152</x:f>
        <x:v>38</x:v>
      </x:c>
      <x:c r="G203" t="n">
        <x:f>'2019 Form20'!W152</x:f>
        <x:v>413</x:v>
      </x:c>
      <x:c r="H203" s="52" t="n">
        <x:f>'2019 Form20'!X152</x:f>
        <x:v>0.8050682261208577</x:v>
      </x:c>
      <x:c r="I203" t="str">
        <x:v>SATVEER</x:v>
      </x:c>
      <x:c r="J203" t="str">
        <x:v>BSP</x:v>
      </x:c>
      <x:c r="K203" t="str">
        <x:v>EVM row</x:v>
      </x:c>
      <x:c r="L203" s="133" t="str">
        <x:f>IF(D203&lt;=0,"No EVM votes",IF(E203&lt;$N$7,"Low",IF(E203&gt;$R$7,"High","Middle")))</x:f>
        <x:v>High</x:v>
      </x:c>
      <x:c r="M203" s="133" t="str">
        <x:f>IF(D203&lt;=0,"No EVM votes",IF(H203&lt;-20%,"Large deficit",IF(H203&lt;-5%,"Moderate deficit",IF(H203&lt;0,"Narrow deficit",IF(H203&lt;=5%,"Narrow lead/tie",IF(H203&lt;=20%,"Moderate lead","Large lead"))))))</x:f>
        <x:v>Large lead</x:v>
      </x:c>
    </x:row>
    <x:row r="204">
      <x:c r="A204" t="n">
        <x:v>145</x:v>
      </x:c>
      <x:c r="B204" t="str">
        <x:v>PRY. PATH. ACHCHHEJA BUJURG R.NO. 2</x:v>
      </x:c>
      <x:c r="C204" s="83" t="n">
        <x:f>'2019 Form20'!H153</x:f>
        <x:v>423</x:v>
      </x:c>
      <x:c r="D204" s="83" t="n">
        <x:f>'2019 Form20'!D153</x:f>
        <x:v>537</x:v>
      </x:c>
      <x:c r="E204" s="50" t="n">
        <x:f>'2019 Form20'!U153</x:f>
        <x:v>0.7877094972067039</x:v>
      </x:c>
      <x:c r="F204" t="n">
        <x:f>'2019 Form20'!V153</x:f>
        <x:v>94</x:v>
      </x:c>
      <x:c r="G204" t="n">
        <x:f>'2019 Form20'!W153</x:f>
        <x:v>329</x:v>
      </x:c>
      <x:c r="H204" s="52" t="n">
        <x:f>'2019 Form20'!X153</x:f>
        <x:v>0.6126629422718808</x:v>
      </x:c>
      <x:c r="I204" t="str">
        <x:v>SATVEER</x:v>
      </x:c>
      <x:c r="J204" t="str">
        <x:v>BSP</x:v>
      </x:c>
      <x:c r="K204" t="str">
        <x:v>EVM row</x:v>
      </x:c>
      <x:c r="L204" s="133" t="str">
        <x:f>IF(D204&lt;=0,"No EVM votes",IF(E204&lt;$N$7,"Low",IF(E204&gt;$R$7,"High","Middle")))</x:f>
        <x:v>High</x:v>
      </x:c>
      <x:c r="M204" s="133" t="str">
        <x:f>IF(D204&lt;=0,"No EVM votes",IF(H204&lt;-20%,"Large deficit",IF(H204&lt;-5%,"Moderate deficit",IF(H204&lt;0,"Narrow deficit",IF(H204&lt;=5%,"Narrow lead/tie",IF(H204&lt;=20%,"Moderate lead","Large lead"))))))</x:f>
        <x:v>Large lead</x:v>
      </x:c>
    </x:row>
    <x:row r="205">
      <x:c r="A205" t="n">
        <x:v>146</x:v>
      </x:c>
      <x:c r="B205" t="str">
        <x:v>PRY. SCHOOL DUNGARPUR REELKA R.NO. 1</x:v>
      </x:c>
      <x:c r="C205" s="83" t="n">
        <x:f>'2019 Form20'!H154</x:f>
        <x:v>469</x:v>
      </x:c>
      <x:c r="D205" s="83" t="n">
        <x:f>'2019 Form20'!D154</x:f>
        <x:v>663</x:v>
      </x:c>
      <x:c r="E205" s="50" t="n">
        <x:f>'2019 Form20'!U154</x:f>
        <x:v>0.7073906485671192</x:v>
      </x:c>
      <x:c r="F205" t="n">
        <x:f>'2019 Form20'!V154</x:f>
        <x:v>185</x:v>
      </x:c>
      <x:c r="G205" t="n">
        <x:f>'2019 Form20'!W154</x:f>
        <x:v>284</x:v>
      </x:c>
      <x:c r="H205" s="52" t="n">
        <x:f>'2019 Form20'!X154</x:f>
        <x:v>0.42835595776772245</x:v>
      </x:c>
      <x:c r="I205" t="str">
        <x:v>SATVEER</x:v>
      </x:c>
      <x:c r="J205" t="str">
        <x:v>BSP</x:v>
      </x:c>
      <x:c r="K205" t="str">
        <x:v>EVM row</x:v>
      </x:c>
      <x:c r="L205" s="133" t="str">
        <x:f>IF(D205&lt;=0,"No EVM votes",IF(E205&lt;$N$7,"Low",IF(E205&gt;$R$7,"High","Middle")))</x:f>
        <x:v>High</x:v>
      </x:c>
      <x:c r="M205" s="133" t="str">
        <x:f>IF(D205&lt;=0,"No EVM votes",IF(H205&lt;-20%,"Large deficit",IF(H205&lt;-5%,"Moderate deficit",IF(H205&lt;0,"Narrow deficit",IF(H205&lt;=5%,"Narrow lead/tie",IF(H205&lt;=20%,"Moderate lead","Large lead"))))))</x:f>
        <x:v>Large lead</x:v>
      </x:c>
    </x:row>
    <x:row r="206">
      <x:c r="A206" t="n">
        <x:v>147</x:v>
      </x:c>
      <x:c r="B206" t="str">
        <x:v>PRY. SCHOOL DUNGARPUR REELKA R.NO. 2</x:v>
      </x:c>
      <x:c r="C206" s="83" t="n">
        <x:f>'2019 Form20'!H155</x:f>
        <x:v>547</x:v>
      </x:c>
      <x:c r="D206" s="83" t="n">
        <x:f>'2019 Form20'!D155</x:f>
        <x:v>698</x:v>
      </x:c>
      <x:c r="E206" s="50" t="n">
        <x:f>'2019 Form20'!U155</x:f>
        <x:v>0.7836676217765043</x:v>
      </x:c>
      <x:c r="F206" t="n">
        <x:f>'2019 Form20'!V155</x:f>
        <x:v>127</x:v>
      </x:c>
      <x:c r="G206" t="n">
        <x:f>'2019 Form20'!W155</x:f>
        <x:v>420</x:v>
      </x:c>
      <x:c r="H206" s="52" t="n">
        <x:f>'2019 Form20'!X155</x:f>
        <x:v>0.6017191977077364</x:v>
      </x:c>
      <x:c r="I206" t="str">
        <x:v>SATVEER</x:v>
      </x:c>
      <x:c r="J206" t="str">
        <x:v>BSP</x:v>
      </x:c>
      <x:c r="K206" t="str">
        <x:v>EVM row</x:v>
      </x:c>
      <x:c r="L206" s="133" t="str">
        <x:f>IF(D206&lt;=0,"No EVM votes",IF(E206&lt;$N$7,"Low",IF(E206&gt;$R$7,"High","Middle")))</x:f>
        <x:v>High</x:v>
      </x:c>
      <x:c r="M206" s="133" t="str">
        <x:f>IF(D206&lt;=0,"No EVM votes",IF(H206&lt;-20%,"Large deficit",IF(H206&lt;-5%,"Moderate deficit",IF(H206&lt;0,"Narrow deficit",IF(H206&lt;=5%,"Narrow lead/tie",IF(H206&lt;=20%,"Moderate lead","Large lead"))))))</x:f>
        <x:v>Large lead</x:v>
      </x:c>
    </x:row>
    <x:row r="207">
      <x:c r="A207" t="n">
        <x:v>148</x:v>
      </x:c>
      <x:c r="B207" t="str">
        <x:v>PRY. SCHOOL MOHAMMADPUR GUJAR R.NO. 1</x:v>
      </x:c>
      <x:c r="C207" s="83" t="n">
        <x:f>'2019 Form20'!H156</x:f>
        <x:v>413</x:v>
      </x:c>
      <x:c r="D207" s="83" t="n">
        <x:f>'2019 Form20'!D156</x:f>
        <x:v>589</x:v>
      </x:c>
      <x:c r="E207" s="50" t="n">
        <x:f>'2019 Form20'!U156</x:f>
        <x:v>0.7011884550084889</x:v>
      </x:c>
      <x:c r="F207" t="n">
        <x:f>'2019 Form20'!V156</x:f>
        <x:v>136</x:v>
      </x:c>
      <x:c r="G207" t="n">
        <x:f>'2019 Form20'!W156</x:f>
        <x:v>277</x:v>
      </x:c>
      <x:c r="H207" s="52" t="n">
        <x:f>'2019 Form20'!X156</x:f>
        <x:v>0.4702886247877759</x:v>
      </x:c>
      <x:c r="I207" t="str">
        <x:v>SATVEER</x:v>
      </x:c>
      <x:c r="J207" t="str">
        <x:v>BSP</x:v>
      </x:c>
      <x:c r="K207" t="str">
        <x:v>EVM row</x:v>
      </x:c>
      <x:c r="L207" s="133" t="str">
        <x:f>IF(D207&lt;=0,"No EVM votes",IF(E207&lt;$N$7,"Low",IF(E207&gt;$R$7,"High","Middle")))</x:f>
        <x:v>High</x:v>
      </x:c>
      <x:c r="M207" s="133" t="str">
        <x:f>IF(D207&lt;=0,"No EVM votes",IF(H207&lt;-20%,"Large deficit",IF(H207&lt;-5%,"Moderate deficit",IF(H207&lt;0,"Narrow deficit",IF(H207&lt;=5%,"Narrow lead/tie",IF(H207&lt;=20%,"Moderate lead","Large lead"))))))</x:f>
        <x:v>Large lead</x:v>
      </x:c>
    </x:row>
    <x:row r="208">
      <x:c r="A208" t="n">
        <x:v>149</x:v>
      </x:c>
      <x:c r="B208" t="str">
        <x:v>BIHARI LAL I. C. DANKAUR R.NO. 1</x:v>
      </x:c>
      <x:c r="C208" s="83" t="n">
        <x:f>'2019 Form20'!H157</x:f>
        <x:v>125</x:v>
      </x:c>
      <x:c r="D208" s="83" t="n">
        <x:f>'2019 Form20'!D157</x:f>
        <x:v>373</x:v>
      </x:c>
      <x:c r="E208" s="50" t="n">
        <x:f>'2019 Form20'!U157</x:f>
        <x:v>0.3351206434316354</x:v>
      </x:c>
      <x:c r="F208" t="n">
        <x:f>'2019 Form20'!V157</x:f>
        <x:v>230</x:v>
      </x:c>
      <x:c r="G208" t="n">
        <x:f>'2019 Form20'!W157</x:f>
        <x:v>-105</x:v>
      </x:c>
      <x:c r="H208" s="52" t="n">
        <x:f>'2019 Form20'!X157</x:f>
        <x:v>-0.28150134048257375</x:v>
      </x:c>
      <x:c r="I208" t="str">
        <x:v>DR. MAHESH SHARMA</x:v>
      </x:c>
      <x:c r="J208" t="str">
        <x:v>BJP</x:v>
      </x:c>
      <x:c r="K208" t="str">
        <x:v>EVM row</x:v>
      </x:c>
      <x:c r="L208" s="133" t="str">
        <x:f>IF(D208&lt;=0,"No EVM votes",IF(E208&lt;$N$7,"Low",IF(E208&gt;$R$7,"High","Middle")))</x:f>
        <x:v>Middle</x:v>
      </x:c>
      <x:c r="M208" s="133" t="str">
        <x:f>IF(D208&lt;=0,"No EVM votes",IF(H208&lt;-20%,"Large deficit",IF(H208&lt;-5%,"Moderate deficit",IF(H208&lt;0,"Narrow deficit",IF(H208&lt;=5%,"Narrow lead/tie",IF(H208&lt;=20%,"Moderate lead","Large lead"))))))</x:f>
        <x:v>Large deficit</x:v>
      </x:c>
    </x:row>
    <x:row r="209">
      <x:c r="A209" t="n">
        <x:v>150</x:v>
      </x:c>
      <x:c r="B209" t="str">
        <x:v>BIHARI LAL I. C. DANKAUR R.NO. 2</x:v>
      </x:c>
      <x:c r="C209" s="83" t="n">
        <x:f>'2019 Form20'!H158</x:f>
        <x:v>146</x:v>
      </x:c>
      <x:c r="D209" s="83" t="n">
        <x:f>'2019 Form20'!D158</x:f>
        <x:v>505</x:v>
      </x:c>
      <x:c r="E209" s="50" t="n">
        <x:f>'2019 Form20'!U158</x:f>
        <x:v>0.2891089108910891</x:v>
      </x:c>
      <x:c r="F209" t="n">
        <x:f>'2019 Form20'!V158</x:f>
        <x:v>324</x:v>
      </x:c>
      <x:c r="G209" t="n">
        <x:f>'2019 Form20'!W158</x:f>
        <x:v>-178</x:v>
      </x:c>
      <x:c r="H209" s="52" t="n">
        <x:f>'2019 Form20'!X158</x:f>
        <x:v>-0.35247524752475246</x:v>
      </x:c>
      <x:c r="I209" t="str">
        <x:v>DR. MAHESH SHARMA</x:v>
      </x:c>
      <x:c r="J209" t="str">
        <x:v>BJP</x:v>
      </x:c>
      <x:c r="K209" t="str">
        <x:v>EVM row</x:v>
      </x:c>
      <x:c r="L209" s="133" t="str">
        <x:f>IF(D209&lt;=0,"No EVM votes",IF(E209&lt;$N$7,"Low",IF(E209&gt;$R$7,"High","Middle")))</x:f>
        <x:v>Middle</x:v>
      </x:c>
      <x:c r="M209" s="133" t="str">
        <x:f>IF(D209&lt;=0,"No EVM votes",IF(H209&lt;-20%,"Large deficit",IF(H209&lt;-5%,"Moderate deficit",IF(H209&lt;0,"Narrow deficit",IF(H209&lt;=5%,"Narrow lead/tie",IF(H209&lt;=20%,"Moderate lead","Large lead"))))))</x:f>
        <x:v>Large deficit</x:v>
      </x:c>
    </x:row>
    <x:row r="210">
      <x:c r="A210" t="n">
        <x:v>151</x:v>
      </x:c>
      <x:c r="B210" t="str">
        <x:v>BIHARI LAL I. C. DANKAUR R.NO. 3</x:v>
      </x:c>
      <x:c r="C210" s="83" t="n">
        <x:f>'2019 Form20'!H159</x:f>
        <x:v>278</x:v>
      </x:c>
      <x:c r="D210" s="83" t="n">
        <x:f>'2019 Form20'!D159</x:f>
        <x:v>610</x:v>
      </x:c>
      <x:c r="E210" s="50" t="n">
        <x:f>'2019 Form20'!U159</x:f>
        <x:v>0.4557377049180328</x:v>
      </x:c>
      <x:c r="F210" t="n">
        <x:f>'2019 Form20'!V159</x:f>
        <x:v>301</x:v>
      </x:c>
      <x:c r="G210" t="n">
        <x:f>'2019 Form20'!W159</x:f>
        <x:v>-23</x:v>
      </x:c>
      <x:c r="H210" s="52" t="n">
        <x:f>'2019 Form20'!X159</x:f>
        <x:v>-0.03770491803278689</x:v>
      </x:c>
      <x:c r="I210" t="str">
        <x:v>DR. MAHESH SHARMA</x:v>
      </x:c>
      <x:c r="J210" t="str">
        <x:v>BJP</x:v>
      </x:c>
      <x:c r="K210" t="str">
        <x:v>EVM row</x:v>
      </x:c>
      <x:c r="L210" s="133" t="str">
        <x:f>IF(D210&lt;=0,"No EVM votes",IF(E210&lt;$N$7,"Low",IF(E210&gt;$R$7,"High","Middle")))</x:f>
        <x:v>Middle</x:v>
      </x:c>
      <x:c r="M210" s="133" t="str">
        <x:f>IF(D210&lt;=0,"No EVM votes",IF(H210&lt;-20%,"Large deficit",IF(H210&lt;-5%,"Moderate deficit",IF(H210&lt;0,"Narrow deficit",IF(H210&lt;=5%,"Narrow lead/tie",IF(H210&lt;=20%,"Moderate lead","Large lead"))))))</x:f>
        <x:v>Narrow deficit</x:v>
      </x:c>
    </x:row>
    <x:row r="211">
      <x:c r="A211" t="n">
        <x:v>152</x:v>
      </x:c>
      <x:c r="B211" t="str">
        <x:v>BIHARI LAL I. C. DANKAUR R.NO. 4</x:v>
      </x:c>
      <x:c r="C211" s="83" t="n">
        <x:f>'2019 Form20'!H160</x:f>
        <x:v>261</x:v>
      </x:c>
      <x:c r="D211" s="83" t="n">
        <x:f>'2019 Form20'!D160</x:f>
        <x:v>567</x:v>
      </x:c>
      <x:c r="E211" s="50" t="n">
        <x:f>'2019 Form20'!U160</x:f>
        <x:v>0.4603174603174603</x:v>
      </x:c>
      <x:c r="F211" t="n">
        <x:f>'2019 Form20'!V160</x:f>
        <x:v>289</x:v>
      </x:c>
      <x:c r="G211" t="n">
        <x:f>'2019 Form20'!W160</x:f>
        <x:v>-28</x:v>
      </x:c>
      <x:c r="H211" s="52" t="n">
        <x:f>'2019 Form20'!X160</x:f>
        <x:v>-0.04938271604938271</x:v>
      </x:c>
      <x:c r="I211" t="str">
        <x:v>DR. MAHESH SHARMA</x:v>
      </x:c>
      <x:c r="J211" t="str">
        <x:v>BJP</x:v>
      </x:c>
      <x:c r="K211" t="str">
        <x:v>EVM row</x:v>
      </x:c>
      <x:c r="L211" s="133" t="str">
        <x:f>IF(D211&lt;=0,"No EVM votes",IF(E211&lt;$N$7,"Low",IF(E211&gt;$R$7,"High","Middle")))</x:f>
        <x:v>Middle</x:v>
      </x:c>
      <x:c r="M211" s="133" t="str">
        <x:f>IF(D211&lt;=0,"No EVM votes",IF(H211&lt;-20%,"Large deficit",IF(H211&lt;-5%,"Moderate deficit",IF(H211&lt;0,"Narrow deficit",IF(H211&lt;=5%,"Narrow lead/tie",IF(H211&lt;=20%,"Moderate lead","Large lead"))))))</x:f>
        <x:v>Narrow deficit</x:v>
      </x:c>
    </x:row>
    <x:row r="212">
      <x:c r="A212" t="n">
        <x:v>153</x:v>
      </x:c>
      <x:c r="B212" t="str">
        <x:v>BIHARI LAL I. C. DANKAUR R.NO. 5</x:v>
      </x:c>
      <x:c r="C212" s="83" t="n">
        <x:f>'2019 Form20'!H161</x:f>
        <x:v>313</x:v>
      </x:c>
      <x:c r="D212" s="83" t="n">
        <x:f>'2019 Form20'!D161</x:f>
        <x:v>536</x:v>
      </x:c>
      <x:c r="E212" s="50" t="n">
        <x:f>'2019 Form20'!U161</x:f>
        <x:v>0.5839552238805971</x:v>
      </x:c>
      <x:c r="F212" t="n">
        <x:f>'2019 Form20'!V161</x:f>
        <x:v>213</x:v>
      </x:c>
      <x:c r="G212" t="n">
        <x:f>'2019 Form20'!W161</x:f>
        <x:v>100</x:v>
      </x:c>
      <x:c r="H212" s="52" t="n">
        <x:f>'2019 Form20'!X161</x:f>
        <x:v>0.1865671641791045</x:v>
      </x:c>
      <x:c r="I212" t="str">
        <x:v>SATVEER</x:v>
      </x:c>
      <x:c r="J212" t="str">
        <x:v>BSP</x:v>
      </x:c>
      <x:c r="K212" t="str">
        <x:v>EVM row</x:v>
      </x:c>
      <x:c r="L212" s="133" t="str">
        <x:f>IF(D212&lt;=0,"No EVM votes",IF(E212&lt;$N$7,"Low",IF(E212&gt;$R$7,"High","Middle")))</x:f>
        <x:v>Middle</x:v>
      </x:c>
      <x:c r="M212" s="133" t="str">
        <x:f>IF(D212&lt;=0,"No EVM votes",IF(H212&lt;-20%,"Large deficit",IF(H212&lt;-5%,"Moderate deficit",IF(H212&lt;0,"Narrow deficit",IF(H212&lt;=5%,"Narrow lead/tie",IF(H212&lt;=20%,"Moderate lead","Large lead"))))))</x:f>
        <x:v>Moderate lead</x:v>
      </x:c>
    </x:row>
    <x:row r="213">
      <x:c r="A213" t="n">
        <x:v>154</x:v>
      </x:c>
      <x:c r="B213" t="str">
        <x:v>BIHARI LAL I. C. DANKAUR R.NO. 6</x:v>
      </x:c>
      <x:c r="C213" s="83" t="n">
        <x:f>'2019 Form20'!H162</x:f>
        <x:v>147</x:v>
      </x:c>
      <x:c r="D213" s="83" t="n">
        <x:f>'2019 Form20'!D162</x:f>
        <x:v>549</x:v>
      </x:c>
      <x:c r="E213" s="50" t="n">
        <x:f>'2019 Form20'!U162</x:f>
        <x:v>0.2677595628415301</x:v>
      </x:c>
      <x:c r="F213" t="n">
        <x:f>'2019 Form20'!V162</x:f>
        <x:v>386</x:v>
      </x:c>
      <x:c r="G213" t="n">
        <x:f>'2019 Form20'!W162</x:f>
        <x:v>-239</x:v>
      </x:c>
      <x:c r="H213" s="52" t="n">
        <x:f>'2019 Form20'!X162</x:f>
        <x:v>-0.4353369763205829</x:v>
      </x:c>
      <x:c r="I213" t="str">
        <x:v>DR. MAHESH SHARMA</x:v>
      </x:c>
      <x:c r="J213" t="str">
        <x:v>BJP</x:v>
      </x:c>
      <x:c r="K213" t="str">
        <x:v>EVM row</x:v>
      </x:c>
      <x:c r="L213" s="133" t="str">
        <x:f>IF(D213&lt;=0,"No EVM votes",IF(E213&lt;$N$7,"Low",IF(E213&gt;$R$7,"High","Middle")))</x:f>
        <x:v>Middle</x:v>
      </x:c>
      <x:c r="M213" s="133" t="str">
        <x:f>IF(D213&lt;=0,"No EVM votes",IF(H213&lt;-20%,"Large deficit",IF(H213&lt;-5%,"Moderate deficit",IF(H213&lt;0,"Narrow deficit",IF(H213&lt;=5%,"Narrow lead/tie",IF(H213&lt;=20%,"Moderate lead","Large lead"))))))</x:f>
        <x:v>Large deficit</x:v>
      </x:c>
    </x:row>
    <x:row r="214">
      <x:c r="A214" t="n">
        <x:v>155</x:v>
      </x:c>
      <x:c r="B214" t="str">
        <x:v>BIHARI LAL I. C. DANKAUR R.NO. 7</x:v>
      </x:c>
      <x:c r="C214" s="83" t="n">
        <x:f>'2019 Form20'!H163</x:f>
        <x:v>514</x:v>
      </x:c>
      <x:c r="D214" s="83" t="n">
        <x:f>'2019 Form20'!D163</x:f>
        <x:v>763</x:v>
      </x:c>
      <x:c r="E214" s="50" t="n">
        <x:f>'2019 Form20'!U163</x:f>
        <x:v>0.6736566186107471</x:v>
      </x:c>
      <x:c r="F214" t="n">
        <x:f>'2019 Form20'!V163</x:f>
        <x:v>230</x:v>
      </x:c>
      <x:c r="G214" t="n">
        <x:f>'2019 Form20'!W163</x:f>
        <x:v>284</x:v>
      </x:c>
      <x:c r="H214" s="52" t="n">
        <x:f>'2019 Form20'!X163</x:f>
        <x:v>0.3722149410222805</x:v>
      </x:c>
      <x:c r="I214" t="str">
        <x:v>SATVEER</x:v>
      </x:c>
      <x:c r="J214" t="str">
        <x:v>BSP</x:v>
      </x:c>
      <x:c r="K214" t="str">
        <x:v>EVM row</x:v>
      </x:c>
      <x:c r="L214" s="133" t="str">
        <x:f>IF(D214&lt;=0,"No EVM votes",IF(E214&lt;$N$7,"Low",IF(E214&gt;$R$7,"High","Middle")))</x:f>
        <x:v>High</x:v>
      </x:c>
      <x:c r="M214" s="133" t="str">
        <x:f>IF(D214&lt;=0,"No EVM votes",IF(H214&lt;-20%,"Large deficit",IF(H214&lt;-5%,"Moderate deficit",IF(H214&lt;0,"Narrow deficit",IF(H214&lt;=5%,"Narrow lead/tie",IF(H214&lt;=20%,"Moderate lead","Large lead"))))))</x:f>
        <x:v>Large lead</x:v>
      </x:c>
    </x:row>
    <x:row r="215">
      <x:c r="A215" t="n">
        <x:v>156</x:v>
      </x:c>
      <x:c r="B215" t="str">
        <x:v>BIHARI LAL I. C. DANKAUR R.NO. 8</x:v>
      </x:c>
      <x:c r="C215" s="83" t="n">
        <x:f>'2019 Form20'!H164</x:f>
        <x:v>347</x:v>
      </x:c>
      <x:c r="D215" s="83" t="n">
        <x:f>'2019 Form20'!D164</x:f>
        <x:v>613</x:v>
      </x:c>
      <x:c r="E215" s="50" t="n">
        <x:f>'2019 Form20'!U164</x:f>
        <x:v>0.566068515497553</x:v>
      </x:c>
      <x:c r="F215" t="n">
        <x:f>'2019 Form20'!V164</x:f>
        <x:v>246</x:v>
      </x:c>
      <x:c r="G215" t="n">
        <x:f>'2019 Form20'!W164</x:f>
        <x:v>101</x:v>
      </x:c>
      <x:c r="H215" s="52" t="n">
        <x:f>'2019 Form20'!X164</x:f>
        <x:v>0.16476345840130505</x:v>
      </x:c>
      <x:c r="I215" t="str">
        <x:v>SATVEER</x:v>
      </x:c>
      <x:c r="J215" t="str">
        <x:v>BSP</x:v>
      </x:c>
      <x:c r="K215" t="str">
        <x:v>EVM row</x:v>
      </x:c>
      <x:c r="L215" s="133" t="str">
        <x:f>IF(D215&lt;=0,"No EVM votes",IF(E215&lt;$N$7,"Low",IF(E215&gt;$R$7,"High","Middle")))</x:f>
        <x:v>Middle</x:v>
      </x:c>
      <x:c r="M215" s="133" t="str">
        <x:f>IF(D215&lt;=0,"No EVM votes",IF(H215&lt;-20%,"Large deficit",IF(H215&lt;-5%,"Moderate deficit",IF(H215&lt;0,"Narrow deficit",IF(H215&lt;=5%,"Narrow lead/tie",IF(H215&lt;=20%,"Moderate lead","Large lead"))))))</x:f>
        <x:v>Moderate lead</x:v>
      </x:c>
    </x:row>
    <x:row r="216">
      <x:c r="A216" t="n">
        <x:v>157</x:v>
      </x:c>
      <x:c r="B216" t="str">
        <x:v>PURVA M.V. T.A. DANKAUR R.NO. 1</x:v>
      </x:c>
      <x:c r="C216" s="83" t="n">
        <x:f>'2019 Form20'!H165</x:f>
        <x:v>439</x:v>
      </x:c>
      <x:c r="D216" s="83" t="n">
        <x:f>'2019 Form20'!D165</x:f>
        <x:v>535</x:v>
      </x:c>
      <x:c r="E216" s="50" t="n">
        <x:f>'2019 Form20'!U165</x:f>
        <x:v>0.8205607476635514</x:v>
      </x:c>
      <x:c r="F216" t="n">
        <x:f>'2019 Form20'!V165</x:f>
        <x:v>87</x:v>
      </x:c>
      <x:c r="G216" t="n">
        <x:f>'2019 Form20'!W165</x:f>
        <x:v>352</x:v>
      </x:c>
      <x:c r="H216" s="52" t="n">
        <x:f>'2019 Form20'!X165</x:f>
        <x:v>0.6579439252336449</x:v>
      </x:c>
      <x:c r="I216" t="str">
        <x:v>SATVEER</x:v>
      </x:c>
      <x:c r="J216" t="str">
        <x:v>BSP</x:v>
      </x:c>
      <x:c r="K216" t="str">
        <x:v>EVM row</x:v>
      </x:c>
      <x:c r="L216" s="133" t="str">
        <x:f>IF(D216&lt;=0,"No EVM votes",IF(E216&lt;$N$7,"Low",IF(E216&gt;$R$7,"High","Middle")))</x:f>
        <x:v>High</x:v>
      </x:c>
      <x:c r="M216" s="133" t="str">
        <x:f>IF(D216&lt;=0,"No EVM votes",IF(H216&lt;-20%,"Large deficit",IF(H216&lt;-5%,"Moderate deficit",IF(H216&lt;0,"Narrow deficit",IF(H216&lt;=5%,"Narrow lead/tie",IF(H216&lt;=20%,"Moderate lead","Large lead"))))))</x:f>
        <x:v>Large lead</x:v>
      </x:c>
    </x:row>
    <x:row r="217">
      <x:c r="A217" t="n">
        <x:v>158</x:v>
      </x:c>
      <x:c r="B217" t="str">
        <x:v>PURVA M.V. T.A. DANKAUR R.NO. 2</x:v>
      </x:c>
      <x:c r="C217" s="83" t="n">
        <x:f>'2019 Form20'!H166</x:f>
        <x:v>99</x:v>
      </x:c>
      <x:c r="D217" s="83" t="n">
        <x:f>'2019 Form20'!D166</x:f>
        <x:v>277</x:v>
      </x:c>
      <x:c r="E217" s="50" t="n">
        <x:f>'2019 Form20'!U166</x:f>
        <x:v>0.3574007220216607</x:v>
      </x:c>
      <x:c r="F217" t="n">
        <x:f>'2019 Form20'!V166</x:f>
        <x:v>166</x:v>
      </x:c>
      <x:c r="G217" t="n">
        <x:f>'2019 Form20'!W166</x:f>
        <x:v>-67</x:v>
      </x:c>
      <x:c r="H217" s="52" t="n">
        <x:f>'2019 Form20'!X166</x:f>
        <x:v>-0.24187725631768953</x:v>
      </x:c>
      <x:c r="I217" t="str">
        <x:v>DR. MAHESH SHARMA</x:v>
      </x:c>
      <x:c r="J217" t="str">
        <x:v>BJP</x:v>
      </x:c>
      <x:c r="K217" t="str">
        <x:v>EVM row</x:v>
      </x:c>
      <x:c r="L217" s="133" t="str">
        <x:f>IF(D217&lt;=0,"No EVM votes",IF(E217&lt;$N$7,"Low",IF(E217&gt;$R$7,"High","Middle")))</x:f>
        <x:v>Middle</x:v>
      </x:c>
      <x:c r="M217" s="133" t="str">
        <x:f>IF(D217&lt;=0,"No EVM votes",IF(H217&lt;-20%,"Large deficit",IF(H217&lt;-5%,"Moderate deficit",IF(H217&lt;0,"Narrow deficit",IF(H217&lt;=5%,"Narrow lead/tie",IF(H217&lt;=20%,"Moderate lead","Large lead"))))))</x:f>
        <x:v>Large deficit</x:v>
      </x:c>
    </x:row>
    <x:row r="218">
      <x:c r="A218" t="n">
        <x:v>159</x:v>
      </x:c>
      <x:c r="B218" t="str">
        <x:v>PURVA M.V. T.A. DANKAUR R.NO. 3</x:v>
      </x:c>
      <x:c r="C218" s="83" t="n">
        <x:f>'2019 Form20'!H167</x:f>
        <x:v>253</x:v>
      </x:c>
      <x:c r="D218" s="83" t="n">
        <x:f>'2019 Form20'!D167</x:f>
        <x:v>560</x:v>
      </x:c>
      <x:c r="E218" s="50" t="n">
        <x:f>'2019 Form20'!U167</x:f>
        <x:v>0.4517857142857143</x:v>
      </x:c>
      <x:c r="F218" t="n">
        <x:f>'2019 Form20'!V167</x:f>
        <x:v>292</x:v>
      </x:c>
      <x:c r="G218" t="n">
        <x:f>'2019 Form20'!W167</x:f>
        <x:v>-39</x:v>
      </x:c>
      <x:c r="H218" s="52" t="n">
        <x:f>'2019 Form20'!X167</x:f>
        <x:v>-0.06964285714285715</x:v>
      </x:c>
      <x:c r="I218" t="str">
        <x:v>DR. MAHESH SHARMA</x:v>
      </x:c>
      <x:c r="J218" t="str">
        <x:v>BJP</x:v>
      </x:c>
      <x:c r="K218" t="str">
        <x:v>EVM row</x:v>
      </x:c>
      <x:c r="L218" s="133" t="str">
        <x:f>IF(D218&lt;=0,"No EVM votes",IF(E218&lt;$N$7,"Low",IF(E218&gt;$R$7,"High","Middle")))</x:f>
        <x:v>Middle</x:v>
      </x:c>
      <x:c r="M218" s="133" t="str">
        <x:f>IF(D218&lt;=0,"No EVM votes",IF(H218&lt;-20%,"Large deficit",IF(H218&lt;-5%,"Moderate deficit",IF(H218&lt;0,"Narrow deficit",IF(H218&lt;=5%,"Narrow lead/tie",IF(H218&lt;=20%,"Moderate lead","Large lead"))))))</x:f>
        <x:v>Moderate deficit</x:v>
      </x:c>
    </x:row>
    <x:row r="219">
      <x:c r="A219" t="n">
        <x:v>160</x:v>
      </x:c>
      <x:c r="B219" t="str">
        <x:v>PURVA M.V. T.A. DANKAUR R.NO. 4</x:v>
      </x:c>
      <x:c r="C219" s="83" t="n">
        <x:f>'2019 Form20'!H168</x:f>
        <x:v>308</x:v>
      </x:c>
      <x:c r="D219" s="83" t="n">
        <x:f>'2019 Form20'!D168</x:f>
        <x:v>689</x:v>
      </x:c>
      <x:c r="E219" s="50" t="n">
        <x:f>'2019 Form20'!U168</x:f>
        <x:v>0.44702467343976776</x:v>
      </x:c>
      <x:c r="F219" t="n">
        <x:f>'2019 Form20'!V168</x:f>
        <x:v>355</x:v>
      </x:c>
      <x:c r="G219" t="n">
        <x:f>'2019 Form20'!W168</x:f>
        <x:v>-47</x:v>
      </x:c>
      <x:c r="H219" s="52" t="n">
        <x:f>'2019 Form20'!X168</x:f>
        <x:v>-0.06821480406386067</x:v>
      </x:c>
      <x:c r="I219" t="str">
        <x:v>DR. MAHESH SHARMA</x:v>
      </x:c>
      <x:c r="J219" t="str">
        <x:v>BJP</x:v>
      </x:c>
      <x:c r="K219" t="str">
        <x:v>EVM row</x:v>
      </x:c>
      <x:c r="L219" s="133" t="str">
        <x:f>IF(D219&lt;=0,"No EVM votes",IF(E219&lt;$N$7,"Low",IF(E219&gt;$R$7,"High","Middle")))</x:f>
        <x:v>Middle</x:v>
      </x:c>
      <x:c r="M219" s="133" t="str">
        <x:f>IF(D219&lt;=0,"No EVM votes",IF(H219&lt;-20%,"Large deficit",IF(H219&lt;-5%,"Moderate deficit",IF(H219&lt;0,"Narrow deficit",IF(H219&lt;=5%,"Narrow lead/tie",IF(H219&lt;=20%,"Moderate lead","Large lead"))))))</x:f>
        <x:v>Moderate deficit</x:v>
      </x:c>
    </x:row>
    <x:row r="220">
      <x:c r="A220" t="n">
        <x:v>161</x:v>
      </x:c>
      <x:c r="B220" t="str">
        <x:v>PRY. VIDHYALAYA NO. 1 T.A. DANKAUR R.NO. 1</x:v>
      </x:c>
      <x:c r="C220" s="83" t="n">
        <x:f>'2019 Form20'!H169</x:f>
        <x:v>328</x:v>
      </x:c>
      <x:c r="D220" s="83" t="n">
        <x:f>'2019 Form20'!D169</x:f>
        <x:v>636</x:v>
      </x:c>
      <x:c r="E220" s="50" t="n">
        <x:f>'2019 Form20'!U169</x:f>
        <x:v>0.5157232704402516</x:v>
      </x:c>
      <x:c r="F220" t="n">
        <x:f>'2019 Form20'!V169</x:f>
        <x:v>273</x:v>
      </x:c>
      <x:c r="G220" t="n">
        <x:f>'2019 Form20'!W169</x:f>
        <x:v>55</x:v>
      </x:c>
      <x:c r="H220" s="52" t="n">
        <x:f>'2019 Form20'!X169</x:f>
        <x:v>0.08647798742138364</x:v>
      </x:c>
      <x:c r="I220" t="str">
        <x:v>SATVEER</x:v>
      </x:c>
      <x:c r="J220" t="str">
        <x:v>BSP</x:v>
      </x:c>
      <x:c r="K220" t="str">
        <x:v>EVM row</x:v>
      </x:c>
      <x:c r="L220" s="133" t="str">
        <x:f>IF(D220&lt;=0,"No EVM votes",IF(E220&lt;$N$7,"Low",IF(E220&gt;$R$7,"High","Middle")))</x:f>
        <x:v>Middle</x:v>
      </x:c>
      <x:c r="M220" s="133" t="str">
        <x:f>IF(D220&lt;=0,"No EVM votes",IF(H220&lt;-20%,"Large deficit",IF(H220&lt;-5%,"Moderate deficit",IF(H220&lt;0,"Narrow deficit",IF(H220&lt;=5%,"Narrow lead/tie",IF(H220&lt;=20%,"Moderate lead","Large lead"))))))</x:f>
        <x:v>Moderate lead</x:v>
      </x:c>
    </x:row>
    <x:row r="221">
      <x:c r="A221" t="n">
        <x:v>162</x:v>
      </x:c>
      <x:c r="B221" t="str">
        <x:v>PRY. VIDHYALAYA NO. 1 T.A. DANKAUR R.NO. 2</x:v>
      </x:c>
      <x:c r="C221" s="83" t="n">
        <x:f>'2019 Form20'!H170</x:f>
        <x:v>135</x:v>
      </x:c>
      <x:c r="D221" s="83" t="n">
        <x:f>'2019 Form20'!D170</x:f>
        <x:v>737</x:v>
      </x:c>
      <x:c r="E221" s="50" t="n">
        <x:f>'2019 Form20'!U170</x:f>
        <x:v>0.18317503392130258</x:v>
      </x:c>
      <x:c r="F221" t="n">
        <x:f>'2019 Form20'!V170</x:f>
        <x:v>572</x:v>
      </x:c>
      <x:c r="G221" t="n">
        <x:f>'2019 Form20'!W170</x:f>
        <x:v>-437</x:v>
      </x:c>
      <x:c r="H221" s="52" t="n">
        <x:f>'2019 Form20'!X170</x:f>
        <x:v>-0.592944369063772</x:v>
      </x:c>
      <x:c r="I221" t="str">
        <x:v>DR. MAHESH SHARMA</x:v>
      </x:c>
      <x:c r="J221" t="str">
        <x:v>BJP</x:v>
      </x:c>
      <x:c r="K221" t="str">
        <x:v>EVM row</x:v>
      </x:c>
      <x:c r="L221" s="133" t="str">
        <x:f>IF(D221&lt;=0,"No EVM votes",IF(E221&lt;$N$7,"Low",IF(E221&gt;$R$7,"High","Middle")))</x:f>
        <x:v>Low</x:v>
      </x:c>
      <x:c r="M221" s="133" t="str">
        <x:f>IF(D221&lt;=0,"No EVM votes",IF(H221&lt;-20%,"Large deficit",IF(H221&lt;-5%,"Moderate deficit",IF(H221&lt;0,"Narrow deficit",IF(H221&lt;=5%,"Narrow lead/tie",IF(H221&lt;=20%,"Moderate lead","Large lead"))))))</x:f>
        <x:v>Large deficit</x:v>
      </x:c>
    </x:row>
    <x:row r="222">
      <x:c r="A222" t="n">
        <x:v>163</x:v>
      </x:c>
      <x:c r="B222" t="str">
        <x:v>KISAN ADHYATMIK I.C. DANKAUR R.NO. 1</x:v>
      </x:c>
      <x:c r="C222" s="83" t="n">
        <x:f>'2019 Form20'!H171</x:f>
        <x:v>374</x:v>
      </x:c>
      <x:c r="D222" s="83" t="n">
        <x:f>'2019 Form20'!D171</x:f>
        <x:v>526</x:v>
      </x:c>
      <x:c r="E222" s="50" t="n">
        <x:f>'2019 Form20'!U171</x:f>
        <x:v>0.7110266159695817</x:v>
      </x:c>
      <x:c r="F222" t="n">
        <x:f>'2019 Form20'!V171</x:f>
        <x:v>136</x:v>
      </x:c>
      <x:c r="G222" t="n">
        <x:f>'2019 Form20'!W171</x:f>
        <x:v>238</x:v>
      </x:c>
      <x:c r="H222" s="52" t="n">
        <x:f>'2019 Form20'!X171</x:f>
        <x:v>0.4524714828897338</x:v>
      </x:c>
      <x:c r="I222" t="str">
        <x:v>SATVEER</x:v>
      </x:c>
      <x:c r="J222" t="str">
        <x:v>BSP</x:v>
      </x:c>
      <x:c r="K222" t="str">
        <x:v>EVM row</x:v>
      </x:c>
      <x:c r="L222" s="133" t="str">
        <x:f>IF(D222&lt;=0,"No EVM votes",IF(E222&lt;$N$7,"Low",IF(E222&gt;$R$7,"High","Middle")))</x:f>
        <x:v>High</x:v>
      </x:c>
      <x:c r="M222" s="133" t="str">
        <x:f>IF(D222&lt;=0,"No EVM votes",IF(H222&lt;-20%,"Large deficit",IF(H222&lt;-5%,"Moderate deficit",IF(H222&lt;0,"Narrow deficit",IF(H222&lt;=5%,"Narrow lead/tie",IF(H222&lt;=20%,"Moderate lead","Large lead"))))))</x:f>
        <x:v>Large lead</x:v>
      </x:c>
    </x:row>
    <x:row r="223">
      <x:c r="A223" t="n">
        <x:v>164</x:v>
      </x:c>
      <x:c r="B223" t="str">
        <x:v>KISAN ADHYATMIK I.C. DANKAUR R.NO.2</x:v>
      </x:c>
      <x:c r="C223" s="83" t="n">
        <x:f>'2019 Form20'!H172</x:f>
        <x:v>256</x:v>
      </x:c>
      <x:c r="D223" s="83" t="n">
        <x:f>'2019 Form20'!D172</x:f>
        <x:v>334</x:v>
      </x:c>
      <x:c r="E223" s="50" t="n">
        <x:f>'2019 Form20'!U172</x:f>
        <x:v>0.7664670658682635</x:v>
      </x:c>
      <x:c r="F223" t="n">
        <x:f>'2019 Form20'!V172</x:f>
        <x:v>74</x:v>
      </x:c>
      <x:c r="G223" t="n">
        <x:f>'2019 Form20'!W172</x:f>
        <x:v>182</x:v>
      </x:c>
      <x:c r="H223" s="52" t="n">
        <x:f>'2019 Form20'!X172</x:f>
        <x:v>0.5449101796407185</x:v>
      </x:c>
      <x:c r="I223" t="str">
        <x:v>SATVEER</x:v>
      </x:c>
      <x:c r="J223" t="str">
        <x:v>BSP</x:v>
      </x:c>
      <x:c r="K223" t="str">
        <x:v>EVM row</x:v>
      </x:c>
      <x:c r="L223" s="133" t="str">
        <x:f>IF(D223&lt;=0,"No EVM votes",IF(E223&lt;$N$7,"Low",IF(E223&gt;$R$7,"High","Middle")))</x:f>
        <x:v>High</x:v>
      </x:c>
      <x:c r="M223" s="133" t="str">
        <x:f>IF(D223&lt;=0,"No EVM votes",IF(H223&lt;-20%,"Large deficit",IF(H223&lt;-5%,"Moderate deficit",IF(H223&lt;0,"Narrow deficit",IF(H223&lt;=5%,"Narrow lead/tie",IF(H223&lt;=20%,"Moderate lead","Large lead"))))))</x:f>
        <x:v>Large lead</x:v>
      </x:c>
    </x:row>
    <x:row r="224">
      <x:c r="A224" t="n">
        <x:v>165</x:v>
      </x:c>
      <x:c r="B224" t="str">
        <x:v>KISAN ADHYATMIK I.C. DANKAUR R.NO. 3</x:v>
      </x:c>
      <x:c r="C224" s="83" t="n">
        <x:f>'2019 Form20'!H173</x:f>
        <x:v>220</x:v>
      </x:c>
      <x:c r="D224" s="83" t="n">
        <x:f>'2019 Form20'!D173</x:f>
        <x:v>271</x:v>
      </x:c>
      <x:c r="E224" s="50" t="n">
        <x:f>'2019 Form20'!U173</x:f>
        <x:v>0.8118081180811808</x:v>
      </x:c>
      <x:c r="F224" t="n">
        <x:f>'2019 Form20'!V173</x:f>
        <x:v>51</x:v>
      </x:c>
      <x:c r="G224" t="n">
        <x:f>'2019 Form20'!W173</x:f>
        <x:v>169</x:v>
      </x:c>
      <x:c r="H224" s="52" t="n">
        <x:f>'2019 Form20'!X173</x:f>
        <x:v>0.6236162361623616</x:v>
      </x:c>
      <x:c r="I224" t="str">
        <x:v>SATVEER</x:v>
      </x:c>
      <x:c r="J224" t="str">
        <x:v>BSP</x:v>
      </x:c>
      <x:c r="K224" t="str">
        <x:v>EVM row</x:v>
      </x:c>
      <x:c r="L224" s="133" t="str">
        <x:f>IF(D224&lt;=0,"No EVM votes",IF(E224&lt;$N$7,"Low",IF(E224&gt;$R$7,"High","Middle")))</x:f>
        <x:v>High</x:v>
      </x:c>
      <x:c r="M224" s="133" t="str">
        <x:f>IF(D224&lt;=0,"No EVM votes",IF(H224&lt;-20%,"Large deficit",IF(H224&lt;-5%,"Moderate deficit",IF(H224&lt;0,"Narrow deficit",IF(H224&lt;=5%,"Narrow lead/tie",IF(H224&lt;=20%,"Moderate lead","Large lead"))))))</x:f>
        <x:v>Large lead</x:v>
      </x:c>
    </x:row>
    <x:row r="225">
      <x:c r="A225" t="n">
        <x:v>166</x:v>
      </x:c>
      <x:c r="B225" t="str">
        <x:v>PRY. SCHOOL GUNPURA R.NO. 1</x:v>
      </x:c>
      <x:c r="C225" s="83" t="n">
        <x:f>'2019 Form20'!H174</x:f>
        <x:v>260</x:v>
      </x:c>
      <x:c r="D225" s="83" t="n">
        <x:f>'2019 Form20'!D174</x:f>
        <x:v>312</x:v>
      </x:c>
      <x:c r="E225" s="50" t="n">
        <x:f>'2019 Form20'!U174</x:f>
        <x:v>0.8333333333333334</x:v>
      </x:c>
      <x:c r="F225" t="n">
        <x:f>'2019 Form20'!V174</x:f>
        <x:v>49</x:v>
      </x:c>
      <x:c r="G225" t="n">
        <x:f>'2019 Form20'!W174</x:f>
        <x:v>211</x:v>
      </x:c>
      <x:c r="H225" s="52" t="n">
        <x:f>'2019 Form20'!X174</x:f>
        <x:v>0.6762820512820513</x:v>
      </x:c>
      <x:c r="I225" t="str">
        <x:v>SATVEER</x:v>
      </x:c>
      <x:c r="J225" t="str">
        <x:v>BSP</x:v>
      </x:c>
      <x:c r="K225" t="str">
        <x:v>EVM row</x:v>
      </x:c>
      <x:c r="L225" s="133" t="str">
        <x:f>IF(D225&lt;=0,"No EVM votes",IF(E225&lt;$N$7,"Low",IF(E225&gt;$R$7,"High","Middle")))</x:f>
        <x:v>High</x:v>
      </x:c>
      <x:c r="M225" s="133" t="str">
        <x:f>IF(D225&lt;=0,"No EVM votes",IF(H225&lt;-20%,"Large deficit",IF(H225&lt;-5%,"Moderate deficit",IF(H225&lt;0,"Narrow deficit",IF(H225&lt;=5%,"Narrow lead/tie",IF(H225&lt;=20%,"Moderate lead","Large lead"))))))</x:f>
        <x:v>Large lead</x:v>
      </x:c>
    </x:row>
    <x:row r="226">
      <x:c r="A226" t="n">
        <x:v>167</x:v>
      </x:c>
      <x:c r="B226" t="str">
        <x:v>PRY. SCHOOL ATTA GUJRAN R.NO. 1</x:v>
      </x:c>
      <x:c r="C226" s="83" t="n">
        <x:f>'2019 Form20'!H175</x:f>
        <x:v>832</x:v>
      </x:c>
      <x:c r="D226" s="83" t="n">
        <x:f>'2019 Form20'!D175</x:f>
        <x:v>932</x:v>
      </x:c>
      <x:c r="E226" s="50" t="n">
        <x:f>'2019 Form20'!U175</x:f>
        <x:v>0.8927038626609443</x:v>
      </x:c>
      <x:c r="F226" t="n">
        <x:f>'2019 Form20'!V175</x:f>
        <x:v>93</x:v>
      </x:c>
      <x:c r="G226" t="n">
        <x:f>'2019 Form20'!W175</x:f>
        <x:v>739</x:v>
      </x:c>
      <x:c r="H226" s="52" t="n">
        <x:f>'2019 Form20'!X175</x:f>
        <x:v>0.7929184549356223</x:v>
      </x:c>
      <x:c r="I226" t="str">
        <x:v>SATVEER</x:v>
      </x:c>
      <x:c r="J226" t="str">
        <x:v>BSP</x:v>
      </x:c>
      <x:c r="K226" t="str">
        <x:v>EVM row</x:v>
      </x:c>
      <x:c r="L226" s="133" t="str">
        <x:f>IF(D226&lt;=0,"No EVM votes",IF(E226&lt;$N$7,"Low",IF(E226&gt;$R$7,"High","Middle")))</x:f>
        <x:v>High</x:v>
      </x:c>
      <x:c r="M226" s="133" t="str">
        <x:f>IF(D226&lt;=0,"No EVM votes",IF(H226&lt;-20%,"Large deficit",IF(H226&lt;-5%,"Moderate deficit",IF(H226&lt;0,"Narrow deficit",IF(H226&lt;=5%,"Narrow lead/tie",IF(H226&lt;=20%,"Moderate lead","Large lead"))))))</x:f>
        <x:v>Large lead</x:v>
      </x:c>
    </x:row>
    <x:row r="227">
      <x:c r="A227" t="n">
        <x:v>168</x:v>
      </x:c>
      <x:c r="B227" t="str">
        <x:v>PRY. SCHOOL ATTA GUJRAN R.NO.2</x:v>
      </x:c>
      <x:c r="C227" s="83" t="n">
        <x:f>'2019 Form20'!H176</x:f>
        <x:v>822</x:v>
      </x:c>
      <x:c r="D227" s="83" t="n">
        <x:f>'2019 Form20'!D176</x:f>
        <x:v>867</x:v>
      </x:c>
      <x:c r="E227" s="50" t="n">
        <x:f>'2019 Form20'!U176</x:f>
        <x:v>0.9480968858131488</x:v>
      </x:c>
      <x:c r="F227" t="n">
        <x:f>'2019 Form20'!V176</x:f>
        <x:v>38</x:v>
      </x:c>
      <x:c r="G227" t="n">
        <x:f>'2019 Form20'!W176</x:f>
        <x:v>784</x:v>
      </x:c>
      <x:c r="H227" s="52" t="n">
        <x:f>'2019 Form20'!X176</x:f>
        <x:v>0.9042675893886967</x:v>
      </x:c>
      <x:c r="I227" t="str">
        <x:v>SATVEER</x:v>
      </x:c>
      <x:c r="J227" t="str">
        <x:v>BSP</x:v>
      </x:c>
      <x:c r="K227" t="str">
        <x:v>EVM row</x:v>
      </x:c>
      <x:c r="L227" s="133" t="str">
        <x:f>IF(D227&lt;=0,"No EVM votes",IF(E227&lt;$N$7,"Low",IF(E227&gt;$R$7,"High","Middle")))</x:f>
        <x:v>High</x:v>
      </x:c>
      <x:c r="M227" s="133" t="str">
        <x:f>IF(D227&lt;=0,"No EVM votes",IF(H227&lt;-20%,"Large deficit",IF(H227&lt;-5%,"Moderate deficit",IF(H227&lt;0,"Narrow deficit",IF(H227&lt;=5%,"Narrow lead/tie",IF(H227&lt;=20%,"Moderate lead","Large lead"))))))</x:f>
        <x:v>Large lead</x:v>
      </x:c>
    </x:row>
    <x:row r="228">
      <x:c r="A228" t="n">
        <x:v>169</x:v>
      </x:c>
      <x:c r="B228" t="str">
        <x:v>PRY. SCHOOL JAGANPUR AFZALPUR R.NO. 1</x:v>
      </x:c>
      <x:c r="C228" s="83" t="n">
        <x:f>'2019 Form20'!H177</x:f>
        <x:v>390</x:v>
      </x:c>
      <x:c r="D228" s="83" t="n">
        <x:f>'2019 Form20'!D177</x:f>
        <x:v>478</x:v>
      </x:c>
      <x:c r="E228" s="50" t="n">
        <x:f>'2019 Form20'!U177</x:f>
        <x:v>0.8158995815899581</x:v>
      </x:c>
      <x:c r="F228" t="n">
        <x:f>'2019 Form20'!V177</x:f>
        <x:v>84</x:v>
      </x:c>
      <x:c r="G228" t="n">
        <x:f>'2019 Form20'!W177</x:f>
        <x:v>306</x:v>
      </x:c>
      <x:c r="H228" s="52" t="n">
        <x:f>'2019 Form20'!X177</x:f>
        <x:v>0.6401673640167364</x:v>
      </x:c>
      <x:c r="I228" t="str">
        <x:v>SATVEER</x:v>
      </x:c>
      <x:c r="J228" t="str">
        <x:v>BSP</x:v>
      </x:c>
      <x:c r="K228" t="str">
        <x:v>EVM row</x:v>
      </x:c>
      <x:c r="L228" s="133" t="str">
        <x:f>IF(D228&lt;=0,"No EVM votes",IF(E228&lt;$N$7,"Low",IF(E228&gt;$R$7,"High","Middle")))</x:f>
        <x:v>High</x:v>
      </x:c>
      <x:c r="M228" s="133" t="str">
        <x:f>IF(D228&lt;=0,"No EVM votes",IF(H228&lt;-20%,"Large deficit",IF(H228&lt;-5%,"Moderate deficit",IF(H228&lt;0,"Narrow deficit",IF(H228&lt;=5%,"Narrow lead/tie",IF(H228&lt;=20%,"Moderate lead","Large lead"))))))</x:f>
        <x:v>Large lead</x:v>
      </x:c>
    </x:row>
    <x:row r="229">
      <x:c r="A229" t="n">
        <x:v>170</x:v>
      </x:c>
      <x:c r="B229" t="str">
        <x:v>PRY. SCHOOL ORANGPUR R.NO. 1</x:v>
      </x:c>
      <x:c r="C229" s="83" t="n">
        <x:f>'2019 Form20'!H178</x:f>
        <x:v>621</x:v>
      </x:c>
      <x:c r="D229" s="83" t="n">
        <x:f>'2019 Form20'!D178</x:f>
        <x:v>789</x:v>
      </x:c>
      <x:c r="E229" s="50" t="n">
        <x:f>'2019 Form20'!U178</x:f>
        <x:v>0.7870722433460076</x:v>
      </x:c>
      <x:c r="F229" t="n">
        <x:f>'2019 Form20'!V178</x:f>
        <x:v>162</x:v>
      </x:c>
      <x:c r="G229" t="n">
        <x:f>'2019 Form20'!W178</x:f>
        <x:v>459</x:v>
      </x:c>
      <x:c r="H229" s="52" t="n">
        <x:f>'2019 Form20'!X178</x:f>
        <x:v>0.5817490494296578</x:v>
      </x:c>
      <x:c r="I229" t="str">
        <x:v>SATVEER</x:v>
      </x:c>
      <x:c r="J229" t="str">
        <x:v>BSP</x:v>
      </x:c>
      <x:c r="K229" t="str">
        <x:v>EVM row</x:v>
      </x:c>
      <x:c r="L229" s="133" t="str">
        <x:f>IF(D229&lt;=0,"No EVM votes",IF(E229&lt;$N$7,"Low",IF(E229&gt;$R$7,"High","Middle")))</x:f>
        <x:v>High</x:v>
      </x:c>
      <x:c r="M229" s="133" t="str">
        <x:f>IF(D229&lt;=0,"No EVM votes",IF(H229&lt;-20%,"Large deficit",IF(H229&lt;-5%,"Moderate deficit",IF(H229&lt;0,"Narrow deficit",IF(H229&lt;=5%,"Narrow lead/tie",IF(H229&lt;=20%,"Moderate lead","Large lead"))))))</x:f>
        <x:v>Large lead</x:v>
      </x:c>
    </x:row>
    <x:row r="230">
      <x:c r="A230" t="n">
        <x:v>171</x:v>
      </x:c>
      <x:c r="B230" t="str">
        <x:v>PRY. SCHOOL FATEHPUR ATTA R.NO. 1</x:v>
      </x:c>
      <x:c r="C230" s="83" t="n">
        <x:f>'2019 Form20'!H179</x:f>
        <x:v>780</x:v>
      </x:c>
      <x:c r="D230" s="83" t="n">
        <x:f>'2019 Form20'!D179</x:f>
        <x:v>810</x:v>
      </x:c>
      <x:c r="E230" s="50" t="n">
        <x:f>'2019 Form20'!U179</x:f>
        <x:v>0.9629629629629629</x:v>
      </x:c>
      <x:c r="F230" t="n">
        <x:f>'2019 Form20'!V179</x:f>
        <x:v>14</x:v>
      </x:c>
      <x:c r="G230" t="n">
        <x:f>'2019 Form20'!W179</x:f>
        <x:v>766</x:v>
      </x:c>
      <x:c r="H230" s="52" t="n">
        <x:f>'2019 Form20'!X179</x:f>
        <x:v>0.945679012345679</x:v>
      </x:c>
      <x:c r="I230" t="str">
        <x:v>SATVEER</x:v>
      </x:c>
      <x:c r="J230" t="str">
        <x:v>BSP</x:v>
      </x:c>
      <x:c r="K230" t="str">
        <x:v>EVM row</x:v>
      </x:c>
      <x:c r="L230" s="133" t="str">
        <x:f>IF(D230&lt;=0,"No EVM votes",IF(E230&lt;$N$7,"Low",IF(E230&gt;$R$7,"High","Middle")))</x:f>
        <x:v>High</x:v>
      </x:c>
      <x:c r="M230" s="133" t="str">
        <x:f>IF(D230&lt;=0,"No EVM votes",IF(H230&lt;-20%,"Large deficit",IF(H230&lt;-5%,"Moderate deficit",IF(H230&lt;0,"Narrow deficit",IF(H230&lt;=5%,"Narrow lead/tie",IF(H230&lt;=20%,"Moderate lead","Large lead"))))))</x:f>
        <x:v>Large lead</x:v>
      </x:c>
    </x:row>
    <x:row r="231">
      <x:c r="A231" t="n">
        <x:v>172</x:v>
      </x:c>
      <x:c r="B231" t="str">
        <x:v>PRY. SCHOOL FATEHPUR ATTA R.NO. 2</x:v>
      </x:c>
      <x:c r="C231" s="83" t="n">
        <x:f>'2019 Form20'!H180</x:f>
        <x:v>718</x:v>
      </x:c>
      <x:c r="D231" s="83" t="n">
        <x:f>'2019 Form20'!D180</x:f>
        <x:v>753</x:v>
      </x:c>
      <x:c r="E231" s="50" t="n">
        <x:f>'2019 Form20'!U180</x:f>
        <x:v>0.953519256308101</x:v>
      </x:c>
      <x:c r="F231" t="n">
        <x:f>'2019 Form20'!V180</x:f>
        <x:v>22</x:v>
      </x:c>
      <x:c r="G231" t="n">
        <x:f>'2019 Form20'!W180</x:f>
        <x:v>696</x:v>
      </x:c>
      <x:c r="H231" s="52" t="n">
        <x:f>'2019 Form20'!X180</x:f>
        <x:v>0.9243027888446215</x:v>
      </x:c>
      <x:c r="I231" t="str">
        <x:v>SATVEER</x:v>
      </x:c>
      <x:c r="J231" t="str">
        <x:v>BSP</x:v>
      </x:c>
      <x:c r="K231" t="str">
        <x:v>EVM row</x:v>
      </x:c>
      <x:c r="L231" s="133" t="str">
        <x:f>IF(D231&lt;=0,"No EVM votes",IF(E231&lt;$N$7,"Low",IF(E231&gt;$R$7,"High","Middle")))</x:f>
        <x:v>High</x:v>
      </x:c>
      <x:c r="M231" s="133" t="str">
        <x:f>IF(D231&lt;=0,"No EVM votes",IF(H231&lt;-20%,"Large deficit",IF(H231&lt;-5%,"Moderate deficit",IF(H231&lt;0,"Narrow deficit",IF(H231&lt;=5%,"Narrow lead/tie",IF(H231&lt;=20%,"Moderate lead","Large lead"))))))</x:f>
        <x:v>Large lead</x:v>
      </x:c>
    </x:row>
    <x:row r="232">
      <x:c r="A232" t="n">
        <x:v>173</x:v>
      </x:c>
      <x:c r="B232" t="str">
        <x:v>PRY. SCHOOL SALARPUR R.NO. 1</x:v>
      </x:c>
      <x:c r="C232" s="83" t="n">
        <x:f>'2019 Form20'!H181</x:f>
        <x:v>386</x:v>
      </x:c>
      <x:c r="D232" s="83" t="n">
        <x:f>'2019 Form20'!D181</x:f>
        <x:v>507</x:v>
      </x:c>
      <x:c r="E232" s="50" t="n">
        <x:f>'2019 Form20'!U181</x:f>
        <x:v>0.7613412228796844</x:v>
      </x:c>
      <x:c r="F232" t="n">
        <x:f>'2019 Form20'!V181</x:f>
        <x:v>100</x:v>
      </x:c>
      <x:c r="G232" t="n">
        <x:f>'2019 Form20'!W181</x:f>
        <x:v>286</x:v>
      </x:c>
      <x:c r="H232" s="52" t="n">
        <x:f>'2019 Form20'!X181</x:f>
        <x:v>0.5641025641025641</x:v>
      </x:c>
      <x:c r="I232" t="str">
        <x:v>SATVEER</x:v>
      </x:c>
      <x:c r="J232" t="str">
        <x:v>BSP</x:v>
      </x:c>
      <x:c r="K232" t="str">
        <x:v>EVM row</x:v>
      </x:c>
      <x:c r="L232" s="133" t="str">
        <x:f>IF(D232&lt;=0,"No EVM votes",IF(E232&lt;$N$7,"Low",IF(E232&gt;$R$7,"High","Middle")))</x:f>
        <x:v>High</x:v>
      </x:c>
      <x:c r="M232" s="133" t="str">
        <x:f>IF(D232&lt;=0,"No EVM votes",IF(H232&lt;-20%,"Large deficit",IF(H232&lt;-5%,"Moderate deficit",IF(H232&lt;0,"Narrow deficit",IF(H232&lt;=5%,"Narrow lead/tie",IF(H232&lt;=20%,"Moderate lead","Large lead"))))))</x:f>
        <x:v>Large lead</x:v>
      </x:c>
    </x:row>
    <x:row r="233">
      <x:c r="A233" t="n">
        <x:v>174</x:v>
      </x:c>
      <x:c r="B233" t="str">
        <x:v>PRY. SCHOOL SALARPUR R.NO. 2</x:v>
      </x:c>
      <x:c r="C233" s="83" t="n">
        <x:f>'2019 Form20'!H182</x:f>
        <x:v>439</x:v>
      </x:c>
      <x:c r="D233" s="83" t="n">
        <x:f>'2019 Form20'!D182</x:f>
        <x:v>494</x:v>
      </x:c>
      <x:c r="E233" s="50" t="n">
        <x:f>'2019 Form20'!U182</x:f>
        <x:v>0.888663967611336</x:v>
      </x:c>
      <x:c r="F233" t="n">
        <x:f>'2019 Form20'!V182</x:f>
        <x:v>42</x:v>
      </x:c>
      <x:c r="G233" t="n">
        <x:f>'2019 Form20'!W182</x:f>
        <x:v>397</x:v>
      </x:c>
      <x:c r="H233" s="52" t="n">
        <x:f>'2019 Form20'!X182</x:f>
        <x:v>0.8036437246963563</x:v>
      </x:c>
      <x:c r="I233" t="str">
        <x:v>SATVEER</x:v>
      </x:c>
      <x:c r="J233" t="str">
        <x:v>BSP</x:v>
      </x:c>
      <x:c r="K233" t="str">
        <x:v>EVM row</x:v>
      </x:c>
      <x:c r="L233" s="133" t="str">
        <x:f>IF(D233&lt;=0,"No EVM votes",IF(E233&lt;$N$7,"Low",IF(E233&gt;$R$7,"High","Middle")))</x:f>
        <x:v>High</x:v>
      </x:c>
      <x:c r="M233" s="133" t="str">
        <x:f>IF(D233&lt;=0,"No EVM votes",IF(H233&lt;-20%,"Large deficit",IF(H233&lt;-5%,"Moderate deficit",IF(H233&lt;0,"Narrow deficit",IF(H233&lt;=5%,"Narrow lead/tie",IF(H233&lt;=20%,"Moderate lead","Large lead"))))))</x:f>
        <x:v>Large lead</x:v>
      </x:c>
    </x:row>
    <x:row r="234">
      <x:c r="A234" t="n">
        <x:v>175</x:v>
      </x:c>
      <x:c r="B234" t="str">
        <x:v>PRY. SCHOOL MUNJKHERA R.NO. 1</x:v>
      </x:c>
      <x:c r="C234" s="83" t="n">
        <x:f>'2019 Form20'!H183</x:f>
        <x:v>248</x:v>
      </x:c>
      <x:c r="D234" s="83" t="n">
        <x:f>'2019 Form20'!D183</x:f>
        <x:v>639</x:v>
      </x:c>
      <x:c r="E234" s="50" t="n">
        <x:f>'2019 Form20'!U183</x:f>
        <x:v>0.38810641627543035</x:v>
      </x:c>
      <x:c r="F234" t="n">
        <x:f>'2019 Form20'!V183</x:f>
        <x:v>367</x:v>
      </x:c>
      <x:c r="G234" t="n">
        <x:f>'2019 Form20'!W183</x:f>
        <x:v>-119</x:v>
      </x:c>
      <x:c r="H234" s="52" t="n">
        <x:f>'2019 Form20'!X183</x:f>
        <x:v>-0.18622848200312989</x:v>
      </x:c>
      <x:c r="I234" t="str">
        <x:v>DR. MAHESH SHARMA</x:v>
      </x:c>
      <x:c r="J234" t="str">
        <x:v>BJP</x:v>
      </x:c>
      <x:c r="K234" t="str">
        <x:v>EVM row</x:v>
      </x:c>
      <x:c r="L234" s="133" t="str">
        <x:f>IF(D234&lt;=0,"No EVM votes",IF(E234&lt;$N$7,"Low",IF(E234&gt;$R$7,"High","Middle")))</x:f>
        <x:v>Middle</x:v>
      </x:c>
      <x:c r="M234" s="133" t="str">
        <x:f>IF(D234&lt;=0,"No EVM votes",IF(H234&lt;-20%,"Large deficit",IF(H234&lt;-5%,"Moderate deficit",IF(H234&lt;0,"Narrow deficit",IF(H234&lt;=5%,"Narrow lead/tie",IF(H234&lt;=20%,"Moderate lead","Large lead"))))))</x:f>
        <x:v>Moderate deficit</x:v>
      </x:c>
    </x:row>
    <x:row r="235">
      <x:c r="A235" t="n">
        <x:v>176</x:v>
      </x:c>
      <x:c r="B235" t="str">
        <x:v>PRY. SCHOOL BALLUKHERA MAZRA MUNJKHERA R.NO. 1</x:v>
      </x:c>
      <x:c r="C235" s="83" t="n">
        <x:f>'2019 Form20'!H184</x:f>
        <x:v>734</x:v>
      </x:c>
      <x:c r="D235" s="83" t="n">
        <x:f>'2019 Form20'!D184</x:f>
        <x:v>759</x:v>
      </x:c>
      <x:c r="E235" s="50" t="n">
        <x:f>'2019 Form20'!U184</x:f>
        <x:v>0.9670619235836627</x:v>
      </x:c>
      <x:c r="F235" t="n">
        <x:f>'2019 Form20'!V184</x:f>
        <x:v>6</x:v>
      </x:c>
      <x:c r="G235" t="n">
        <x:f>'2019 Form20'!W184</x:f>
        <x:v>728</x:v>
      </x:c>
      <x:c r="H235" s="52" t="n">
        <x:f>'2019 Form20'!X184</x:f>
        <x:v>0.9591567852437418</x:v>
      </x:c>
      <x:c r="I235" t="str">
        <x:v>SATVEER</x:v>
      </x:c>
      <x:c r="J235" t="str">
        <x:v>BSP</x:v>
      </x:c>
      <x:c r="K235" t="str">
        <x:v>EVM row</x:v>
      </x:c>
      <x:c r="L235" s="133" t="str">
        <x:f>IF(D235&lt;=0,"No EVM votes",IF(E235&lt;$N$7,"Low",IF(E235&gt;$R$7,"High","Middle")))</x:f>
        <x:v>High</x:v>
      </x:c>
      <x:c r="M235" s="133" t="str">
        <x:f>IF(D235&lt;=0,"No EVM votes",IF(H235&lt;-20%,"Large deficit",IF(H235&lt;-5%,"Moderate deficit",IF(H235&lt;0,"Narrow deficit",IF(H235&lt;=5%,"Narrow lead/tie",IF(H235&lt;=20%,"Moderate lead","Large lead"))))))</x:f>
        <x:v>Large lead</x:v>
      </x:c>
    </x:row>
    <x:row r="236">
      <x:c r="A236" t="n">
        <x:v>177</x:v>
      </x:c>
      <x:c r="B236" t="str">
        <x:v>PRY. SCHOOL DERIN KHUBAN MAZRA MUNJKHERA R.NO. 1</x:v>
      </x:c>
      <x:c r="C236" s="83" t="n">
        <x:f>'2019 Form20'!H185</x:f>
        <x:v>419</x:v>
      </x:c>
      <x:c r="D236" s="83" t="n">
        <x:f>'2019 Form20'!D185</x:f>
        <x:v>455</x:v>
      </x:c>
      <x:c r="E236" s="50" t="n">
        <x:f>'2019 Form20'!U185</x:f>
        <x:v>0.9208791208791208</x:v>
      </x:c>
      <x:c r="F236" t="n">
        <x:f>'2019 Form20'!V185</x:f>
        <x:v>21</x:v>
      </x:c>
      <x:c r="G236" t="n">
        <x:f>'2019 Form20'!W185</x:f>
        <x:v>398</x:v>
      </x:c>
      <x:c r="H236" s="52" t="n">
        <x:f>'2019 Form20'!X185</x:f>
        <x:v>0.8747252747252747</x:v>
      </x:c>
      <x:c r="I236" t="str">
        <x:v>SATVEER</x:v>
      </x:c>
      <x:c r="J236" t="str">
        <x:v>BSP</x:v>
      </x:c>
      <x:c r="K236" t="str">
        <x:v>EVM row</x:v>
      </x:c>
      <x:c r="L236" s="133" t="str">
        <x:f>IF(D236&lt;=0,"No EVM votes",IF(E236&lt;$N$7,"Low",IF(E236&gt;$R$7,"High","Middle")))</x:f>
        <x:v>High</x:v>
      </x:c>
      <x:c r="M236" s="133" t="str">
        <x:f>IF(D236&lt;=0,"No EVM votes",IF(H236&lt;-20%,"Large deficit",IF(H236&lt;-5%,"Moderate deficit",IF(H236&lt;0,"Narrow deficit",IF(H236&lt;=5%,"Narrow lead/tie",IF(H236&lt;=20%,"Moderate lead","Large lead"))))))</x:f>
        <x:v>Large lead</x:v>
      </x:c>
    </x:row>
    <x:row r="237">
      <x:c r="A237" t="n">
        <x:v>178</x:v>
      </x:c>
      <x:c r="B237" t="str">
        <x:v>PRY. SCHOOL KHERLI BHAV R.NO. 1</x:v>
      </x:c>
      <x:c r="C237" s="83" t="n">
        <x:f>'2019 Form20'!H186</x:f>
        <x:v>561</x:v>
      </x:c>
      <x:c r="D237" s="83" t="n">
        <x:f>'2019 Form20'!D186</x:f>
        <x:v>829</x:v>
      </x:c>
      <x:c r="E237" s="50" t="n">
        <x:f>'2019 Form20'!U186</x:f>
        <x:v>0.6767189384800965</x:v>
      </x:c>
      <x:c r="F237" t="n">
        <x:f>'2019 Form20'!V186</x:f>
        <x:v>230</x:v>
      </x:c>
      <x:c r="G237" t="n">
        <x:f>'2019 Form20'!W186</x:f>
        <x:v>331</x:v>
      </x:c>
      <x:c r="H237" s="52" t="n">
        <x:f>'2019 Form20'!X186</x:f>
        <x:v>0.39927623642943305</x:v>
      </x:c>
      <x:c r="I237" t="str">
        <x:v>SATVEER</x:v>
      </x:c>
      <x:c r="J237" t="str">
        <x:v>BSP</x:v>
      </x:c>
      <x:c r="K237" t="str">
        <x:v>EVM row</x:v>
      </x:c>
      <x:c r="L237" s="133" t="str">
        <x:f>IF(D237&lt;=0,"No EVM votes",IF(E237&lt;$N$7,"Low",IF(E237&gt;$R$7,"High","Middle")))</x:f>
        <x:v>High</x:v>
      </x:c>
      <x:c r="M237" s="133" t="str">
        <x:f>IF(D237&lt;=0,"No EVM votes",IF(H237&lt;-20%,"Large deficit",IF(H237&lt;-5%,"Moderate deficit",IF(H237&lt;0,"Narrow deficit",IF(H237&lt;=5%,"Narrow lead/tie",IF(H237&lt;=20%,"Moderate lead","Large lead"))))))</x:f>
        <x:v>Large lead</x:v>
      </x:c>
    </x:row>
    <x:row r="238">
      <x:c r="A238" t="n">
        <x:v>179</x:v>
      </x:c>
      <x:c r="B238" t="str">
        <x:v>PRY. SCHOOL KHERLI BHAV R.NO. 2</x:v>
      </x:c>
      <x:c r="C238" s="83" t="n">
        <x:f>'2019 Form20'!H187</x:f>
        <x:v>225</x:v>
      </x:c>
      <x:c r="D238" s="83" t="n">
        <x:f>'2019 Form20'!D187</x:f>
        <x:v>534</x:v>
      </x:c>
      <x:c r="E238" s="50" t="n">
        <x:f>'2019 Form20'!U187</x:f>
        <x:v>0.42134831460674155</x:v>
      </x:c>
      <x:c r="F238" t="n">
        <x:f>'2019 Form20'!V187</x:f>
        <x:v>286</x:v>
      </x:c>
      <x:c r="G238" t="n">
        <x:f>'2019 Form20'!W187</x:f>
        <x:v>-61</x:v>
      </x:c>
      <x:c r="H238" s="52" t="n">
        <x:f>'2019 Form20'!X187</x:f>
        <x:v>-0.11423220973782772</x:v>
      </x:c>
      <x:c r="I238" t="str">
        <x:v>DR. MAHESH SHARMA</x:v>
      </x:c>
      <x:c r="J238" t="str">
        <x:v>BJP</x:v>
      </x:c>
      <x:c r="K238" t="str">
        <x:v>EVM row</x:v>
      </x:c>
      <x:c r="L238" s="133" t="str">
        <x:f>IF(D238&lt;=0,"No EVM votes",IF(E238&lt;$N$7,"Low",IF(E238&gt;$R$7,"High","Middle")))</x:f>
        <x:v>Middle</x:v>
      </x:c>
      <x:c r="M238" s="133" t="str">
        <x:f>IF(D238&lt;=0,"No EVM votes",IF(H238&lt;-20%,"Large deficit",IF(H238&lt;-5%,"Moderate deficit",IF(H238&lt;0,"Narrow deficit",IF(H238&lt;=5%,"Narrow lead/tie",IF(H238&lt;=20%,"Moderate lead","Large lead"))))))</x:f>
        <x:v>Moderate deficit</x:v>
      </x:c>
    </x:row>
    <x:row r="239">
      <x:c r="A239" t="n">
        <x:v>180</x:v>
      </x:c>
      <x:c r="B239" t="str">
        <x:v>PRY. SCHOOL LATIFPUR R.NO. 1</x:v>
      </x:c>
      <x:c r="C239" s="83" t="n">
        <x:f>'2019 Form20'!H188</x:f>
        <x:v>215</x:v>
      </x:c>
      <x:c r="D239" s="83" t="n">
        <x:f>'2019 Form20'!D188</x:f>
        <x:v>675</x:v>
      </x:c>
      <x:c r="E239" s="50" t="n">
        <x:f>'2019 Form20'!U188</x:f>
        <x:v>0.31851851851851853</x:v>
      </x:c>
      <x:c r="F239" t="n">
        <x:f>'2019 Form20'!V188</x:f>
        <x:v>423</x:v>
      </x:c>
      <x:c r="G239" t="n">
        <x:f>'2019 Form20'!W188</x:f>
        <x:v>-208</x:v>
      </x:c>
      <x:c r="H239" s="52" t="n">
        <x:f>'2019 Form20'!X188</x:f>
        <x:v>-0.30814814814814817</x:v>
      </x:c>
      <x:c r="I239" t="str">
        <x:v>DR. MAHESH SHARMA</x:v>
      </x:c>
      <x:c r="J239" t="str">
        <x:v>BJP</x:v>
      </x:c>
      <x:c r="K239" t="str">
        <x:v>EVM row</x:v>
      </x:c>
      <x:c r="L239" s="133" t="str">
        <x:f>IF(D239&lt;=0,"No EVM votes",IF(E239&lt;$N$7,"Low",IF(E239&gt;$R$7,"High","Middle")))</x:f>
        <x:v>Middle</x:v>
      </x:c>
      <x:c r="M239" s="133" t="str">
        <x:f>IF(D239&lt;=0,"No EVM votes",IF(H239&lt;-20%,"Large deficit",IF(H239&lt;-5%,"Moderate deficit",IF(H239&lt;0,"Narrow deficit",IF(H239&lt;=5%,"Narrow lead/tie",IF(H239&lt;=20%,"Moderate lead","Large lead"))))))</x:f>
        <x:v>Large deficit</x:v>
      </x:c>
    </x:row>
    <x:row r="240">
      <x:c r="A240" t="n">
        <x:v>181</x:v>
      </x:c>
      <x:c r="B240" t="str">
        <x:v>PRY. SCHOOL KADALPUR R.NO. 1</x:v>
      </x:c>
      <x:c r="C240" s="83" t="n">
        <x:f>'2019 Form20'!H189</x:f>
        <x:v>588</x:v>
      </x:c>
      <x:c r="D240" s="83" t="n">
        <x:f>'2019 Form20'!D189</x:f>
        <x:v>721</x:v>
      </x:c>
      <x:c r="E240" s="50" t="n">
        <x:f>'2019 Form20'!U189</x:f>
        <x:v>0.8155339805825242</x:v>
      </x:c>
      <x:c r="F240" t="n">
        <x:f>'2019 Form20'!V189</x:f>
        <x:v>115</x:v>
      </x:c>
      <x:c r="G240" t="n">
        <x:f>'2019 Form20'!W189</x:f>
        <x:v>473</x:v>
      </x:c>
      <x:c r="H240" s="52" t="n">
        <x:f>'2019 Form20'!X189</x:f>
        <x:v>0.6560332871012483</x:v>
      </x:c>
      <x:c r="I240" t="str">
        <x:v>SATVEER</x:v>
      </x:c>
      <x:c r="J240" t="str">
        <x:v>BSP</x:v>
      </x:c>
      <x:c r="K240" t="str">
        <x:v>EVM row</x:v>
      </x:c>
      <x:c r="L240" s="133" t="str">
        <x:f>IF(D240&lt;=0,"No EVM votes",IF(E240&lt;$N$7,"Low",IF(E240&gt;$R$7,"High","Middle")))</x:f>
        <x:v>High</x:v>
      </x:c>
      <x:c r="M240" s="133" t="str">
        <x:f>IF(D240&lt;=0,"No EVM votes",IF(H240&lt;-20%,"Large deficit",IF(H240&lt;-5%,"Moderate deficit",IF(H240&lt;0,"Narrow deficit",IF(H240&lt;=5%,"Narrow lead/tie",IF(H240&lt;=20%,"Moderate lead","Large lead"))))))</x:f>
        <x:v>Large lead</x:v>
      </x:c>
    </x:row>
    <x:row r="241">
      <x:c r="A241" t="n">
        <x:v>182</x:v>
      </x:c>
      <x:c r="B241" t="str">
        <x:v>PRY. SCHOOL KADALPUR R.NO. 2</x:v>
      </x:c>
      <x:c r="C241" s="83" t="n">
        <x:f>'2019 Form20'!H190</x:f>
        <x:v>527</x:v>
      </x:c>
      <x:c r="D241" s="83" t="n">
        <x:f>'2019 Form20'!D190</x:f>
        <x:v>616</x:v>
      </x:c>
      <x:c r="E241" s="50" t="n">
        <x:f>'2019 Form20'!U190</x:f>
        <x:v>0.8555194805194806</x:v>
      </x:c>
      <x:c r="F241" t="n">
        <x:f>'2019 Form20'!V190</x:f>
        <x:v>80</x:v>
      </x:c>
      <x:c r="G241" t="n">
        <x:f>'2019 Form20'!W190</x:f>
        <x:v>447</x:v>
      </x:c>
      <x:c r="H241" s="52" t="n">
        <x:f>'2019 Form20'!X190</x:f>
        <x:v>0.7256493506493507</x:v>
      </x:c>
      <x:c r="I241" t="str">
        <x:v>SATVEER</x:v>
      </x:c>
      <x:c r="J241" t="str">
        <x:v>BSP</x:v>
      </x:c>
      <x:c r="K241" t="str">
        <x:v>EVM row</x:v>
      </x:c>
      <x:c r="L241" s="133" t="str">
        <x:f>IF(D241&lt;=0,"No EVM votes",IF(E241&lt;$N$7,"Low",IF(E241&gt;$R$7,"High","Middle")))</x:f>
        <x:v>High</x:v>
      </x:c>
      <x:c r="M241" s="133" t="str">
        <x:f>IF(D241&lt;=0,"No EVM votes",IF(H241&lt;-20%,"Large deficit",IF(H241&lt;-5%,"Moderate deficit",IF(H241&lt;0,"Narrow deficit",IF(H241&lt;=5%,"Narrow lead/tie",IF(H241&lt;=20%,"Moderate lead","Large lead"))))))</x:f>
        <x:v>Large lead</x:v>
      </x:c>
    </x:row>
    <x:row r="242">
      <x:c r="A242" t="n">
        <x:v>183</x:v>
      </x:c>
      <x:c r="B242" t="str">
        <x:v>PRY. SCHOOL MAKANPUR BANGAR R.NO. 1</x:v>
      </x:c>
      <x:c r="C242" s="83" t="n">
        <x:f>'2019 Form20'!H191</x:f>
        <x:v>262</x:v>
      </x:c>
      <x:c r="D242" s="83" t="n">
        <x:f>'2019 Form20'!D191</x:f>
        <x:v>722</x:v>
      </x:c>
      <x:c r="E242" s="50" t="n">
        <x:f>'2019 Form20'!U191</x:f>
        <x:v>0.3628808864265928</x:v>
      </x:c>
      <x:c r="F242" t="n">
        <x:f>'2019 Form20'!V191</x:f>
        <x:v>432</x:v>
      </x:c>
      <x:c r="G242" t="n">
        <x:f>'2019 Form20'!W191</x:f>
        <x:v>-170</x:v>
      </x:c>
      <x:c r="H242" s="52" t="n">
        <x:f>'2019 Form20'!X191</x:f>
        <x:v>-0.23545706371191136</x:v>
      </x:c>
      <x:c r="I242" t="str">
        <x:v>DR. MAHESH SHARMA</x:v>
      </x:c>
      <x:c r="J242" t="str">
        <x:v>BJP</x:v>
      </x:c>
      <x:c r="K242" t="str">
        <x:v>EVM row</x:v>
      </x:c>
      <x:c r="L242" s="133" t="str">
        <x:f>IF(D242&lt;=0,"No EVM votes",IF(E242&lt;$N$7,"Low",IF(E242&gt;$R$7,"High","Middle")))</x:f>
        <x:v>Middle</x:v>
      </x:c>
      <x:c r="M242" s="133" t="str">
        <x:f>IF(D242&lt;=0,"No EVM votes",IF(H242&lt;-20%,"Large deficit",IF(H242&lt;-5%,"Moderate deficit",IF(H242&lt;0,"Narrow deficit",IF(H242&lt;=5%,"Narrow lead/tie",IF(H242&lt;=20%,"Moderate lead","Large lead"))))))</x:f>
        <x:v>Large deficit</x:v>
      </x:c>
    </x:row>
    <x:row r="243">
      <x:c r="A243" t="n">
        <x:v>184</x:v>
      </x:c>
      <x:c r="B243" t="str">
        <x:v>PRY. SCHOOL MAKANUR KHADAR R.NO. 1</x:v>
      </x:c>
      <x:c r="C243" s="83" t="n">
        <x:f>'2019 Form20'!H192</x:f>
        <x:v>25</x:v>
      </x:c>
      <x:c r="D243" s="83" t="n">
        <x:f>'2019 Form20'!D192</x:f>
        <x:v>848</x:v>
      </x:c>
      <x:c r="E243" s="50" t="n">
        <x:f>'2019 Form20'!U192</x:f>
        <x:v>0.0294811320754717</x:v>
      </x:c>
      <x:c r="F243" t="n">
        <x:f>'2019 Form20'!V192</x:f>
        <x:v>808</x:v>
      </x:c>
      <x:c r="G243" t="n">
        <x:f>'2019 Form20'!W192</x:f>
        <x:v>-783</x:v>
      </x:c>
      <x:c r="H243" s="52" t="n">
        <x:f>'2019 Form20'!X192</x:f>
        <x:v>-0.9233490566037735</x:v>
      </x:c>
      <x:c r="I243" t="str">
        <x:v>DR. MAHESH SHARMA</x:v>
      </x:c>
      <x:c r="J243" t="str">
        <x:v>BJP</x:v>
      </x:c>
      <x:c r="K243" t="str">
        <x:v>EVM row</x:v>
      </x:c>
      <x:c r="L243" s="133" t="str">
        <x:f>IF(D243&lt;=0,"No EVM votes",IF(E243&lt;$N$7,"Low",IF(E243&gt;$R$7,"High","Middle")))</x:f>
        <x:v>Low</x:v>
      </x:c>
      <x:c r="M243" s="133" t="str">
        <x:f>IF(D243&lt;=0,"No EVM votes",IF(H243&lt;-20%,"Large deficit",IF(H243&lt;-5%,"Moderate deficit",IF(H243&lt;0,"Narrow deficit",IF(H243&lt;=5%,"Narrow lead/tie",IF(H243&lt;=20%,"Moderate lead","Large lead"))))))</x:f>
        <x:v>Large deficit</x:v>
      </x:c>
    </x:row>
    <x:row r="244">
      <x:c r="A244" t="n">
        <x:v>185</x:v>
      </x:c>
      <x:c r="B244" t="str">
        <x:v>PRY. SCHOOL RAMPUR KHADAR R.NO. 1</x:v>
      </x:c>
      <x:c r="C244" s="83" t="n">
        <x:f>'2019 Form20'!H193</x:f>
        <x:v>42</x:v>
      </x:c>
      <x:c r="D244" s="83" t="n">
        <x:f>'2019 Form20'!D193</x:f>
        <x:v>489</x:v>
      </x:c>
      <x:c r="E244" s="50" t="n">
        <x:f>'2019 Form20'!U193</x:f>
        <x:v>0.08588957055214724</x:v>
      </x:c>
      <x:c r="F244" t="n">
        <x:f>'2019 Form20'!V193</x:f>
        <x:v>432</x:v>
      </x:c>
      <x:c r="G244" t="n">
        <x:f>'2019 Form20'!W193</x:f>
        <x:v>-390</x:v>
      </x:c>
      <x:c r="H244" s="52" t="n">
        <x:f>'2019 Form20'!X193</x:f>
        <x:v>-0.7975460122699386</x:v>
      </x:c>
      <x:c r="I244" t="str">
        <x:v>DR. MAHESH SHARMA</x:v>
      </x:c>
      <x:c r="J244" t="str">
        <x:v>BJP</x:v>
      </x:c>
      <x:c r="K244" t="str">
        <x:v>EVM row</x:v>
      </x:c>
      <x:c r="L244" s="133" t="str">
        <x:f>IF(D244&lt;=0,"No EVM votes",IF(E244&lt;$N$7,"Low",IF(E244&gt;$R$7,"High","Middle")))</x:f>
        <x:v>Low</x:v>
      </x:c>
      <x:c r="M244" s="133" t="str">
        <x:f>IF(D244&lt;=0,"No EVM votes",IF(H244&lt;-20%,"Large deficit",IF(H244&lt;-5%,"Moderate deficit",IF(H244&lt;0,"Narrow deficit",IF(H244&lt;=5%,"Narrow lead/tie",IF(H244&lt;=20%,"Moderate lead","Large lead"))))))</x:f>
        <x:v>Large deficit</x:v>
      </x:c>
    </x:row>
    <x:row r="245">
      <x:c r="A245" t="n">
        <x:v>186</x:v>
      </x:c>
      <x:c r="B245" t="str">
        <x:v>PRY. SCHOOL MOHAMMADABAD KHERA R.NO. 1</x:v>
      </x:c>
      <x:c r="C245" s="83" t="n">
        <x:f>'2019 Form20'!H194</x:f>
        <x:v>11</x:v>
      </x:c>
      <x:c r="D245" s="83" t="n">
        <x:f>'2019 Form20'!D194</x:f>
        <x:v>670</x:v>
      </x:c>
      <x:c r="E245" s="50" t="n">
        <x:f>'2019 Form20'!U194</x:f>
        <x:v>0.016417910447761194</x:v>
      </x:c>
      <x:c r="F245" t="n">
        <x:f>'2019 Form20'!V194</x:f>
        <x:v>630</x:v>
      </x:c>
      <x:c r="G245" t="n">
        <x:f>'2019 Form20'!W194</x:f>
        <x:v>-619</x:v>
      </x:c>
      <x:c r="H245" s="52" t="n">
        <x:f>'2019 Form20'!X194</x:f>
        <x:v>-0.9238805970149254</x:v>
      </x:c>
      <x:c r="I245" t="str">
        <x:v>DR. MAHESH SHARMA</x:v>
      </x:c>
      <x:c r="J245" t="str">
        <x:v>BJP</x:v>
      </x:c>
      <x:c r="K245" t="str">
        <x:v>EVM row</x:v>
      </x:c>
      <x:c r="L245" s="133" t="str">
        <x:f>IF(D245&lt;=0,"No EVM votes",IF(E245&lt;$N$7,"Low",IF(E245&gt;$R$7,"High","Middle")))</x:f>
        <x:v>Low</x:v>
      </x:c>
      <x:c r="M245" s="133" t="str">
        <x:f>IF(D245&lt;=0,"No EVM votes",IF(H245&lt;-20%,"Large deficit",IF(H245&lt;-5%,"Moderate deficit",IF(H245&lt;0,"Narrow deficit",IF(H245&lt;=5%,"Narrow lead/tie",IF(H245&lt;=20%,"Moderate lead","Large lead"))))))</x:f>
        <x:v>Large deficit</x:v>
      </x:c>
    </x:row>
    <x:row r="246">
      <x:c r="A246" t="n">
        <x:v>187</x:v>
      </x:c>
      <x:c r="B246" t="str">
        <x:v>PRY. SCHOOL MOHAMMADABAD KHERA R.NO. 2</x:v>
      </x:c>
      <x:c r="C246" s="83" t="n">
        <x:f>'2019 Form20'!H195</x:f>
        <x:v>117</x:v>
      </x:c>
      <x:c r="D246" s="83" t="n">
        <x:f>'2019 Form20'!D195</x:f>
        <x:v>554</x:v>
      </x:c>
      <x:c r="E246" s="50" t="n">
        <x:f>'2019 Form20'!U195</x:f>
        <x:v>0.2111913357400722</x:v>
      </x:c>
      <x:c r="F246" t="n">
        <x:f>'2019 Form20'!V195</x:f>
        <x:v>402</x:v>
      </x:c>
      <x:c r="G246" t="n">
        <x:f>'2019 Form20'!W195</x:f>
        <x:v>-285</x:v>
      </x:c>
      <x:c r="H246" s="52" t="n">
        <x:f>'2019 Form20'!X195</x:f>
        <x:v>-0.5144404332129964</x:v>
      </x:c>
      <x:c r="I246" t="str">
        <x:v>DR. MAHESH SHARMA</x:v>
      </x:c>
      <x:c r="J246" t="str">
        <x:v>BJP</x:v>
      </x:c>
      <x:c r="K246" t="str">
        <x:v>EVM row</x:v>
      </x:c>
      <x:c r="L246" s="133" t="str">
        <x:f>IF(D246&lt;=0,"No EVM votes",IF(E246&lt;$N$7,"Low",IF(E246&gt;$R$7,"High","Middle")))</x:f>
        <x:v>Low</x:v>
      </x:c>
      <x:c r="M246" s="133" t="str">
        <x:f>IF(D246&lt;=0,"No EVM votes",IF(H246&lt;-20%,"Large deficit",IF(H246&lt;-5%,"Moderate deficit",IF(H246&lt;0,"Narrow deficit",IF(H246&lt;=5%,"Narrow lead/tie",IF(H246&lt;=20%,"Moderate lead","Large lead"))))))</x:f>
        <x:v>Large deficit</x:v>
      </x:c>
    </x:row>
    <x:row r="247">
      <x:c r="A247" t="n">
        <x:v>188</x:v>
      </x:c>
      <x:c r="B247" t="str">
        <x:v>PRY. SCHOOL TAQIPUR BANGAR R.NO. 1</x:v>
      </x:c>
      <x:c r="C247" s="83" t="n">
        <x:f>'2019 Form20'!H196</x:f>
        <x:v>4</x:v>
      </x:c>
      <x:c r="D247" s="83" t="n">
        <x:f>'2019 Form20'!D196</x:f>
        <x:v>214</x:v>
      </x:c>
      <x:c r="E247" s="50" t="n">
        <x:f>'2019 Form20'!U196</x:f>
        <x:v>0.018691588785046728</x:v>
      </x:c>
      <x:c r="F247" t="n">
        <x:f>'2019 Form20'!V196</x:f>
        <x:v>203</x:v>
      </x:c>
      <x:c r="G247" t="n">
        <x:f>'2019 Form20'!W196</x:f>
        <x:v>-199</x:v>
      </x:c>
      <x:c r="H247" s="52" t="n">
        <x:f>'2019 Form20'!X196</x:f>
        <x:v>-0.9299065420560748</x:v>
      </x:c>
      <x:c r="I247" t="str">
        <x:v>DR. MAHESH SHARMA</x:v>
      </x:c>
      <x:c r="J247" t="str">
        <x:v>BJP</x:v>
      </x:c>
      <x:c r="K247" t="str">
        <x:v>EVM row</x:v>
      </x:c>
      <x:c r="L247" s="133" t="str">
        <x:f>IF(D247&lt;=0,"No EVM votes",IF(E247&lt;$N$7,"Low",IF(E247&gt;$R$7,"High","Middle")))</x:f>
        <x:v>Low</x:v>
      </x:c>
      <x:c r="M247" s="133" t="str">
        <x:f>IF(D247&lt;=0,"No EVM votes",IF(H247&lt;-20%,"Large deficit",IF(H247&lt;-5%,"Moderate deficit",IF(H247&lt;0,"Narrow deficit",IF(H247&lt;=5%,"Narrow lead/tie",IF(H247&lt;=20%,"Moderate lead","Large lead"))))))</x:f>
        <x:v>Large deficit</x:v>
      </x:c>
    </x:row>
    <x:row r="248">
      <x:c r="A248" t="n">
        <x:v>189</x:v>
      </x:c>
      <x:c r="B248" t="str">
        <x:v>PRY. SCHOOL ANWARGARH BANGAR R.NO. 1</x:v>
      </x:c>
      <x:c r="C248" s="83" t="n">
        <x:f>'2019 Form20'!H197</x:f>
        <x:v>727</x:v>
      </x:c>
      <x:c r="D248" s="83" t="n">
        <x:f>'2019 Form20'!D197</x:f>
        <x:v>731</x:v>
      </x:c>
      <x:c r="E248" s="50" t="n">
        <x:f>'2019 Form20'!U197</x:f>
        <x:v>0.9945280437756497</x:v>
      </x:c>
      <x:c r="F248" t="n">
        <x:f>'2019 Form20'!V197</x:f>
        <x:v>2</x:v>
      </x:c>
      <x:c r="G248" t="n">
        <x:f>'2019 Form20'!W197</x:f>
        <x:v>725</x:v>
      </x:c>
      <x:c r="H248" s="52" t="n">
        <x:f>'2019 Form20'!X197</x:f>
        <x:v>0.9917920656634747</x:v>
      </x:c>
      <x:c r="I248" t="str">
        <x:v>SATVEER</x:v>
      </x:c>
      <x:c r="J248" t="str">
        <x:v>BSP</x:v>
      </x:c>
      <x:c r="K248" t="str">
        <x:v>EVM row</x:v>
      </x:c>
      <x:c r="L248" s="133" t="str">
        <x:f>IF(D248&lt;=0,"No EVM votes",IF(E248&lt;$N$7,"Low",IF(E248&gt;$R$7,"High","Middle")))</x:f>
        <x:v>High</x:v>
      </x:c>
      <x:c r="M248" s="133" t="str">
        <x:f>IF(D248&lt;=0,"No EVM votes",IF(H248&lt;-20%,"Large deficit",IF(H248&lt;-5%,"Moderate deficit",IF(H248&lt;0,"Narrow deficit",IF(H248&lt;=5%,"Narrow lead/tie",IF(H248&lt;=20%,"Moderate lead","Large lead"))))))</x:f>
        <x:v>Large lead</x:v>
      </x:c>
    </x:row>
    <x:row r="249">
      <x:c r="A249" t="n">
        <x:v>190</x:v>
      </x:c>
      <x:c r="B249" t="str">
        <x:v>J. H. SCHOOL RAUNIJA R.NO. 1</x:v>
      </x:c>
      <x:c r="C249" s="83" t="n">
        <x:f>'2019 Form20'!H198</x:f>
        <x:v>53</x:v>
      </x:c>
      <x:c r="D249" s="83" t="n">
        <x:f>'2019 Form20'!D198</x:f>
        <x:v>633</x:v>
      </x:c>
      <x:c r="E249" s="50" t="n">
        <x:f>'2019 Form20'!U198</x:f>
        <x:v>0.08372827804107424</x:v>
      </x:c>
      <x:c r="F249" t="n">
        <x:f>'2019 Form20'!V198</x:f>
        <x:v>560</x:v>
      </x:c>
      <x:c r="G249" t="n">
        <x:f>'2019 Form20'!W198</x:f>
        <x:v>-507</x:v>
      </x:c>
      <x:c r="H249" s="52" t="n">
        <x:f>'2019 Form20'!X198</x:f>
        <x:v>-0.8009478672985783</x:v>
      </x:c>
      <x:c r="I249" t="str">
        <x:v>DR. MAHESH SHARMA</x:v>
      </x:c>
      <x:c r="J249" t="str">
        <x:v>BJP</x:v>
      </x:c>
      <x:c r="K249" t="str">
        <x:v>EVM row</x:v>
      </x:c>
      <x:c r="L249" s="133" t="str">
        <x:f>IF(D249&lt;=0,"No EVM votes",IF(E249&lt;$N$7,"Low",IF(E249&gt;$R$7,"High","Middle")))</x:f>
        <x:v>Low</x:v>
      </x:c>
      <x:c r="M249" s="133" t="str">
        <x:f>IF(D249&lt;=0,"No EVM votes",IF(H249&lt;-20%,"Large deficit",IF(H249&lt;-5%,"Moderate deficit",IF(H249&lt;0,"Narrow deficit",IF(H249&lt;=5%,"Narrow lead/tie",IF(H249&lt;=20%,"Moderate lead","Large lead"))))))</x:f>
        <x:v>Large deficit</x:v>
      </x:c>
    </x:row>
    <x:row r="250">
      <x:c r="A250" t="n">
        <x:v>191</x:v>
      </x:c>
      <x:c r="B250" t="str">
        <x:v>J. H. SCHOOL RAUNIJA R.NO. 2</x:v>
      </x:c>
      <x:c r="C250" s="83" t="n">
        <x:f>'2019 Form20'!H199</x:f>
        <x:v>41</x:v>
      </x:c>
      <x:c r="D250" s="83" t="n">
        <x:f>'2019 Form20'!D199</x:f>
        <x:v>469</x:v>
      </x:c>
      <x:c r="E250" s="50" t="n">
        <x:f>'2019 Form20'!U199</x:f>
        <x:v>0.08742004264392324</x:v>
      </x:c>
      <x:c r="F250" t="n">
        <x:f>'2019 Form20'!V199</x:f>
        <x:v>412</x:v>
      </x:c>
      <x:c r="G250" t="n">
        <x:f>'2019 Form20'!W199</x:f>
        <x:v>-371</x:v>
      </x:c>
      <x:c r="H250" s="52" t="n">
        <x:f>'2019 Form20'!X199</x:f>
        <x:v>-0.7910447761194029</x:v>
      </x:c>
      <x:c r="I250" t="str">
        <x:v>DR. MAHESH SHARMA</x:v>
      </x:c>
      <x:c r="J250" t="str">
        <x:v>BJP</x:v>
      </x:c>
      <x:c r="K250" t="str">
        <x:v>EVM row</x:v>
      </x:c>
      <x:c r="L250" s="133" t="str">
        <x:f>IF(D250&lt;=0,"No EVM votes",IF(E250&lt;$N$7,"Low",IF(E250&gt;$R$7,"High","Middle")))</x:f>
        <x:v>Low</x:v>
      </x:c>
      <x:c r="M250" s="133" t="str">
        <x:f>IF(D250&lt;=0,"No EVM votes",IF(H250&lt;-20%,"Large deficit",IF(H250&lt;-5%,"Moderate deficit",IF(H250&lt;0,"Narrow deficit",IF(H250&lt;=5%,"Narrow lead/tie",IF(H250&lt;=20%,"Moderate lead","Large lead"))))))</x:f>
        <x:v>Large deficit</x:v>
      </x:c>
    </x:row>
    <x:row r="251">
      <x:c r="A251" t="n">
        <x:v>192</x:v>
      </x:c>
      <x:c r="B251" t="str">
        <x:v>J. H. SCHOOL RAUNIJA R.NO. 3</x:v>
      </x:c>
      <x:c r="C251" s="83" t="n">
        <x:f>'2019 Form20'!H200</x:f>
        <x:v>365</x:v>
      </x:c>
      <x:c r="D251" s="83" t="n">
        <x:f>'2019 Form20'!D200</x:f>
        <x:v>654</x:v>
      </x:c>
      <x:c r="E251" s="50" t="n">
        <x:f>'2019 Form20'!U200</x:f>
        <x:v>0.5581039755351682</x:v>
      </x:c>
      <x:c r="F251" t="n">
        <x:f>'2019 Form20'!V200</x:f>
        <x:v>266</x:v>
      </x:c>
      <x:c r="G251" t="n">
        <x:f>'2019 Form20'!W200</x:f>
        <x:v>99</x:v>
      </x:c>
      <x:c r="H251" s="52" t="n">
        <x:f>'2019 Form20'!X200</x:f>
        <x:v>0.15137614678899083</x:v>
      </x:c>
      <x:c r="I251" t="str">
        <x:v>SATVEER</x:v>
      </x:c>
      <x:c r="J251" t="str">
        <x:v>BSP</x:v>
      </x:c>
      <x:c r="K251" t="str">
        <x:v>EVM row</x:v>
      </x:c>
      <x:c r="L251" s="133" t="str">
        <x:f>IF(D251&lt;=0,"No EVM votes",IF(E251&lt;$N$7,"Low",IF(E251&gt;$R$7,"High","Middle")))</x:f>
        <x:v>Middle</x:v>
      </x:c>
      <x:c r="M251" s="133" t="str">
        <x:f>IF(D251&lt;=0,"No EVM votes",IF(H251&lt;-20%,"Large deficit",IF(H251&lt;-5%,"Moderate deficit",IF(H251&lt;0,"Narrow deficit",IF(H251&lt;=5%,"Narrow lead/tie",IF(H251&lt;=20%,"Moderate lead","Large lead"))))))</x:f>
        <x:v>Moderate lead</x:v>
      </x:c>
    </x:row>
    <x:row r="252">
      <x:c r="A252" t="n">
        <x:v>193</x:v>
      </x:c>
      <x:c r="B252" t="str">
        <x:v>PRY. SCHOOL RUSTAMPUR R.NO. 1</x:v>
      </x:c>
      <x:c r="C252" s="83" t="n">
        <x:f>'2019 Form20'!H201</x:f>
        <x:v>130</x:v>
      </x:c>
      <x:c r="D252" s="83" t="n">
        <x:f>'2019 Form20'!D201</x:f>
        <x:v>641</x:v>
      </x:c>
      <x:c r="E252" s="50" t="n">
        <x:f>'2019 Form20'!U201</x:f>
        <x:v>0.20280811232449297</x:v>
      </x:c>
      <x:c r="F252" t="n">
        <x:f>'2019 Form20'!V201</x:f>
        <x:v>501</x:v>
      </x:c>
      <x:c r="G252" t="n">
        <x:f>'2019 Form20'!W201</x:f>
        <x:v>-371</x:v>
      </x:c>
      <x:c r="H252" s="52" t="n">
        <x:f>'2019 Form20'!X201</x:f>
        <x:v>-0.5787831513260531</x:v>
      </x:c>
      <x:c r="I252" t="str">
        <x:v>DR. MAHESH SHARMA</x:v>
      </x:c>
      <x:c r="J252" t="str">
        <x:v>BJP</x:v>
      </x:c>
      <x:c r="K252" t="str">
        <x:v>EVM row</x:v>
      </x:c>
      <x:c r="L252" s="133" t="str">
        <x:f>IF(D252&lt;=0,"No EVM votes",IF(E252&lt;$N$7,"Low",IF(E252&gt;$R$7,"High","Middle")))</x:f>
        <x:v>Low</x:v>
      </x:c>
      <x:c r="M252" s="133" t="str">
        <x:f>IF(D252&lt;=0,"No EVM votes",IF(H252&lt;-20%,"Large deficit",IF(H252&lt;-5%,"Moderate deficit",IF(H252&lt;0,"Narrow deficit",IF(H252&lt;=5%,"Narrow lead/tie",IF(H252&lt;=20%,"Moderate lead","Large lead"))))))</x:f>
        <x:v>Large deficit</x:v>
      </x:c>
    </x:row>
    <x:row r="253">
      <x:c r="A253" t="n">
        <x:v>194</x:v>
      </x:c>
      <x:c r="B253" t="str">
        <x:v>PRY. SCHOOL CHAKJALALABAD R.NO. 1</x:v>
      </x:c>
      <x:c r="C253" s="83" t="n">
        <x:f>'2019 Form20'!H202</x:f>
        <x:v>261</x:v>
      </x:c>
      <x:c r="D253" s="83" t="n">
        <x:f>'2019 Form20'!D202</x:f>
        <x:v>272</x:v>
      </x:c>
      <x:c r="E253" s="50" t="n">
        <x:f>'2019 Form20'!U202</x:f>
        <x:v>0.9595588235294118</x:v>
      </x:c>
      <x:c r="F253" t="n">
        <x:f>'2019 Form20'!V202</x:f>
        <x:v>6</x:v>
      </x:c>
      <x:c r="G253" t="n">
        <x:f>'2019 Form20'!W202</x:f>
        <x:v>255</x:v>
      </x:c>
      <x:c r="H253" s="52" t="n">
        <x:f>'2019 Form20'!X202</x:f>
        <x:v>0.9375</x:v>
      </x:c>
      <x:c r="I253" t="str">
        <x:v>SATVEER</x:v>
      </x:c>
      <x:c r="J253" t="str">
        <x:v>BSP</x:v>
      </x:c>
      <x:c r="K253" t="str">
        <x:v>EVM row</x:v>
      </x:c>
      <x:c r="L253" s="133" t="str">
        <x:f>IF(D253&lt;=0,"No EVM votes",IF(E253&lt;$N$7,"Low",IF(E253&gt;$R$7,"High","Middle")))</x:f>
        <x:v>High</x:v>
      </x:c>
      <x:c r="M253" s="133" t="str">
        <x:f>IF(D253&lt;=0,"No EVM votes",IF(H253&lt;-20%,"Large deficit",IF(H253&lt;-5%,"Moderate deficit",IF(H253&lt;0,"Narrow deficit",IF(H253&lt;=5%,"Narrow lead/tie",IF(H253&lt;=20%,"Moderate lead","Large lead"))))))</x:f>
        <x:v>Large lead</x:v>
      </x:c>
    </x:row>
    <x:row r="254">
      <x:c r="A254" t="n">
        <x:v>195</x:v>
      </x:c>
      <x:c r="B254" t="str">
        <x:v>PRY. SCHOOL NAGLA PADAM SINGH R.NO. 1</x:v>
      </x:c>
      <x:c r="C254" s="83" t="n">
        <x:f>'2019 Form20'!H203</x:f>
        <x:v>437</x:v>
      </x:c>
      <x:c r="D254" s="83" t="n">
        <x:f>'2019 Form20'!D203</x:f>
        <x:v>447</x:v>
      </x:c>
      <x:c r="E254" s="50" t="n">
        <x:f>'2019 Form20'!U203</x:f>
        <x:v>0.9776286353467561</x:v>
      </x:c>
      <x:c r="F254" t="n">
        <x:f>'2019 Form20'!V203</x:f>
        <x:v>4</x:v>
      </x:c>
      <x:c r="G254" t="n">
        <x:f>'2019 Form20'!W203</x:f>
        <x:v>433</x:v>
      </x:c>
      <x:c r="H254" s="52" t="n">
        <x:f>'2019 Form20'!X203</x:f>
        <x:v>0.9686800894854586</x:v>
      </x:c>
      <x:c r="I254" t="str">
        <x:v>SATVEER</x:v>
      </x:c>
      <x:c r="J254" t="str">
        <x:v>BSP</x:v>
      </x:c>
      <x:c r="K254" t="str">
        <x:v>EVM row</x:v>
      </x:c>
      <x:c r="L254" s="133" t="str">
        <x:f>IF(D254&lt;=0,"No EVM votes",IF(E254&lt;$N$7,"Low",IF(E254&gt;$R$7,"High","Middle")))</x:f>
        <x:v>High</x:v>
      </x:c>
      <x:c r="M254" s="133" t="str">
        <x:f>IF(D254&lt;=0,"No EVM votes",IF(H254&lt;-20%,"Large deficit",IF(H254&lt;-5%,"Moderate deficit",IF(H254&lt;0,"Narrow deficit",IF(H254&lt;=5%,"Narrow lead/tie",IF(H254&lt;=20%,"Moderate lead","Large lead"))))))</x:f>
        <x:v>Large lead</x:v>
      </x:c>
    </x:row>
    <x:row r="255">
      <x:c r="A255" t="n">
        <x:v>196</x:v>
      </x:c>
      <x:c r="B255" t="str">
        <x:v>PRY. SCHOOL NAGLA SHRI GOPAL R.NO. 1</x:v>
      </x:c>
      <x:c r="C255" s="83" t="n">
        <x:f>'2019 Form20'!H204</x:f>
        <x:v>430</x:v>
      </x:c>
      <x:c r="D255" s="83" t="n">
        <x:f>'2019 Form20'!D204</x:f>
        <x:v>546</x:v>
      </x:c>
      <x:c r="E255" s="50" t="n">
        <x:f>'2019 Form20'!U204</x:f>
        <x:v>0.7875457875457875</x:v>
      </x:c>
      <x:c r="F255" t="n">
        <x:f>'2019 Form20'!V204</x:f>
        <x:v>104</x:v>
      </x:c>
      <x:c r="G255" t="n">
        <x:f>'2019 Form20'!W204</x:f>
        <x:v>326</x:v>
      </x:c>
      <x:c r="H255" s="52" t="n">
        <x:f>'2019 Form20'!X204</x:f>
        <x:v>0.5970695970695971</x:v>
      </x:c>
      <x:c r="I255" t="str">
        <x:v>SATVEER</x:v>
      </x:c>
      <x:c r="J255" t="str">
        <x:v>BSP</x:v>
      </x:c>
      <x:c r="K255" t="str">
        <x:v>EVM row</x:v>
      </x:c>
      <x:c r="L255" s="133" t="str">
        <x:f>IF(D255&lt;=0,"No EVM votes",IF(E255&lt;$N$7,"Low",IF(E255&gt;$R$7,"High","Middle")))</x:f>
        <x:v>High</x:v>
      </x:c>
      <x:c r="M255" s="133" t="str">
        <x:f>IF(D255&lt;=0,"No EVM votes",IF(H255&lt;-20%,"Large deficit",IF(H255&lt;-5%,"Moderate deficit",IF(H255&lt;0,"Narrow deficit",IF(H255&lt;=5%,"Narrow lead/tie",IF(H255&lt;=20%,"Moderate lead","Large lead"))))))</x:f>
        <x:v>Large lead</x:v>
      </x:c>
    </x:row>
    <x:row r="256">
      <x:c r="A256" t="n">
        <x:v>197</x:v>
      </x:c>
      <x:c r="B256" t="str">
        <x:v>PRY. SCHOOL PACHOKARA R.NO. 1</x:v>
      </x:c>
      <x:c r="C256" s="83" t="n">
        <x:f>'2019 Form20'!H205</x:f>
        <x:v>197</x:v>
      </x:c>
      <x:c r="D256" s="83" t="n">
        <x:f>'2019 Form20'!D205</x:f>
        <x:v>502</x:v>
      </x:c>
      <x:c r="E256" s="50" t="n">
        <x:f>'2019 Form20'!U205</x:f>
        <x:v>0.39243027888446214</x:v>
      </x:c>
      <x:c r="F256" t="n">
        <x:f>'2019 Form20'!V205</x:f>
        <x:v>293</x:v>
      </x:c>
      <x:c r="G256" t="n">
        <x:f>'2019 Form20'!W205</x:f>
        <x:v>-96</x:v>
      </x:c>
      <x:c r="H256" s="52" t="n">
        <x:f>'2019 Form20'!X205</x:f>
        <x:v>-0.19123505976095617</x:v>
      </x:c>
      <x:c r="I256" t="str">
        <x:v>DR. MAHESH SHARMA</x:v>
      </x:c>
      <x:c r="J256" t="str">
        <x:v>BJP</x:v>
      </x:c>
      <x:c r="K256" t="str">
        <x:v>EVM row</x:v>
      </x:c>
      <x:c r="L256" s="133" t="str">
        <x:f>IF(D256&lt;=0,"No EVM votes",IF(E256&lt;$N$7,"Low",IF(E256&gt;$R$7,"High","Middle")))</x:f>
        <x:v>Middle</x:v>
      </x:c>
      <x:c r="M256" s="133" t="str">
        <x:f>IF(D256&lt;=0,"No EVM votes",IF(H256&lt;-20%,"Large deficit",IF(H256&lt;-5%,"Moderate deficit",IF(H256&lt;0,"Narrow deficit",IF(H256&lt;=5%,"Narrow lead/tie",IF(H256&lt;=20%,"Moderate lead","Large lead"))))))</x:f>
        <x:v>Moderate deficit</x:v>
      </x:c>
    </x:row>
    <x:row r="257">
      <x:c r="A257" t="n">
        <x:v>198</x:v>
      </x:c>
      <x:c r="B257" t="str">
        <x:v>PRY. SCHOOL UTRAWALI R.NO. 1</x:v>
      </x:c>
      <x:c r="C257" s="83" t="n">
        <x:f>'2019 Form20'!H206</x:f>
        <x:v>541</x:v>
      </x:c>
      <x:c r="D257" s="83" t="n">
        <x:f>'2019 Form20'!D206</x:f>
        <x:v>888</x:v>
      </x:c>
      <x:c r="E257" s="50" t="n">
        <x:f>'2019 Form20'!U206</x:f>
        <x:v>0.6092342342342343</x:v>
      </x:c>
      <x:c r="F257" t="n">
        <x:f>'2019 Form20'!V206</x:f>
        <x:v>329</x:v>
      </x:c>
      <x:c r="G257" t="n">
        <x:f>'2019 Form20'!W206</x:f>
        <x:v>212</x:v>
      </x:c>
      <x:c r="H257" s="52" t="n">
        <x:f>'2019 Form20'!X206</x:f>
        <x:v>0.23873873873873874</x:v>
      </x:c>
      <x:c r="I257" t="str">
        <x:v>SATVEER</x:v>
      </x:c>
      <x:c r="J257" t="str">
        <x:v>BSP</x:v>
      </x:c>
      <x:c r="K257" t="str">
        <x:v>EVM row</x:v>
      </x:c>
      <x:c r="L257" s="133" t="str">
        <x:f>IF(D257&lt;=0,"No EVM votes",IF(E257&lt;$N$7,"Low",IF(E257&gt;$R$7,"High","Middle")))</x:f>
        <x:v>Middle</x:v>
      </x:c>
      <x:c r="M257" s="133" t="str">
        <x:f>IF(D257&lt;=0,"No EVM votes",IF(H257&lt;-20%,"Large deficit",IF(H257&lt;-5%,"Moderate deficit",IF(H257&lt;0,"Narrow deficit",IF(H257&lt;=5%,"Narrow lead/tie",IF(H257&lt;=20%,"Moderate lead","Large lead"))))))</x:f>
        <x:v>Large lead</x:v>
      </x:c>
    </x:row>
    <x:row r="258">
      <x:c r="A258" t="n">
        <x:v>199</x:v>
      </x:c>
      <x:c r="B258" t="str">
        <x:v>PRY. SCHOOL RASULPUR IKBAIL R.NO. 1</x:v>
      </x:c>
      <x:c r="C258" s="83" t="n">
        <x:f>'2019 Form20'!H207</x:f>
        <x:v>6</x:v>
      </x:c>
      <x:c r="D258" s="83" t="n">
        <x:f>'2019 Form20'!D207</x:f>
        <x:v>106</x:v>
      </x:c>
      <x:c r="E258" s="50" t="n">
        <x:f>'2019 Form20'!U207</x:f>
        <x:v>0.05660377358490566</x:v>
      </x:c>
      <x:c r="F258" t="n">
        <x:f>'2019 Form20'!V207</x:f>
        <x:v>97</x:v>
      </x:c>
      <x:c r="G258" t="n">
        <x:f>'2019 Form20'!W207</x:f>
        <x:v>-91</x:v>
      </x:c>
      <x:c r="H258" s="52" t="n">
        <x:f>'2019 Form20'!X207</x:f>
        <x:v>-0.8584905660377359</x:v>
      </x:c>
      <x:c r="I258" t="str">
        <x:v>DR. MAHESH SHARMA</x:v>
      </x:c>
      <x:c r="J258" t="str">
        <x:v>BJP</x:v>
      </x:c>
      <x:c r="K258" t="str">
        <x:v>EVM row</x:v>
      </x:c>
      <x:c r="L258" s="133" t="str">
        <x:f>IF(D258&lt;=0,"No EVM votes",IF(E258&lt;$N$7,"Low",IF(E258&gt;$R$7,"High","Middle")))</x:f>
        <x:v>Low</x:v>
      </x:c>
      <x:c r="M258" s="133" t="str">
        <x:f>IF(D258&lt;=0,"No EVM votes",IF(H258&lt;-20%,"Large deficit",IF(H258&lt;-5%,"Moderate deficit",IF(H258&lt;0,"Narrow deficit",IF(H258&lt;=5%,"Narrow lead/tie",IF(H258&lt;=20%,"Moderate lead","Large lead"))))))</x:f>
        <x:v>Large deficit</x:v>
      </x:c>
    </x:row>
    <x:row r="259">
      <x:c r="A259" t="n">
        <x:v>200</x:v>
      </x:c>
      <x:c r="B259" t="str">
        <x:v>PRY. SCHOOL MOHAMMADPUR JADON R.NO. 1</x:v>
      </x:c>
      <x:c r="C259" s="83" t="n">
        <x:f>'2019 Form20'!H208</x:f>
        <x:v>543</x:v>
      </x:c>
      <x:c r="D259" s="83" t="n">
        <x:f>'2019 Form20'!D208</x:f>
        <x:v>703</x:v>
      </x:c>
      <x:c r="E259" s="50" t="n">
        <x:f>'2019 Form20'!U208</x:f>
        <x:v>0.7724039829302988</x:v>
      </x:c>
      <x:c r="F259" t="n">
        <x:f>'2019 Form20'!V208</x:f>
        <x:v>150</x:v>
      </x:c>
      <x:c r="G259" t="n">
        <x:f>'2019 Form20'!W208</x:f>
        <x:v>393</x:v>
      </x:c>
      <x:c r="H259" s="52" t="n">
        <x:f>'2019 Form20'!X208</x:f>
        <x:v>0.5590327169274538</x:v>
      </x:c>
      <x:c r="I259" t="str">
        <x:v>SATVEER</x:v>
      </x:c>
      <x:c r="J259" t="str">
        <x:v>BSP</x:v>
      </x:c>
      <x:c r="K259" t="str">
        <x:v>EVM row</x:v>
      </x:c>
      <x:c r="L259" s="133" t="str">
        <x:f>IF(D259&lt;=0,"No EVM votes",IF(E259&lt;$N$7,"Low",IF(E259&gt;$R$7,"High","Middle")))</x:f>
        <x:v>High</x:v>
      </x:c>
      <x:c r="M259" s="133" t="str">
        <x:f>IF(D259&lt;=0,"No EVM votes",IF(H259&lt;-20%,"Large deficit",IF(H259&lt;-5%,"Moderate deficit",IF(H259&lt;0,"Narrow deficit",IF(H259&lt;=5%,"Narrow lead/tie",IF(H259&lt;=20%,"Moderate lead","Large lead"))))))</x:f>
        <x:v>Large lead</x:v>
      </x:c>
    </x:row>
    <x:row r="260">
      <x:c r="A260" t="n">
        <x:v>201</x:v>
      </x:c>
      <x:c r="B260" t="str">
        <x:v>PRY. SCHOOL MOHAMMADPUR JADON R.NO. 2</x:v>
      </x:c>
      <x:c r="C260" s="83" t="n">
        <x:f>'2019 Form20'!H209</x:f>
        <x:v>24</x:v>
      </x:c>
      <x:c r="D260" s="83" t="n">
        <x:f>'2019 Form20'!D209</x:f>
        <x:v>338</x:v>
      </x:c>
      <x:c r="E260" s="50" t="n">
        <x:f>'2019 Form20'!U209</x:f>
        <x:v>0.07100591715976332</x:v>
      </x:c>
      <x:c r="F260" t="n">
        <x:f>'2019 Form20'!V209</x:f>
        <x:v>309</x:v>
      </x:c>
      <x:c r="G260" t="n">
        <x:f>'2019 Form20'!W209</x:f>
        <x:v>-285</x:v>
      </x:c>
      <x:c r="H260" s="52" t="n">
        <x:f>'2019 Form20'!X209</x:f>
        <x:v>-0.8431952662721893</x:v>
      </x:c>
      <x:c r="I260" t="str">
        <x:v>DR. MAHESH SHARMA</x:v>
      </x:c>
      <x:c r="J260" t="str">
        <x:v>BJP</x:v>
      </x:c>
      <x:c r="K260" t="str">
        <x:v>EVM row</x:v>
      </x:c>
      <x:c r="L260" s="133" t="str">
        <x:f>IF(D260&lt;=0,"No EVM votes",IF(E260&lt;$N$7,"Low",IF(E260&gt;$R$7,"High","Middle")))</x:f>
        <x:v>Low</x:v>
      </x:c>
      <x:c r="M260" s="133" t="str">
        <x:f>IF(D260&lt;=0,"No EVM votes",IF(H260&lt;-20%,"Large deficit",IF(H260&lt;-5%,"Moderate deficit",IF(H260&lt;0,"Narrow deficit",IF(H260&lt;=5%,"Narrow lead/tie",IF(H260&lt;=20%,"Moderate lead","Large lead"))))))</x:f>
        <x:v>Large deficit</x:v>
      </x:c>
    </x:row>
    <x:row r="261">
      <x:c r="A261" t="n">
        <x:v>202</x:v>
      </x:c>
      <x:c r="B261" t="str">
        <x:v>PRY. SCHOOL DOOGALI R.NO. 1</x:v>
      </x:c>
      <x:c r="C261" s="83" t="n">
        <x:f>'2019 Form20'!H210</x:f>
        <x:v>275</x:v>
      </x:c>
      <x:c r="D261" s="83" t="n">
        <x:f>'2019 Form20'!D210</x:f>
        <x:v>542</x:v>
      </x:c>
      <x:c r="E261" s="50" t="n">
        <x:f>'2019 Form20'!U210</x:f>
        <x:v>0.507380073800738</x:v>
      </x:c>
      <x:c r="F261" t="n">
        <x:f>'2019 Form20'!V210</x:f>
        <x:v>251</x:v>
      </x:c>
      <x:c r="G261" t="n">
        <x:f>'2019 Form20'!W210</x:f>
        <x:v>24</x:v>
      </x:c>
      <x:c r="H261" s="52" t="n">
        <x:f>'2019 Form20'!X210</x:f>
        <x:v>0.04428044280442804</x:v>
      </x:c>
      <x:c r="I261" t="str">
        <x:v>SATVEER</x:v>
      </x:c>
      <x:c r="J261" t="str">
        <x:v>BSP</x:v>
      </x:c>
      <x:c r="K261" t="str">
        <x:v>EVM row</x:v>
      </x:c>
      <x:c r="L261" s="133" t="str">
        <x:f>IF(D261&lt;=0,"No EVM votes",IF(E261&lt;$N$7,"Low",IF(E261&gt;$R$7,"High","Middle")))</x:f>
        <x:v>Middle</x:v>
      </x:c>
      <x:c r="M261" s="133" t="str">
        <x:f>IF(D261&lt;=0,"No EVM votes",IF(H261&lt;-20%,"Large deficit",IF(H261&lt;-5%,"Moderate deficit",IF(H261&lt;0,"Narrow deficit",IF(H261&lt;=5%,"Narrow lead/tie",IF(H261&lt;=20%,"Moderate lead","Large lead"))))))</x:f>
        <x:v>Narrow lead/tie</x:v>
      </x:c>
    </x:row>
    <x:row r="262">
      <x:c r="A262" t="n">
        <x:v>203</x:v>
      </x:c>
      <x:c r="B262" t="str">
        <x:v>PRY. SCHOOL HAZIPUR R.NO. 1</x:v>
      </x:c>
      <x:c r="C262" s="83" t="n">
        <x:f>'2019 Form20'!H211</x:f>
        <x:v>80</x:v>
      </x:c>
      <x:c r="D262" s="83" t="n">
        <x:f>'2019 Form20'!D211</x:f>
        <x:v>215</x:v>
      </x:c>
      <x:c r="E262" s="50" t="n">
        <x:f>'2019 Form20'!U211</x:f>
        <x:v>0.37209302325581395</x:v>
      </x:c>
      <x:c r="F262" t="n">
        <x:f>'2019 Form20'!V211</x:f>
        <x:v>133</x:v>
      </x:c>
      <x:c r="G262" t="n">
        <x:f>'2019 Form20'!W211</x:f>
        <x:v>-53</x:v>
      </x:c>
      <x:c r="H262" s="52" t="n">
        <x:f>'2019 Form20'!X211</x:f>
        <x:v>-0.24651162790697675</x:v>
      </x:c>
      <x:c r="I262" t="str">
        <x:v>DR. MAHESH SHARMA</x:v>
      </x:c>
      <x:c r="J262" t="str">
        <x:v>BJP</x:v>
      </x:c>
      <x:c r="K262" t="str">
        <x:v>EVM row</x:v>
      </x:c>
      <x:c r="L262" s="133" t="str">
        <x:f>IF(D262&lt;=0,"No EVM votes",IF(E262&lt;$N$7,"Low",IF(E262&gt;$R$7,"High","Middle")))</x:f>
        <x:v>Middle</x:v>
      </x:c>
      <x:c r="M262" s="133" t="str">
        <x:f>IF(D262&lt;=0,"No EVM votes",IF(H262&lt;-20%,"Large deficit",IF(H262&lt;-5%,"Moderate deficit",IF(H262&lt;0,"Narrow deficit",IF(H262&lt;=5%,"Narrow lead/tie",IF(H262&lt;=20%,"Moderate lead","Large lead"))))))</x:f>
        <x:v>Large deficit</x:v>
      </x:c>
    </x:row>
    <x:row r="263">
      <x:c r="A263" t="n">
        <x:v>204</x:v>
      </x:c>
      <x:c r="B263" t="str">
        <x:v>INTER COLLEGE T.A. RABUPURA R.NO. 1</x:v>
      </x:c>
      <x:c r="C263" s="83" t="n">
        <x:f>'2019 Form20'!H212</x:f>
        <x:v>239</x:v>
      </x:c>
      <x:c r="D263" s="83" t="n">
        <x:f>'2019 Form20'!D212</x:f>
        <x:v>442</x:v>
      </x:c>
      <x:c r="E263" s="50" t="n">
        <x:f>'2019 Form20'!U212</x:f>
        <x:v>0.5407239819004525</x:v>
      </x:c>
      <x:c r="F263" t="n">
        <x:f>'2019 Form20'!V212</x:f>
        <x:v>179</x:v>
      </x:c>
      <x:c r="G263" t="n">
        <x:f>'2019 Form20'!W212</x:f>
        <x:v>60</x:v>
      </x:c>
      <x:c r="H263" s="52" t="n">
        <x:f>'2019 Form20'!X212</x:f>
        <x:v>0.13574660633484162</x:v>
      </x:c>
      <x:c r="I263" t="str">
        <x:v>SATVEER</x:v>
      </x:c>
      <x:c r="J263" t="str">
        <x:v>BSP</x:v>
      </x:c>
      <x:c r="K263" t="str">
        <x:v>EVM row</x:v>
      </x:c>
      <x:c r="L263" s="133" t="str">
        <x:f>IF(D263&lt;=0,"No EVM votes",IF(E263&lt;$N$7,"Low",IF(E263&gt;$R$7,"High","Middle")))</x:f>
        <x:v>Middle</x:v>
      </x:c>
      <x:c r="M263" s="133" t="str">
        <x:f>IF(D263&lt;=0,"No EVM votes",IF(H263&lt;-20%,"Large deficit",IF(H263&lt;-5%,"Moderate deficit",IF(H263&lt;0,"Narrow deficit",IF(H263&lt;=5%,"Narrow lead/tie",IF(H263&lt;=20%,"Moderate lead","Large lead"))))))</x:f>
        <x:v>Moderate lead</x:v>
      </x:c>
    </x:row>
    <x:row r="264">
      <x:c r="A264" t="n">
        <x:v>205</x:v>
      </x:c>
      <x:c r="B264" t="str">
        <x:v>INTER COLLEGE T.A. RABUPURA R.NO. 2</x:v>
      </x:c>
      <x:c r="C264" s="83" t="n">
        <x:f>'2019 Form20'!H213</x:f>
        <x:v>295</x:v>
      </x:c>
      <x:c r="D264" s="83" t="n">
        <x:f>'2019 Form20'!D213</x:f>
        <x:v>372</x:v>
      </x:c>
      <x:c r="E264" s="50" t="n">
        <x:f>'2019 Form20'!U213</x:f>
        <x:v>0.793010752688172</x:v>
      </x:c>
      <x:c r="F264" t="n">
        <x:f>'2019 Form20'!V213</x:f>
        <x:v>69</x:v>
      </x:c>
      <x:c r="G264" t="n">
        <x:f>'2019 Form20'!W213</x:f>
        <x:v>226</x:v>
      </x:c>
      <x:c r="H264" s="52" t="n">
        <x:f>'2019 Form20'!X213</x:f>
        <x:v>0.6075268817204301</x:v>
      </x:c>
      <x:c r="I264" t="str">
        <x:v>SATVEER</x:v>
      </x:c>
      <x:c r="J264" t="str">
        <x:v>BSP</x:v>
      </x:c>
      <x:c r="K264" t="str">
        <x:v>EVM row</x:v>
      </x:c>
      <x:c r="L264" s="133" t="str">
        <x:f>IF(D264&lt;=0,"No EVM votes",IF(E264&lt;$N$7,"Low",IF(E264&gt;$R$7,"High","Middle")))</x:f>
        <x:v>High</x:v>
      </x:c>
      <x:c r="M264" s="133" t="str">
        <x:f>IF(D264&lt;=0,"No EVM votes",IF(H264&lt;-20%,"Large deficit",IF(H264&lt;-5%,"Moderate deficit",IF(H264&lt;0,"Narrow deficit",IF(H264&lt;=5%,"Narrow lead/tie",IF(H264&lt;=20%,"Moderate lead","Large lead"))))))</x:f>
        <x:v>Large lead</x:v>
      </x:c>
    </x:row>
    <x:row r="265">
      <x:c r="A265" t="n">
        <x:v>206</x:v>
      </x:c>
      <x:c r="B265" t="str">
        <x:v>INTER COLLEGE T.A. RABUPURA R.NO. 3</x:v>
      </x:c>
      <x:c r="C265" s="83" t="n">
        <x:f>'2019 Form20'!H214</x:f>
        <x:v>378</x:v>
      </x:c>
      <x:c r="D265" s="83" t="n">
        <x:f>'2019 Form20'!D214</x:f>
        <x:v>399</x:v>
      </x:c>
      <x:c r="E265" s="50" t="n">
        <x:f>'2019 Form20'!U214</x:f>
        <x:v>0.9473684210526315</x:v>
      </x:c>
      <x:c r="F265" t="n">
        <x:f>'2019 Form20'!V214</x:f>
        <x:v>12</x:v>
      </x:c>
      <x:c r="G265" t="n">
        <x:f>'2019 Form20'!W214</x:f>
        <x:v>366</x:v>
      </x:c>
      <x:c r="H265" s="52" t="n">
        <x:f>'2019 Form20'!X214</x:f>
        <x:v>0.9172932330827067</x:v>
      </x:c>
      <x:c r="I265" t="str">
        <x:v>SATVEER</x:v>
      </x:c>
      <x:c r="J265" t="str">
        <x:v>BSP</x:v>
      </x:c>
      <x:c r="K265" t="str">
        <x:v>EVM row</x:v>
      </x:c>
      <x:c r="L265" s="133" t="str">
        <x:f>IF(D265&lt;=0,"No EVM votes",IF(E265&lt;$N$7,"Low",IF(E265&gt;$R$7,"High","Middle")))</x:f>
        <x:v>High</x:v>
      </x:c>
      <x:c r="M265" s="133" t="str">
        <x:f>IF(D265&lt;=0,"No EVM votes",IF(H265&lt;-20%,"Large deficit",IF(H265&lt;-5%,"Moderate deficit",IF(H265&lt;0,"Narrow deficit",IF(H265&lt;=5%,"Narrow lead/tie",IF(H265&lt;=20%,"Moderate lead","Large lead"))))))</x:f>
        <x:v>Large lead</x:v>
      </x:c>
    </x:row>
    <x:row r="266">
      <x:c r="A266" t="n">
        <x:v>207</x:v>
      </x:c>
      <x:c r="B266" t="str">
        <x:v>INTER COLLEGE T.A. RABUPURA R.NO. 4</x:v>
      </x:c>
      <x:c r="C266" s="83" t="n">
        <x:f>'2019 Form20'!H215</x:f>
        <x:v>361</x:v>
      </x:c>
      <x:c r="D266" s="83" t="n">
        <x:f>'2019 Form20'!D215</x:f>
        <x:v>531</x:v>
      </x:c>
      <x:c r="E266" s="50" t="n">
        <x:f>'2019 Form20'!U215</x:f>
        <x:v>0.67984934086629</x:v>
      </x:c>
      <x:c r="F266" t="n">
        <x:f>'2019 Form20'!V215</x:f>
        <x:v>146</x:v>
      </x:c>
      <x:c r="G266" t="n">
        <x:f>'2019 Form20'!W215</x:f>
        <x:v>215</x:v>
      </x:c>
      <x:c r="H266" s="52" t="n">
        <x:f>'2019 Form20'!X215</x:f>
        <x:v>0.4048964218455744</x:v>
      </x:c>
      <x:c r="I266" t="str">
        <x:v>SATVEER</x:v>
      </x:c>
      <x:c r="J266" t="str">
        <x:v>BSP</x:v>
      </x:c>
      <x:c r="K266" t="str">
        <x:v>EVM row</x:v>
      </x:c>
      <x:c r="L266" s="133" t="str">
        <x:f>IF(D266&lt;=0,"No EVM votes",IF(E266&lt;$N$7,"Low",IF(E266&gt;$R$7,"High","Middle")))</x:f>
        <x:v>High</x:v>
      </x:c>
      <x:c r="M266" s="133" t="str">
        <x:f>IF(D266&lt;=0,"No EVM votes",IF(H266&lt;-20%,"Large deficit",IF(H266&lt;-5%,"Moderate deficit",IF(H266&lt;0,"Narrow deficit",IF(H266&lt;=5%,"Narrow lead/tie",IF(H266&lt;=20%,"Moderate lead","Large lead"))))))</x:f>
        <x:v>Large lead</x:v>
      </x:c>
    </x:row>
    <x:row r="267">
      <x:c r="A267" t="n">
        <x:v>208</x:v>
      </x:c>
      <x:c r="B267" t="str">
        <x:v>INTER COLLEGE T.A. RABUPURA R.NO. 5</x:v>
      </x:c>
      <x:c r="C267" s="83" t="n">
        <x:f>'2019 Form20'!H216</x:f>
        <x:v>73</x:v>
      </x:c>
      <x:c r="D267" s="83" t="n">
        <x:f>'2019 Form20'!D216</x:f>
        <x:v>329</x:v>
      </x:c>
      <x:c r="E267" s="50" t="n">
        <x:f>'2019 Form20'!U216</x:f>
        <x:v>0.22188449848024316</x:v>
      </x:c>
      <x:c r="F267" t="n">
        <x:f>'2019 Form20'!V216</x:f>
        <x:v>248</x:v>
      </x:c>
      <x:c r="G267" t="n">
        <x:f>'2019 Form20'!W216</x:f>
        <x:v>-175</x:v>
      </x:c>
      <x:c r="H267" s="52" t="n">
        <x:f>'2019 Form20'!X216</x:f>
        <x:v>-0.5319148936170213</x:v>
      </x:c>
      <x:c r="I267" t="str">
        <x:v>DR. MAHESH SHARMA</x:v>
      </x:c>
      <x:c r="J267" t="str">
        <x:v>BJP</x:v>
      </x:c>
      <x:c r="K267" t="str">
        <x:v>EVM row</x:v>
      </x:c>
      <x:c r="L267" s="133" t="str">
        <x:f>IF(D267&lt;=0,"No EVM votes",IF(E267&lt;$N$7,"Low",IF(E267&gt;$R$7,"High","Middle")))</x:f>
        <x:v>Low</x:v>
      </x:c>
      <x:c r="M267" s="133" t="str">
        <x:f>IF(D267&lt;=0,"No EVM votes",IF(H267&lt;-20%,"Large deficit",IF(H267&lt;-5%,"Moderate deficit",IF(H267&lt;0,"Narrow deficit",IF(H267&lt;=5%,"Narrow lead/tie",IF(H267&lt;=20%,"Moderate lead","Large lead"))))))</x:f>
        <x:v>Large deficit</x:v>
      </x:c>
    </x:row>
    <x:row r="268">
      <x:c r="A268" t="n">
        <x:v>209</x:v>
      </x:c>
      <x:c r="B268" t="str">
        <x:v>INTER COLLEGE T.A. RABUPURA R.NO. 6</x:v>
      </x:c>
      <x:c r="C268" s="83" t="n">
        <x:f>'2019 Form20'!H217</x:f>
        <x:v>164</x:v>
      </x:c>
      <x:c r="D268" s="83" t="n">
        <x:f>'2019 Form20'!D217</x:f>
        <x:v>306</x:v>
      </x:c>
      <x:c r="E268" s="50" t="n">
        <x:f>'2019 Form20'!U217</x:f>
        <x:v>0.5359477124183006</x:v>
      </x:c>
      <x:c r="F268" t="n">
        <x:f>'2019 Form20'!V217</x:f>
        <x:v>119</x:v>
      </x:c>
      <x:c r="G268" t="n">
        <x:f>'2019 Form20'!W217</x:f>
        <x:v>45</x:v>
      </x:c>
      <x:c r="H268" s="52" t="n">
        <x:f>'2019 Form20'!X217</x:f>
        <x:v>0.14705882352941177</x:v>
      </x:c>
      <x:c r="I268" t="str">
        <x:v>SATVEER</x:v>
      </x:c>
      <x:c r="J268" t="str">
        <x:v>BSP</x:v>
      </x:c>
      <x:c r="K268" t="str">
        <x:v>EVM row</x:v>
      </x:c>
      <x:c r="L268" s="133" t="str">
        <x:f>IF(D268&lt;=0,"No EVM votes",IF(E268&lt;$N$7,"Low",IF(E268&gt;$R$7,"High","Middle")))</x:f>
        <x:v>Middle</x:v>
      </x:c>
      <x:c r="M268" s="133" t="str">
        <x:f>IF(D268&lt;=0,"No EVM votes",IF(H268&lt;-20%,"Large deficit",IF(H268&lt;-5%,"Moderate deficit",IF(H268&lt;0,"Narrow deficit",IF(H268&lt;=5%,"Narrow lead/tie",IF(H268&lt;=20%,"Moderate lead","Large lead"))))))</x:f>
        <x:v>Moderate lead</x:v>
      </x:c>
    </x:row>
    <x:row r="269">
      <x:c r="A269" t="n">
        <x:v>210</x:v>
      </x:c>
      <x:c r="B269" t="str">
        <x:v>INTER COLLEGE T.A. RABUPURA R.NO. 7</x:v>
      </x:c>
      <x:c r="C269" s="83" t="n">
        <x:f>'2019 Form20'!H218</x:f>
        <x:v>175</x:v>
      </x:c>
      <x:c r="D269" s="83" t="n">
        <x:f>'2019 Form20'!D218</x:f>
        <x:v>480</x:v>
      </x:c>
      <x:c r="E269" s="50" t="n">
        <x:f>'2019 Form20'!U218</x:f>
        <x:v>0.3645833333333333</x:v>
      </x:c>
      <x:c r="F269" t="n">
        <x:f>'2019 Form20'!V218</x:f>
        <x:v>282</x:v>
      </x:c>
      <x:c r="G269" t="n">
        <x:f>'2019 Form20'!W218</x:f>
        <x:v>-107</x:v>
      </x:c>
      <x:c r="H269" s="52" t="n">
        <x:f>'2019 Form20'!X218</x:f>
        <x:v>-0.22291666666666668</x:v>
      </x:c>
      <x:c r="I269" t="str">
        <x:v>DR. MAHESH SHARMA</x:v>
      </x:c>
      <x:c r="J269" t="str">
        <x:v>BJP</x:v>
      </x:c>
      <x:c r="K269" t="str">
        <x:v>EVM row</x:v>
      </x:c>
      <x:c r="L269" s="133" t="str">
        <x:f>IF(D269&lt;=0,"No EVM votes",IF(E269&lt;$N$7,"Low",IF(E269&gt;$R$7,"High","Middle")))</x:f>
        <x:v>Middle</x:v>
      </x:c>
      <x:c r="M269" s="133" t="str">
        <x:f>IF(D269&lt;=0,"No EVM votes",IF(H269&lt;-20%,"Large deficit",IF(H269&lt;-5%,"Moderate deficit",IF(H269&lt;0,"Narrow deficit",IF(H269&lt;=5%,"Narrow lead/tie",IF(H269&lt;=20%,"Moderate lead","Large lead"))))))</x:f>
        <x:v>Large deficit</x:v>
      </x:c>
    </x:row>
    <x:row r="270">
      <x:c r="A270" t="n">
        <x:v>211</x:v>
      </x:c>
      <x:c r="B270" t="str">
        <x:v>INTER COLLEGE T.A. RABUPURA R.NO. 8</x:v>
      </x:c>
      <x:c r="C270" s="83" t="n">
        <x:f>'2019 Form20'!H219</x:f>
        <x:v>44</x:v>
      </x:c>
      <x:c r="D270" s="83" t="n">
        <x:f>'2019 Form20'!D219</x:f>
        <x:v>404</x:v>
      </x:c>
      <x:c r="E270" s="50" t="n">
        <x:f>'2019 Form20'!U219</x:f>
        <x:v>0.10891089108910891</x:v>
      </x:c>
      <x:c r="F270" t="n">
        <x:f>'2019 Form20'!V219</x:f>
        <x:v>337</x:v>
      </x:c>
      <x:c r="G270" t="n">
        <x:f>'2019 Form20'!W219</x:f>
        <x:v>-293</x:v>
      </x:c>
      <x:c r="H270" s="52" t="n">
        <x:f>'2019 Form20'!X219</x:f>
        <x:v>-0.7252475247524752</x:v>
      </x:c>
      <x:c r="I270" t="str">
        <x:v>DR. MAHESH SHARMA</x:v>
      </x:c>
      <x:c r="J270" t="str">
        <x:v>BJP</x:v>
      </x:c>
      <x:c r="K270" t="str">
        <x:v>EVM row</x:v>
      </x:c>
      <x:c r="L270" s="133" t="str">
        <x:f>IF(D270&lt;=0,"No EVM votes",IF(E270&lt;$N$7,"Low",IF(E270&gt;$R$7,"High","Middle")))</x:f>
        <x:v>Low</x:v>
      </x:c>
      <x:c r="M270" s="133" t="str">
        <x:f>IF(D270&lt;=0,"No EVM votes",IF(H270&lt;-20%,"Large deficit",IF(H270&lt;-5%,"Moderate deficit",IF(H270&lt;0,"Narrow deficit",IF(H270&lt;=5%,"Narrow lead/tie",IF(H270&lt;=20%,"Moderate lead","Large lead"))))))</x:f>
        <x:v>Large deficit</x:v>
      </x:c>
    </x:row>
    <x:row r="271">
      <x:c r="A271" t="n">
        <x:v>212</x:v>
      </x:c>
      <x:c r="B271" t="str">
        <x:v>INTER COLLEGE T.A. RABUPURA R.NO. 9</x:v>
      </x:c>
      <x:c r="C271" s="83" t="n">
        <x:f>'2019 Form20'!H220</x:f>
        <x:v>133</x:v>
      </x:c>
      <x:c r="D271" s="83" t="n">
        <x:f>'2019 Form20'!D220</x:f>
        <x:v>346</x:v>
      </x:c>
      <x:c r="E271" s="50" t="n">
        <x:f>'2019 Form20'!U220</x:f>
        <x:v>0.38439306358381503</x:v>
      </x:c>
      <x:c r="F271" t="n">
        <x:f>'2019 Form20'!V220</x:f>
        <x:v>189</x:v>
      </x:c>
      <x:c r="G271" t="n">
        <x:f>'2019 Form20'!W220</x:f>
        <x:v>-56</x:v>
      </x:c>
      <x:c r="H271" s="52" t="n">
        <x:f>'2019 Form20'!X220</x:f>
        <x:v>-0.16184971098265896</x:v>
      </x:c>
      <x:c r="I271" t="str">
        <x:v>DR. MAHESH SHARMA</x:v>
      </x:c>
      <x:c r="J271" t="str">
        <x:v>BJP</x:v>
      </x:c>
      <x:c r="K271" t="str">
        <x:v>EVM row</x:v>
      </x:c>
      <x:c r="L271" s="133" t="str">
        <x:f>IF(D271&lt;=0,"No EVM votes",IF(E271&lt;$N$7,"Low",IF(E271&gt;$R$7,"High","Middle")))</x:f>
        <x:v>Middle</x:v>
      </x:c>
      <x:c r="M271" s="133" t="str">
        <x:f>IF(D271&lt;=0,"No EVM votes",IF(H271&lt;-20%,"Large deficit",IF(H271&lt;-5%,"Moderate deficit",IF(H271&lt;0,"Narrow deficit",IF(H271&lt;=5%,"Narrow lead/tie",IF(H271&lt;=20%,"Moderate lead","Large lead"))))))</x:f>
        <x:v>Moderate deficit</x:v>
      </x:c>
    </x:row>
    <x:row r="272">
      <x:c r="A272" t="n">
        <x:v>213</x:v>
      </x:c>
      <x:c r="B272" t="str">
        <x:v>INTER COLLEGE T.A. RABUPURA R.NO. 10</x:v>
      </x:c>
      <x:c r="C272" s="83" t="n">
        <x:f>'2019 Form20'!H221</x:f>
        <x:v>212</x:v>
      </x:c>
      <x:c r="D272" s="83" t="n">
        <x:f>'2019 Form20'!D221</x:f>
        <x:v>365</x:v>
      </x:c>
      <x:c r="E272" s="50" t="n">
        <x:f>'2019 Form20'!U221</x:f>
        <x:v>0.5808219178082191</x:v>
      </x:c>
      <x:c r="F272" t="n">
        <x:f>'2019 Form20'!V221</x:f>
        <x:v>128</x:v>
      </x:c>
      <x:c r="G272" t="n">
        <x:f>'2019 Form20'!W221</x:f>
        <x:v>84</x:v>
      </x:c>
      <x:c r="H272" s="52" t="n">
        <x:f>'2019 Form20'!X221</x:f>
        <x:v>0.23013698630136986</x:v>
      </x:c>
      <x:c r="I272" t="str">
        <x:v>SATVEER</x:v>
      </x:c>
      <x:c r="J272" t="str">
        <x:v>BSP</x:v>
      </x:c>
      <x:c r="K272" t="str">
        <x:v>EVM row</x:v>
      </x:c>
      <x:c r="L272" s="133" t="str">
        <x:f>IF(D272&lt;=0,"No EVM votes",IF(E272&lt;$N$7,"Low",IF(E272&gt;$R$7,"High","Middle")))</x:f>
        <x:v>Middle</x:v>
      </x:c>
      <x:c r="M272" s="133" t="str">
        <x:f>IF(D272&lt;=0,"No EVM votes",IF(H272&lt;-20%,"Large deficit",IF(H272&lt;-5%,"Moderate deficit",IF(H272&lt;0,"Narrow deficit",IF(H272&lt;=5%,"Narrow lead/tie",IF(H272&lt;=20%,"Moderate lead","Large lead"))))))</x:f>
        <x:v>Large lead</x:v>
      </x:c>
    </x:row>
    <x:row r="273">
      <x:c r="A273" t="n">
        <x:v>214</x:v>
      </x:c>
      <x:c r="B273" t="str">
        <x:v>SARSWATI SHISHU MANDIR I.C. RABUPURA R. N. 1</x:v>
      </x:c>
      <x:c r="C273" s="83" t="n">
        <x:f>'2019 Form20'!H222</x:f>
        <x:v>134</x:v>
      </x:c>
      <x:c r="D273" s="83" t="n">
        <x:f>'2019 Form20'!D222</x:f>
        <x:v>407</x:v>
      </x:c>
      <x:c r="E273" s="50" t="n">
        <x:f>'2019 Form20'!U222</x:f>
        <x:v>0.32923832923832924</x:v>
      </x:c>
      <x:c r="F273" t="n">
        <x:f>'2019 Form20'!V222</x:f>
        <x:v>256</x:v>
      </x:c>
      <x:c r="G273" t="n">
        <x:f>'2019 Form20'!W222</x:f>
        <x:v>-122</x:v>
      </x:c>
      <x:c r="H273" s="52" t="n">
        <x:f>'2019 Form20'!X222</x:f>
        <x:v>-0.29975429975429974</x:v>
      </x:c>
      <x:c r="I273" t="str">
        <x:v>DR. MAHESH SHARMA</x:v>
      </x:c>
      <x:c r="J273" t="str">
        <x:v>BJP</x:v>
      </x:c>
      <x:c r="K273" t="str">
        <x:v>EVM row</x:v>
      </x:c>
      <x:c r="L273" s="133" t="str">
        <x:f>IF(D273&lt;=0,"No EVM votes",IF(E273&lt;$N$7,"Low",IF(E273&gt;$R$7,"High","Middle")))</x:f>
        <x:v>Middle</x:v>
      </x:c>
      <x:c r="M273" s="133" t="str">
        <x:f>IF(D273&lt;=0,"No EVM votes",IF(H273&lt;-20%,"Large deficit",IF(H273&lt;-5%,"Moderate deficit",IF(H273&lt;0,"Narrow deficit",IF(H273&lt;=5%,"Narrow lead/tie",IF(H273&lt;=20%,"Moderate lead","Large lead"))))))</x:f>
        <x:v>Large deficit</x:v>
      </x:c>
    </x:row>
    <x:row r="274">
      <x:c r="A274" t="n">
        <x:v>215</x:v>
      </x:c>
      <x:c r="B274" t="str">
        <x:v>SARSWATI SHISHU MANDIR I.C. RABUPURA R. N. 2</x:v>
      </x:c>
      <x:c r="C274" s="83" t="n">
        <x:f>'2019 Form20'!H223</x:f>
        <x:v>196</x:v>
      </x:c>
      <x:c r="D274" s="83" t="n">
        <x:f>'2019 Form20'!D223</x:f>
        <x:v>436</x:v>
      </x:c>
      <x:c r="E274" s="50" t="n">
        <x:f>'2019 Form20'!U223</x:f>
        <x:v>0.44954128440366975</x:v>
      </x:c>
      <x:c r="F274" t="n">
        <x:f>'2019 Form20'!V223</x:f>
        <x:v>224</x:v>
      </x:c>
      <x:c r="G274" t="n">
        <x:f>'2019 Form20'!W223</x:f>
        <x:v>-28</x:v>
      </x:c>
      <x:c r="H274" s="52" t="n">
        <x:f>'2019 Form20'!X223</x:f>
        <x:v>-0.06422018348623854</x:v>
      </x:c>
      <x:c r="I274" t="str">
        <x:v>DR. MAHESH SHARMA</x:v>
      </x:c>
      <x:c r="J274" t="str">
        <x:v>BJP</x:v>
      </x:c>
      <x:c r="K274" t="str">
        <x:v>EVM row</x:v>
      </x:c>
      <x:c r="L274" s="133" t="str">
        <x:f>IF(D274&lt;=0,"No EVM votes",IF(E274&lt;$N$7,"Low",IF(E274&gt;$R$7,"High","Middle")))</x:f>
        <x:v>Middle</x:v>
      </x:c>
      <x:c r="M274" s="133" t="str">
        <x:f>IF(D274&lt;=0,"No EVM votes",IF(H274&lt;-20%,"Large deficit",IF(H274&lt;-5%,"Moderate deficit",IF(H274&lt;0,"Narrow deficit",IF(H274&lt;=5%,"Narrow lead/tie",IF(H274&lt;=20%,"Moderate lead","Large lead"))))))</x:f>
        <x:v>Moderate deficit</x:v>
      </x:c>
    </x:row>
    <x:row r="275">
      <x:c r="A275" t="n">
        <x:v>216</x:v>
      </x:c>
      <x:c r="B275" t="str">
        <x:v>PRY. SCHOOL T.A. RABUPURA R.NO. 1</x:v>
      </x:c>
      <x:c r="C275" s="83" t="n">
        <x:f>'2019 Form20'!H224</x:f>
        <x:v>86</x:v>
      </x:c>
      <x:c r="D275" s="83" t="n">
        <x:f>'2019 Form20'!D224</x:f>
        <x:v>456</x:v>
      </x:c>
      <x:c r="E275" s="50" t="n">
        <x:f>'2019 Form20'!U224</x:f>
        <x:v>0.18859649122807018</x:v>
      </x:c>
      <x:c r="F275" t="n">
        <x:f>'2019 Form20'!V224</x:f>
        <x:v>352</x:v>
      </x:c>
      <x:c r="G275" t="n">
        <x:f>'2019 Form20'!W224</x:f>
        <x:v>-266</x:v>
      </x:c>
      <x:c r="H275" s="52" t="n">
        <x:f>'2019 Form20'!X224</x:f>
        <x:v>-0.5833333333333334</x:v>
      </x:c>
      <x:c r="I275" t="str">
        <x:v>DR. MAHESH SHARMA</x:v>
      </x:c>
      <x:c r="J275" t="str">
        <x:v>BJP</x:v>
      </x:c>
      <x:c r="K275" t="str">
        <x:v>EVM row</x:v>
      </x:c>
      <x:c r="L275" s="133" t="str">
        <x:f>IF(D275&lt;=0,"No EVM votes",IF(E275&lt;$N$7,"Low",IF(E275&gt;$R$7,"High","Middle")))</x:f>
        <x:v>Low</x:v>
      </x:c>
      <x:c r="M275" s="133" t="str">
        <x:f>IF(D275&lt;=0,"No EVM votes",IF(H275&lt;-20%,"Large deficit",IF(H275&lt;-5%,"Moderate deficit",IF(H275&lt;0,"Narrow deficit",IF(H275&lt;=5%,"Narrow lead/tie",IF(H275&lt;=20%,"Moderate lead","Large lead"))))))</x:f>
        <x:v>Large deficit</x:v>
      </x:c>
    </x:row>
    <x:row r="276">
      <x:c r="A276" t="n">
        <x:v>217</x:v>
      </x:c>
      <x:c r="B276" t="str">
        <x:v>PRY. SCHOOL T.A. RABUPURA R.NO. 2</x:v>
      </x:c>
      <x:c r="C276" s="83" t="n">
        <x:f>'2019 Form20'!H225</x:f>
        <x:v>193</x:v>
      </x:c>
      <x:c r="D276" s="83" t="n">
        <x:f>'2019 Form20'!D225</x:f>
        <x:v>521</x:v>
      </x:c>
      <x:c r="E276" s="50" t="n">
        <x:f>'2019 Form20'!U225</x:f>
        <x:v>0.3704414587332054</x:v>
      </x:c>
      <x:c r="F276" t="n">
        <x:f>'2019 Form20'!V225</x:f>
        <x:v>292</x:v>
      </x:c>
      <x:c r="G276" t="n">
        <x:f>'2019 Form20'!W225</x:f>
        <x:v>-99</x:v>
      </x:c>
      <x:c r="H276" s="52" t="n">
        <x:f>'2019 Form20'!X225</x:f>
        <x:v>-0.19001919385796545</x:v>
      </x:c>
      <x:c r="I276" t="str">
        <x:v>DR. MAHESH SHARMA</x:v>
      </x:c>
      <x:c r="J276" t="str">
        <x:v>BJP</x:v>
      </x:c>
      <x:c r="K276" t="str">
        <x:v>EVM row</x:v>
      </x:c>
      <x:c r="L276" s="133" t="str">
        <x:f>IF(D276&lt;=0,"No EVM votes",IF(E276&lt;$N$7,"Low",IF(E276&gt;$R$7,"High","Middle")))</x:f>
        <x:v>Middle</x:v>
      </x:c>
      <x:c r="M276" s="133" t="str">
        <x:f>IF(D276&lt;=0,"No EVM votes",IF(H276&lt;-20%,"Large deficit",IF(H276&lt;-5%,"Moderate deficit",IF(H276&lt;0,"Narrow deficit",IF(H276&lt;=5%,"Narrow lead/tie",IF(H276&lt;=20%,"Moderate lead","Large lead"))))))</x:f>
        <x:v>Moderate deficit</x:v>
      </x:c>
    </x:row>
    <x:row r="277">
      <x:c r="A277" t="n">
        <x:v>218</x:v>
      </x:c>
      <x:c r="B277" t="str">
        <x:v>PRY. SCHOOL T.A. RABUPURA R.NO. 3</x:v>
      </x:c>
      <x:c r="C277" s="83" t="n">
        <x:f>'2019 Form20'!H226</x:f>
        <x:v>308</x:v>
      </x:c>
      <x:c r="D277" s="83" t="n">
        <x:f>'2019 Form20'!D226</x:f>
        <x:v>482</x:v>
      </x:c>
      <x:c r="E277" s="50" t="n">
        <x:f>'2019 Form20'!U226</x:f>
        <x:v>0.6390041493775933</x:v>
      </x:c>
      <x:c r="F277" t="n">
        <x:f>'2019 Form20'!V226</x:f>
        <x:v>147</x:v>
      </x:c>
      <x:c r="G277" t="n">
        <x:f>'2019 Form20'!W226</x:f>
        <x:v>161</x:v>
      </x:c>
      <x:c r="H277" s="52" t="n">
        <x:f>'2019 Form20'!X226</x:f>
        <x:v>0.33402489626556015</x:v>
      </x:c>
      <x:c r="I277" t="str">
        <x:v>SATVEER</x:v>
      </x:c>
      <x:c r="J277" t="str">
        <x:v>BSP</x:v>
      </x:c>
      <x:c r="K277" t="str">
        <x:v>EVM row</x:v>
      </x:c>
      <x:c r="L277" s="133" t="str">
        <x:f>IF(D277&lt;=0,"No EVM votes",IF(E277&lt;$N$7,"Low",IF(E277&gt;$R$7,"High","Middle")))</x:f>
        <x:v>Middle</x:v>
      </x:c>
      <x:c r="M277" s="133" t="str">
        <x:f>IF(D277&lt;=0,"No EVM votes",IF(H277&lt;-20%,"Large deficit",IF(H277&lt;-5%,"Moderate deficit",IF(H277&lt;0,"Narrow deficit",IF(H277&lt;=5%,"Narrow lead/tie",IF(H277&lt;=20%,"Moderate lead","Large lead"))))))</x:f>
        <x:v>Large lead</x:v>
      </x:c>
    </x:row>
    <x:row r="278">
      <x:c r="A278" t="n">
        <x:v>219</x:v>
      </x:c>
      <x:c r="B278" t="str">
        <x:v>PRY. SCHOOL BHAIPUR BRAHMNAN R.NO. 1</x:v>
      </x:c>
      <x:c r="C278" s="83" t="n">
        <x:f>'2019 Form20'!H227</x:f>
        <x:v>22</x:v>
      </x:c>
      <x:c r="D278" s="83" t="n">
        <x:f>'2019 Form20'!D227</x:f>
        <x:v>709</x:v>
      </x:c>
      <x:c r="E278" s="50" t="n">
        <x:f>'2019 Form20'!U227</x:f>
        <x:v>0.031029619181946404</x:v>
      </x:c>
      <x:c r="F278" t="n">
        <x:f>'2019 Form20'!V227</x:f>
        <x:v>666</x:v>
      </x:c>
      <x:c r="G278" t="n">
        <x:f>'2019 Form20'!W227</x:f>
        <x:v>-644</x:v>
      </x:c>
      <x:c r="H278" s="52" t="n">
        <x:f>'2019 Form20'!X227</x:f>
        <x:v>-0.9083215796897038</x:v>
      </x:c>
      <x:c r="I278" t="str">
        <x:v>DR. MAHESH SHARMA</x:v>
      </x:c>
      <x:c r="J278" t="str">
        <x:v>BJP</x:v>
      </x:c>
      <x:c r="K278" t="str">
        <x:v>EVM row</x:v>
      </x:c>
      <x:c r="L278" s="133" t="str">
        <x:f>IF(D278&lt;=0,"No EVM votes",IF(E278&lt;$N$7,"Low",IF(E278&gt;$R$7,"High","Middle")))</x:f>
        <x:v>Low</x:v>
      </x:c>
      <x:c r="M278" s="133" t="str">
        <x:f>IF(D278&lt;=0,"No EVM votes",IF(H278&lt;-20%,"Large deficit",IF(H278&lt;-5%,"Moderate deficit",IF(H278&lt;0,"Narrow deficit",IF(H278&lt;=5%,"Narrow lead/tie",IF(H278&lt;=20%,"Moderate lead","Large lead"))))))</x:f>
        <x:v>Large deficit</x:v>
      </x:c>
    </x:row>
    <x:row r="279">
      <x:c r="A279" t="n">
        <x:v>220</x:v>
      </x:c>
      <x:c r="B279" t="str">
        <x:v>J.H. SCHOOL BHAIPUR BRAHMNAN R.NO. 1</x:v>
      </x:c>
      <x:c r="C279" s="83" t="n">
        <x:f>'2019 Form20'!H228</x:f>
        <x:v>158</x:v>
      </x:c>
      <x:c r="D279" s="83" t="n">
        <x:f>'2019 Form20'!D228</x:f>
        <x:v>516</x:v>
      </x:c>
      <x:c r="E279" s="50" t="n">
        <x:f>'2019 Form20'!U228</x:f>
        <x:v>0.3062015503875969</x:v>
      </x:c>
      <x:c r="F279" t="n">
        <x:f>'2019 Form20'!V228</x:f>
        <x:v>337</x:v>
      </x:c>
      <x:c r="G279" t="n">
        <x:f>'2019 Form20'!W228</x:f>
        <x:v>-179</x:v>
      </x:c>
      <x:c r="H279" s="52" t="n">
        <x:f>'2019 Form20'!X228</x:f>
        <x:v>-0.34689922480620156</x:v>
      </x:c>
      <x:c r="I279" t="str">
        <x:v>DR. MAHESH SHARMA</x:v>
      </x:c>
      <x:c r="J279" t="str">
        <x:v>BJP</x:v>
      </x:c>
      <x:c r="K279" t="str">
        <x:v>EVM row</x:v>
      </x:c>
      <x:c r="L279" s="133" t="str">
        <x:f>IF(D279&lt;=0,"No EVM votes",IF(E279&lt;$N$7,"Low",IF(E279&gt;$R$7,"High","Middle")))</x:f>
        <x:v>Middle</x:v>
      </x:c>
      <x:c r="M279" s="133" t="str">
        <x:f>IF(D279&lt;=0,"No EVM votes",IF(H279&lt;-20%,"Large deficit",IF(H279&lt;-5%,"Moderate deficit",IF(H279&lt;0,"Narrow deficit",IF(H279&lt;=5%,"Narrow lead/tie",IF(H279&lt;=20%,"Moderate lead","Large lead"))))))</x:f>
        <x:v>Large deficit</x:v>
      </x:c>
    </x:row>
    <x:row r="280">
      <x:c r="A280" t="n">
        <x:v>221</x:v>
      </x:c>
      <x:c r="B280" t="str">
        <x:v>J.H. SCHOOL BHAIPUR BRAHMNAN R.NO. 2</x:v>
      </x:c>
      <x:c r="C280" s="83" t="n">
        <x:f>'2019 Form20'!H229</x:f>
        <x:v>17</x:v>
      </x:c>
      <x:c r="D280" s="83" t="n">
        <x:f>'2019 Form20'!D229</x:f>
        <x:v>373</x:v>
      </x:c>
      <x:c r="E280" s="50" t="n">
        <x:f>'2019 Form20'!U229</x:f>
        <x:v>0.045576407506702415</x:v>
      </x:c>
      <x:c r="F280" t="n">
        <x:f>'2019 Form20'!V229</x:f>
        <x:v>346</x:v>
      </x:c>
      <x:c r="G280" t="n">
        <x:f>'2019 Form20'!W229</x:f>
        <x:v>-329</x:v>
      </x:c>
      <x:c r="H280" s="52" t="n">
        <x:f>'2019 Form20'!X229</x:f>
        <x:v>-0.8820375335120644</x:v>
      </x:c>
      <x:c r="I280" t="str">
        <x:v>DR. MAHESH SHARMA</x:v>
      </x:c>
      <x:c r="J280" t="str">
        <x:v>BJP</x:v>
      </x:c>
      <x:c r="K280" t="str">
        <x:v>EVM row</x:v>
      </x:c>
      <x:c r="L280" s="133" t="str">
        <x:f>IF(D280&lt;=0,"No EVM votes",IF(E280&lt;$N$7,"Low",IF(E280&gt;$R$7,"High","Middle")))</x:f>
        <x:v>Low</x:v>
      </x:c>
      <x:c r="M280" s="133" t="str">
        <x:f>IF(D280&lt;=0,"No EVM votes",IF(H280&lt;-20%,"Large deficit",IF(H280&lt;-5%,"Moderate deficit",IF(H280&lt;0,"Narrow deficit",IF(H280&lt;=5%,"Narrow lead/tie",IF(H280&lt;=20%,"Moderate lead","Large lead"))))))</x:f>
        <x:v>Large deficit</x:v>
      </x:c>
    </x:row>
    <x:row r="281">
      <x:c r="A281" t="n">
        <x:v>222</x:v>
      </x:c>
      <x:c r="B281" t="str">
        <x:v>PRY. SCHOOL MENHADIPUR BANGAR R.NO. 1</x:v>
      </x:c>
      <x:c r="C281" s="83" t="n">
        <x:f>'2019 Form20'!H230</x:f>
        <x:v>651</x:v>
      </x:c>
      <x:c r="D281" s="83" t="n">
        <x:f>'2019 Form20'!D230</x:f>
        <x:v>701</x:v>
      </x:c>
      <x:c r="E281" s="50" t="n">
        <x:f>'2019 Form20'!U230</x:f>
        <x:v>0.9286733238231099</x:v>
      </x:c>
      <x:c r="F281" t="n">
        <x:f>'2019 Form20'!V230</x:f>
        <x:v>19</x:v>
      </x:c>
      <x:c r="G281" t="n">
        <x:f>'2019 Form20'!W230</x:f>
        <x:v>632</x:v>
      </x:c>
      <x:c r="H281" s="52" t="n">
        <x:f>'2019 Form20'!X230</x:f>
        <x:v>0.9015691868758916</x:v>
      </x:c>
      <x:c r="I281" t="str">
        <x:v>SATVEER</x:v>
      </x:c>
      <x:c r="J281" t="str">
        <x:v>BSP</x:v>
      </x:c>
      <x:c r="K281" t="str">
        <x:v>EVM row</x:v>
      </x:c>
      <x:c r="L281" s="133" t="str">
        <x:f>IF(D281&lt;=0,"No EVM votes",IF(E281&lt;$N$7,"Low",IF(E281&gt;$R$7,"High","Middle")))</x:f>
        <x:v>High</x:v>
      </x:c>
      <x:c r="M281" s="133" t="str">
        <x:f>IF(D281&lt;=0,"No EVM votes",IF(H281&lt;-20%,"Large deficit",IF(H281&lt;-5%,"Moderate deficit",IF(H281&lt;0,"Narrow deficit",IF(H281&lt;=5%,"Narrow lead/tie",IF(H281&lt;=20%,"Moderate lead","Large lead"))))))</x:f>
        <x:v>Large lead</x:v>
      </x:c>
    </x:row>
    <x:row r="282">
      <x:c r="A282" t="n">
        <x:v>223</x:v>
      </x:c>
      <x:c r="B282" t="str">
        <x:v>PRY. SCHOOL MENHADIPUR BANGAR R.NO. 2</x:v>
      </x:c>
      <x:c r="C282" s="83" t="n">
        <x:f>'2019 Form20'!H231</x:f>
        <x:v>680</x:v>
      </x:c>
      <x:c r="D282" s="83" t="n">
        <x:f>'2019 Form20'!D231</x:f>
        <x:v>693</x:v>
      </x:c>
      <x:c r="E282" s="50" t="n">
        <x:f>'2019 Form20'!U231</x:f>
        <x:v>0.9812409812409812</x:v>
      </x:c>
      <x:c r="F282" t="n">
        <x:f>'2019 Form20'!V231</x:f>
        <x:v>3</x:v>
      </x:c>
      <x:c r="G282" t="n">
        <x:f>'2019 Form20'!W231</x:f>
        <x:v>677</x:v>
      </x:c>
      <x:c r="H282" s="52" t="n">
        <x:f>'2019 Form20'!X231</x:f>
        <x:v>0.976911976911977</x:v>
      </x:c>
      <x:c r="I282" t="str">
        <x:v>SATVEER</x:v>
      </x:c>
      <x:c r="J282" t="str">
        <x:v>BSP</x:v>
      </x:c>
      <x:c r="K282" t="str">
        <x:v>EVM row</x:v>
      </x:c>
      <x:c r="L282" s="133" t="str">
        <x:f>IF(D282&lt;=0,"No EVM votes",IF(E282&lt;$N$7,"Low",IF(E282&gt;$R$7,"High","Middle")))</x:f>
        <x:v>High</x:v>
      </x:c>
      <x:c r="M282" s="133" t="str">
        <x:f>IF(D282&lt;=0,"No EVM votes",IF(H282&lt;-20%,"Large deficit",IF(H282&lt;-5%,"Moderate deficit",IF(H282&lt;0,"Narrow deficit",IF(H282&lt;=5%,"Narrow lead/tie",IF(H282&lt;=20%,"Moderate lead","Large lead"))))))</x:f>
        <x:v>Large lead</x:v>
      </x:c>
    </x:row>
    <x:row r="283">
      <x:c r="A283" t="n">
        <x:v>224</x:v>
      </x:c>
      <x:c r="B283" t="str">
        <x:v>PRY. SCHOOL MENHADIPUR BANGAR R.NO. 3</x:v>
      </x:c>
      <x:c r="C283" s="83" t="n">
        <x:f>'2019 Form20'!H232</x:f>
        <x:v>390</x:v>
      </x:c>
      <x:c r="D283" s="83" t="n">
        <x:f>'2019 Form20'!D232</x:f>
        <x:v>599</x:v>
      </x:c>
      <x:c r="E283" s="50" t="n">
        <x:f>'2019 Form20'!U232</x:f>
        <x:v>0.6510851419031719</x:v>
      </x:c>
      <x:c r="F283" t="n">
        <x:f>'2019 Form20'!V232</x:f>
        <x:v>186</x:v>
      </x:c>
      <x:c r="G283" t="n">
        <x:f>'2019 Form20'!W232</x:f>
        <x:v>204</x:v>
      </x:c>
      <x:c r="H283" s="52" t="n">
        <x:f>'2019 Form20'!X232</x:f>
        <x:v>0.34056761268781305</x:v>
      </x:c>
      <x:c r="I283" t="str">
        <x:v>SATVEER</x:v>
      </x:c>
      <x:c r="J283" t="str">
        <x:v>BSP</x:v>
      </x:c>
      <x:c r="K283" t="str">
        <x:v>EVM row</x:v>
      </x:c>
      <x:c r="L283" s="133" t="str">
        <x:f>IF(D283&lt;=0,"No EVM votes",IF(E283&lt;$N$7,"Low",IF(E283&gt;$R$7,"High","Middle")))</x:f>
        <x:v>Middle</x:v>
      </x:c>
      <x:c r="M283" s="133" t="str">
        <x:f>IF(D283&lt;=0,"No EVM votes",IF(H283&lt;-20%,"Large deficit",IF(H283&lt;-5%,"Moderate deficit",IF(H283&lt;0,"Narrow deficit",IF(H283&lt;=5%,"Narrow lead/tie",IF(H283&lt;=20%,"Moderate lead","Large lead"))))))</x:f>
        <x:v>Large lead</x:v>
      </x:c>
    </x:row>
    <x:row r="284">
      <x:c r="A284" t="n">
        <x:v>225</x:v>
      </x:c>
      <x:c r="B284" t="str">
        <x:v>PRY. SCHOOL SIRAULI BANGAR R.NO. 1</x:v>
      </x:c>
      <x:c r="C284" s="83" t="n">
        <x:f>'2019 Form20'!H233</x:f>
        <x:v>306</x:v>
      </x:c>
      <x:c r="D284" s="83" t="n">
        <x:f>'2019 Form20'!D233</x:f>
        <x:v>755</x:v>
      </x:c>
      <x:c r="E284" s="50" t="n">
        <x:f>'2019 Form20'!U233</x:f>
        <x:v>0.4052980132450331</x:v>
      </x:c>
      <x:c r="F284" t="n">
        <x:f>'2019 Form20'!V233</x:f>
        <x:v>420</x:v>
      </x:c>
      <x:c r="G284" t="n">
        <x:f>'2019 Form20'!W233</x:f>
        <x:v>-114</x:v>
      </x:c>
      <x:c r="H284" s="52" t="n">
        <x:f>'2019 Form20'!X233</x:f>
        <x:v>-0.1509933774834437</x:v>
      </x:c>
      <x:c r="I284" t="str">
        <x:v>DR. MAHESH SHARMA</x:v>
      </x:c>
      <x:c r="J284" t="str">
        <x:v>BJP</x:v>
      </x:c>
      <x:c r="K284" t="str">
        <x:v>EVM row</x:v>
      </x:c>
      <x:c r="L284" s="133" t="str">
        <x:f>IF(D284&lt;=0,"No EVM votes",IF(E284&lt;$N$7,"Low",IF(E284&gt;$R$7,"High","Middle")))</x:f>
        <x:v>Middle</x:v>
      </x:c>
      <x:c r="M284" s="133" t="str">
        <x:f>IF(D284&lt;=0,"No EVM votes",IF(H284&lt;-20%,"Large deficit",IF(H284&lt;-5%,"Moderate deficit",IF(H284&lt;0,"Narrow deficit",IF(H284&lt;=5%,"Narrow lead/tie",IF(H284&lt;=20%,"Moderate lead","Large lead"))))))</x:f>
        <x:v>Moderate deficit</x:v>
      </x:c>
    </x:row>
    <x:row r="285">
      <x:c r="A285" t="n">
        <x:v>226</x:v>
      </x:c>
      <x:c r="B285" t="str">
        <x:v>PRY. SCHOOL DHANPURA R.NO. 1</x:v>
      </x:c>
      <x:c r="C285" s="83" t="n">
        <x:f>'2019 Form20'!H234</x:f>
        <x:v>242</x:v>
      </x:c>
      <x:c r="D285" s="83" t="n">
        <x:f>'2019 Form20'!D234</x:f>
        <x:v>260</x:v>
      </x:c>
      <x:c r="E285" s="50" t="n">
        <x:f>'2019 Form20'!U234</x:f>
        <x:v>0.9307692307692308</x:v>
      </x:c>
      <x:c r="F285" t="n">
        <x:f>'2019 Form20'!V234</x:f>
        <x:v>12</x:v>
      </x:c>
      <x:c r="G285" t="n">
        <x:f>'2019 Form20'!W234</x:f>
        <x:v>230</x:v>
      </x:c>
      <x:c r="H285" s="52" t="n">
        <x:f>'2019 Form20'!X234</x:f>
        <x:v>0.8846153846153846</x:v>
      </x:c>
      <x:c r="I285" t="str">
        <x:v>SATVEER</x:v>
      </x:c>
      <x:c r="J285" t="str">
        <x:v>BSP</x:v>
      </x:c>
      <x:c r="K285" t="str">
        <x:v>EVM row</x:v>
      </x:c>
      <x:c r="L285" s="133" t="str">
        <x:f>IF(D285&lt;=0,"No EVM votes",IF(E285&lt;$N$7,"Low",IF(E285&gt;$R$7,"High","Middle")))</x:f>
        <x:v>High</x:v>
      </x:c>
      <x:c r="M285" s="133" t="str">
        <x:f>IF(D285&lt;=0,"No EVM votes",IF(H285&lt;-20%,"Large deficit",IF(H285&lt;-5%,"Moderate deficit",IF(H285&lt;0,"Narrow deficit",IF(H285&lt;=5%,"Narrow lead/tie",IF(H285&lt;=20%,"Moderate lead","Large lead"))))))</x:f>
        <x:v>Large lead</x:v>
      </x:c>
    </x:row>
    <x:row r="286">
      <x:c r="A286" t="n">
        <x:v>227</x:v>
      </x:c>
      <x:c r="B286" t="str">
        <x:v>PRY. SCHOOL TIRTHALI R.NO. 1</x:v>
      </x:c>
      <x:c r="C286" s="83" t="n">
        <x:f>'2019 Form20'!H235</x:f>
        <x:v>314</x:v>
      </x:c>
      <x:c r="D286" s="83" t="n">
        <x:f>'2019 Form20'!D235</x:f>
        <x:v>484</x:v>
      </x:c>
      <x:c r="E286" s="50" t="n">
        <x:f>'2019 Form20'!U235</x:f>
        <x:v>0.6487603305785123</x:v>
      </x:c>
      <x:c r="F286" t="n">
        <x:f>'2019 Form20'!V235</x:f>
        <x:v>153</x:v>
      </x:c>
      <x:c r="G286" t="n">
        <x:f>'2019 Form20'!W235</x:f>
        <x:v>161</x:v>
      </x:c>
      <x:c r="H286" s="52" t="n">
        <x:f>'2019 Form20'!X235</x:f>
        <x:v>0.33264462809917356</x:v>
      </x:c>
      <x:c r="I286" t="str">
        <x:v>SATVEER</x:v>
      </x:c>
      <x:c r="J286" t="str">
        <x:v>BSP</x:v>
      </x:c>
      <x:c r="K286" t="str">
        <x:v>EVM row</x:v>
      </x:c>
      <x:c r="L286" s="133" t="str">
        <x:f>IF(D286&lt;=0,"No EVM votes",IF(E286&lt;$N$7,"Low",IF(E286&gt;$R$7,"High","Middle")))</x:f>
        <x:v>Middle</x:v>
      </x:c>
      <x:c r="M286" s="133" t="str">
        <x:f>IF(D286&lt;=0,"No EVM votes",IF(H286&lt;-20%,"Large deficit",IF(H286&lt;-5%,"Moderate deficit",IF(H286&lt;0,"Narrow deficit",IF(H286&lt;=5%,"Narrow lead/tie",IF(H286&lt;=20%,"Moderate lead","Large lead"))))))</x:f>
        <x:v>Large lead</x:v>
      </x:c>
    </x:row>
    <x:row r="287">
      <x:c r="A287" t="n">
        <x:v>228</x:v>
      </x:c>
      <x:c r="B287" t="str">
        <x:v>PRY. SCHOOL TIRTHALI R.NO. 2</x:v>
      </x:c>
      <x:c r="C287" s="83" t="n">
        <x:f>'2019 Form20'!H236</x:f>
        <x:v>397</x:v>
      </x:c>
      <x:c r="D287" s="83" t="n">
        <x:f>'2019 Form20'!D236</x:f>
        <x:v>486</x:v>
      </x:c>
      <x:c r="E287" s="50" t="n">
        <x:f>'2019 Form20'!U236</x:f>
        <x:v>0.8168724279835391</x:v>
      </x:c>
      <x:c r="F287" t="n">
        <x:f>'2019 Form20'!V236</x:f>
        <x:v>76</x:v>
      </x:c>
      <x:c r="G287" t="n">
        <x:f>'2019 Form20'!W236</x:f>
        <x:v>321</x:v>
      </x:c>
      <x:c r="H287" s="52" t="n">
        <x:f>'2019 Form20'!X236</x:f>
        <x:v>0.6604938271604939</x:v>
      </x:c>
      <x:c r="I287" t="str">
        <x:v>SATVEER</x:v>
      </x:c>
      <x:c r="J287" t="str">
        <x:v>BSP</x:v>
      </x:c>
      <x:c r="K287" t="str">
        <x:v>EVM row</x:v>
      </x:c>
      <x:c r="L287" s="133" t="str">
        <x:f>IF(D287&lt;=0,"No EVM votes",IF(E287&lt;$N$7,"Low",IF(E287&gt;$R$7,"High","Middle")))</x:f>
        <x:v>High</x:v>
      </x:c>
      <x:c r="M287" s="133" t="str">
        <x:f>IF(D287&lt;=0,"No EVM votes",IF(H287&lt;-20%,"Large deficit",IF(H287&lt;-5%,"Moderate deficit",IF(H287&lt;0,"Narrow deficit",IF(H287&lt;=5%,"Narrow lead/tie",IF(H287&lt;=20%,"Moderate lead","Large lead"))))))</x:f>
        <x:v>Large lead</x:v>
      </x:c>
    </x:row>
    <x:row r="288">
      <x:c r="A288" t="n">
        <x:v>229</x:v>
      </x:c>
      <x:c r="B288" t="str">
        <x:v>J.H. SCHOOL TIRTHALI R.NO. 1</x:v>
      </x:c>
      <x:c r="C288" s="83" t="n">
        <x:f>'2019 Form20'!H237</x:f>
        <x:v>442</x:v>
      </x:c>
      <x:c r="D288" s="83" t="n">
        <x:f>'2019 Form20'!D237</x:f>
        <x:v>519</x:v>
      </x:c>
      <x:c r="E288" s="50" t="n">
        <x:f>'2019 Form20'!U237</x:f>
        <x:v>0.8516377649325626</x:v>
      </x:c>
      <x:c r="F288" t="n">
        <x:f>'2019 Form20'!V237</x:f>
        <x:v>61</x:v>
      </x:c>
      <x:c r="G288" t="n">
        <x:f>'2019 Form20'!W237</x:f>
        <x:v>381</x:v>
      </x:c>
      <x:c r="H288" s="52" t="n">
        <x:f>'2019 Form20'!X237</x:f>
        <x:v>0.7341040462427746</x:v>
      </x:c>
      <x:c r="I288" t="str">
        <x:v>SATVEER</x:v>
      </x:c>
      <x:c r="J288" t="str">
        <x:v>BSP</x:v>
      </x:c>
      <x:c r="K288" t="str">
        <x:v>EVM row</x:v>
      </x:c>
      <x:c r="L288" s="133" t="str">
        <x:f>IF(D288&lt;=0,"No EVM votes",IF(E288&lt;$N$7,"Low",IF(E288&gt;$R$7,"High","Middle")))</x:f>
        <x:v>High</x:v>
      </x:c>
      <x:c r="M288" s="133" t="str">
        <x:f>IF(D288&lt;=0,"No EVM votes",IF(H288&lt;-20%,"Large deficit",IF(H288&lt;-5%,"Moderate deficit",IF(H288&lt;0,"Narrow deficit",IF(H288&lt;=5%,"Narrow lead/tie",IF(H288&lt;=20%,"Moderate lead","Large lead"))))))</x:f>
        <x:v>Large lead</x:v>
      </x:c>
    </x:row>
    <x:row r="289">
      <x:c r="A289" t="n">
        <x:v>230</x:v>
      </x:c>
      <x:c r="B289" t="str">
        <x:v>J.H. SCHOOL TIRTHALI R.NO. 2</x:v>
      </x:c>
      <x:c r="C289" s="83" t="n">
        <x:f>'2019 Form20'!H238</x:f>
        <x:v>333</x:v>
      </x:c>
      <x:c r="D289" s="83" t="n">
        <x:f>'2019 Form20'!D238</x:f>
        <x:v>454</x:v>
      </x:c>
      <x:c r="E289" s="50" t="n">
        <x:f>'2019 Form20'!U238</x:f>
        <x:v>0.7334801762114538</x:v>
      </x:c>
      <x:c r="F289" t="n">
        <x:f>'2019 Form20'!V238</x:f>
        <x:v>117</x:v>
      </x:c>
      <x:c r="G289" t="n">
        <x:f>'2019 Form20'!W238</x:f>
        <x:v>216</x:v>
      </x:c>
      <x:c r="H289" s="52" t="n">
        <x:f>'2019 Form20'!X238</x:f>
        <x:v>0.47577092511013214</x:v>
      </x:c>
      <x:c r="I289" t="str">
        <x:v>SATVEER</x:v>
      </x:c>
      <x:c r="J289" t="str">
        <x:v>BSP</x:v>
      </x:c>
      <x:c r="K289" t="str">
        <x:v>EVM row</x:v>
      </x:c>
      <x:c r="L289" s="133" t="str">
        <x:f>IF(D289&lt;=0,"No EVM votes",IF(E289&lt;$N$7,"Low",IF(E289&gt;$R$7,"High","Middle")))</x:f>
        <x:v>High</x:v>
      </x:c>
      <x:c r="M289" s="133" t="str">
        <x:f>IF(D289&lt;=0,"No EVM votes",IF(H289&lt;-20%,"Large deficit",IF(H289&lt;-5%,"Moderate deficit",IF(H289&lt;0,"Narrow deficit",IF(H289&lt;=5%,"Narrow lead/tie",IF(H289&lt;=20%,"Moderate lead","Large lead"))))))</x:f>
        <x:v>Large lead</x:v>
      </x:c>
    </x:row>
    <x:row r="290">
      <x:c r="A290" t="n">
        <x:v>231</x:v>
      </x:c>
      <x:c r="B290" t="str">
        <x:v>PRY. SCHOOL BHUNNATAGA R.NO. 1</x:v>
      </x:c>
      <x:c r="C290" s="83" t="n">
        <x:f>'2019 Form20'!H239</x:f>
        <x:v>34</x:v>
      </x:c>
      <x:c r="D290" s="83" t="n">
        <x:f>'2019 Form20'!D239</x:f>
        <x:v>457</x:v>
      </x:c>
      <x:c r="E290" s="50" t="n">
        <x:f>'2019 Form20'!U239</x:f>
        <x:v>0.07439824945295405</x:v>
      </x:c>
      <x:c r="F290" t="n">
        <x:f>'2019 Form20'!V239</x:f>
        <x:v>417</x:v>
      </x:c>
      <x:c r="G290" t="n">
        <x:f>'2019 Form20'!W239</x:f>
        <x:v>-383</x:v>
      </x:c>
      <x:c r="H290" s="52" t="n">
        <x:f>'2019 Form20'!X239</x:f>
        <x:v>-0.838074398249453</x:v>
      </x:c>
      <x:c r="I290" t="str">
        <x:v>DR. MAHESH SHARMA</x:v>
      </x:c>
      <x:c r="J290" t="str">
        <x:v>BJP</x:v>
      </x:c>
      <x:c r="K290" t="str">
        <x:v>EVM row</x:v>
      </x:c>
      <x:c r="L290" s="133" t="str">
        <x:f>IF(D290&lt;=0,"No EVM votes",IF(E290&lt;$N$7,"Low",IF(E290&gt;$R$7,"High","Middle")))</x:f>
        <x:v>Low</x:v>
      </x:c>
      <x:c r="M290" s="133" t="str">
        <x:f>IF(D290&lt;=0,"No EVM votes",IF(H290&lt;-20%,"Large deficit",IF(H290&lt;-5%,"Moderate deficit",IF(H290&lt;0,"Narrow deficit",IF(H290&lt;=5%,"Narrow lead/tie",IF(H290&lt;=20%,"Moderate lead","Large lead"))))))</x:f>
        <x:v>Large deficit</x:v>
      </x:c>
    </x:row>
    <x:row r="291">
      <x:c r="A291" t="n">
        <x:v>232</x:v>
      </x:c>
      <x:c r="B291" t="str">
        <x:v>PRY. SCHOOL BHUNNATAGA R.NO. 2</x:v>
      </x:c>
      <x:c r="C291" s="83" t="n">
        <x:f>'2019 Form20'!H240</x:f>
        <x:v>232</x:v>
      </x:c>
      <x:c r="D291" s="83" t="n">
        <x:f>'2019 Form20'!D240</x:f>
        <x:v>369</x:v>
      </x:c>
      <x:c r="E291" s="50" t="n">
        <x:f>'2019 Form20'!U240</x:f>
        <x:v>0.6287262872628726</x:v>
      </x:c>
      <x:c r="F291" t="n">
        <x:f>'2019 Form20'!V240</x:f>
        <x:v>124</x:v>
      </x:c>
      <x:c r="G291" t="n">
        <x:f>'2019 Form20'!W240</x:f>
        <x:v>108</x:v>
      </x:c>
      <x:c r="H291" s="52" t="n">
        <x:f>'2019 Form20'!X240</x:f>
        <x:v>0.2926829268292683</x:v>
      </x:c>
      <x:c r="I291" t="str">
        <x:v>SATVEER</x:v>
      </x:c>
      <x:c r="J291" t="str">
        <x:v>BSP</x:v>
      </x:c>
      <x:c r="K291" t="str">
        <x:v>EVM row</x:v>
      </x:c>
      <x:c r="L291" s="133" t="str">
        <x:f>IF(D291&lt;=0,"No EVM votes",IF(E291&lt;$N$7,"Low",IF(E291&gt;$R$7,"High","Middle")))</x:f>
        <x:v>Middle</x:v>
      </x:c>
      <x:c r="M291" s="133" t="str">
        <x:f>IF(D291&lt;=0,"No EVM votes",IF(H291&lt;-20%,"Large deficit",IF(H291&lt;-5%,"Moderate deficit",IF(H291&lt;0,"Narrow deficit",IF(H291&lt;=5%,"Narrow lead/tie",IF(H291&lt;=20%,"Moderate lead","Large lead"))))))</x:f>
        <x:v>Large lead</x:v>
      </x:c>
    </x:row>
    <x:row r="292">
      <x:c r="A292" t="n">
        <x:v>233</x:v>
      </x:c>
      <x:c r="B292" t="str">
        <x:v>PRY. SCHOOL MAKSOODPUR R.NO. 1</x:v>
      </x:c>
      <x:c r="C292" s="83" t="n">
        <x:f>'2019 Form20'!H241</x:f>
        <x:v>115</x:v>
      </x:c>
      <x:c r="D292" s="83" t="n">
        <x:f>'2019 Form20'!D241</x:f>
        <x:v>315</x:v>
      </x:c>
      <x:c r="E292" s="50" t="n">
        <x:f>'2019 Form20'!U241</x:f>
        <x:v>0.36507936507936506</x:v>
      </x:c>
      <x:c r="F292" t="n">
        <x:f>'2019 Form20'!V241</x:f>
        <x:v>191</x:v>
      </x:c>
      <x:c r="G292" t="n">
        <x:f>'2019 Form20'!W241</x:f>
        <x:v>-76</x:v>
      </x:c>
      <x:c r="H292" s="52" t="n">
        <x:f>'2019 Form20'!X241</x:f>
        <x:v>-0.24126984126984127</x:v>
      </x:c>
      <x:c r="I292" t="str">
        <x:v>DR. MAHESH SHARMA</x:v>
      </x:c>
      <x:c r="J292" t="str">
        <x:v>BJP</x:v>
      </x:c>
      <x:c r="K292" t="str">
        <x:v>EVM row</x:v>
      </x:c>
      <x:c r="L292" s="133" t="str">
        <x:f>IF(D292&lt;=0,"No EVM votes",IF(E292&lt;$N$7,"Low",IF(E292&gt;$R$7,"High","Middle")))</x:f>
        <x:v>Middle</x:v>
      </x:c>
      <x:c r="M292" s="133" t="str">
        <x:f>IF(D292&lt;=0,"No EVM votes",IF(H292&lt;-20%,"Large deficit",IF(H292&lt;-5%,"Moderate deficit",IF(H292&lt;0,"Narrow deficit",IF(H292&lt;=5%,"Narrow lead/tie",IF(H292&lt;=20%,"Moderate lead","Large lead"))))))</x:f>
        <x:v>Large deficit</x:v>
      </x:c>
    </x:row>
    <x:row r="293">
      <x:c r="A293" t="n">
        <x:v>234</x:v>
      </x:c>
      <x:c r="B293" t="str">
        <x:v>PRY. SCHOOL MYANA R.NO. 1</x:v>
      </x:c>
      <x:c r="C293" s="83" t="n">
        <x:f>'2019 Form20'!H242</x:f>
        <x:v>264</x:v>
      </x:c>
      <x:c r="D293" s="83" t="n">
        <x:f>'2019 Form20'!D242</x:f>
        <x:v>716</x:v>
      </x:c>
      <x:c r="E293" s="50" t="n">
        <x:f>'2019 Form20'!U242</x:f>
        <x:v>0.3687150837988827</x:v>
      </x:c>
      <x:c r="F293" t="n">
        <x:f>'2019 Form20'!V242</x:f>
        <x:v>424</x:v>
      </x:c>
      <x:c r="G293" t="n">
        <x:f>'2019 Form20'!W242</x:f>
        <x:v>-160</x:v>
      </x:c>
      <x:c r="H293" s="52" t="n">
        <x:f>'2019 Form20'!X242</x:f>
        <x:v>-0.22346368715083798</x:v>
      </x:c>
      <x:c r="I293" t="str">
        <x:v>DR. MAHESH SHARMA</x:v>
      </x:c>
      <x:c r="J293" t="str">
        <x:v>BJP</x:v>
      </x:c>
      <x:c r="K293" t="str">
        <x:v>EVM row</x:v>
      </x:c>
      <x:c r="L293" s="133" t="str">
        <x:f>IF(D293&lt;=0,"No EVM votes",IF(E293&lt;$N$7,"Low",IF(E293&gt;$R$7,"High","Middle")))</x:f>
        <x:v>Middle</x:v>
      </x:c>
      <x:c r="M293" s="133" t="str">
        <x:f>IF(D293&lt;=0,"No EVM votes",IF(H293&lt;-20%,"Large deficit",IF(H293&lt;-5%,"Moderate deficit",IF(H293&lt;0,"Narrow deficit",IF(H293&lt;=5%,"Narrow lead/tie",IF(H293&lt;=20%,"Moderate lead","Large lead"))))))</x:f>
        <x:v>Large deficit</x:v>
      </x:c>
    </x:row>
    <x:row r="294">
      <x:c r="A294" t="n">
        <x:v>235</x:v>
      </x:c>
      <x:c r="B294" t="str">
        <x:v>PRY. SCHOOL KALUPURA R.NO. 1</x:v>
      </x:c>
      <x:c r="C294" s="83" t="n">
        <x:f>'2019 Form20'!H243</x:f>
        <x:v>150</x:v>
      </x:c>
      <x:c r="D294" s="83" t="n">
        <x:f>'2019 Form20'!D243</x:f>
        <x:v>835</x:v>
      </x:c>
      <x:c r="E294" s="50" t="n">
        <x:f>'2019 Form20'!U243</x:f>
        <x:v>0.17964071856287425</x:v>
      </x:c>
      <x:c r="F294" t="n">
        <x:f>'2019 Form20'!V243</x:f>
        <x:v>655</x:v>
      </x:c>
      <x:c r="G294" t="n">
        <x:f>'2019 Form20'!W243</x:f>
        <x:v>-505</x:v>
      </x:c>
      <x:c r="H294" s="52" t="n">
        <x:f>'2019 Form20'!X243</x:f>
        <x:v>-0.6047904191616766</x:v>
      </x:c>
      <x:c r="I294" t="str">
        <x:v>DR. MAHESH SHARMA</x:v>
      </x:c>
      <x:c r="J294" t="str">
        <x:v>BJP</x:v>
      </x:c>
      <x:c r="K294" t="str">
        <x:v>EVM row</x:v>
      </x:c>
      <x:c r="L294" s="133" t="str">
        <x:f>IF(D294&lt;=0,"No EVM votes",IF(E294&lt;$N$7,"Low",IF(E294&gt;$R$7,"High","Middle")))</x:f>
        <x:v>Low</x:v>
      </x:c>
      <x:c r="M294" s="133" t="str">
        <x:f>IF(D294&lt;=0,"No EVM votes",IF(H294&lt;-20%,"Large deficit",IF(H294&lt;-5%,"Moderate deficit",IF(H294&lt;0,"Narrow deficit",IF(H294&lt;=5%,"Narrow lead/tie",IF(H294&lt;=20%,"Moderate lead","Large lead"))))))</x:f>
        <x:v>Large deficit</x:v>
      </x:c>
    </x:row>
    <x:row r="295">
      <x:c r="A295" t="n">
        <x:v>236</x:v>
      </x:c>
      <x:c r="B295" t="str">
        <x:v>PRY. SCHOOL KALUPURA R.NO. 2</x:v>
      </x:c>
      <x:c r="C295" s="83" t="n">
        <x:f>'2019 Form20'!H244</x:f>
        <x:v>308</x:v>
      </x:c>
      <x:c r="D295" s="83" t="n">
        <x:f>'2019 Form20'!D244</x:f>
        <x:v>561</x:v>
      </x:c>
      <x:c r="E295" s="50" t="n">
        <x:f>'2019 Form20'!U244</x:f>
        <x:v>0.5490196078431373</x:v>
      </x:c>
      <x:c r="F295" t="n">
        <x:f>'2019 Form20'!V244</x:f>
        <x:v>238</x:v>
      </x:c>
      <x:c r="G295" t="n">
        <x:f>'2019 Form20'!W244</x:f>
        <x:v>70</x:v>
      </x:c>
      <x:c r="H295" s="52" t="n">
        <x:f>'2019 Form20'!X244</x:f>
        <x:v>0.12477718360071301</x:v>
      </x:c>
      <x:c r="I295" t="str">
        <x:v>SATVEER</x:v>
      </x:c>
      <x:c r="J295" t="str">
        <x:v>BSP</x:v>
      </x:c>
      <x:c r="K295" t="str">
        <x:v>EVM row</x:v>
      </x:c>
      <x:c r="L295" s="133" t="str">
        <x:f>IF(D295&lt;=0,"No EVM votes",IF(E295&lt;$N$7,"Low",IF(E295&gt;$R$7,"High","Middle")))</x:f>
        <x:v>Middle</x:v>
      </x:c>
      <x:c r="M295" s="133" t="str">
        <x:f>IF(D295&lt;=0,"No EVM votes",IF(H295&lt;-20%,"Large deficit",IF(H295&lt;-5%,"Moderate deficit",IF(H295&lt;0,"Narrow deficit",IF(H295&lt;=5%,"Narrow lead/tie",IF(H295&lt;=20%,"Moderate lead","Large lead"))))))</x:f>
        <x:v>Moderate lead</x:v>
      </x:c>
    </x:row>
    <x:row r="296">
      <x:c r="A296" t="n">
        <x:v>237</x:v>
      </x:c>
      <x:c r="B296" t="str">
        <x:v>PRY. SCHOOL JAUNCHANA R.NO. 1</x:v>
      </x:c>
      <x:c r="C296" s="83" t="n">
        <x:f>'2019 Form20'!H245</x:f>
        <x:v>244</x:v>
      </x:c>
      <x:c r="D296" s="83" t="n">
        <x:f>'2019 Form20'!D245</x:f>
        <x:v>627</x:v>
      </x:c>
      <x:c r="E296" s="50" t="n">
        <x:f>'2019 Form20'!U245</x:f>
        <x:v>0.38915470494417864</x:v>
      </x:c>
      <x:c r="F296" t="n">
        <x:f>'2019 Form20'!V245</x:f>
        <x:v>363</x:v>
      </x:c>
      <x:c r="G296" t="n">
        <x:f>'2019 Form20'!W245</x:f>
        <x:v>-119</x:v>
      </x:c>
      <x:c r="H296" s="52" t="n">
        <x:f>'2019 Form20'!X245</x:f>
        <x:v>-0.189792663476874</x:v>
      </x:c>
      <x:c r="I296" t="str">
        <x:v>DR. MAHESH SHARMA</x:v>
      </x:c>
      <x:c r="J296" t="str">
        <x:v>BJP</x:v>
      </x:c>
      <x:c r="K296" t="str">
        <x:v>EVM row</x:v>
      </x:c>
      <x:c r="L296" s="133" t="str">
        <x:f>IF(D296&lt;=0,"No EVM votes",IF(E296&lt;$N$7,"Low",IF(E296&gt;$R$7,"High","Middle")))</x:f>
        <x:v>Middle</x:v>
      </x:c>
      <x:c r="M296" s="133" t="str">
        <x:f>IF(D296&lt;=0,"No EVM votes",IF(H296&lt;-20%,"Large deficit",IF(H296&lt;-5%,"Moderate deficit",IF(H296&lt;0,"Narrow deficit",IF(H296&lt;=5%,"Narrow lead/tie",IF(H296&lt;=20%,"Moderate lead","Large lead"))))))</x:f>
        <x:v>Moderate deficit</x:v>
      </x:c>
    </x:row>
    <x:row r="297">
      <x:c r="A297" t="n">
        <x:v>238</x:v>
      </x:c>
      <x:c r="B297" t="str">
        <x:v>PRY. SCHOOL CHACHURA R.NO. 1</x:v>
      </x:c>
      <x:c r="C297" s="83" t="n">
        <x:f>'2019 Form20'!H246</x:f>
        <x:v>452</x:v>
      </x:c>
      <x:c r="D297" s="83" t="n">
        <x:f>'2019 Form20'!D246</x:f>
        <x:v>574</x:v>
      </x:c>
      <x:c r="E297" s="50" t="n">
        <x:f>'2019 Form20'!U246</x:f>
        <x:v>0.7874564459930313</x:v>
      </x:c>
      <x:c r="F297" t="n">
        <x:f>'2019 Form20'!V246</x:f>
        <x:v>90</x:v>
      </x:c>
      <x:c r="G297" t="n">
        <x:f>'2019 Form20'!W246</x:f>
        <x:v>362</x:v>
      </x:c>
      <x:c r="H297" s="52" t="n">
        <x:f>'2019 Form20'!X246</x:f>
        <x:v>0.6306620209059234</x:v>
      </x:c>
      <x:c r="I297" t="str">
        <x:v>SATVEER</x:v>
      </x:c>
      <x:c r="J297" t="str">
        <x:v>BSP</x:v>
      </x:c>
      <x:c r="K297" t="str">
        <x:v>EVM row</x:v>
      </x:c>
      <x:c r="L297" s="133" t="str">
        <x:f>IF(D297&lt;=0,"No EVM votes",IF(E297&lt;$N$7,"Low",IF(E297&gt;$R$7,"High","Middle")))</x:f>
        <x:v>High</x:v>
      </x:c>
      <x:c r="M297" s="133" t="str">
        <x:f>IF(D297&lt;=0,"No EVM votes",IF(H297&lt;-20%,"Large deficit",IF(H297&lt;-5%,"Moderate deficit",IF(H297&lt;0,"Narrow deficit",IF(H297&lt;=5%,"Narrow lead/tie",IF(H297&lt;=20%,"Moderate lead","Large lead"))))))</x:f>
        <x:v>Large lead</x:v>
      </x:c>
    </x:row>
    <x:row r="298">
      <x:c r="A298" t="n">
        <x:v>239</x:v>
      </x:c>
      <x:c r="B298" t="str">
        <x:v>PRY. SCHOOL AMANULLAPUR URF MARHARA R.NO. 1</x:v>
      </x:c>
      <x:c r="C298" s="83" t="n">
        <x:f>'2019 Form20'!H247</x:f>
        <x:v>210</x:v>
      </x:c>
      <x:c r="D298" s="83" t="n">
        <x:f>'2019 Form20'!D247</x:f>
        <x:v>559</x:v>
      </x:c>
      <x:c r="E298" s="50" t="n">
        <x:f>'2019 Form20'!U247</x:f>
        <x:v>0.3756708407871199</x:v>
      </x:c>
      <x:c r="F298" t="n">
        <x:f>'2019 Form20'!V247</x:f>
        <x:v>346</x:v>
      </x:c>
      <x:c r="G298" t="n">
        <x:f>'2019 Form20'!W247</x:f>
        <x:v>-136</x:v>
      </x:c>
      <x:c r="H298" s="52" t="n">
        <x:f>'2019 Form20'!X247</x:f>
        <x:v>-0.24329159212880144</x:v>
      </x:c>
      <x:c r="I298" t="str">
        <x:v>DR. MAHESH SHARMA</x:v>
      </x:c>
      <x:c r="J298" t="str">
        <x:v>BJP</x:v>
      </x:c>
      <x:c r="K298" t="str">
        <x:v>EVM row</x:v>
      </x:c>
      <x:c r="L298" s="133" t="str">
        <x:f>IF(D298&lt;=0,"No EVM votes",IF(E298&lt;$N$7,"Low",IF(E298&gt;$R$7,"High","Middle")))</x:f>
        <x:v>Middle</x:v>
      </x:c>
      <x:c r="M298" s="133" t="str">
        <x:f>IF(D298&lt;=0,"No EVM votes",IF(H298&lt;-20%,"Large deficit",IF(H298&lt;-5%,"Moderate deficit",IF(H298&lt;0,"Narrow deficit",IF(H298&lt;=5%,"Narrow lead/tie",IF(H298&lt;=20%,"Moderate lead","Large lead"))))))</x:f>
        <x:v>Large deficit</x:v>
      </x:c>
    </x:row>
    <x:row r="299">
      <x:c r="A299" t="n">
        <x:v>240</x:v>
      </x:c>
      <x:c r="B299" t="str">
        <x:v>PRY. SCHOOL AMANULLAPUR URF MARHARA R.NO. 2</x:v>
      </x:c>
      <x:c r="C299" s="83" t="n">
        <x:f>'2019 Form20'!H248</x:f>
        <x:v>9</x:v>
      </x:c>
      <x:c r="D299" s="83" t="n">
        <x:f>'2019 Form20'!D248</x:f>
        <x:v>407</x:v>
      </x:c>
      <x:c r="E299" s="50" t="n">
        <x:f>'2019 Form20'!U248</x:f>
        <x:v>0.022113022113022112</x:v>
      </x:c>
      <x:c r="F299" t="n">
        <x:f>'2019 Form20'!V248</x:f>
        <x:v>394</x:v>
      </x:c>
      <x:c r="G299" t="n">
        <x:f>'2019 Form20'!W248</x:f>
        <x:v>-385</x:v>
      </x:c>
      <x:c r="H299" s="52" t="n">
        <x:f>'2019 Form20'!X248</x:f>
        <x:v>-0.9459459459459459</x:v>
      </x:c>
      <x:c r="I299" t="str">
        <x:v>DR. MAHESH SHARMA</x:v>
      </x:c>
      <x:c r="J299" t="str">
        <x:v>BJP</x:v>
      </x:c>
      <x:c r="K299" t="str">
        <x:v>EVM row</x:v>
      </x:c>
      <x:c r="L299" s="133" t="str">
        <x:f>IF(D299&lt;=0,"No EVM votes",IF(E299&lt;$N$7,"Low",IF(E299&gt;$R$7,"High","Middle")))</x:f>
        <x:v>Low</x:v>
      </x:c>
      <x:c r="M299" s="133" t="str">
        <x:f>IF(D299&lt;=0,"No EVM votes",IF(H299&lt;-20%,"Large deficit",IF(H299&lt;-5%,"Moderate deficit",IF(H299&lt;0,"Narrow deficit",IF(H299&lt;=5%,"Narrow lead/tie",IF(H299&lt;=20%,"Moderate lead","Large lead"))))))</x:f>
        <x:v>Large deficit</x:v>
      </x:c>
    </x:row>
    <x:row r="300">
      <x:c r="A300" t="n">
        <x:v>241</x:v>
      </x:c>
      <x:c r="B300" t="str">
        <x:v>PRY. SCHOOL BHIKANPUR R.NO. 1</x:v>
      </x:c>
      <x:c r="C300" s="83" t="n">
        <x:f>'2019 Form20'!H249</x:f>
        <x:v>289</x:v>
      </x:c>
      <x:c r="D300" s="83" t="n">
        <x:f>'2019 Form20'!D249</x:f>
        <x:v>584</x:v>
      </x:c>
      <x:c r="E300" s="50" t="n">
        <x:f>'2019 Form20'!U249</x:f>
        <x:v>0.4948630136986301</x:v>
      </x:c>
      <x:c r="F300" t="n">
        <x:f>'2019 Form20'!V249</x:f>
        <x:v>283</x:v>
      </x:c>
      <x:c r="G300" t="n">
        <x:f>'2019 Form20'!W249</x:f>
        <x:v>6</x:v>
      </x:c>
      <x:c r="H300" s="52" t="n">
        <x:f>'2019 Form20'!X249</x:f>
        <x:v>0.010273972602739725</x:v>
      </x:c>
      <x:c r="I300" t="str">
        <x:v>SATVEER</x:v>
      </x:c>
      <x:c r="J300" t="str">
        <x:v>BSP</x:v>
      </x:c>
      <x:c r="K300" t="str">
        <x:v>EVM row</x:v>
      </x:c>
      <x:c r="L300" s="133" t="str">
        <x:f>IF(D300&lt;=0,"No EVM votes",IF(E300&lt;$N$7,"Low",IF(E300&gt;$R$7,"High","Middle")))</x:f>
        <x:v>Middle</x:v>
      </x:c>
      <x:c r="M300" s="133" t="str">
        <x:f>IF(D300&lt;=0,"No EVM votes",IF(H300&lt;-20%,"Large deficit",IF(H300&lt;-5%,"Moderate deficit",IF(H300&lt;0,"Narrow deficit",IF(H300&lt;=5%,"Narrow lead/tie",IF(H300&lt;=20%,"Moderate lead","Large lead"))))))</x:f>
        <x:v>Narrow lead/tie</x:v>
      </x:c>
    </x:row>
    <x:row r="301">
      <x:c r="A301" t="n">
        <x:v>242</x:v>
      </x:c>
      <x:c r="B301" t="str">
        <x:v>PRY. SCHOOL AKALPUR R.NO. 1</x:v>
      </x:c>
      <x:c r="C301" s="83" t="n">
        <x:f>'2019 Form20'!H250</x:f>
        <x:v>27</x:v>
      </x:c>
      <x:c r="D301" s="83" t="n">
        <x:f>'2019 Form20'!D250</x:f>
        <x:v>460</x:v>
      </x:c>
      <x:c r="E301" s="50" t="n">
        <x:f>'2019 Form20'!U250</x:f>
        <x:v>0.058695652173913045</x:v>
      </x:c>
      <x:c r="F301" t="n">
        <x:f>'2019 Form20'!V250</x:f>
        <x:v>427</x:v>
      </x:c>
      <x:c r="G301" t="n">
        <x:f>'2019 Form20'!W250</x:f>
        <x:v>-400</x:v>
      </x:c>
      <x:c r="H301" s="52" t="n">
        <x:f>'2019 Form20'!X250</x:f>
        <x:v>-0.8695652173913043</x:v>
      </x:c>
      <x:c r="I301" t="str">
        <x:v>DR. MAHESH SHARMA</x:v>
      </x:c>
      <x:c r="J301" t="str">
        <x:v>BJP</x:v>
      </x:c>
      <x:c r="K301" t="str">
        <x:v>EVM row</x:v>
      </x:c>
      <x:c r="L301" s="133" t="str">
        <x:f>IF(D301&lt;=0,"No EVM votes",IF(E301&lt;$N$7,"Low",IF(E301&gt;$R$7,"High","Middle")))</x:f>
        <x:v>Low</x:v>
      </x:c>
      <x:c r="M301" s="133" t="str">
        <x:f>IF(D301&lt;=0,"No EVM votes",IF(H301&lt;-20%,"Large deficit",IF(H301&lt;-5%,"Moderate deficit",IF(H301&lt;0,"Narrow deficit",IF(H301&lt;=5%,"Narrow lead/tie",IF(H301&lt;=20%,"Moderate lead","Large lead"))))))</x:f>
        <x:v>Large deficit</x:v>
      </x:c>
    </x:row>
    <x:row r="302">
      <x:c r="A302" t="n">
        <x:v>243</x:v>
      </x:c>
      <x:c r="B302" t="str">
        <x:v>PRY. SCHOOL AKALPUR R.NO. 2</x:v>
      </x:c>
      <x:c r="C302" s="83" t="n">
        <x:f>'2019 Form20'!H251</x:f>
        <x:v>119</x:v>
      </x:c>
      <x:c r="D302" s="83" t="n">
        <x:f>'2019 Form20'!D251</x:f>
        <x:v>415</x:v>
      </x:c>
      <x:c r="E302" s="50" t="n">
        <x:f>'2019 Form20'!U251</x:f>
        <x:v>0.28674698795180725</x:v>
      </x:c>
      <x:c r="F302" t="n">
        <x:f>'2019 Form20'!V251</x:f>
        <x:v>285</x:v>
      </x:c>
      <x:c r="G302" t="n">
        <x:f>'2019 Form20'!W251</x:f>
        <x:v>-166</x:v>
      </x:c>
      <x:c r="H302" s="52" t="n">
        <x:f>'2019 Form20'!X251</x:f>
        <x:v>-0.4</x:v>
      </x:c>
      <x:c r="I302" t="str">
        <x:v>DR. MAHESH SHARMA</x:v>
      </x:c>
      <x:c r="J302" t="str">
        <x:v>BJP</x:v>
      </x:c>
      <x:c r="K302" t="str">
        <x:v>EVM row</x:v>
      </x:c>
      <x:c r="L302" s="133" t="str">
        <x:f>IF(D302&lt;=0,"No EVM votes",IF(E302&lt;$N$7,"Low",IF(E302&gt;$R$7,"High","Middle")))</x:f>
        <x:v>Middle</x:v>
      </x:c>
      <x:c r="M302" s="133" t="str">
        <x:f>IF(D302&lt;=0,"No EVM votes",IF(H302&lt;-20%,"Large deficit",IF(H302&lt;-5%,"Moderate deficit",IF(H302&lt;0,"Narrow deficit",IF(H302&lt;=5%,"Narrow lead/tie",IF(H302&lt;=20%,"Moderate lead","Large lead"))))))</x:f>
        <x:v>Large deficit</x:v>
      </x:c>
    </x:row>
    <x:row r="303">
      <x:c r="A303" t="n">
        <x:v>244</x:v>
      </x:c>
      <x:c r="B303" t="str">
        <x:v>PRY. SCHOOL MUDRAH R.NO. 1</x:v>
      </x:c>
      <x:c r="C303" s="83" t="n">
        <x:f>'2019 Form20'!H252</x:f>
        <x:v>207</x:v>
      </x:c>
      <x:c r="D303" s="83" t="n">
        <x:f>'2019 Form20'!D252</x:f>
        <x:v>315</x:v>
      </x:c>
      <x:c r="E303" s="50" t="n">
        <x:f>'2019 Form20'!U252</x:f>
        <x:v>0.6571428571428571</x:v>
      </x:c>
      <x:c r="F303" t="n">
        <x:f>'2019 Form20'!V252</x:f>
        <x:v>68</x:v>
      </x:c>
      <x:c r="G303" t="n">
        <x:f>'2019 Form20'!W252</x:f>
        <x:v>139</x:v>
      </x:c>
      <x:c r="H303" s="52" t="n">
        <x:f>'2019 Form20'!X252</x:f>
        <x:v>0.44126984126984126</x:v>
      </x:c>
      <x:c r="I303" t="str">
        <x:v>SATVEER</x:v>
      </x:c>
      <x:c r="J303" t="str">
        <x:v>BSP</x:v>
      </x:c>
      <x:c r="K303" t="str">
        <x:v>EVM row</x:v>
      </x:c>
      <x:c r="L303" s="133" t="str">
        <x:f>IF(D303&lt;=0,"No EVM votes",IF(E303&lt;$N$7,"Low",IF(E303&gt;$R$7,"High","Middle")))</x:f>
        <x:v>Middle</x:v>
      </x:c>
      <x:c r="M303" s="133" t="str">
        <x:f>IF(D303&lt;=0,"No EVM votes",IF(H303&lt;-20%,"Large deficit",IF(H303&lt;-5%,"Moderate deficit",IF(H303&lt;0,"Narrow deficit",IF(H303&lt;=5%,"Narrow lead/tie",IF(H303&lt;=20%,"Moderate lead","Large lead"))))))</x:f>
        <x:v>Large lead</x:v>
      </x:c>
    </x:row>
    <x:row r="304">
      <x:c r="A304" t="n">
        <x:v>245</x:v>
      </x:c>
      <x:c r="B304" t="str">
        <x:v>PRY. SCHOOL MUDRAH R.NO. 2</x:v>
      </x:c>
      <x:c r="C304" s="83" t="n">
        <x:f>'2019 Form20'!H253</x:f>
        <x:v>109</x:v>
      </x:c>
      <x:c r="D304" s="83" t="n">
        <x:f>'2019 Form20'!D253</x:f>
        <x:v>590</x:v>
      </x:c>
      <x:c r="E304" s="50" t="n">
        <x:f>'2019 Form20'!U253</x:f>
        <x:v>0.1847457627118644</x:v>
      </x:c>
      <x:c r="F304" t="n">
        <x:f>'2019 Form20'!V253</x:f>
        <x:v>477</x:v>
      </x:c>
      <x:c r="G304" t="n">
        <x:f>'2019 Form20'!W253</x:f>
        <x:v>-368</x:v>
      </x:c>
      <x:c r="H304" s="52" t="n">
        <x:f>'2019 Form20'!X253</x:f>
        <x:v>-0.6237288135593221</x:v>
      </x:c>
      <x:c r="I304" t="str">
        <x:v>DR. MAHESH SHARMA</x:v>
      </x:c>
      <x:c r="J304" t="str">
        <x:v>BJP</x:v>
      </x:c>
      <x:c r="K304" t="str">
        <x:v>EVM row</x:v>
      </x:c>
      <x:c r="L304" s="133" t="str">
        <x:f>IF(D304&lt;=0,"No EVM votes",IF(E304&lt;$N$7,"Low",IF(E304&gt;$R$7,"High","Middle")))</x:f>
        <x:v>Low</x:v>
      </x:c>
      <x:c r="M304" s="133" t="str">
        <x:f>IF(D304&lt;=0,"No EVM votes",IF(H304&lt;-20%,"Large deficit",IF(H304&lt;-5%,"Moderate deficit",IF(H304&lt;0,"Narrow deficit",IF(H304&lt;=5%,"Narrow lead/tie",IF(H304&lt;=20%,"Moderate lead","Large lead"))))))</x:f>
        <x:v>Large deficit</x:v>
      </x:c>
    </x:row>
    <x:row r="305">
      <x:c r="A305" t="n">
        <x:v>246</x:v>
      </x:c>
      <x:c r="B305" t="str">
        <x:v>PRY. SCHOOL ISMAILNAGAR URF BHOYRA R.NO. 1</x:v>
      </x:c>
      <x:c r="C305" s="83" t="n">
        <x:f>'2019 Form20'!H254</x:f>
        <x:v>8</x:v>
      </x:c>
      <x:c r="D305" s="83" t="n">
        <x:f>'2019 Form20'!D254</x:f>
        <x:v>288</x:v>
      </x:c>
      <x:c r="E305" s="50" t="n">
        <x:f>'2019 Form20'!U254</x:f>
        <x:v>0.027777777777777776</x:v>
      </x:c>
      <x:c r="F305" t="n">
        <x:f>'2019 Form20'!V254</x:f>
        <x:v>275</x:v>
      </x:c>
      <x:c r="G305" t="n">
        <x:f>'2019 Form20'!W254</x:f>
        <x:v>-267</x:v>
      </x:c>
      <x:c r="H305" s="52" t="n">
        <x:f>'2019 Form20'!X254</x:f>
        <x:v>-0.9270833333333334</x:v>
      </x:c>
      <x:c r="I305" t="str">
        <x:v>DR. MAHESH SHARMA</x:v>
      </x:c>
      <x:c r="J305" t="str">
        <x:v>BJP</x:v>
      </x:c>
      <x:c r="K305" t="str">
        <x:v>EVM row</x:v>
      </x:c>
      <x:c r="L305" s="133" t="str">
        <x:f>IF(D305&lt;=0,"No EVM votes",IF(E305&lt;$N$7,"Low",IF(E305&gt;$R$7,"High","Middle")))</x:f>
        <x:v>Low</x:v>
      </x:c>
      <x:c r="M305" s="133" t="str">
        <x:f>IF(D305&lt;=0,"No EVM votes",IF(H305&lt;-20%,"Large deficit",IF(H305&lt;-5%,"Moderate deficit",IF(H305&lt;0,"Narrow deficit",IF(H305&lt;=5%,"Narrow lead/tie",IF(H305&lt;=20%,"Moderate lead","Large lead"))))))</x:f>
        <x:v>Large deficit</x:v>
      </x:c>
    </x:row>
    <x:row r="306">
      <x:c r="A306" t="n">
        <x:v>247</x:v>
      </x:c>
      <x:c r="B306" t="str">
        <x:v>PRY. SCHOOL KANPUR R.NO. 1</x:v>
      </x:c>
      <x:c r="C306" s="83" t="n">
        <x:f>'2019 Form20'!H255</x:f>
        <x:v>9</x:v>
      </x:c>
      <x:c r="D306" s="83" t="n">
        <x:f>'2019 Form20'!D255</x:f>
        <x:v>452</x:v>
      </x:c>
      <x:c r="E306" s="50" t="n">
        <x:f>'2019 Form20'!U255</x:f>
        <x:v>0.01991150442477876</x:v>
      </x:c>
      <x:c r="F306" t="n">
        <x:f>'2019 Form20'!V255</x:f>
        <x:v>441</x:v>
      </x:c>
      <x:c r="G306" t="n">
        <x:f>'2019 Form20'!W255</x:f>
        <x:v>-432</x:v>
      </x:c>
      <x:c r="H306" s="52" t="n">
        <x:f>'2019 Form20'!X255</x:f>
        <x:v>-0.9557522123893806</x:v>
      </x:c>
      <x:c r="I306" t="str">
        <x:v>DR. MAHESH SHARMA</x:v>
      </x:c>
      <x:c r="J306" t="str">
        <x:v>BJP</x:v>
      </x:c>
      <x:c r="K306" t="str">
        <x:v>EVM row</x:v>
      </x:c>
      <x:c r="L306" s="133" t="str">
        <x:f>IF(D306&lt;=0,"No EVM votes",IF(E306&lt;$N$7,"Low",IF(E306&gt;$R$7,"High","Middle")))</x:f>
        <x:v>Low</x:v>
      </x:c>
      <x:c r="M306" s="133" t="str">
        <x:f>IF(D306&lt;=0,"No EVM votes",IF(H306&lt;-20%,"Large deficit",IF(H306&lt;-5%,"Moderate deficit",IF(H306&lt;0,"Narrow deficit",IF(H306&lt;=5%,"Narrow lead/tie",IF(H306&lt;=20%,"Moderate lead","Large lead"))))))</x:f>
        <x:v>Large deficit</x:v>
      </x:c>
    </x:row>
    <x:row r="307">
      <x:c r="A307" t="n">
        <x:v>248</x:v>
      </x:c>
      <x:c r="B307" t="str">
        <x:v>PRY. SCHOOL KANPUR R.NO. 2</x:v>
      </x:c>
      <x:c r="C307" s="83" t="n">
        <x:f>'2019 Form20'!H256</x:f>
        <x:v>280</x:v>
      </x:c>
      <x:c r="D307" s="83" t="n">
        <x:f>'2019 Form20'!D256</x:f>
        <x:v>434</x:v>
      </x:c>
      <x:c r="E307" s="50" t="n">
        <x:f>'2019 Form20'!U256</x:f>
        <x:v>0.6451612903225806</x:v>
      </x:c>
      <x:c r="F307" t="n">
        <x:f>'2019 Form20'!V256</x:f>
        <x:v>144</x:v>
      </x:c>
      <x:c r="G307" t="n">
        <x:f>'2019 Form20'!W256</x:f>
        <x:v>136</x:v>
      </x:c>
      <x:c r="H307" s="52" t="n">
        <x:f>'2019 Form20'!X256</x:f>
        <x:v>0.31336405529953915</x:v>
      </x:c>
      <x:c r="I307" t="str">
        <x:v>SATVEER</x:v>
      </x:c>
      <x:c r="J307" t="str">
        <x:v>BSP</x:v>
      </x:c>
      <x:c r="K307" t="str">
        <x:v>EVM row</x:v>
      </x:c>
      <x:c r="L307" s="133" t="str">
        <x:f>IF(D307&lt;=0,"No EVM votes",IF(E307&lt;$N$7,"Low",IF(E307&gt;$R$7,"High","Middle")))</x:f>
        <x:v>Middle</x:v>
      </x:c>
      <x:c r="M307" s="133" t="str">
        <x:f>IF(D307&lt;=0,"No EVM votes",IF(H307&lt;-20%,"Large deficit",IF(H307&lt;-5%,"Moderate deficit",IF(H307&lt;0,"Narrow deficit",IF(H307&lt;=5%,"Narrow lead/tie",IF(H307&lt;=20%,"Moderate lead","Large lead"))))))</x:f>
        <x:v>Large lead</x:v>
      </x:c>
    </x:row>
    <x:row r="308">
      <x:c r="A308" t="n">
        <x:v>249</x:v>
      </x:c>
      <x:c r="B308" t="str">
        <x:v>PRY. SCHOOL NAGLA SHAHPUR R.NO. 1</x:v>
      </x:c>
      <x:c r="C308" s="83" t="n">
        <x:f>'2019 Form20'!H257</x:f>
        <x:v>165</x:v>
      </x:c>
      <x:c r="D308" s="83" t="n">
        <x:f>'2019 Form20'!D257</x:f>
        <x:v>634</x:v>
      </x:c>
      <x:c r="E308" s="50" t="n">
        <x:f>'2019 Form20'!U257</x:f>
        <x:v>0.26025236593059936</x:v>
      </x:c>
      <x:c r="F308" t="n">
        <x:f>'2019 Form20'!V257</x:f>
        <x:v>455</x:v>
      </x:c>
      <x:c r="G308" t="n">
        <x:f>'2019 Form20'!W257</x:f>
        <x:v>-290</x:v>
      </x:c>
      <x:c r="H308" s="52" t="n">
        <x:f>'2019 Form20'!X257</x:f>
        <x:v>-0.45741324921135645</x:v>
      </x:c>
      <x:c r="I308" t="str">
        <x:v>DR. MAHESH SHARMA</x:v>
      </x:c>
      <x:c r="J308" t="str">
        <x:v>BJP</x:v>
      </x:c>
      <x:c r="K308" t="str">
        <x:v>EVM row</x:v>
      </x:c>
      <x:c r="L308" s="133" t="str">
        <x:f>IF(D308&lt;=0,"No EVM votes",IF(E308&lt;$N$7,"Low",IF(E308&gt;$R$7,"High","Middle")))</x:f>
        <x:v>Middle</x:v>
      </x:c>
      <x:c r="M308" s="133" t="str">
        <x:f>IF(D308&lt;=0,"No EVM votes",IF(H308&lt;-20%,"Large deficit",IF(H308&lt;-5%,"Moderate deficit",IF(H308&lt;0,"Narrow deficit",IF(H308&lt;=5%,"Narrow lead/tie",IF(H308&lt;=20%,"Moderate lead","Large lead"))))))</x:f>
        <x:v>Large deficit</x:v>
      </x:c>
    </x:row>
    <x:row r="309">
      <x:c r="A309" t="n">
        <x:v>250</x:v>
      </x:c>
      <x:c r="B309" t="str">
        <x:v>PRY. SCHOOL BIRAMPUR R.NO. 1</x:v>
      </x:c>
      <x:c r="C309" s="83" t="n">
        <x:f>'2019 Form20'!H258</x:f>
        <x:v>337</x:v>
      </x:c>
      <x:c r="D309" s="83" t="n">
        <x:f>'2019 Form20'!D258</x:f>
        <x:v>548</x:v>
      </x:c>
      <x:c r="E309" s="50" t="n">
        <x:f>'2019 Form20'!U258</x:f>
        <x:v>0.614963503649635</x:v>
      </x:c>
      <x:c r="F309" t="n">
        <x:f>'2019 Form20'!V258</x:f>
        <x:v>196</x:v>
      </x:c>
      <x:c r="G309" t="n">
        <x:f>'2019 Form20'!W258</x:f>
        <x:v>141</x:v>
      </x:c>
      <x:c r="H309" s="52" t="n">
        <x:f>'2019 Form20'!X258</x:f>
        <x:v>0.2572992700729927</x:v>
      </x:c>
      <x:c r="I309" t="str">
        <x:v>SATVEER</x:v>
      </x:c>
      <x:c r="J309" t="str">
        <x:v>BSP</x:v>
      </x:c>
      <x:c r="K309" t="str">
        <x:v>EVM row</x:v>
      </x:c>
      <x:c r="L309" s="133" t="str">
        <x:f>IF(D309&lt;=0,"No EVM votes",IF(E309&lt;$N$7,"Low",IF(E309&gt;$R$7,"High","Middle")))</x:f>
        <x:v>Middle</x:v>
      </x:c>
      <x:c r="M309" s="133" t="str">
        <x:f>IF(D309&lt;=0,"No EVM votes",IF(H309&lt;-20%,"Large deficit",IF(H309&lt;-5%,"Moderate deficit",IF(H309&lt;0,"Narrow deficit",IF(H309&lt;=5%,"Narrow lead/tie",IF(H309&lt;=20%,"Moderate lead","Large lead"))))))</x:f>
        <x:v>Large lead</x:v>
      </x:c>
    </x:row>
    <x:row r="310">
      <x:c r="A310" t="n">
        <x:v>251</x:v>
      </x:c>
      <x:c r="B310" t="str">
        <x:v>PRY. SCHOOL BIRAMPUR R.NO. 2</x:v>
      </x:c>
      <x:c r="C310" s="83" t="n">
        <x:f>'2019 Form20'!H259</x:f>
        <x:v>181</x:v>
      </x:c>
      <x:c r="D310" s="83" t="n">
        <x:f>'2019 Form20'!D259</x:f>
        <x:v>543</x:v>
      </x:c>
      <x:c r="E310" s="50" t="n">
        <x:f>'2019 Form20'!U259</x:f>
        <x:v>0.3333333333333333</x:v>
      </x:c>
      <x:c r="F310" t="n">
        <x:f>'2019 Form20'!V259</x:f>
        <x:v>334</x:v>
      </x:c>
      <x:c r="G310" t="n">
        <x:f>'2019 Form20'!W259</x:f>
        <x:v>-153</x:v>
      </x:c>
      <x:c r="H310" s="52" t="n">
        <x:f>'2019 Form20'!X259</x:f>
        <x:v>-0.281767955801105</x:v>
      </x:c>
      <x:c r="I310" t="str">
        <x:v>DR. MAHESH SHARMA</x:v>
      </x:c>
      <x:c r="J310" t="str">
        <x:v>BJP</x:v>
      </x:c>
      <x:c r="K310" t="str">
        <x:v>EVM row</x:v>
      </x:c>
      <x:c r="L310" s="133" t="str">
        <x:f>IF(D310&lt;=0,"No EVM votes",IF(E310&lt;$N$7,"Low",IF(E310&gt;$R$7,"High","Middle")))</x:f>
        <x:v>Middle</x:v>
      </x:c>
      <x:c r="M310" s="133" t="str">
        <x:f>IF(D310&lt;=0,"No EVM votes",IF(H310&lt;-20%,"Large deficit",IF(H310&lt;-5%,"Moderate deficit",IF(H310&lt;0,"Narrow deficit",IF(H310&lt;=5%,"Narrow lead/tie",IF(H310&lt;=20%,"Moderate lead","Large lead"))))))</x:f>
        <x:v>Large deficit</x:v>
      </x:c>
    </x:row>
    <x:row r="311">
      <x:c r="A311" t="n">
        <x:v>252</x:v>
      </x:c>
      <x:c r="B311" t="str">
        <x:v>PRY. SCHOOL CHAKBIRAMPUR R.NO. 1</x:v>
      </x:c>
      <x:c r="C311" s="83" t="n">
        <x:f>'2019 Form20'!H260</x:f>
        <x:v>273</x:v>
      </x:c>
      <x:c r="D311" s="83" t="n">
        <x:f>'2019 Form20'!D260</x:f>
        <x:v>756</x:v>
      </x:c>
      <x:c r="E311" s="50" t="n">
        <x:f>'2019 Form20'!U260</x:f>
        <x:v>0.3611111111111111</x:v>
      </x:c>
      <x:c r="F311" t="n">
        <x:f>'2019 Form20'!V260</x:f>
        <x:v>475</x:v>
      </x:c>
      <x:c r="G311" t="n">
        <x:f>'2019 Form20'!W260</x:f>
        <x:v>-202</x:v>
      </x:c>
      <x:c r="H311" s="52" t="n">
        <x:f>'2019 Form20'!X260</x:f>
        <x:v>-0.2671957671957672</x:v>
      </x:c>
      <x:c r="I311" t="str">
        <x:v>DR. MAHESH SHARMA</x:v>
      </x:c>
      <x:c r="J311" t="str">
        <x:v>BJP</x:v>
      </x:c>
      <x:c r="K311" t="str">
        <x:v>EVM row</x:v>
      </x:c>
      <x:c r="L311" s="133" t="str">
        <x:f>IF(D311&lt;=0,"No EVM votes",IF(E311&lt;$N$7,"Low",IF(E311&gt;$R$7,"High","Middle")))</x:f>
        <x:v>Middle</x:v>
      </x:c>
      <x:c r="M311" s="133" t="str">
        <x:f>IF(D311&lt;=0,"No EVM votes",IF(H311&lt;-20%,"Large deficit",IF(H311&lt;-5%,"Moderate deficit",IF(H311&lt;0,"Narrow deficit",IF(H311&lt;=5%,"Narrow lead/tie",IF(H311&lt;=20%,"Moderate lead","Large lead"))))))</x:f>
        <x:v>Large deficit</x:v>
      </x:c>
    </x:row>
    <x:row r="312">
      <x:c r="A312" t="n">
        <x:v>253</x:v>
      </x:c>
      <x:c r="B312" t="str">
        <x:v>PRY. SCHOOL MURADGARHI R.NO. 1</x:v>
      </x:c>
      <x:c r="C312" s="83" t="n">
        <x:f>'2019 Form20'!H261</x:f>
        <x:v>49</x:v>
      </x:c>
      <x:c r="D312" s="83" t="n">
        <x:f>'2019 Form20'!D261</x:f>
        <x:v>397</x:v>
      </x:c>
      <x:c r="E312" s="50" t="n">
        <x:f>'2019 Form20'!U261</x:f>
        <x:v>0.12342569269521411</x:v>
      </x:c>
      <x:c r="F312" t="n">
        <x:f>'2019 Form20'!V261</x:f>
        <x:v>333</x:v>
      </x:c>
      <x:c r="G312" t="n">
        <x:f>'2019 Form20'!W261</x:f>
        <x:v>-284</x:v>
      </x:c>
      <x:c r="H312" s="52" t="n">
        <x:f>'2019 Form20'!X261</x:f>
        <x:v>-0.7153652392947103</x:v>
      </x:c>
      <x:c r="I312" t="str">
        <x:v>DR. MAHESH SHARMA</x:v>
      </x:c>
      <x:c r="J312" t="str">
        <x:v>BJP</x:v>
      </x:c>
      <x:c r="K312" t="str">
        <x:v>EVM row</x:v>
      </x:c>
      <x:c r="L312" s="133" t="str">
        <x:f>IF(D312&lt;=0,"No EVM votes",IF(E312&lt;$N$7,"Low",IF(E312&gt;$R$7,"High","Middle")))</x:f>
        <x:v>Low</x:v>
      </x:c>
      <x:c r="M312" s="133" t="str">
        <x:f>IF(D312&lt;=0,"No EVM votes",IF(H312&lt;-20%,"Large deficit",IF(H312&lt;-5%,"Moderate deficit",IF(H312&lt;0,"Narrow deficit",IF(H312&lt;=5%,"Narrow lead/tie",IF(H312&lt;=20%,"Moderate lead","Large lead"))))))</x:f>
        <x:v>Large deficit</x:v>
      </x:c>
    </x:row>
    <x:row r="313">
      <x:c r="A313" t="n">
        <x:v>254</x:v>
      </x:c>
      <x:c r="B313" t="str">
        <x:v>PRY. SCHOOL MURADGARHI R.NO. 2</x:v>
      </x:c>
      <x:c r="C313" s="83" t="n">
        <x:f>'2019 Form20'!H262</x:f>
        <x:v>77</x:v>
      </x:c>
      <x:c r="D313" s="83" t="n">
        <x:f>'2019 Form20'!D262</x:f>
        <x:v>353</x:v>
      </x:c>
      <x:c r="E313" s="50" t="n">
        <x:f>'2019 Form20'!U262</x:f>
        <x:v>0.21813031161473087</x:v>
      </x:c>
      <x:c r="F313" t="n">
        <x:f>'2019 Form20'!V262</x:f>
        <x:v>260</x:v>
      </x:c>
      <x:c r="G313" t="n">
        <x:f>'2019 Form20'!W262</x:f>
        <x:v>-183</x:v>
      </x:c>
      <x:c r="H313" s="52" t="n">
        <x:f>'2019 Form20'!X262</x:f>
        <x:v>-0.5184135977337111</x:v>
      </x:c>
      <x:c r="I313" t="str">
        <x:v>DR. MAHESH SHARMA</x:v>
      </x:c>
      <x:c r="J313" t="str">
        <x:v>BJP</x:v>
      </x:c>
      <x:c r="K313" t="str">
        <x:v>EVM row</x:v>
      </x:c>
      <x:c r="L313" s="133" t="str">
        <x:f>IF(D313&lt;=0,"No EVM votes",IF(E313&lt;$N$7,"Low",IF(E313&gt;$R$7,"High","Middle")))</x:f>
        <x:v>Low</x:v>
      </x:c>
      <x:c r="M313" s="133" t="str">
        <x:f>IF(D313&lt;=0,"No EVM votes",IF(H313&lt;-20%,"Large deficit",IF(H313&lt;-5%,"Moderate deficit",IF(H313&lt;0,"Narrow deficit",IF(H313&lt;=5%,"Narrow lead/tie",IF(H313&lt;=20%,"Moderate lead","Large lead"))))))</x:f>
        <x:v>Large deficit</x:v>
      </x:c>
    </x:row>
    <x:row r="314">
      <x:c r="A314" t="n">
        <x:v>255</x:v>
      </x:c>
      <x:c r="B314" t="str">
        <x:v>PRY. SCHOOL NAGLA BHATONA MAZRA KARAULI BANGAR R.NO. 1</x:v>
      </x:c>
      <x:c r="C314" s="83" t="n">
        <x:f>'2019 Form20'!H263</x:f>
        <x:v>126</x:v>
      </x:c>
      <x:c r="D314" s="83" t="n">
        <x:f>'2019 Form20'!D263</x:f>
        <x:v>547</x:v>
      </x:c>
      <x:c r="E314" s="50" t="n">
        <x:f>'2019 Form20'!U263</x:f>
        <x:v>0.2303473491773309</x:v>
      </x:c>
      <x:c r="F314" t="n">
        <x:f>'2019 Form20'!V263</x:f>
        <x:v>405</x:v>
      </x:c>
      <x:c r="G314" t="n">
        <x:f>'2019 Form20'!W263</x:f>
        <x:v>-279</x:v>
      </x:c>
      <x:c r="H314" s="52" t="n">
        <x:f>'2019 Form20'!X263</x:f>
        <x:v>-0.5100548446069469</x:v>
      </x:c>
      <x:c r="I314" t="str">
        <x:v>DR. MAHESH SHARMA</x:v>
      </x:c>
      <x:c r="J314" t="str">
        <x:v>BJP</x:v>
      </x:c>
      <x:c r="K314" t="str">
        <x:v>EVM row</x:v>
      </x:c>
      <x:c r="L314" s="133" t="str">
        <x:f>IF(D314&lt;=0,"No EVM votes",IF(E314&lt;$N$7,"Low",IF(E314&gt;$R$7,"High","Middle")))</x:f>
        <x:v>Middle</x:v>
      </x:c>
      <x:c r="M314" s="133" t="str">
        <x:f>IF(D314&lt;=0,"No EVM votes",IF(H314&lt;-20%,"Large deficit",IF(H314&lt;-5%,"Moderate deficit",IF(H314&lt;0,"Narrow deficit",IF(H314&lt;=5%,"Narrow lead/tie",IF(H314&lt;=20%,"Moderate lead","Large lead"))))))</x:f>
        <x:v>Large deficit</x:v>
      </x:c>
    </x:row>
    <x:row r="315">
      <x:c r="A315" t="n">
        <x:v>256</x:v>
      </x:c>
      <x:c r="B315" t="str">
        <x:v>PRY. SCHOOL NAGLA HUKAM SINGH MAZRA KARAULI BANGAR R.NO. 1</x:v>
      </x:c>
      <x:c r="C315" s="83" t="n">
        <x:f>'2019 Form20'!H264</x:f>
        <x:v>103</x:v>
      </x:c>
      <x:c r="D315" s="83" t="n">
        <x:f>'2019 Form20'!D264</x:f>
        <x:v>589</x:v>
      </x:c>
      <x:c r="E315" s="50" t="n">
        <x:f>'2019 Form20'!U264</x:f>
        <x:v>0.17487266553480477</x:v>
      </x:c>
      <x:c r="F315" t="n">
        <x:f>'2019 Form20'!V264</x:f>
        <x:v>471</x:v>
      </x:c>
      <x:c r="G315" t="n">
        <x:f>'2019 Form20'!W264</x:f>
        <x:v>-368</x:v>
      </x:c>
      <x:c r="H315" s="52" t="n">
        <x:f>'2019 Form20'!X264</x:f>
        <x:v>-0.6247877758913413</x:v>
      </x:c>
      <x:c r="I315" t="str">
        <x:v>DR. MAHESH SHARMA</x:v>
      </x:c>
      <x:c r="J315" t="str">
        <x:v>BJP</x:v>
      </x:c>
      <x:c r="K315" t="str">
        <x:v>EVM row</x:v>
      </x:c>
      <x:c r="L315" s="133" t="str">
        <x:f>IF(D315&lt;=0,"No EVM votes",IF(E315&lt;$N$7,"Low",IF(E315&gt;$R$7,"High","Middle")))</x:f>
        <x:v>Low</x:v>
      </x:c>
      <x:c r="M315" s="133" t="str">
        <x:f>IF(D315&lt;=0,"No EVM votes",IF(H315&lt;-20%,"Large deficit",IF(H315&lt;-5%,"Moderate deficit",IF(H315&lt;0,"Narrow deficit",IF(H315&lt;=5%,"Narrow lead/tie",IF(H315&lt;=20%,"Moderate lead","Large lead"))))))</x:f>
        <x:v>Large deficit</x:v>
      </x:c>
    </x:row>
    <x:row r="316">
      <x:c r="A316" t="n">
        <x:v>257</x:v>
      </x:c>
      <x:c r="B316" t="str">
        <x:v>PRY. SCHOOL NAGLA HUKAM SINGH MAZRA KARAULI BANGAR R.NO. 2</x:v>
      </x:c>
      <x:c r="C316" s="83" t="n">
        <x:f>'2019 Form20'!H265</x:f>
        <x:v>357</x:v>
      </x:c>
      <x:c r="D316" s="83" t="n">
        <x:f>'2019 Form20'!D265</x:f>
        <x:v>443</x:v>
      </x:c>
      <x:c r="E316" s="50" t="n">
        <x:f>'2019 Form20'!U265</x:f>
        <x:v>0.8058690744920993</x:v>
      </x:c>
      <x:c r="F316" t="n">
        <x:f>'2019 Form20'!V265</x:f>
        <x:v>76</x:v>
      </x:c>
      <x:c r="G316" t="n">
        <x:f>'2019 Form20'!W265</x:f>
        <x:v>281</x:v>
      </x:c>
      <x:c r="H316" s="52" t="n">
        <x:f>'2019 Form20'!X265</x:f>
        <x:v>0.6343115124153499</x:v>
      </x:c>
      <x:c r="I316" t="str">
        <x:v>SATVEER</x:v>
      </x:c>
      <x:c r="J316" t="str">
        <x:v>BSP</x:v>
      </x:c>
      <x:c r="K316" t="str">
        <x:v>EVM row</x:v>
      </x:c>
      <x:c r="L316" s="133" t="str">
        <x:f>IF(D316&lt;=0,"No EVM votes",IF(E316&lt;$N$7,"Low",IF(E316&gt;$R$7,"High","Middle")))</x:f>
        <x:v>High</x:v>
      </x:c>
      <x:c r="M316" s="133" t="str">
        <x:f>IF(D316&lt;=0,"No EVM votes",IF(H316&lt;-20%,"Large deficit",IF(H316&lt;-5%,"Moderate deficit",IF(H316&lt;0,"Narrow deficit",IF(H316&lt;=5%,"Narrow lead/tie",IF(H316&lt;=20%,"Moderate lead","Large lead"))))))</x:f>
        <x:v>Large lead</x:v>
      </x:c>
    </x:row>
    <x:row r="317">
      <x:c r="A317" t="n">
        <x:v>258</x:v>
      </x:c>
      <x:c r="B317" t="str">
        <x:v>PRY. SCHOOL NAGLA KANCHAN MAZRA KARAULI BANGAR R.NO. 1</x:v>
      </x:c>
      <x:c r="C317" s="83" t="n">
        <x:f>'2019 Form20'!H266</x:f>
        <x:v>208</x:v>
      </x:c>
      <x:c r="D317" s="83" t="n">
        <x:f>'2019 Form20'!D266</x:f>
        <x:v>603</x:v>
      </x:c>
      <x:c r="E317" s="50" t="n">
        <x:f>'2019 Form20'!U266</x:f>
        <x:v>0.3449419568822554</x:v>
      </x:c>
      <x:c r="F317" t="n">
        <x:f>'2019 Form20'!V266</x:f>
        <x:v>377</x:v>
      </x:c>
      <x:c r="G317" t="n">
        <x:f>'2019 Form20'!W266</x:f>
        <x:v>-169</x:v>
      </x:c>
      <x:c r="H317" s="52" t="n">
        <x:f>'2019 Form20'!X266</x:f>
        <x:v>-0.2802653399668325</x:v>
      </x:c>
      <x:c r="I317" t="str">
        <x:v>DR. MAHESH SHARMA</x:v>
      </x:c>
      <x:c r="J317" t="str">
        <x:v>BJP</x:v>
      </x:c>
      <x:c r="K317" t="str">
        <x:v>EVM row</x:v>
      </x:c>
      <x:c r="L317" s="133" t="str">
        <x:f>IF(D317&lt;=0,"No EVM votes",IF(E317&lt;$N$7,"Low",IF(E317&gt;$R$7,"High","Middle")))</x:f>
        <x:v>Middle</x:v>
      </x:c>
      <x:c r="M317" s="133" t="str">
        <x:f>IF(D317&lt;=0,"No EVM votes",IF(H317&lt;-20%,"Large deficit",IF(H317&lt;-5%,"Moderate deficit",IF(H317&lt;0,"Narrow deficit",IF(H317&lt;=5%,"Narrow lead/tie",IF(H317&lt;=20%,"Moderate lead","Large lead"))))))</x:f>
        <x:v>Large deficit</x:v>
      </x:c>
    </x:row>
    <x:row r="318">
      <x:c r="A318" t="n">
        <x:v>259</x:v>
      </x:c>
      <x:c r="B318" t="str">
        <x:v>PRY. SCHOOL NAGLA CHANDAN MAZRA KARAULI BANGAR R.NO. 1</x:v>
      </x:c>
      <x:c r="C318" s="83" t="n">
        <x:f>'2019 Form20'!H267</x:f>
        <x:v>69</x:v>
      </x:c>
      <x:c r="D318" s="83" t="n">
        <x:f>'2019 Form20'!D267</x:f>
        <x:v>392</x:v>
      </x:c>
      <x:c r="E318" s="50" t="n">
        <x:f>'2019 Form20'!U267</x:f>
        <x:v>0.1760204081632653</x:v>
      </x:c>
      <x:c r="F318" t="n">
        <x:f>'2019 Form20'!V267</x:f>
        <x:v>311</x:v>
      </x:c>
      <x:c r="G318" t="n">
        <x:f>'2019 Form20'!W267</x:f>
        <x:v>-242</x:v>
      </x:c>
      <x:c r="H318" s="52" t="n">
        <x:f>'2019 Form20'!X267</x:f>
        <x:v>-0.6173469387755102</x:v>
      </x:c>
      <x:c r="I318" t="str">
        <x:v>DR. MAHESH SHARMA</x:v>
      </x:c>
      <x:c r="J318" t="str">
        <x:v>BJP</x:v>
      </x:c>
      <x:c r="K318" t="str">
        <x:v>EVM row</x:v>
      </x:c>
      <x:c r="L318" s="133" t="str">
        <x:f>IF(D318&lt;=0,"No EVM votes",IF(E318&lt;$N$7,"Low",IF(E318&gt;$R$7,"High","Middle")))</x:f>
        <x:v>Low</x:v>
      </x:c>
      <x:c r="M318" s="133" t="str">
        <x:f>IF(D318&lt;=0,"No EVM votes",IF(H318&lt;-20%,"Large deficit",IF(H318&lt;-5%,"Moderate deficit",IF(H318&lt;0,"Narrow deficit",IF(H318&lt;=5%,"Narrow lead/tie",IF(H318&lt;=20%,"Moderate lead","Large lead"))))))</x:f>
        <x:v>Large deficit</x:v>
      </x:c>
    </x:row>
    <x:row r="319">
      <x:c r="A319" t="n">
        <x:v>260</x:v>
      </x:c>
      <x:c r="B319" t="str">
        <x:v>J. H. SCHOOL FALAINDA BANGAR R.NO. 1</x:v>
      </x:c>
      <x:c r="C319" s="83" t="n">
        <x:f>'2019 Form20'!H268</x:f>
        <x:v>446</x:v>
      </x:c>
      <x:c r="D319" s="83" t="n">
        <x:f>'2019 Form20'!D268</x:f>
        <x:v>659</x:v>
      </x:c>
      <x:c r="E319" s="50" t="n">
        <x:f>'2019 Form20'!U268</x:f>
        <x:v>0.6767830045523521</x:v>
      </x:c>
      <x:c r="F319" t="n">
        <x:f>'2019 Form20'!V268</x:f>
        <x:v>192</x:v>
      </x:c>
      <x:c r="G319" t="n">
        <x:f>'2019 Form20'!W268</x:f>
        <x:v>254</x:v>
      </x:c>
      <x:c r="H319" s="52" t="n">
        <x:f>'2019 Form20'!X268</x:f>
        <x:v>0.38543247344461307</x:v>
      </x:c>
      <x:c r="I319" t="str">
        <x:v>SATVEER</x:v>
      </x:c>
      <x:c r="J319" t="str">
        <x:v>BSP</x:v>
      </x:c>
      <x:c r="K319" t="str">
        <x:v>EVM row</x:v>
      </x:c>
      <x:c r="L319" s="133" t="str">
        <x:f>IF(D319&lt;=0,"No EVM votes",IF(E319&lt;$N$7,"Low",IF(E319&gt;$R$7,"High","Middle")))</x:f>
        <x:v>High</x:v>
      </x:c>
      <x:c r="M319" s="133" t="str">
        <x:f>IF(D319&lt;=0,"No EVM votes",IF(H319&lt;-20%,"Large deficit",IF(H319&lt;-5%,"Moderate deficit",IF(H319&lt;0,"Narrow deficit",IF(H319&lt;=5%,"Narrow lead/tie",IF(H319&lt;=20%,"Moderate lead","Large lead"))))))</x:f>
        <x:v>Large lead</x:v>
      </x:c>
    </x:row>
    <x:row r="320">
      <x:c r="A320" t="n">
        <x:v>261</x:v>
      </x:c>
      <x:c r="B320" t="str">
        <x:v>J. H. SCHOOL FALAINDA BANGAR R.NO. 2</x:v>
      </x:c>
      <x:c r="C320" s="83" t="n">
        <x:f>'2019 Form20'!H269</x:f>
        <x:v>60</x:v>
      </x:c>
      <x:c r="D320" s="83" t="n">
        <x:f>'2019 Form20'!D269</x:f>
        <x:v>490</x:v>
      </x:c>
      <x:c r="E320" s="50" t="n">
        <x:f>'2019 Form20'!U269</x:f>
        <x:v>0.12244897959183673</x:v>
      </x:c>
      <x:c r="F320" t="n">
        <x:f>'2019 Form20'!V269</x:f>
        <x:v>418</x:v>
      </x:c>
      <x:c r="G320" t="n">
        <x:f>'2019 Form20'!W269</x:f>
        <x:v>-358</x:v>
      </x:c>
      <x:c r="H320" s="52" t="n">
        <x:f>'2019 Form20'!X269</x:f>
        <x:v>-0.7306122448979592</x:v>
      </x:c>
      <x:c r="I320" t="str">
        <x:v>DR. MAHESH SHARMA</x:v>
      </x:c>
      <x:c r="J320" t="str">
        <x:v>BJP</x:v>
      </x:c>
      <x:c r="K320" t="str">
        <x:v>EVM row</x:v>
      </x:c>
      <x:c r="L320" s="133" t="str">
        <x:f>IF(D320&lt;=0,"No EVM votes",IF(E320&lt;$N$7,"Low",IF(E320&gt;$R$7,"High","Middle")))</x:f>
        <x:v>Low</x:v>
      </x:c>
      <x:c r="M320" s="133" t="str">
        <x:f>IF(D320&lt;=0,"No EVM votes",IF(H320&lt;-20%,"Large deficit",IF(H320&lt;-5%,"Moderate deficit",IF(H320&lt;0,"Narrow deficit",IF(H320&lt;=5%,"Narrow lead/tie",IF(H320&lt;=20%,"Moderate lead","Large lead"))))))</x:f>
        <x:v>Large deficit</x:v>
      </x:c>
    </x:row>
    <x:row r="321">
      <x:c r="A321" t="n">
        <x:v>262</x:v>
      </x:c>
      <x:c r="B321" t="str">
        <x:v>J. H. SCHOOL FALAINDA BANGAR R.NO. 3</x:v>
      </x:c>
      <x:c r="C321" s="83" t="n">
        <x:f>'2019 Form20'!H270</x:f>
        <x:v>240</x:v>
      </x:c>
      <x:c r="D321" s="83" t="n">
        <x:f>'2019 Form20'!D270</x:f>
        <x:v>715</x:v>
      </x:c>
      <x:c r="E321" s="50" t="n">
        <x:f>'2019 Form20'!U270</x:f>
        <x:v>0.3356643356643357</x:v>
      </x:c>
      <x:c r="F321" t="n">
        <x:f>'2019 Form20'!V270</x:f>
        <x:v>444</x:v>
      </x:c>
      <x:c r="G321" t="n">
        <x:f>'2019 Form20'!W270</x:f>
        <x:v>-204</x:v>
      </x:c>
      <x:c r="H321" s="52" t="n">
        <x:f>'2019 Form20'!X270</x:f>
        <x:v>-0.2853146853146853</x:v>
      </x:c>
      <x:c r="I321" t="str">
        <x:v>DR. MAHESH SHARMA</x:v>
      </x:c>
      <x:c r="J321" t="str">
        <x:v>BJP</x:v>
      </x:c>
      <x:c r="K321" t="str">
        <x:v>EVM row</x:v>
      </x:c>
      <x:c r="L321" s="133" t="str">
        <x:f>IF(D321&lt;=0,"No EVM votes",IF(E321&lt;$N$7,"Low",IF(E321&gt;$R$7,"High","Middle")))</x:f>
        <x:v>Middle</x:v>
      </x:c>
      <x:c r="M321" s="133" t="str">
        <x:f>IF(D321&lt;=0,"No EVM votes",IF(H321&lt;-20%,"Large deficit",IF(H321&lt;-5%,"Moderate deficit",IF(H321&lt;0,"Narrow deficit",IF(H321&lt;=5%,"Narrow lead/tie",IF(H321&lt;=20%,"Moderate lead","Large lead"))))))</x:f>
        <x:v>Large deficit</x:v>
      </x:c>
    </x:row>
    <x:row r="322">
      <x:c r="A322" t="n">
        <x:v>263</x:v>
      </x:c>
      <x:c r="B322" t="str">
        <x:v>J. H. SCHOOL FALAINDA BANGAR R.NO. 4</x:v>
      </x:c>
      <x:c r="C322" s="83" t="n">
        <x:f>'2019 Form20'!H271</x:f>
        <x:v>32</x:v>
      </x:c>
      <x:c r="D322" s="83" t="n">
        <x:f>'2019 Form20'!D271</x:f>
        <x:v>485</x:v>
      </x:c>
      <x:c r="E322" s="50" t="n">
        <x:f>'2019 Form20'!U271</x:f>
        <x:v>0.06597938144329897</x:v>
      </x:c>
      <x:c r="F322" t="n">
        <x:f>'2019 Form20'!V271</x:f>
        <x:v>445</x:v>
      </x:c>
      <x:c r="G322" t="n">
        <x:f>'2019 Form20'!W271</x:f>
        <x:v>-413</x:v>
      </x:c>
      <x:c r="H322" s="52" t="n">
        <x:f>'2019 Form20'!X271</x:f>
        <x:v>-0.8515463917525773</x:v>
      </x:c>
      <x:c r="I322" t="str">
        <x:v>DR. MAHESH SHARMA</x:v>
      </x:c>
      <x:c r="J322" t="str">
        <x:v>BJP</x:v>
      </x:c>
      <x:c r="K322" t="str">
        <x:v>EVM row</x:v>
      </x:c>
      <x:c r="L322" s="133" t="str">
        <x:f>IF(D322&lt;=0,"No EVM votes",IF(E322&lt;$N$7,"Low",IF(E322&gt;$R$7,"High","Middle")))</x:f>
        <x:v>Low</x:v>
      </x:c>
      <x:c r="M322" s="133" t="str">
        <x:f>IF(D322&lt;=0,"No EVM votes",IF(H322&lt;-20%,"Large deficit",IF(H322&lt;-5%,"Moderate deficit",IF(H322&lt;0,"Narrow deficit",IF(H322&lt;=5%,"Narrow lead/tie",IF(H322&lt;=20%,"Moderate lead","Large lead"))))))</x:f>
        <x:v>Large deficit</x:v>
      </x:c>
    </x:row>
    <x:row r="323">
      <x:c r="A323" t="n">
        <x:v>264</x:v>
      </x:c>
      <x:c r="B323" t="str">
        <x:v>J. H. SCHOOL FALAINDA BANGAR R.NO. 5</x:v>
      </x:c>
      <x:c r="C323" s="83" t="n">
        <x:f>'2019 Form20'!H272</x:f>
        <x:v>50</x:v>
      </x:c>
      <x:c r="D323" s="83" t="n">
        <x:f>'2019 Form20'!D272</x:f>
        <x:v>663</x:v>
      </x:c>
      <x:c r="E323" s="50" t="n">
        <x:f>'2019 Form20'!U272</x:f>
        <x:v>0.07541478129713423</x:v>
      </x:c>
      <x:c r="F323" t="n">
        <x:f>'2019 Form20'!V272</x:f>
        <x:v>600</x:v>
      </x:c>
      <x:c r="G323" t="n">
        <x:f>'2019 Form20'!W272</x:f>
        <x:v>-550</x:v>
      </x:c>
      <x:c r="H323" s="52" t="n">
        <x:f>'2019 Form20'!X272</x:f>
        <x:v>-0.8295625942684767</x:v>
      </x:c>
      <x:c r="I323" t="str">
        <x:v>DR. MAHESH SHARMA</x:v>
      </x:c>
      <x:c r="J323" t="str">
        <x:v>BJP</x:v>
      </x:c>
      <x:c r="K323" t="str">
        <x:v>EVM row</x:v>
      </x:c>
      <x:c r="L323" s="133" t="str">
        <x:f>IF(D323&lt;=0,"No EVM votes",IF(E323&lt;$N$7,"Low",IF(E323&gt;$R$7,"High","Middle")))</x:f>
        <x:v>Low</x:v>
      </x:c>
      <x:c r="M323" s="133" t="str">
        <x:f>IF(D323&lt;=0,"No EVM votes",IF(H323&lt;-20%,"Large deficit",IF(H323&lt;-5%,"Moderate deficit",IF(H323&lt;0,"Narrow deficit",IF(H323&lt;=5%,"Narrow lead/tie",IF(H323&lt;=20%,"Moderate lead","Large lead"))))))</x:f>
        <x:v>Large deficit</x:v>
      </x:c>
    </x:row>
    <x:row r="324">
      <x:c r="A324" t="n">
        <x:v>265</x:v>
      </x:c>
      <x:c r="B324" t="str">
        <x:v>PRY. SCHOOL NAGLA HANDA MAZRA KURAIB R.NO. 1</x:v>
      </x:c>
      <x:c r="C324" s="83" t="n">
        <x:f>'2019 Form20'!H273</x:f>
        <x:v>471</x:v>
      </x:c>
      <x:c r="D324" s="83" t="n">
        <x:f>'2019 Form20'!D273</x:f>
        <x:v>515</x:v>
      </x:c>
      <x:c r="E324" s="50" t="n">
        <x:f>'2019 Form20'!U273</x:f>
        <x:v>0.9145631067961165</x:v>
      </x:c>
      <x:c r="F324" t="n">
        <x:f>'2019 Form20'!V273</x:f>
        <x:v>29</x:v>
      </x:c>
      <x:c r="G324" t="n">
        <x:f>'2019 Form20'!W273</x:f>
        <x:v>442</x:v>
      </x:c>
      <x:c r="H324" s="52" t="n">
        <x:f>'2019 Form20'!X273</x:f>
        <x:v>0.858252427184466</x:v>
      </x:c>
      <x:c r="I324" t="str">
        <x:v>SATVEER</x:v>
      </x:c>
      <x:c r="J324" t="str">
        <x:v>BSP</x:v>
      </x:c>
      <x:c r="K324" t="str">
        <x:v>EVM row</x:v>
      </x:c>
      <x:c r="L324" s="133" t="str">
        <x:f>IF(D324&lt;=0,"No EVM votes",IF(E324&lt;$N$7,"Low",IF(E324&gt;$R$7,"High","Middle")))</x:f>
        <x:v>High</x:v>
      </x:c>
      <x:c r="M324" s="133" t="str">
        <x:f>IF(D324&lt;=0,"No EVM votes",IF(H324&lt;-20%,"Large deficit",IF(H324&lt;-5%,"Moderate deficit",IF(H324&lt;0,"Narrow deficit",IF(H324&lt;=5%,"Narrow lead/tie",IF(H324&lt;=20%,"Moderate lead","Large lead"))))))</x:f>
        <x:v>Large lead</x:v>
      </x:c>
    </x:row>
    <x:row r="325">
      <x:c r="A325" t="n">
        <x:v>266</x:v>
      </x:c>
      <x:c r="B325" t="str">
        <x:v>PRY. SCHOOL KURAIB R.NO. 1</x:v>
      </x:c>
      <x:c r="C325" s="83" t="n">
        <x:f>'2019 Form20'!H274</x:f>
        <x:v>641</x:v>
      </x:c>
      <x:c r="D325" s="83" t="n">
        <x:f>'2019 Form20'!D274</x:f>
        <x:v>688</x:v>
      </x:c>
      <x:c r="E325" s="50" t="n">
        <x:f>'2019 Form20'!U274</x:f>
        <x:v>0.9316860465116279</x:v>
      </x:c>
      <x:c r="F325" t="n">
        <x:f>'2019 Form20'!V274</x:f>
        <x:v>10</x:v>
      </x:c>
      <x:c r="G325" t="n">
        <x:f>'2019 Form20'!W274</x:f>
        <x:v>631</x:v>
      </x:c>
      <x:c r="H325" s="52" t="n">
        <x:f>'2019 Form20'!X274</x:f>
        <x:v>0.9171511627906976</x:v>
      </x:c>
      <x:c r="I325" t="str">
        <x:v>SATVEER</x:v>
      </x:c>
      <x:c r="J325" t="str">
        <x:v>BSP</x:v>
      </x:c>
      <x:c r="K325" t="str">
        <x:v>EVM row</x:v>
      </x:c>
      <x:c r="L325" s="133" t="str">
        <x:f>IF(D325&lt;=0,"No EVM votes",IF(E325&lt;$N$7,"Low",IF(E325&gt;$R$7,"High","Middle")))</x:f>
        <x:v>High</x:v>
      </x:c>
      <x:c r="M325" s="133" t="str">
        <x:f>IF(D325&lt;=0,"No EVM votes",IF(H325&lt;-20%,"Large deficit",IF(H325&lt;-5%,"Moderate deficit",IF(H325&lt;0,"Narrow deficit",IF(H325&lt;=5%,"Narrow lead/tie",IF(H325&lt;=20%,"Moderate lead","Large lead"))))))</x:f>
        <x:v>Large lead</x:v>
      </x:c>
    </x:row>
    <x:row r="326">
      <x:c r="A326" t="n">
        <x:v>267</x:v>
      </x:c>
      <x:c r="B326" t="str">
        <x:v>J. H. S. KURAIB R.N. 1</x:v>
      </x:c>
      <x:c r="C326" s="83" t="n">
        <x:f>'2019 Form20'!H275</x:f>
        <x:v>630</x:v>
      </x:c>
      <x:c r="D326" s="83" t="n">
        <x:f>'2019 Form20'!D275</x:f>
        <x:v>708</x:v>
      </x:c>
      <x:c r="E326" s="50" t="n">
        <x:f>'2019 Form20'!U275</x:f>
        <x:v>0.8898305084745762</x:v>
      </x:c>
      <x:c r="F326" t="n">
        <x:f>'2019 Form20'!V275</x:f>
        <x:v>57</x:v>
      </x:c>
      <x:c r="G326" t="n">
        <x:f>'2019 Form20'!W275</x:f>
        <x:v>573</x:v>
      </x:c>
      <x:c r="H326" s="52" t="n">
        <x:f>'2019 Form20'!X275</x:f>
        <x:v>0.809322033898305</x:v>
      </x:c>
      <x:c r="I326" t="str">
        <x:v>SATVEER</x:v>
      </x:c>
      <x:c r="J326" t="str">
        <x:v>BSP</x:v>
      </x:c>
      <x:c r="K326" t="str">
        <x:v>EVM row</x:v>
      </x:c>
      <x:c r="L326" s="133" t="str">
        <x:f>IF(D326&lt;=0,"No EVM votes",IF(E326&lt;$N$7,"Low",IF(E326&gt;$R$7,"High","Middle")))</x:f>
        <x:v>High</x:v>
      </x:c>
      <x:c r="M326" s="133" t="str">
        <x:f>IF(D326&lt;=0,"No EVM votes",IF(H326&lt;-20%,"Large deficit",IF(H326&lt;-5%,"Moderate deficit",IF(H326&lt;0,"Narrow deficit",IF(H326&lt;=5%,"Narrow lead/tie",IF(H326&lt;=20%,"Moderate lead","Large lead"))))))</x:f>
        <x:v>Large lead</x:v>
      </x:c>
    </x:row>
    <x:row r="327">
      <x:c r="A327" t="n">
        <x:v>268</x:v>
      </x:c>
      <x:c r="B327" t="str">
        <x:v>J. H. S. KURAIB R.N. 2</x:v>
      </x:c>
      <x:c r="C327" s="83" t="n">
        <x:f>'2019 Form20'!H276</x:f>
        <x:v>122</x:v>
      </x:c>
      <x:c r="D327" s="83" t="n">
        <x:f>'2019 Form20'!D276</x:f>
        <x:v>724</x:v>
      </x:c>
      <x:c r="E327" s="50" t="n">
        <x:f>'2019 Form20'!U276</x:f>
        <x:v>0.1685082872928177</x:v>
      </x:c>
      <x:c r="F327" t="n">
        <x:f>'2019 Form20'!V276</x:f>
        <x:v>596</x:v>
      </x:c>
      <x:c r="G327" t="n">
        <x:f>'2019 Form20'!W276</x:f>
        <x:v>-474</x:v>
      </x:c>
      <x:c r="H327" s="52" t="n">
        <x:f>'2019 Form20'!X276</x:f>
        <x:v>-0.6546961325966851</x:v>
      </x:c>
      <x:c r="I327" t="str">
        <x:v>DR. MAHESH SHARMA</x:v>
      </x:c>
      <x:c r="J327" t="str">
        <x:v>BJP</x:v>
      </x:c>
      <x:c r="K327" t="str">
        <x:v>EVM row</x:v>
      </x:c>
      <x:c r="L327" s="133" t="str">
        <x:f>IF(D327&lt;=0,"No EVM votes",IF(E327&lt;$N$7,"Low",IF(E327&gt;$R$7,"High","Middle")))</x:f>
        <x:v>Low</x:v>
      </x:c>
      <x:c r="M327" s="133" t="str">
        <x:f>IF(D327&lt;=0,"No EVM votes",IF(H327&lt;-20%,"Large deficit",IF(H327&lt;-5%,"Moderate deficit",IF(H327&lt;0,"Narrow deficit",IF(H327&lt;=5%,"Narrow lead/tie",IF(H327&lt;=20%,"Moderate lead","Large lead"))))))</x:f>
        <x:v>Large deficit</x:v>
      </x:c>
    </x:row>
    <x:row r="328">
      <x:c r="A328" t="n">
        <x:v>269</x:v>
      </x:c>
      <x:c r="B328" t="str">
        <x:v>PRY. SCHOOL RANHAIRA R.NO. 1</x:v>
      </x:c>
      <x:c r="C328" s="83" t="n">
        <x:f>'2019 Form20'!H277</x:f>
        <x:v>184</x:v>
      </x:c>
      <x:c r="D328" s="83" t="n">
        <x:f>'2019 Form20'!D277</x:f>
        <x:v>410</x:v>
      </x:c>
      <x:c r="E328" s="50" t="n">
        <x:f>'2019 Form20'!U277</x:f>
        <x:v>0.44878048780487806</x:v>
      </x:c>
      <x:c r="F328" t="n">
        <x:f>'2019 Form20'!V277</x:f>
        <x:v>213</x:v>
      </x:c>
      <x:c r="G328" t="n">
        <x:f>'2019 Form20'!W277</x:f>
        <x:v>-29</x:v>
      </x:c>
      <x:c r="H328" s="52" t="n">
        <x:f>'2019 Form20'!X277</x:f>
        <x:v>-0.07073170731707316</x:v>
      </x:c>
      <x:c r="I328" t="str">
        <x:v>DR. MAHESH SHARMA</x:v>
      </x:c>
      <x:c r="J328" t="str">
        <x:v>BJP</x:v>
      </x:c>
      <x:c r="K328" t="str">
        <x:v>EVM row</x:v>
      </x:c>
      <x:c r="L328" s="133" t="str">
        <x:f>IF(D328&lt;=0,"No EVM votes",IF(E328&lt;$N$7,"Low",IF(E328&gt;$R$7,"High","Middle")))</x:f>
        <x:v>Middle</x:v>
      </x:c>
      <x:c r="M328" s="133" t="str">
        <x:f>IF(D328&lt;=0,"No EVM votes",IF(H328&lt;-20%,"Large deficit",IF(H328&lt;-5%,"Moderate deficit",IF(H328&lt;0,"Narrow deficit",IF(H328&lt;=5%,"Narrow lead/tie",IF(H328&lt;=20%,"Moderate lead","Large lead"))))))</x:f>
        <x:v>Moderate deficit</x:v>
      </x:c>
    </x:row>
    <x:row r="329">
      <x:c r="A329" t="n">
        <x:v>270</x:v>
      </x:c>
      <x:c r="B329" t="str">
        <x:v>PRY. SCHOOL RANHAIRA R.NO. 2</x:v>
      </x:c>
      <x:c r="C329" s="83" t="n">
        <x:f>'2019 Form20'!H278</x:f>
        <x:v>68</x:v>
      </x:c>
      <x:c r="D329" s="83" t="n">
        <x:f>'2019 Form20'!D278</x:f>
        <x:v>438</x:v>
      </x:c>
      <x:c r="E329" s="50" t="n">
        <x:f>'2019 Form20'!U278</x:f>
        <x:v>0.1552511415525114</x:v>
      </x:c>
      <x:c r="F329" t="n">
        <x:f>'2019 Form20'!V278</x:f>
        <x:v>355</x:v>
      </x:c>
      <x:c r="G329" t="n">
        <x:f>'2019 Form20'!W278</x:f>
        <x:v>-287</x:v>
      </x:c>
      <x:c r="H329" s="52" t="n">
        <x:f>'2019 Form20'!X278</x:f>
        <x:v>-0.6552511415525114</x:v>
      </x:c>
      <x:c r="I329" t="str">
        <x:v>DR. MAHESH SHARMA</x:v>
      </x:c>
      <x:c r="J329" t="str">
        <x:v>BJP</x:v>
      </x:c>
      <x:c r="K329" t="str">
        <x:v>EVM row</x:v>
      </x:c>
      <x:c r="L329" s="133" t="str">
        <x:f>IF(D329&lt;=0,"No EVM votes",IF(E329&lt;$N$7,"Low",IF(E329&gt;$R$7,"High","Middle")))</x:f>
        <x:v>Low</x:v>
      </x:c>
      <x:c r="M329" s="133" t="str">
        <x:f>IF(D329&lt;=0,"No EVM votes",IF(H329&lt;-20%,"Large deficit",IF(H329&lt;-5%,"Moderate deficit",IF(H329&lt;0,"Narrow deficit",IF(H329&lt;=5%,"Narrow lead/tie",IF(H329&lt;=20%,"Moderate lead","Large lead"))))))</x:f>
        <x:v>Large deficit</x:v>
      </x:c>
    </x:row>
    <x:row r="330">
      <x:c r="A330" t="n">
        <x:v>271</x:v>
      </x:c>
      <x:c r="B330" t="str">
        <x:v>PRY. SCHOOL RANHAIRA R.NO. 3</x:v>
      </x:c>
      <x:c r="C330" s="83" t="n">
        <x:f>'2019 Form20'!H279</x:f>
        <x:v>96</x:v>
      </x:c>
      <x:c r="D330" s="83" t="n">
        <x:f>'2019 Form20'!D279</x:f>
        <x:v>511</x:v>
      </x:c>
      <x:c r="E330" s="50" t="n">
        <x:f>'2019 Form20'!U279</x:f>
        <x:v>0.18786692759295498</x:v>
      </x:c>
      <x:c r="F330" t="n">
        <x:f>'2019 Form20'!V279</x:f>
        <x:v>392</x:v>
      </x:c>
      <x:c r="G330" t="n">
        <x:f>'2019 Form20'!W279</x:f>
        <x:v>-296</x:v>
      </x:c>
      <x:c r="H330" s="52" t="n">
        <x:f>'2019 Form20'!X279</x:f>
        <x:v>-0.5792563600782779</x:v>
      </x:c>
      <x:c r="I330" t="str">
        <x:v>DR. MAHESH SHARMA</x:v>
      </x:c>
      <x:c r="J330" t="str">
        <x:v>BJP</x:v>
      </x:c>
      <x:c r="K330" t="str">
        <x:v>EVM row</x:v>
      </x:c>
      <x:c r="L330" s="133" t="str">
        <x:f>IF(D330&lt;=0,"No EVM votes",IF(E330&lt;$N$7,"Low",IF(E330&gt;$R$7,"High","Middle")))</x:f>
        <x:v>Low</x:v>
      </x:c>
      <x:c r="M330" s="133" t="str">
        <x:f>IF(D330&lt;=0,"No EVM votes",IF(H330&lt;-20%,"Large deficit",IF(H330&lt;-5%,"Moderate deficit",IF(H330&lt;0,"Narrow deficit",IF(H330&lt;=5%,"Narrow lead/tie",IF(H330&lt;=20%,"Moderate lead","Large lead"))))))</x:f>
        <x:v>Large deficit</x:v>
      </x:c>
    </x:row>
    <x:row r="331">
      <x:c r="A331" t="n">
        <x:v>272</x:v>
      </x:c>
      <x:c r="B331" t="str">
        <x:v>PRY. SCHOOL RANHAIRA R.NO. 4</x:v>
      </x:c>
      <x:c r="C331" s="83" t="n">
        <x:f>'2019 Form20'!H280</x:f>
        <x:v>63</x:v>
      </x:c>
      <x:c r="D331" s="83" t="n">
        <x:f>'2019 Form20'!D280</x:f>
        <x:v>436</x:v>
      </x:c>
      <x:c r="E331" s="50" t="n">
        <x:f>'2019 Form20'!U280</x:f>
        <x:v>0.1444954128440367</x:v>
      </x:c>
      <x:c r="F331" t="n">
        <x:f>'2019 Form20'!V280</x:f>
        <x:v>364</x:v>
      </x:c>
      <x:c r="G331" t="n">
        <x:f>'2019 Form20'!W280</x:f>
        <x:v>-301</x:v>
      </x:c>
      <x:c r="H331" s="52" t="n">
        <x:f>'2019 Form20'!X280</x:f>
        <x:v>-0.6903669724770642</x:v>
      </x:c>
      <x:c r="I331" t="str">
        <x:v>DR. MAHESH SHARMA</x:v>
      </x:c>
      <x:c r="J331" t="str">
        <x:v>BJP</x:v>
      </x:c>
      <x:c r="K331" t="str">
        <x:v>EVM row</x:v>
      </x:c>
      <x:c r="L331" s="133" t="str">
        <x:f>IF(D331&lt;=0,"No EVM votes",IF(E331&lt;$N$7,"Low",IF(E331&gt;$R$7,"High","Middle")))</x:f>
        <x:v>Low</x:v>
      </x:c>
      <x:c r="M331" s="133" t="str">
        <x:f>IF(D331&lt;=0,"No EVM votes",IF(H331&lt;-20%,"Large deficit",IF(H331&lt;-5%,"Moderate deficit",IF(H331&lt;0,"Narrow deficit",IF(H331&lt;=5%,"Narrow lead/tie",IF(H331&lt;=20%,"Moderate lead","Large lead"))))))</x:f>
        <x:v>Large deficit</x:v>
      </x:c>
    </x:row>
    <x:row r="332">
      <x:c r="A332" t="n">
        <x:v>273</x:v>
      </x:c>
      <x:c r="B332" t="str">
        <x:v>PRY. SCHOOL DAYANATPUR R.NO. 1</x:v>
      </x:c>
      <x:c r="C332" s="83" t="n">
        <x:f>'2019 Form20'!H281</x:f>
        <x:v>81</x:v>
      </x:c>
      <x:c r="D332" s="83" t="n">
        <x:f>'2019 Form20'!D281</x:f>
        <x:v>584</x:v>
      </x:c>
      <x:c r="E332" s="50" t="n">
        <x:f>'2019 Form20'!U281</x:f>
        <x:v>0.1386986301369863</x:v>
      </x:c>
      <x:c r="F332" t="n">
        <x:f>'2019 Form20'!V281</x:f>
        <x:v>458</x:v>
      </x:c>
      <x:c r="G332" t="n">
        <x:f>'2019 Form20'!W281</x:f>
        <x:v>-377</x:v>
      </x:c>
      <x:c r="H332" s="52" t="n">
        <x:f>'2019 Form20'!X281</x:f>
        <x:v>-0.6455479452054794</x:v>
      </x:c>
      <x:c r="I332" t="str">
        <x:v>DR. MAHESH SHARMA</x:v>
      </x:c>
      <x:c r="J332" t="str">
        <x:v>BJP</x:v>
      </x:c>
      <x:c r="K332" t="str">
        <x:v>EVM row</x:v>
      </x:c>
      <x:c r="L332" s="133" t="str">
        <x:f>IF(D332&lt;=0,"No EVM votes",IF(E332&lt;$N$7,"Low",IF(E332&gt;$R$7,"High","Middle")))</x:f>
        <x:v>Low</x:v>
      </x:c>
      <x:c r="M332" s="133" t="str">
        <x:f>IF(D332&lt;=0,"No EVM votes",IF(H332&lt;-20%,"Large deficit",IF(H332&lt;-5%,"Moderate deficit",IF(H332&lt;0,"Narrow deficit",IF(H332&lt;=5%,"Narrow lead/tie",IF(H332&lt;=20%,"Moderate lead","Large lead"))))))</x:f>
        <x:v>Large deficit</x:v>
      </x:c>
    </x:row>
    <x:row r="333">
      <x:c r="A333" t="n">
        <x:v>274</x:v>
      </x:c>
      <x:c r="B333" t="str">
        <x:v>PRY. SCHOOL DAYANATPUR R.NO. 2</x:v>
      </x:c>
      <x:c r="C333" s="83" t="n">
        <x:f>'2019 Form20'!H282</x:f>
        <x:v>63</x:v>
      </x:c>
      <x:c r="D333" s="83" t="n">
        <x:f>'2019 Form20'!D282</x:f>
        <x:v>702</x:v>
      </x:c>
      <x:c r="E333" s="50" t="n">
        <x:f>'2019 Form20'!U282</x:f>
        <x:v>0.08974358974358974</x:v>
      </x:c>
      <x:c r="F333" t="n">
        <x:f>'2019 Form20'!V282</x:f>
        <x:v>620</x:v>
      </x:c>
      <x:c r="G333" t="n">
        <x:f>'2019 Form20'!W282</x:f>
        <x:v>-557</x:v>
      </x:c>
      <x:c r="H333" s="52" t="n">
        <x:f>'2019 Form20'!X282</x:f>
        <x:v>-0.7934472934472935</x:v>
      </x:c>
      <x:c r="I333" t="str">
        <x:v>DR. MAHESH SHARMA</x:v>
      </x:c>
      <x:c r="J333" t="str">
        <x:v>BJP</x:v>
      </x:c>
      <x:c r="K333" t="str">
        <x:v>EVM row</x:v>
      </x:c>
      <x:c r="L333" s="133" t="str">
        <x:f>IF(D333&lt;=0,"No EVM votes",IF(E333&lt;$N$7,"Low",IF(E333&gt;$R$7,"High","Middle")))</x:f>
        <x:v>Low</x:v>
      </x:c>
      <x:c r="M333" s="133" t="str">
        <x:f>IF(D333&lt;=0,"No EVM votes",IF(H333&lt;-20%,"Large deficit",IF(H333&lt;-5%,"Moderate deficit",IF(H333&lt;0,"Narrow deficit",IF(H333&lt;=5%,"Narrow lead/tie",IF(H333&lt;=20%,"Moderate lead","Large lead"))))))</x:f>
        <x:v>Large deficit</x:v>
      </x:c>
    </x:row>
    <x:row r="334">
      <x:c r="A334" t="n">
        <x:v>275</x:v>
      </x:c>
      <x:c r="B334" t="str">
        <x:v>INTER COLLEGE DAYANATPUR R.NO. 1</x:v>
      </x:c>
      <x:c r="C334" s="83" t="n">
        <x:f>'2019 Form20'!H283</x:f>
        <x:v>684</x:v>
      </x:c>
      <x:c r="D334" s="83" t="n">
        <x:f>'2019 Form20'!D283</x:f>
        <x:v>717</x:v>
      </x:c>
      <x:c r="E334" s="50" t="n">
        <x:f>'2019 Form20'!U283</x:f>
        <x:v>0.9539748953974896</x:v>
      </x:c>
      <x:c r="F334" t="n">
        <x:f>'2019 Form20'!V283</x:f>
        <x:v>14</x:v>
      </x:c>
      <x:c r="G334" t="n">
        <x:f>'2019 Form20'!W283</x:f>
        <x:v>670</x:v>
      </x:c>
      <x:c r="H334" s="52" t="n">
        <x:f>'2019 Form20'!X283</x:f>
        <x:v>0.9344490934449093</x:v>
      </x:c>
      <x:c r="I334" t="str">
        <x:v>SATVEER</x:v>
      </x:c>
      <x:c r="J334" t="str">
        <x:v>BSP</x:v>
      </x:c>
      <x:c r="K334" t="str">
        <x:v>EVM row</x:v>
      </x:c>
      <x:c r="L334" s="133" t="str">
        <x:f>IF(D334&lt;=0,"No EVM votes",IF(E334&lt;$N$7,"Low",IF(E334&gt;$R$7,"High","Middle")))</x:f>
        <x:v>High</x:v>
      </x:c>
      <x:c r="M334" s="133" t="str">
        <x:f>IF(D334&lt;=0,"No EVM votes",IF(H334&lt;-20%,"Large deficit",IF(H334&lt;-5%,"Moderate deficit",IF(H334&lt;0,"Narrow deficit",IF(H334&lt;=5%,"Narrow lead/tie",IF(H334&lt;=20%,"Moderate lead","Large lead"))))))</x:f>
        <x:v>Large lead</x:v>
      </x:c>
    </x:row>
    <x:row r="335">
      <x:c r="A335" t="n">
        <x:v>276</x:v>
      </x:c>
      <x:c r="B335" t="str">
        <x:v>INTER COLLEGE DAYANATPUR R.NO. 2</x:v>
      </x:c>
      <x:c r="C335" s="83" t="n">
        <x:f>'2019 Form20'!H284</x:f>
        <x:v>198</x:v>
      </x:c>
      <x:c r="D335" s="83" t="n">
        <x:f>'2019 Form20'!D284</x:f>
        <x:v>487</x:v>
      </x:c>
      <x:c r="E335" s="50" t="n">
        <x:f>'2019 Form20'!U284</x:f>
        <x:v>0.406570841889117</x:v>
      </x:c>
      <x:c r="F335" t="n">
        <x:f>'2019 Form20'!V284</x:f>
        <x:v>278</x:v>
      </x:c>
      <x:c r="G335" t="n">
        <x:f>'2019 Form20'!W284</x:f>
        <x:v>-80</x:v>
      </x:c>
      <x:c r="H335" s="52" t="n">
        <x:f>'2019 Form20'!X284</x:f>
        <x:v>-0.16427104722792607</x:v>
      </x:c>
      <x:c r="I335" t="str">
        <x:v>DR. MAHESH SHARMA</x:v>
      </x:c>
      <x:c r="J335" t="str">
        <x:v>BJP</x:v>
      </x:c>
      <x:c r="K335" t="str">
        <x:v>EVM row</x:v>
      </x:c>
      <x:c r="L335" s="133" t="str">
        <x:f>IF(D335&lt;=0,"No EVM votes",IF(E335&lt;$N$7,"Low",IF(E335&gt;$R$7,"High","Middle")))</x:f>
        <x:v>Middle</x:v>
      </x:c>
      <x:c r="M335" s="133" t="str">
        <x:f>IF(D335&lt;=0,"No EVM votes",IF(H335&lt;-20%,"Large deficit",IF(H335&lt;-5%,"Moderate deficit",IF(H335&lt;0,"Narrow deficit",IF(H335&lt;=5%,"Narrow lead/tie",IF(H335&lt;=20%,"Moderate lead","Large lead"))))))</x:f>
        <x:v>Moderate deficit</x:v>
      </x:c>
    </x:row>
    <x:row r="336">
      <x:c r="A336" t="n">
        <x:v>277</x:v>
      </x:c>
      <x:c r="B336" t="str">
        <x:v>INTER COLLEGE DAYANATPUR R.NO. 3</x:v>
      </x:c>
      <x:c r="C336" s="83" t="n">
        <x:f>'2019 Form20'!H285</x:f>
        <x:v>218</x:v>
      </x:c>
      <x:c r="D336" s="83" t="n">
        <x:f>'2019 Form20'!D285</x:f>
        <x:v>412</x:v>
      </x:c>
      <x:c r="E336" s="50" t="n">
        <x:f>'2019 Form20'!U285</x:f>
        <x:v>0.529126213592233</x:v>
      </x:c>
      <x:c r="F336" t="n">
        <x:f>'2019 Form20'!V285</x:f>
        <x:v>165</x:v>
      </x:c>
      <x:c r="G336" t="n">
        <x:f>'2019 Form20'!W285</x:f>
        <x:v>53</x:v>
      </x:c>
      <x:c r="H336" s="52" t="n">
        <x:f>'2019 Form20'!X285</x:f>
        <x:v>0.12864077669902912</x:v>
      </x:c>
      <x:c r="I336" t="str">
        <x:v>SATVEER</x:v>
      </x:c>
      <x:c r="J336" t="str">
        <x:v>BSP</x:v>
      </x:c>
      <x:c r="K336" t="str">
        <x:v>EVM row</x:v>
      </x:c>
      <x:c r="L336" s="133" t="str">
        <x:f>IF(D336&lt;=0,"No EVM votes",IF(E336&lt;$N$7,"Low",IF(E336&gt;$R$7,"High","Middle")))</x:f>
        <x:v>Middle</x:v>
      </x:c>
      <x:c r="M336" s="133" t="str">
        <x:f>IF(D336&lt;=0,"No EVM votes",IF(H336&lt;-20%,"Large deficit",IF(H336&lt;-5%,"Moderate deficit",IF(H336&lt;0,"Narrow deficit",IF(H336&lt;=5%,"Narrow lead/tie",IF(H336&lt;=20%,"Moderate lead","Large lead"))))))</x:f>
        <x:v>Moderate lead</x:v>
      </x:c>
    </x:row>
    <x:row r="337">
      <x:c r="A337" t="n">
        <x:v>278</x:v>
      </x:c>
      <x:c r="B337" t="str">
        <x:v>PRY. SCHOOL BEGMABAD MAZRA DAYANATPUR R.NO. 1</x:v>
      </x:c>
      <x:c r="C337" s="83" t="n">
        <x:f>'2019 Form20'!H286</x:f>
        <x:v>87</x:v>
      </x:c>
      <x:c r="D337" s="83" t="n">
        <x:f>'2019 Form20'!D286</x:f>
        <x:v>362</x:v>
      </x:c>
      <x:c r="E337" s="50" t="n">
        <x:f>'2019 Form20'!U286</x:f>
        <x:v>0.24033149171270718</x:v>
      </x:c>
      <x:c r="F337" t="n">
        <x:f>'2019 Form20'!V286</x:f>
        <x:v>258</x:v>
      </x:c>
      <x:c r="G337" t="n">
        <x:f>'2019 Form20'!W286</x:f>
        <x:v>-171</x:v>
      </x:c>
      <x:c r="H337" s="52" t="n">
        <x:f>'2019 Form20'!X286</x:f>
        <x:v>-0.4723756906077348</x:v>
      </x:c>
      <x:c r="I337" t="str">
        <x:v>DR. MAHESH SHARMA</x:v>
      </x:c>
      <x:c r="J337" t="str">
        <x:v>BJP</x:v>
      </x:c>
      <x:c r="K337" t="str">
        <x:v>EVM row</x:v>
      </x:c>
      <x:c r="L337" s="133" t="str">
        <x:f>IF(D337&lt;=0,"No EVM votes",IF(E337&lt;$N$7,"Low",IF(E337&gt;$R$7,"High","Middle")))</x:f>
        <x:v>Middle</x:v>
      </x:c>
      <x:c r="M337" s="133" t="str">
        <x:f>IF(D337&lt;=0,"No EVM votes",IF(H337&lt;-20%,"Large deficit",IF(H337&lt;-5%,"Moderate deficit",IF(H337&lt;0,"Narrow deficit",IF(H337&lt;=5%,"Narrow lead/tie",IF(H337&lt;=20%,"Moderate lead","Large lead"))))))</x:f>
        <x:v>Large deficit</x:v>
      </x:c>
    </x:row>
    <x:row r="338">
      <x:c r="A338" t="n">
        <x:v>279</x:v>
      </x:c>
      <x:c r="B338" t="str">
        <x:v>J.H. SCHOOL NAGLA SHAREEF KHAN MAJRA DAYANATPUR R.NO. 1</x:v>
      </x:c>
      <x:c r="C338" s="83" t="n">
        <x:f>'2019 Form20'!H287</x:f>
        <x:v>525</x:v>
      </x:c>
      <x:c r="D338" s="83" t="n">
        <x:f>'2019 Form20'!D287</x:f>
        <x:v>570</x:v>
      </x:c>
      <x:c r="E338" s="50" t="n">
        <x:f>'2019 Form20'!U287</x:f>
        <x:v>0.9210526315789473</x:v>
      </x:c>
      <x:c r="F338" t="n">
        <x:f>'2019 Form20'!V287</x:f>
        <x:v>9</x:v>
      </x:c>
      <x:c r="G338" t="n">
        <x:f>'2019 Form20'!W287</x:f>
        <x:v>516</x:v>
      </x:c>
      <x:c r="H338" s="52" t="n">
        <x:f>'2019 Form20'!X287</x:f>
        <x:v>0.9052631578947369</x:v>
      </x:c>
      <x:c r="I338" t="str">
        <x:v>SATVEER</x:v>
      </x:c>
      <x:c r="J338" t="str">
        <x:v>BSP</x:v>
      </x:c>
      <x:c r="K338" t="str">
        <x:v>EVM row</x:v>
      </x:c>
      <x:c r="L338" s="133" t="str">
        <x:f>IF(D338&lt;=0,"No EVM votes",IF(E338&lt;$N$7,"Low",IF(E338&gt;$R$7,"High","Middle")))</x:f>
        <x:v>High</x:v>
      </x:c>
      <x:c r="M338" s="133" t="str">
        <x:f>IF(D338&lt;=0,"No EVM votes",IF(H338&lt;-20%,"Large deficit",IF(H338&lt;-5%,"Moderate deficit",IF(H338&lt;0,"Narrow deficit",IF(H338&lt;=5%,"Narrow lead/tie",IF(H338&lt;=20%,"Moderate lead","Large lead"))))))</x:f>
        <x:v>Large lead</x:v>
      </x:c>
    </x:row>
    <x:row r="339">
      <x:c r="A339" t="n">
        <x:v>280</x:v>
      </x:c>
      <x:c r="B339" t="str">
        <x:v>PRY SCHOOL NAGLA SHAREEF KHAN MAJRA DAYANATPUR R.N. 1</x:v>
      </x:c>
      <x:c r="C339" s="83" t="n">
        <x:f>'2019 Form20'!H288</x:f>
        <x:v>600</x:v>
      </x:c>
      <x:c r="D339" s="83" t="n">
        <x:f>'2019 Form20'!D288</x:f>
        <x:v>620</x:v>
      </x:c>
      <x:c r="E339" s="50" t="n">
        <x:f>'2019 Form20'!U288</x:f>
        <x:v>0.967741935483871</x:v>
      </x:c>
      <x:c r="F339" t="n">
        <x:f>'2019 Form20'!V288</x:f>
        <x:v>6</x:v>
      </x:c>
      <x:c r="G339" t="n">
        <x:f>'2019 Form20'!W288</x:f>
        <x:v>594</x:v>
      </x:c>
      <x:c r="H339" s="52" t="n">
        <x:f>'2019 Form20'!X288</x:f>
        <x:v>0.9580645161290322</x:v>
      </x:c>
      <x:c r="I339" t="str">
        <x:v>SATVEER</x:v>
      </x:c>
      <x:c r="J339" t="str">
        <x:v>BSP</x:v>
      </x:c>
      <x:c r="K339" t="str">
        <x:v>EVM row</x:v>
      </x:c>
      <x:c r="L339" s="133" t="str">
        <x:f>IF(D339&lt;=0,"No EVM votes",IF(E339&lt;$N$7,"Low",IF(E339&gt;$R$7,"High","Middle")))</x:f>
        <x:v>High</x:v>
      </x:c>
      <x:c r="M339" s="133" t="str">
        <x:f>IF(D339&lt;=0,"No EVM votes",IF(H339&lt;-20%,"Large deficit",IF(H339&lt;-5%,"Moderate deficit",IF(H339&lt;0,"Narrow deficit",IF(H339&lt;=5%,"Narrow lead/tie",IF(H339&lt;=20%,"Moderate lead","Large lead"))))))</x:f>
        <x:v>Large lead</x:v>
      </x:c>
    </x:row>
    <x:row r="340">
      <x:c r="A340" t="n">
        <x:v>281</x:v>
      </x:c>
      <x:c r="B340" t="str">
        <x:v>PRY. SCHOOL RAMPUR BANGAR R.NO. 1</x:v>
      </x:c>
      <x:c r="C340" s="83" t="n">
        <x:f>'2019 Form20'!H289</x:f>
        <x:v>47</x:v>
      </x:c>
      <x:c r="D340" s="83" t="n">
        <x:f>'2019 Form20'!D289</x:f>
        <x:v>640</x:v>
      </x:c>
      <x:c r="E340" s="50" t="n">
        <x:f>'2019 Form20'!U289</x:f>
        <x:v>0.0734375</x:v>
      </x:c>
      <x:c r="F340" t="n">
        <x:f>'2019 Form20'!V289</x:f>
        <x:v>572</x:v>
      </x:c>
      <x:c r="G340" t="n">
        <x:f>'2019 Form20'!W289</x:f>
        <x:v>-525</x:v>
      </x:c>
      <x:c r="H340" s="52" t="n">
        <x:f>'2019 Form20'!X289</x:f>
        <x:v>-0.8203125</x:v>
      </x:c>
      <x:c r="I340" t="str">
        <x:v>DR. MAHESH SHARMA</x:v>
      </x:c>
      <x:c r="J340" t="str">
        <x:v>BJP</x:v>
      </x:c>
      <x:c r="K340" t="str">
        <x:v>EVM row</x:v>
      </x:c>
      <x:c r="L340" s="133" t="str">
        <x:f>IF(D340&lt;=0,"No EVM votes",IF(E340&lt;$N$7,"Low",IF(E340&gt;$R$7,"High","Middle")))</x:f>
        <x:v>Low</x:v>
      </x:c>
      <x:c r="M340" s="133" t="str">
        <x:f>IF(D340&lt;=0,"No EVM votes",IF(H340&lt;-20%,"Large deficit",IF(H340&lt;-5%,"Moderate deficit",IF(H340&lt;0,"Narrow deficit",IF(H340&lt;=5%,"Narrow lead/tie",IF(H340&lt;=20%,"Moderate lead","Large lead"))))))</x:f>
        <x:v>Large deficit</x:v>
      </x:c>
    </x:row>
    <x:row r="341">
      <x:c r="A341" t="n">
        <x:v>282</x:v>
      </x:c>
      <x:c r="B341" t="str">
        <x:v>PRY. SCHOOL RAMPUR BANGAR R.NO. 2</x:v>
      </x:c>
      <x:c r="C341" s="83" t="n">
        <x:f>'2019 Form20'!H290</x:f>
        <x:v>310</x:v>
      </x:c>
      <x:c r="D341" s="83" t="n">
        <x:f>'2019 Form20'!D290</x:f>
        <x:v>547</x:v>
      </x:c>
      <x:c r="E341" s="50" t="n">
        <x:f>'2019 Form20'!U290</x:f>
        <x:v>0.56672760511883</x:v>
      </x:c>
      <x:c r="F341" t="n">
        <x:f>'2019 Form20'!V290</x:f>
        <x:v>221</x:v>
      </x:c>
      <x:c r="G341" t="n">
        <x:f>'2019 Form20'!W290</x:f>
        <x:v>89</x:v>
      </x:c>
      <x:c r="H341" s="52" t="n">
        <x:f>'2019 Form20'!X290</x:f>
        <x:v>0.16270566727605118</x:v>
      </x:c>
      <x:c r="I341" t="str">
        <x:v>SATVEER</x:v>
      </x:c>
      <x:c r="J341" t="str">
        <x:v>BSP</x:v>
      </x:c>
      <x:c r="K341" t="str">
        <x:v>EVM row</x:v>
      </x:c>
      <x:c r="L341" s="133" t="str">
        <x:f>IF(D341&lt;=0,"No EVM votes",IF(E341&lt;$N$7,"Low",IF(E341&gt;$R$7,"High","Middle")))</x:f>
        <x:v>Middle</x:v>
      </x:c>
      <x:c r="M341" s="133" t="str">
        <x:f>IF(D341&lt;=0,"No EVM votes",IF(H341&lt;-20%,"Large deficit",IF(H341&lt;-5%,"Moderate deficit",IF(H341&lt;0,"Narrow deficit",IF(H341&lt;=5%,"Narrow lead/tie",IF(H341&lt;=20%,"Moderate lead","Large lead"))))))</x:f>
        <x:v>Moderate lead</x:v>
      </x:c>
    </x:row>
    <x:row r="342">
      <x:c r="A342" t="n">
        <x:v>283</x:v>
      </x:c>
      <x:c r="B342" t="str">
        <x:v>PRY. SCHOOL BALLABHNAGAR URF KARROL BANGAR R.NO. 1</x:v>
      </x:c>
      <x:c r="C342" s="83" t="n">
        <x:f>'2019 Form20'!H291</x:f>
        <x:v>222</x:v>
      </x:c>
      <x:c r="D342" s="83" t="n">
        <x:f>'2019 Form20'!D291</x:f>
        <x:v>735</x:v>
      </x:c>
      <x:c r="E342" s="50" t="n">
        <x:f>'2019 Form20'!U291</x:f>
        <x:v>0.3020408163265306</x:v>
      </x:c>
      <x:c r="F342" t="n">
        <x:f>'2019 Form20'!V291</x:f>
        <x:v>482</x:v>
      </x:c>
      <x:c r="G342" t="n">
        <x:f>'2019 Form20'!W291</x:f>
        <x:v>-260</x:v>
      </x:c>
      <x:c r="H342" s="52" t="n">
        <x:f>'2019 Form20'!X291</x:f>
        <x:v>-0.35374149659863946</x:v>
      </x:c>
      <x:c r="I342" t="str">
        <x:v>DR. MAHESH SHARMA</x:v>
      </x:c>
      <x:c r="J342" t="str">
        <x:v>BJP</x:v>
      </x:c>
      <x:c r="K342" t="str">
        <x:v>EVM row</x:v>
      </x:c>
      <x:c r="L342" s="133" t="str">
        <x:f>IF(D342&lt;=0,"No EVM votes",IF(E342&lt;$N$7,"Low",IF(E342&gt;$R$7,"High","Middle")))</x:f>
        <x:v>Middle</x:v>
      </x:c>
      <x:c r="M342" s="133" t="str">
        <x:f>IF(D342&lt;=0,"No EVM votes",IF(H342&lt;-20%,"Large deficit",IF(H342&lt;-5%,"Moderate deficit",IF(H342&lt;0,"Narrow deficit",IF(H342&lt;=5%,"Narrow lead/tie",IF(H342&lt;=20%,"Moderate lead","Large lead"))))))</x:f>
        <x:v>Large deficit</x:v>
      </x:c>
    </x:row>
    <x:row r="343">
      <x:c r="A343" t="n">
        <x:v>284</x:v>
      </x:c>
      <x:c r="B343" t="str">
        <x:v>PRY. SCHOOL SIRSA MACHHIPUR R.NO. 1</x:v>
      </x:c>
      <x:c r="C343" s="83" t="n">
        <x:f>'2019 Form20'!H292</x:f>
        <x:v>72</x:v>
      </x:c>
      <x:c r="D343" s="83" t="n">
        <x:f>'2019 Form20'!D292</x:f>
        <x:v>648</x:v>
      </x:c>
      <x:c r="E343" s="50" t="n">
        <x:f>'2019 Form20'!U292</x:f>
        <x:v>0.1111111111111111</x:v>
      </x:c>
      <x:c r="F343" t="n">
        <x:f>'2019 Form20'!V292</x:f>
        <x:v>554</x:v>
      </x:c>
      <x:c r="G343" t="n">
        <x:f>'2019 Form20'!W292</x:f>
        <x:v>-482</x:v>
      </x:c>
      <x:c r="H343" s="52" t="n">
        <x:f>'2019 Form20'!X292</x:f>
        <x:v>-0.7438271604938271</x:v>
      </x:c>
      <x:c r="I343" t="str">
        <x:v>DR. MAHESH SHARMA</x:v>
      </x:c>
      <x:c r="J343" t="str">
        <x:v>BJP</x:v>
      </x:c>
      <x:c r="K343" t="str">
        <x:v>EVM row</x:v>
      </x:c>
      <x:c r="L343" s="133" t="str">
        <x:f>IF(D343&lt;=0,"No EVM votes",IF(E343&lt;$N$7,"Low",IF(E343&gt;$R$7,"High","Middle")))</x:f>
        <x:v>Low</x:v>
      </x:c>
      <x:c r="M343" s="133" t="str">
        <x:f>IF(D343&lt;=0,"No EVM votes",IF(H343&lt;-20%,"Large deficit",IF(H343&lt;-5%,"Moderate deficit",IF(H343&lt;0,"Narrow deficit",IF(H343&lt;=5%,"Narrow lead/tie",IF(H343&lt;=20%,"Moderate lead","Large lead"))))))</x:f>
        <x:v>Large deficit</x:v>
      </x:c>
    </x:row>
    <x:row r="344">
      <x:c r="A344" t="n">
        <x:v>285</x:v>
      </x:c>
      <x:c r="B344" t="str">
        <x:v>PRY. SCHOOL SIRSA MACHHIPUR R.NO. 2</x:v>
      </x:c>
      <x:c r="C344" s="83" t="n">
        <x:f>'2019 Form20'!H293</x:f>
        <x:v>27</x:v>
      </x:c>
      <x:c r="D344" s="83" t="n">
        <x:f>'2019 Form20'!D293</x:f>
        <x:v>311</x:v>
      </x:c>
      <x:c r="E344" s="50" t="n">
        <x:f>'2019 Form20'!U293</x:f>
        <x:v>0.08681672025723473</x:v>
      </x:c>
      <x:c r="F344" t="n">
        <x:f>'2019 Form20'!V293</x:f>
        <x:v>275</x:v>
      </x:c>
      <x:c r="G344" t="n">
        <x:f>'2019 Form20'!W293</x:f>
        <x:v>-248</x:v>
      </x:c>
      <x:c r="H344" s="52" t="n">
        <x:f>'2019 Form20'!X293</x:f>
        <x:v>-0.797427652733119</x:v>
      </x:c>
      <x:c r="I344" t="str">
        <x:v>DR. MAHESH SHARMA</x:v>
      </x:c>
      <x:c r="J344" t="str">
        <x:v>BJP</x:v>
      </x:c>
      <x:c r="K344" t="str">
        <x:v>EVM row</x:v>
      </x:c>
      <x:c r="L344" s="133" t="str">
        <x:f>IF(D344&lt;=0,"No EVM votes",IF(E344&lt;$N$7,"Low",IF(E344&gt;$R$7,"High","Middle")))</x:f>
        <x:v>Low</x:v>
      </x:c>
      <x:c r="M344" s="133" t="str">
        <x:f>IF(D344&lt;=0,"No EVM votes",IF(H344&lt;-20%,"Large deficit",IF(H344&lt;-5%,"Moderate deficit",IF(H344&lt;0,"Narrow deficit",IF(H344&lt;=5%,"Narrow lead/tie",IF(H344&lt;=20%,"Moderate lead","Large lead"))))))</x:f>
        <x:v>Large deficit</x:v>
      </x:c>
    </x:row>
    <x:row r="345">
      <x:c r="A345" t="n">
        <x:v>286</x:v>
      </x:c>
      <x:c r="B345" t="str">
        <x:v>PRY. SCHOOL KISHORPUR R.NO. 1</x:v>
      </x:c>
      <x:c r="C345" s="83" t="n">
        <x:f>'2019 Form20'!H294</x:f>
        <x:v>430</x:v>
      </x:c>
      <x:c r="D345" s="83" t="n">
        <x:f>'2019 Form20'!D294</x:f>
        <x:v>533</x:v>
      </x:c>
      <x:c r="E345" s="50" t="n">
        <x:f>'2019 Form20'!U294</x:f>
        <x:v>0.8067542213883677</x:v>
      </x:c>
      <x:c r="F345" t="n">
        <x:f>'2019 Form20'!V294</x:f>
        <x:v>81</x:v>
      </x:c>
      <x:c r="G345" t="n">
        <x:f>'2019 Form20'!W294</x:f>
        <x:v>349</x:v>
      </x:c>
      <x:c r="H345" s="52" t="n">
        <x:f>'2019 Form20'!X294</x:f>
        <x:v>0.6547842401500938</x:v>
      </x:c>
      <x:c r="I345" t="str">
        <x:v>SATVEER</x:v>
      </x:c>
      <x:c r="J345" t="str">
        <x:v>BSP</x:v>
      </x:c>
      <x:c r="K345" t="str">
        <x:v>EVM row</x:v>
      </x:c>
      <x:c r="L345" s="133" t="str">
        <x:f>IF(D345&lt;=0,"No EVM votes",IF(E345&lt;$N$7,"Low",IF(E345&gt;$R$7,"High","Middle")))</x:f>
        <x:v>High</x:v>
      </x:c>
      <x:c r="M345" s="133" t="str">
        <x:f>IF(D345&lt;=0,"No EVM votes",IF(H345&lt;-20%,"Large deficit",IF(H345&lt;-5%,"Moderate deficit",IF(H345&lt;0,"Narrow deficit",IF(H345&lt;=5%,"Narrow lead/tie",IF(H345&lt;=20%,"Moderate lead","Large lead"))))))</x:f>
        <x:v>Large lead</x:v>
      </x:c>
    </x:row>
    <x:row r="346">
      <x:c r="A346" t="n">
        <x:v>287</x:v>
      </x:c>
      <x:c r="B346" t="str">
        <x:v>PRY. SCHOOL KISHORPUR R.NO. 2</x:v>
      </x:c>
      <x:c r="C346" s="83" t="n">
        <x:f>'2019 Form20'!H295</x:f>
        <x:v>141</x:v>
      </x:c>
      <x:c r="D346" s="83" t="n">
        <x:f>'2019 Form20'!D295</x:f>
        <x:v>352</x:v>
      </x:c>
      <x:c r="E346" s="50" t="n">
        <x:f>'2019 Form20'!U295</x:f>
        <x:v>0.4005681818181818</x:v>
      </x:c>
      <x:c r="F346" t="n">
        <x:f>'2019 Form20'!V295</x:f>
        <x:v>187</x:v>
      </x:c>
      <x:c r="G346" t="n">
        <x:f>'2019 Form20'!W295</x:f>
        <x:v>-46</x:v>
      </x:c>
      <x:c r="H346" s="52" t="n">
        <x:f>'2019 Form20'!X295</x:f>
        <x:v>-0.13068181818181818</x:v>
      </x:c>
      <x:c r="I346" t="str">
        <x:v>DR. MAHESH SHARMA</x:v>
      </x:c>
      <x:c r="J346" t="str">
        <x:v>BJP</x:v>
      </x:c>
      <x:c r="K346" t="str">
        <x:v>EVM row</x:v>
      </x:c>
      <x:c r="L346" s="133" t="str">
        <x:f>IF(D346&lt;=0,"No EVM votes",IF(E346&lt;$N$7,"Low",IF(E346&gt;$R$7,"High","Middle")))</x:f>
        <x:v>Middle</x:v>
      </x:c>
      <x:c r="M346" s="133" t="str">
        <x:f>IF(D346&lt;=0,"No EVM votes",IF(H346&lt;-20%,"Large deficit",IF(H346&lt;-5%,"Moderate deficit",IF(H346&lt;0,"Narrow deficit",IF(H346&lt;=5%,"Narrow lead/tie",IF(H346&lt;=20%,"Moderate lead","Large lead"))))))</x:f>
        <x:v>Moderate deficit</x:v>
      </x:c>
    </x:row>
    <x:row r="347">
      <x:c r="A347" t="n">
        <x:v>288</x:v>
      </x:c>
      <x:c r="B347" t="str">
        <x:v>PRY. SCHOOL SABAUTA MUSTFABAD R.NO. 1</x:v>
      </x:c>
      <x:c r="C347" s="83" t="n">
        <x:f>'2019 Form20'!H296</x:f>
        <x:v>106</x:v>
      </x:c>
      <x:c r="D347" s="83" t="n">
        <x:f>'2019 Form20'!D296</x:f>
        <x:v>579</x:v>
      </x:c>
      <x:c r="E347" s="50" t="n">
        <x:f>'2019 Form20'!U296</x:f>
        <x:v>0.18307426597582038</x:v>
      </x:c>
      <x:c r="F347" t="n">
        <x:f>'2019 Form20'!V296</x:f>
        <x:v>397</x:v>
      </x:c>
      <x:c r="G347" t="n">
        <x:f>'2019 Form20'!W296</x:f>
        <x:v>-291</x:v>
      </x:c>
      <x:c r="H347" s="52" t="n">
        <x:f>'2019 Form20'!X296</x:f>
        <x:v>-0.5025906735751295</x:v>
      </x:c>
      <x:c r="I347" t="str">
        <x:v>DR. MAHESH SHARMA</x:v>
      </x:c>
      <x:c r="J347" t="str">
        <x:v>BJP</x:v>
      </x:c>
      <x:c r="K347" t="str">
        <x:v>EVM row</x:v>
      </x:c>
      <x:c r="L347" s="133" t="str">
        <x:f>IF(D347&lt;=0,"No EVM votes",IF(E347&lt;$N$7,"Low",IF(E347&gt;$R$7,"High","Middle")))</x:f>
        <x:v>Low</x:v>
      </x:c>
      <x:c r="M347" s="133" t="str">
        <x:f>IF(D347&lt;=0,"No EVM votes",IF(H347&lt;-20%,"Large deficit",IF(H347&lt;-5%,"Moderate deficit",IF(H347&lt;0,"Narrow deficit",IF(H347&lt;=5%,"Narrow lead/tie",IF(H347&lt;=20%,"Moderate lead","Large lead"))))))</x:f>
        <x:v>Large deficit</x:v>
      </x:c>
    </x:row>
    <x:row r="348">
      <x:c r="A348" t="n">
        <x:v>289</x:v>
      </x:c>
      <x:c r="B348" t="str">
        <x:v>PRY. SCHOOL SABAUTA MUSTFABAD R.NO. 2</x:v>
      </x:c>
      <x:c r="C348" s="83" t="n">
        <x:f>'2019 Form20'!H297</x:f>
        <x:v>172</x:v>
      </x:c>
      <x:c r="D348" s="83" t="n">
        <x:f>'2019 Form20'!D297</x:f>
        <x:v>496</x:v>
      </x:c>
      <x:c r="E348" s="50" t="n">
        <x:f>'2019 Form20'!U297</x:f>
        <x:v>0.3467741935483871</x:v>
      </x:c>
      <x:c r="F348" t="n">
        <x:f>'2019 Form20'!V297</x:f>
        <x:v>311</x:v>
      </x:c>
      <x:c r="G348" t="n">
        <x:f>'2019 Form20'!W297</x:f>
        <x:v>-139</x:v>
      </x:c>
      <x:c r="H348" s="52" t="n">
        <x:f>'2019 Form20'!X297</x:f>
        <x:v>-0.28024193548387094</x:v>
      </x:c>
      <x:c r="I348" t="str">
        <x:v>DR. MAHESH SHARMA</x:v>
      </x:c>
      <x:c r="J348" t="str">
        <x:v>BJP</x:v>
      </x:c>
      <x:c r="K348" t="str">
        <x:v>EVM row</x:v>
      </x:c>
      <x:c r="L348" s="133" t="str">
        <x:f>IF(D348&lt;=0,"No EVM votes",IF(E348&lt;$N$7,"Low",IF(E348&gt;$R$7,"High","Middle")))</x:f>
        <x:v>Middle</x:v>
      </x:c>
      <x:c r="M348" s="133" t="str">
        <x:f>IF(D348&lt;=0,"No EVM votes",IF(H348&lt;-20%,"Large deficit",IF(H348&lt;-5%,"Moderate deficit",IF(H348&lt;0,"Narrow deficit",IF(H348&lt;=5%,"Narrow lead/tie",IF(H348&lt;=20%,"Moderate lead","Large lead"))))))</x:f>
        <x:v>Large deficit</x:v>
      </x:c>
    </x:row>
    <x:row r="349">
      <x:c r="A349" t="n">
        <x:v>290</x:v>
      </x:c>
      <x:c r="B349" t="str">
        <x:v>PRY. SCHOOL SABAUTA MUSTFABAD R.NO. 3</x:v>
      </x:c>
      <x:c r="C349" s="83" t="n">
        <x:f>'2019 Form20'!H298</x:f>
        <x:v>406</x:v>
      </x:c>
      <x:c r="D349" s="83" t="n">
        <x:f>'2019 Form20'!D298</x:f>
        <x:v>564</x:v>
      </x:c>
      <x:c r="E349" s="50" t="n">
        <x:f>'2019 Form20'!U298</x:f>
        <x:v>0.7198581560283688</x:v>
      </x:c>
      <x:c r="F349" t="n">
        <x:f>'2019 Form20'!V298</x:f>
        <x:v>122</x:v>
      </x:c>
      <x:c r="G349" t="n">
        <x:f>'2019 Form20'!W298</x:f>
        <x:v>284</x:v>
      </x:c>
      <x:c r="H349" s="52" t="n">
        <x:f>'2019 Form20'!X298</x:f>
        <x:v>0.5035460992907801</x:v>
      </x:c>
      <x:c r="I349" t="str">
        <x:v>SATVEER</x:v>
      </x:c>
      <x:c r="J349" t="str">
        <x:v>BSP</x:v>
      </x:c>
      <x:c r="K349" t="str">
        <x:v>EVM row</x:v>
      </x:c>
      <x:c r="L349" s="133" t="str">
        <x:f>IF(D349&lt;=0,"No EVM votes",IF(E349&lt;$N$7,"Low",IF(E349&gt;$R$7,"High","Middle")))</x:f>
        <x:v>High</x:v>
      </x:c>
      <x:c r="M349" s="133" t="str">
        <x:f>IF(D349&lt;=0,"No EVM votes",IF(H349&lt;-20%,"Large deficit",IF(H349&lt;-5%,"Moderate deficit",IF(H349&lt;0,"Narrow deficit",IF(H349&lt;=5%,"Narrow lead/tie",IF(H349&lt;=20%,"Moderate lead","Large lead"))))))</x:f>
        <x:v>Large lead</x:v>
      </x:c>
    </x:row>
    <x:row r="350">
      <x:c r="A350" t="n">
        <x:v>291</x:v>
      </x:c>
      <x:c r="B350" t="str">
        <x:v>PRY. SCHOOL MUKIMPUR SHIVARA R.NO. 1</x:v>
      </x:c>
      <x:c r="C350" s="83" t="n">
        <x:f>'2019 Form20'!H299</x:f>
        <x:v>45</x:v>
      </x:c>
      <x:c r="D350" s="83" t="n">
        <x:f>'2019 Form20'!D299</x:f>
        <x:v>504</x:v>
      </x:c>
      <x:c r="E350" s="50" t="n">
        <x:f>'2019 Form20'!U299</x:f>
        <x:v>0.08928571428571429</x:v>
      </x:c>
      <x:c r="F350" t="n">
        <x:f>'2019 Form20'!V299</x:f>
        <x:v>441</x:v>
      </x:c>
      <x:c r="G350" t="n">
        <x:f>'2019 Form20'!W299</x:f>
        <x:v>-396</x:v>
      </x:c>
      <x:c r="H350" s="52" t="n">
        <x:f>'2019 Form20'!X299</x:f>
        <x:v>-0.7857142857142857</x:v>
      </x:c>
      <x:c r="I350" t="str">
        <x:v>DR. MAHESH SHARMA</x:v>
      </x:c>
      <x:c r="J350" t="str">
        <x:v>BJP</x:v>
      </x:c>
      <x:c r="K350" t="str">
        <x:v>EVM row</x:v>
      </x:c>
      <x:c r="L350" s="133" t="str">
        <x:f>IF(D350&lt;=0,"No EVM votes",IF(E350&lt;$N$7,"Low",IF(E350&gt;$R$7,"High","Middle")))</x:f>
        <x:v>Low</x:v>
      </x:c>
      <x:c r="M350" s="133" t="str">
        <x:f>IF(D350&lt;=0,"No EVM votes",IF(H350&lt;-20%,"Large deficit",IF(H350&lt;-5%,"Moderate deficit",IF(H350&lt;0,"Narrow deficit",IF(H350&lt;=5%,"Narrow lead/tie",IF(H350&lt;=20%,"Moderate lead","Large lead"))))))</x:f>
        <x:v>Large deficit</x:v>
      </x:c>
    </x:row>
    <x:row r="351">
      <x:c r="A351" t="n">
        <x:v>292</x:v>
      </x:c>
      <x:c r="B351" t="str">
        <x:v>PRY. SCHOOL ALAUDDINNAGAR URF DURHERA R.NO. 1</x:v>
      </x:c>
      <x:c r="C351" s="83" t="n">
        <x:f>'2019 Form20'!H300</x:f>
        <x:v>78</x:v>
      </x:c>
      <x:c r="D351" s="83" t="n">
        <x:f>'2019 Form20'!D300</x:f>
        <x:v>470</x:v>
      </x:c>
      <x:c r="E351" s="50" t="n">
        <x:f>'2019 Form20'!U300</x:f>
        <x:v>0.16595744680851063</x:v>
      </x:c>
      <x:c r="F351" t="n">
        <x:f>'2019 Form20'!V300</x:f>
        <x:v>364</x:v>
      </x:c>
      <x:c r="G351" t="n">
        <x:f>'2019 Form20'!W300</x:f>
        <x:v>-286</x:v>
      </x:c>
      <x:c r="H351" s="52" t="n">
        <x:f>'2019 Form20'!X300</x:f>
        <x:v>-0.6085106382978723</x:v>
      </x:c>
      <x:c r="I351" t="str">
        <x:v>DR. MAHESH SHARMA</x:v>
      </x:c>
      <x:c r="J351" t="str">
        <x:v>BJP</x:v>
      </x:c>
      <x:c r="K351" t="str">
        <x:v>EVM row</x:v>
      </x:c>
      <x:c r="L351" s="133" t="str">
        <x:f>IF(D351&lt;=0,"No EVM votes",IF(E351&lt;$N$7,"Low",IF(E351&gt;$R$7,"High","Middle")))</x:f>
        <x:v>Low</x:v>
      </x:c>
      <x:c r="M351" s="133" t="str">
        <x:f>IF(D351&lt;=0,"No EVM votes",IF(H351&lt;-20%,"Large deficit",IF(H351&lt;-5%,"Moderate deficit",IF(H351&lt;0,"Narrow deficit",IF(H351&lt;=5%,"Narrow lead/tie",IF(H351&lt;=20%,"Moderate lead","Large lead"))))))</x:f>
        <x:v>Large deficit</x:v>
      </x:c>
    </x:row>
    <x:row r="352">
      <x:c r="A352" t="n">
        <x:v>293</x:v>
      </x:c>
      <x:c r="B352" t="str">
        <x:v>PRY. SCHOOL ALAUDDINNAGAR URF DURHERA R.NO. 2</x:v>
      </x:c>
      <x:c r="C352" s="83" t="n">
        <x:f>'2019 Form20'!H301</x:f>
        <x:v>405</x:v>
      </x:c>
      <x:c r="D352" s="83" t="n">
        <x:f>'2019 Form20'!D301</x:f>
        <x:v>501</x:v>
      </x:c>
      <x:c r="E352" s="50" t="n">
        <x:f>'2019 Form20'!U301</x:f>
        <x:v>0.8083832335329342</x:v>
      </x:c>
      <x:c r="F352" t="n">
        <x:f>'2019 Form20'!V301</x:f>
        <x:v>80</x:v>
      </x:c>
      <x:c r="G352" t="n">
        <x:f>'2019 Form20'!W301</x:f>
        <x:v>325</x:v>
      </x:c>
      <x:c r="H352" s="52" t="n">
        <x:f>'2019 Form20'!X301</x:f>
        <x:v>0.6487025948103793</x:v>
      </x:c>
      <x:c r="I352" t="str">
        <x:v>SATVEER</x:v>
      </x:c>
      <x:c r="J352" t="str">
        <x:v>BSP</x:v>
      </x:c>
      <x:c r="K352" t="str">
        <x:v>EVM row</x:v>
      </x:c>
      <x:c r="L352" s="133" t="str">
        <x:f>IF(D352&lt;=0,"No EVM votes",IF(E352&lt;$N$7,"Low",IF(E352&gt;$R$7,"High","Middle")))</x:f>
        <x:v>High</x:v>
      </x:c>
      <x:c r="M352" s="133" t="str">
        <x:f>IF(D352&lt;=0,"No EVM votes",IF(H352&lt;-20%,"Large deficit",IF(H352&lt;-5%,"Moderate deficit",IF(H352&lt;0,"Narrow deficit",IF(H352&lt;=5%,"Narrow lead/tie",IF(H352&lt;=20%,"Moderate lead","Large lead"))))))</x:f>
        <x:v>Large lead</x:v>
      </x:c>
    </x:row>
    <x:row r="353">
      <x:c r="A353" t="n">
        <x:v>294</x:v>
      </x:c>
      <x:c r="B353" t="str">
        <x:v>PRY. SCHOOL ROHI R.NO. 1</x:v>
      </x:c>
      <x:c r="C353" s="83" t="n">
        <x:f>'2019 Form20'!H302</x:f>
        <x:v>33</x:v>
      </x:c>
      <x:c r="D353" s="83" t="n">
        <x:f>'2019 Form20'!D302</x:f>
        <x:v>340</x:v>
      </x:c>
      <x:c r="E353" s="50" t="n">
        <x:f>'2019 Form20'!U302</x:f>
        <x:v>0.09705882352941177</x:v>
      </x:c>
      <x:c r="F353" t="n">
        <x:f>'2019 Form20'!V302</x:f>
        <x:v>299</x:v>
      </x:c>
      <x:c r="G353" t="n">
        <x:f>'2019 Form20'!W302</x:f>
        <x:v>-266</x:v>
      </x:c>
      <x:c r="H353" s="52" t="n">
        <x:f>'2019 Form20'!X302</x:f>
        <x:v>-0.7823529411764706</x:v>
      </x:c>
      <x:c r="I353" t="str">
        <x:v>DR. MAHESH SHARMA</x:v>
      </x:c>
      <x:c r="J353" t="str">
        <x:v>BJP</x:v>
      </x:c>
      <x:c r="K353" t="str">
        <x:v>EVM row</x:v>
      </x:c>
      <x:c r="L353" s="133" t="str">
        <x:f>IF(D353&lt;=0,"No EVM votes",IF(E353&lt;$N$7,"Low",IF(E353&gt;$R$7,"High","Middle")))</x:f>
        <x:v>Low</x:v>
      </x:c>
      <x:c r="M353" s="133" t="str">
        <x:f>IF(D353&lt;=0,"No EVM votes",IF(H353&lt;-20%,"Large deficit",IF(H353&lt;-5%,"Moderate deficit",IF(H353&lt;0,"Narrow deficit",IF(H353&lt;=5%,"Narrow lead/tie",IF(H353&lt;=20%,"Moderate lead","Large lead"))))))</x:f>
        <x:v>Large deficit</x:v>
      </x:c>
    </x:row>
    <x:row r="354">
      <x:c r="A354" t="n">
        <x:v>295</x:v>
      </x:c>
      <x:c r="B354" t="str">
        <x:v>PRY. SCHOOL ROHI R.NO. 2</x:v>
      </x:c>
      <x:c r="C354" s="83" t="n">
        <x:f>'2019 Form20'!H303</x:f>
        <x:v>163</x:v>
      </x:c>
      <x:c r="D354" s="83" t="n">
        <x:f>'2019 Form20'!D303</x:f>
        <x:v>621</x:v>
      </x:c>
      <x:c r="E354" s="50" t="n">
        <x:f>'2019 Form20'!U303</x:f>
        <x:v>0.26247987117552335</x:v>
      </x:c>
      <x:c r="F354" t="n">
        <x:f>'2019 Form20'!V303</x:f>
        <x:v>432</x:v>
      </x:c>
      <x:c r="G354" t="n">
        <x:f>'2019 Form20'!W303</x:f>
        <x:v>-269</x:v>
      </x:c>
      <x:c r="H354" s="52" t="n">
        <x:f>'2019 Form20'!X303</x:f>
        <x:v>-0.4331723027375201</x:v>
      </x:c>
      <x:c r="I354" t="str">
        <x:v>DR. MAHESH SHARMA</x:v>
      </x:c>
      <x:c r="J354" t="str">
        <x:v>BJP</x:v>
      </x:c>
      <x:c r="K354" t="str">
        <x:v>EVM row</x:v>
      </x:c>
      <x:c r="L354" s="133" t="str">
        <x:f>IF(D354&lt;=0,"No EVM votes",IF(E354&lt;$N$7,"Low",IF(E354&gt;$R$7,"High","Middle")))</x:f>
        <x:v>Middle</x:v>
      </x:c>
      <x:c r="M354" s="133" t="str">
        <x:f>IF(D354&lt;=0,"No EVM votes",IF(H354&lt;-20%,"Large deficit",IF(H354&lt;-5%,"Moderate deficit",IF(H354&lt;0,"Narrow deficit",IF(H354&lt;=5%,"Narrow lead/tie",IF(H354&lt;=20%,"Moderate lead","Large lead"))))))</x:f>
        <x:v>Large deficit</x:v>
      </x:c>
    </x:row>
    <x:row r="355">
      <x:c r="A355" t="n">
        <x:v>296</x:v>
      </x:c>
      <x:c r="B355" t="str">
        <x:v>PRY. SCHOOL NAGLA GANESHI MAZRA ROHI R.NO. 1</x:v>
      </x:c>
      <x:c r="C355" s="83" t="n">
        <x:f>'2019 Form20'!H304</x:f>
        <x:v>174</x:v>
      </x:c>
      <x:c r="D355" s="83" t="n">
        <x:f>'2019 Form20'!D304</x:f>
        <x:v>485</x:v>
      </x:c>
      <x:c r="E355" s="50" t="n">
        <x:f>'2019 Form20'!U304</x:f>
        <x:v>0.35876288659793815</x:v>
      </x:c>
      <x:c r="F355" t="n">
        <x:f>'2019 Form20'!V304</x:f>
        <x:v>302</x:v>
      </x:c>
      <x:c r="G355" t="n">
        <x:f>'2019 Form20'!W304</x:f>
        <x:v>-128</x:v>
      </x:c>
      <x:c r="H355" s="52" t="n">
        <x:f>'2019 Form20'!X304</x:f>
        <x:v>-0.2639175257731959</x:v>
      </x:c>
      <x:c r="I355" t="str">
        <x:v>DR. MAHESH SHARMA</x:v>
      </x:c>
      <x:c r="J355" t="str">
        <x:v>BJP</x:v>
      </x:c>
      <x:c r="K355" t="str">
        <x:v>EVM row</x:v>
      </x:c>
      <x:c r="L355" s="133" t="str">
        <x:f>IF(D355&lt;=0,"No EVM votes",IF(E355&lt;$N$7,"Low",IF(E355&gt;$R$7,"High","Middle")))</x:f>
        <x:v>Middle</x:v>
      </x:c>
      <x:c r="M355" s="133" t="str">
        <x:f>IF(D355&lt;=0,"No EVM votes",IF(H355&lt;-20%,"Large deficit",IF(H355&lt;-5%,"Moderate deficit",IF(H355&lt;0,"Narrow deficit",IF(H355&lt;=5%,"Narrow lead/tie",IF(H355&lt;=20%,"Moderate lead","Large lead"))))))</x:f>
        <x:v>Large deficit</x:v>
      </x:c>
    </x:row>
    <x:row r="356">
      <x:c r="A356" t="n">
        <x:v>297</x:v>
      </x:c>
      <x:c r="B356" t="str">
        <x:v>PRY. SCHOOL PAROHI R.NO. 1</x:v>
      </x:c>
      <x:c r="C356" s="83" t="n">
        <x:f>'2019 Form20'!H305</x:f>
        <x:v>128</x:v>
      </x:c>
      <x:c r="D356" s="83" t="n">
        <x:f>'2019 Form20'!D305</x:f>
        <x:v>208</x:v>
      </x:c>
      <x:c r="E356" s="50" t="n">
        <x:f>'2019 Form20'!U305</x:f>
        <x:v>0.6153846153846154</x:v>
      </x:c>
      <x:c r="F356" t="n">
        <x:f>'2019 Form20'!V305</x:f>
        <x:v>75</x:v>
      </x:c>
      <x:c r="G356" t="n">
        <x:f>'2019 Form20'!W305</x:f>
        <x:v>53</x:v>
      </x:c>
      <x:c r="H356" s="52" t="n">
        <x:f>'2019 Form20'!X305</x:f>
        <x:v>0.2548076923076923</x:v>
      </x:c>
      <x:c r="I356" t="str">
        <x:v>SATVEER</x:v>
      </x:c>
      <x:c r="J356" t="str">
        <x:v>BSP</x:v>
      </x:c>
      <x:c r="K356" t="str">
        <x:v>EVM row</x:v>
      </x:c>
      <x:c r="L356" s="133" t="str">
        <x:f>IF(D356&lt;=0,"No EVM votes",IF(E356&lt;$N$7,"Low",IF(E356&gt;$R$7,"High","Middle")))</x:f>
        <x:v>Middle</x:v>
      </x:c>
      <x:c r="M356" s="133" t="str">
        <x:f>IF(D356&lt;=0,"No EVM votes",IF(H356&lt;-20%,"Large deficit",IF(H356&lt;-5%,"Moderate deficit",IF(H356&lt;0,"Narrow deficit",IF(H356&lt;=5%,"Narrow lead/tie",IF(H356&lt;=20%,"Moderate lead","Large lead"))))))</x:f>
        <x:v>Large lead</x:v>
      </x:c>
    </x:row>
    <x:row r="357">
      <x:c r="A357" t="n">
        <x:v>298</x:v>
      </x:c>
      <x:c r="B357" t="str">
        <x:v>PRY. SCHOOL BANVARIVAS R.NO. 1</x:v>
      </x:c>
      <x:c r="C357" s="83" t="n">
        <x:f>'2019 Form20'!H306</x:f>
        <x:v>39</x:v>
      </x:c>
      <x:c r="D357" s="83" t="n">
        <x:f>'2019 Form20'!D306</x:f>
        <x:v>459</x:v>
      </x:c>
      <x:c r="E357" s="50" t="n">
        <x:f>'2019 Form20'!U306</x:f>
        <x:v>0.08496732026143791</x:v>
      </x:c>
      <x:c r="F357" t="n">
        <x:f>'2019 Form20'!V306</x:f>
        <x:v>400</x:v>
      </x:c>
      <x:c r="G357" t="n">
        <x:f>'2019 Form20'!W306</x:f>
        <x:v>-361</x:v>
      </x:c>
      <x:c r="H357" s="52" t="n">
        <x:f>'2019 Form20'!X306</x:f>
        <x:v>-0.7864923747276689</x:v>
      </x:c>
      <x:c r="I357" t="str">
        <x:v>DR. MAHESH SHARMA</x:v>
      </x:c>
      <x:c r="J357" t="str">
        <x:v>BJP</x:v>
      </x:c>
      <x:c r="K357" t="str">
        <x:v>EVM row</x:v>
      </x:c>
      <x:c r="L357" s="133" t="str">
        <x:f>IF(D357&lt;=0,"No EVM votes",IF(E357&lt;$N$7,"Low",IF(E357&gt;$R$7,"High","Middle")))</x:f>
        <x:v>Low</x:v>
      </x:c>
      <x:c r="M357" s="133" t="str">
        <x:f>IF(D357&lt;=0,"No EVM votes",IF(H357&lt;-20%,"Large deficit",IF(H357&lt;-5%,"Moderate deficit",IF(H357&lt;0,"Narrow deficit",IF(H357&lt;=5%,"Narrow lead/tie",IF(H357&lt;=20%,"Moderate lead","Large lead"))))))</x:f>
        <x:v>Large deficit</x:v>
      </x:c>
    </x:row>
    <x:row r="358">
      <x:c r="A358" t="n">
        <x:v>299</x:v>
      </x:c>
      <x:c r="B358" t="str">
        <x:v>PRY. SCHOOL BANVARIVAS R.NO. 2</x:v>
      </x:c>
      <x:c r="C358" s="83" t="n">
        <x:f>'2019 Form20'!H307</x:f>
        <x:v>105</x:v>
      </x:c>
      <x:c r="D358" s="83" t="n">
        <x:f>'2019 Form20'!D307</x:f>
        <x:v>401</x:v>
      </x:c>
      <x:c r="E358" s="50" t="n">
        <x:f>'2019 Form20'!U307</x:f>
        <x:v>0.26184538653366585</x:v>
      </x:c>
      <x:c r="F358" t="n">
        <x:f>'2019 Form20'!V307</x:f>
        <x:v>286</x:v>
      </x:c>
      <x:c r="G358" t="n">
        <x:f>'2019 Form20'!W307</x:f>
        <x:v>-181</x:v>
      </x:c>
      <x:c r="H358" s="52" t="n">
        <x:f>'2019 Form20'!X307</x:f>
        <x:v>-0.4513715710723192</x:v>
      </x:c>
      <x:c r="I358" t="str">
        <x:v>DR. MAHESH SHARMA</x:v>
      </x:c>
      <x:c r="J358" t="str">
        <x:v>BJP</x:v>
      </x:c>
      <x:c r="K358" t="str">
        <x:v>EVM row</x:v>
      </x:c>
      <x:c r="L358" s="133" t="str">
        <x:f>IF(D358&lt;=0,"No EVM votes",IF(E358&lt;$N$7,"Low",IF(E358&gt;$R$7,"High","Middle")))</x:f>
        <x:v>Middle</x:v>
      </x:c>
      <x:c r="M358" s="133" t="str">
        <x:f>IF(D358&lt;=0,"No EVM votes",IF(H358&lt;-20%,"Large deficit",IF(H358&lt;-5%,"Moderate deficit",IF(H358&lt;0,"Narrow deficit",IF(H358&lt;=5%,"Narrow lead/tie",IF(H358&lt;=20%,"Moderate lead","Large lead"))))))</x:f>
        <x:v>Large deficit</x:v>
      </x:c>
    </x:row>
    <x:row r="359">
      <x:c r="A359" t="n">
        <x:v>300</x:v>
      </x:c>
      <x:c r="B359" t="str">
        <x:v>PRY. SCHOOL RAMNER R.NO. 1</x:v>
      </x:c>
      <x:c r="C359" s="83" t="n">
        <x:f>'2019 Form20'!H308</x:f>
        <x:v>524</x:v>
      </x:c>
      <x:c r="D359" s="83" t="n">
        <x:f>'2019 Form20'!D308</x:f>
        <x:v>842</x:v>
      </x:c>
      <x:c r="E359" s="50" t="n">
        <x:f>'2019 Form20'!U308</x:f>
        <x:v>0.6223277909738717</x:v>
      </x:c>
      <x:c r="F359" t="n">
        <x:f>'2019 Form20'!V308</x:f>
        <x:v>297</x:v>
      </x:c>
      <x:c r="G359" t="n">
        <x:f>'2019 Form20'!W308</x:f>
        <x:v>227</x:v>
      </x:c>
      <x:c r="H359" s="52" t="n">
        <x:f>'2019 Form20'!X308</x:f>
        <x:v>0.2695961995249406</x:v>
      </x:c>
      <x:c r="I359" t="str">
        <x:v>SATVEER</x:v>
      </x:c>
      <x:c r="J359" t="str">
        <x:v>BSP</x:v>
      </x:c>
      <x:c r="K359" t="str">
        <x:v>EVM row</x:v>
      </x:c>
      <x:c r="L359" s="133" t="str">
        <x:f>IF(D359&lt;=0,"No EVM votes",IF(E359&lt;$N$7,"Low",IF(E359&gt;$R$7,"High","Middle")))</x:f>
        <x:v>Middle</x:v>
      </x:c>
      <x:c r="M359" s="133" t="str">
        <x:f>IF(D359&lt;=0,"No EVM votes",IF(H359&lt;-20%,"Large deficit",IF(H359&lt;-5%,"Moderate deficit",IF(H359&lt;0,"Narrow deficit",IF(H359&lt;=5%,"Narrow lead/tie",IF(H359&lt;=20%,"Moderate lead","Large lead"))))))</x:f>
        <x:v>Large lead</x:v>
      </x:c>
    </x:row>
    <x:row r="360">
      <x:c r="A360" t="n">
        <x:v>301</x:v>
      </x:c>
      <x:c r="B360" t="str">
        <x:v>PRY. SCHOOL DHANSIYA R.NO. 1</x:v>
      </x:c>
      <x:c r="C360" s="83" t="n">
        <x:f>'2019 Form20'!H309</x:f>
        <x:v>292</x:v>
      </x:c>
      <x:c r="D360" s="83" t="n">
        <x:f>'2019 Form20'!D309</x:f>
        <x:v>568</x:v>
      </x:c>
      <x:c r="E360" s="50" t="n">
        <x:f>'2019 Form20'!U309</x:f>
        <x:v>0.5140845070422535</x:v>
      </x:c>
      <x:c r="F360" t="n">
        <x:f>'2019 Form20'!V309</x:f>
        <x:v>256</x:v>
      </x:c>
      <x:c r="G360" t="n">
        <x:f>'2019 Form20'!W309</x:f>
        <x:v>36</x:v>
      </x:c>
      <x:c r="H360" s="52" t="n">
        <x:f>'2019 Form20'!X309</x:f>
        <x:v>0.06338028169014084</x:v>
      </x:c>
      <x:c r="I360" t="str">
        <x:v>SATVEER</x:v>
      </x:c>
      <x:c r="J360" t="str">
        <x:v>BSP</x:v>
      </x:c>
      <x:c r="K360" t="str">
        <x:v>EVM row</x:v>
      </x:c>
      <x:c r="L360" s="133" t="str">
        <x:f>IF(D360&lt;=0,"No EVM votes",IF(E360&lt;$N$7,"Low",IF(E360&gt;$R$7,"High","Middle")))</x:f>
        <x:v>Middle</x:v>
      </x:c>
      <x:c r="M360" s="133" t="str">
        <x:f>IF(D360&lt;=0,"No EVM votes",IF(H360&lt;-20%,"Large deficit",IF(H360&lt;-5%,"Moderate deficit",IF(H360&lt;0,"Narrow deficit",IF(H360&lt;=5%,"Narrow lead/tie",IF(H360&lt;=20%,"Moderate lead","Large lead"))))))</x:f>
        <x:v>Moderate lead</x:v>
      </x:c>
    </x:row>
    <x:row r="361">
      <x:c r="A361" t="n">
        <x:v>302</x:v>
      </x:c>
      <x:c r="B361" t="str">
        <x:v>PRY. SCHOOL DASTAMPUR R.NO. 1</x:v>
      </x:c>
      <x:c r="C361" s="83" t="n">
        <x:f>'2019 Form20'!H310</x:f>
        <x:v>292</x:v>
      </x:c>
      <x:c r="D361" s="83" t="n">
        <x:f>'2019 Form20'!D310</x:f>
        <x:v>495</x:v>
      </x:c>
      <x:c r="E361" s="50" t="n">
        <x:f>'2019 Form20'!U310</x:f>
        <x:v>0.5898989898989899</x:v>
      </x:c>
      <x:c r="F361" t="n">
        <x:f>'2019 Form20'!V310</x:f>
        <x:v>196</x:v>
      </x:c>
      <x:c r="G361" t="n">
        <x:f>'2019 Form20'!W310</x:f>
        <x:v>96</x:v>
      </x:c>
      <x:c r="H361" s="52" t="n">
        <x:f>'2019 Form20'!X310</x:f>
        <x:v>0.19393939393939394</x:v>
      </x:c>
      <x:c r="I361" t="str">
        <x:v>SATVEER</x:v>
      </x:c>
      <x:c r="J361" t="str">
        <x:v>BSP</x:v>
      </x:c>
      <x:c r="K361" t="str">
        <x:v>EVM row</x:v>
      </x:c>
      <x:c r="L361" s="133" t="str">
        <x:f>IF(D361&lt;=0,"No EVM votes",IF(E361&lt;$N$7,"Low",IF(E361&gt;$R$7,"High","Middle")))</x:f>
        <x:v>Middle</x:v>
      </x:c>
      <x:c r="M361" s="133" t="str">
        <x:f>IF(D361&lt;=0,"No EVM votes",IF(H361&lt;-20%,"Large deficit",IF(H361&lt;-5%,"Moderate deficit",IF(H361&lt;0,"Narrow deficit",IF(H361&lt;=5%,"Narrow lead/tie",IF(H361&lt;=20%,"Moderate lead","Large lead"))))))</x:f>
        <x:v>Moderate lead</x:v>
      </x:c>
    </x:row>
    <x:row r="362">
      <x:c r="A362" t="n">
        <x:v>303</x:v>
      </x:c>
      <x:c r="B362" t="str">
        <x:v>PRY. SCHOOL DASTAMPUR R.NO. 2</x:v>
      </x:c>
      <x:c r="C362" s="83" t="n">
        <x:f>'2019 Form20'!H311</x:f>
        <x:v>183</x:v>
      </x:c>
      <x:c r="D362" s="83" t="n">
        <x:f>'2019 Form20'!D311</x:f>
        <x:v>490</x:v>
      </x:c>
      <x:c r="E362" s="50" t="n">
        <x:f>'2019 Form20'!U311</x:f>
        <x:v>0.373469387755102</x:v>
      </x:c>
      <x:c r="F362" t="n">
        <x:f>'2019 Form20'!V311</x:f>
        <x:v>291</x:v>
      </x:c>
      <x:c r="G362" t="n">
        <x:f>'2019 Form20'!W311</x:f>
        <x:v>-108</x:v>
      </x:c>
      <x:c r="H362" s="52" t="n">
        <x:f>'2019 Form20'!X311</x:f>
        <x:v>-0.22040816326530613</x:v>
      </x:c>
      <x:c r="I362" t="str">
        <x:v>DR. MAHESH SHARMA</x:v>
      </x:c>
      <x:c r="J362" t="str">
        <x:v>BJP</x:v>
      </x:c>
      <x:c r="K362" t="str">
        <x:v>EVM row</x:v>
      </x:c>
      <x:c r="L362" s="133" t="str">
        <x:f>IF(D362&lt;=0,"No EVM votes",IF(E362&lt;$N$7,"Low",IF(E362&gt;$R$7,"High","Middle")))</x:f>
        <x:v>Middle</x:v>
      </x:c>
      <x:c r="M362" s="133" t="str">
        <x:f>IF(D362&lt;=0,"No EVM votes",IF(H362&lt;-20%,"Large deficit",IF(H362&lt;-5%,"Moderate deficit",IF(H362&lt;0,"Narrow deficit",IF(H362&lt;=5%,"Narrow lead/tie",IF(H362&lt;=20%,"Moderate lead","Large lead"))))))</x:f>
        <x:v>Large deficit</x:v>
      </x:c>
    </x:row>
    <x:row r="363">
      <x:c r="A363" t="n">
        <x:v>304</x:v>
      </x:c>
      <x:c r="B363" t="str">
        <x:v>PRY. SCHOOL MOHBALIPUR R.NO. 1</x:v>
      </x:c>
      <x:c r="C363" s="83" t="n">
        <x:f>'2019 Form20'!H312</x:f>
        <x:v>103</x:v>
      </x:c>
      <x:c r="D363" s="83" t="n">
        <x:f>'2019 Form20'!D312</x:f>
        <x:v>744</x:v>
      </x:c>
      <x:c r="E363" s="50" t="n">
        <x:f>'2019 Form20'!U312</x:f>
        <x:v>0.13844086021505375</x:v>
      </x:c>
      <x:c r="F363" t="n">
        <x:f>'2019 Form20'!V312</x:f>
        <x:v>620</x:v>
      </x:c>
      <x:c r="G363" t="n">
        <x:f>'2019 Form20'!W312</x:f>
        <x:v>-517</x:v>
      </x:c>
      <x:c r="H363" s="52" t="n">
        <x:f>'2019 Form20'!X312</x:f>
        <x:v>-0.6948924731182796</x:v>
      </x:c>
      <x:c r="I363" t="str">
        <x:v>DR. MAHESH SHARMA</x:v>
      </x:c>
      <x:c r="J363" t="str">
        <x:v>BJP</x:v>
      </x:c>
      <x:c r="K363" t="str">
        <x:v>EVM row</x:v>
      </x:c>
      <x:c r="L363" s="133" t="str">
        <x:f>IF(D363&lt;=0,"No EVM votes",IF(E363&lt;$N$7,"Low",IF(E363&gt;$R$7,"High","Middle")))</x:f>
        <x:v>Low</x:v>
      </x:c>
      <x:c r="M363" s="133" t="str">
        <x:f>IF(D363&lt;=0,"No EVM votes",IF(H363&lt;-20%,"Large deficit",IF(H363&lt;-5%,"Moderate deficit",IF(H363&lt;0,"Narrow deficit",IF(H363&lt;=5%,"Narrow lead/tie",IF(H363&lt;=20%,"Moderate lead","Large lead"))))))</x:f>
        <x:v>Large deficit</x:v>
      </x:c>
    </x:row>
    <x:row r="364">
      <x:c r="A364" t="n">
        <x:v>305</x:v>
      </x:c>
      <x:c r="B364" t="str">
        <x:v>PRY. SCHOOL MILK KARIMABAD R.NO. 1</x:v>
      </x:c>
      <x:c r="C364" s="83" t="n">
        <x:f>'2019 Form20'!H313</x:f>
        <x:v>73</x:v>
      </x:c>
      <x:c r="D364" s="83" t="n">
        <x:f>'2019 Form20'!D313</x:f>
        <x:v>190</x:v>
      </x:c>
      <x:c r="E364" s="50" t="n">
        <x:f>'2019 Form20'!U313</x:f>
        <x:v>0.38421052631578945</x:v>
      </x:c>
      <x:c r="F364" t="n">
        <x:f>'2019 Form20'!V313</x:f>
        <x:v>113</x:v>
      </x:c>
      <x:c r="G364" t="n">
        <x:f>'2019 Form20'!W313</x:f>
        <x:v>-40</x:v>
      </x:c>
      <x:c r="H364" s="52" t="n">
        <x:f>'2019 Form20'!X313</x:f>
        <x:v>-0.21052631578947367</x:v>
      </x:c>
      <x:c r="I364" t="str">
        <x:v>DR. MAHESH SHARMA</x:v>
      </x:c>
      <x:c r="J364" t="str">
        <x:v>BJP</x:v>
      </x:c>
      <x:c r="K364" t="str">
        <x:v>EVM row</x:v>
      </x:c>
      <x:c r="L364" s="133" t="str">
        <x:f>IF(D364&lt;=0,"No EVM votes",IF(E364&lt;$N$7,"Low",IF(E364&gt;$R$7,"High","Middle")))</x:f>
        <x:v>Middle</x:v>
      </x:c>
      <x:c r="M364" s="133" t="str">
        <x:f>IF(D364&lt;=0,"No EVM votes",IF(H364&lt;-20%,"Large deficit",IF(H364&lt;-5%,"Moderate deficit",IF(H364&lt;0,"Narrow deficit",IF(H364&lt;=5%,"Narrow lead/tie",IF(H364&lt;=20%,"Moderate lead","Large lead"))))))</x:f>
        <x:v>Large deficit</x:v>
      </x:c>
    </x:row>
    <x:row r="365">
      <x:c r="A365" t="n">
        <x:v>306</x:v>
      </x:c>
      <x:c r="B365" t="str">
        <x:v>PRY. SCHOOL ALI AHMADPUR URF GARHI R.NO. 1</x:v>
      </x:c>
      <x:c r="C365" s="83" t="n">
        <x:f>'2019 Form20'!H314</x:f>
        <x:v>177</x:v>
      </x:c>
      <x:c r="D365" s="83" t="n">
        <x:f>'2019 Form20'!D314</x:f>
        <x:v>641</x:v>
      </x:c>
      <x:c r="E365" s="50" t="n">
        <x:f>'2019 Form20'!U314</x:f>
        <x:v>0.27613104524180965</x:v>
      </x:c>
      <x:c r="F365" t="n">
        <x:f>'2019 Form20'!V314</x:f>
        <x:v>428</x:v>
      </x:c>
      <x:c r="G365" t="n">
        <x:f>'2019 Form20'!W314</x:f>
        <x:v>-251</x:v>
      </x:c>
      <x:c r="H365" s="52" t="n">
        <x:f>'2019 Form20'!X314</x:f>
        <x:v>-0.3915756630265211</x:v>
      </x:c>
      <x:c r="I365" t="str">
        <x:v>DR. MAHESH SHARMA</x:v>
      </x:c>
      <x:c r="J365" t="str">
        <x:v>BJP</x:v>
      </x:c>
      <x:c r="K365" t="str">
        <x:v>EVM row</x:v>
      </x:c>
      <x:c r="L365" s="133" t="str">
        <x:f>IF(D365&lt;=0,"No EVM votes",IF(E365&lt;$N$7,"Low",IF(E365&gt;$R$7,"High","Middle")))</x:f>
        <x:v>Middle</x:v>
      </x:c>
      <x:c r="M365" s="133" t="str">
        <x:f>IF(D365&lt;=0,"No EVM votes",IF(H365&lt;-20%,"Large deficit",IF(H365&lt;-5%,"Moderate deficit",IF(H365&lt;0,"Narrow deficit",IF(H365&lt;=5%,"Narrow lead/tie",IF(H365&lt;=20%,"Moderate lead","Large lead"))))))</x:f>
        <x:v>Large deficit</x:v>
      </x:c>
    </x:row>
    <x:row r="366">
      <x:c r="A366" t="n">
        <x:v>307</x:v>
      </x:c>
      <x:c r="B366" t="str">
        <x:v>PRY. SCHOOL NO. 1 THAURA R.NO. 1</x:v>
      </x:c>
      <x:c r="C366" s="83" t="n">
        <x:f>'2019 Form20'!H315</x:f>
        <x:v>95</x:v>
      </x:c>
      <x:c r="D366" s="83" t="n">
        <x:f>'2019 Form20'!D315</x:f>
        <x:v>740</x:v>
      </x:c>
      <x:c r="E366" s="50" t="n">
        <x:f>'2019 Form20'!U315</x:f>
        <x:v>0.12837837837837837</x:v>
      </x:c>
      <x:c r="F366" t="n">
        <x:f>'2019 Form20'!V315</x:f>
        <x:v>627</x:v>
      </x:c>
      <x:c r="G366" t="n">
        <x:f>'2019 Form20'!W315</x:f>
        <x:v>-532</x:v>
      </x:c>
      <x:c r="H366" s="52" t="n">
        <x:f>'2019 Form20'!X315</x:f>
        <x:v>-0.7189189189189189</x:v>
      </x:c>
      <x:c r="I366" t="str">
        <x:v>DR. MAHESH SHARMA</x:v>
      </x:c>
      <x:c r="J366" t="str">
        <x:v>BJP</x:v>
      </x:c>
      <x:c r="K366" t="str">
        <x:v>EVM row</x:v>
      </x:c>
      <x:c r="L366" s="133" t="str">
        <x:f>IF(D366&lt;=0,"No EVM votes",IF(E366&lt;$N$7,"Low",IF(E366&gt;$R$7,"High","Middle")))</x:f>
        <x:v>Low</x:v>
      </x:c>
      <x:c r="M366" s="133" t="str">
        <x:f>IF(D366&lt;=0,"No EVM votes",IF(H366&lt;-20%,"Large deficit",IF(H366&lt;-5%,"Moderate deficit",IF(H366&lt;0,"Narrow deficit",IF(H366&lt;=5%,"Narrow lead/tie",IF(H366&lt;=20%,"Moderate lead","Large lead"))))))</x:f>
        <x:v>Large deficit</x:v>
      </x:c>
    </x:row>
    <x:row r="367">
      <x:c r="A367" t="n">
        <x:v>308</x:v>
      </x:c>
      <x:c r="B367" t="str">
        <x:v>PRY. SCHOOL NO. 1 THAURA R.NO. 2</x:v>
      </x:c>
      <x:c r="C367" s="83" t="n">
        <x:f>'2019 Form20'!H316</x:f>
        <x:v>26</x:v>
      </x:c>
      <x:c r="D367" s="83" t="n">
        <x:f>'2019 Form20'!D316</x:f>
        <x:v>567</x:v>
      </x:c>
      <x:c r="E367" s="50" t="n">
        <x:f>'2019 Form20'!U316</x:f>
        <x:v>0.04585537918871252</x:v>
      </x:c>
      <x:c r="F367" t="n">
        <x:f>'2019 Form20'!V316</x:f>
        <x:v>521</x:v>
      </x:c>
      <x:c r="G367" t="n">
        <x:f>'2019 Form20'!W316</x:f>
        <x:v>-495</x:v>
      </x:c>
      <x:c r="H367" s="52" t="n">
        <x:f>'2019 Form20'!X316</x:f>
        <x:v>-0.873015873015873</x:v>
      </x:c>
      <x:c r="I367" t="str">
        <x:v>DR. MAHESH SHARMA</x:v>
      </x:c>
      <x:c r="J367" t="str">
        <x:v>BJP</x:v>
      </x:c>
      <x:c r="K367" t="str">
        <x:v>EVM row</x:v>
      </x:c>
      <x:c r="L367" s="133" t="str">
        <x:f>IF(D367&lt;=0,"No EVM votes",IF(E367&lt;$N$7,"Low",IF(E367&gt;$R$7,"High","Middle")))</x:f>
        <x:v>Low</x:v>
      </x:c>
      <x:c r="M367" s="133" t="str">
        <x:f>IF(D367&lt;=0,"No EVM votes",IF(H367&lt;-20%,"Large deficit",IF(H367&lt;-5%,"Moderate deficit",IF(H367&lt;0,"Narrow deficit",IF(H367&lt;=5%,"Narrow lead/tie",IF(H367&lt;=20%,"Moderate lead","Large lead"))))))</x:f>
        <x:v>Large deficit</x:v>
      </x:c>
    </x:row>
    <x:row r="368">
      <x:c r="A368" t="n">
        <x:v>309</x:v>
      </x:c>
      <x:c r="B368" t="str">
        <x:v>PRY. SCHOOL NO. 2 THAURA R.NO. 1</x:v>
      </x:c>
      <x:c r="C368" s="83" t="n">
        <x:f>'2019 Form20'!H317</x:f>
        <x:v>91</x:v>
      </x:c>
      <x:c r="D368" s="83" t="n">
        <x:f>'2019 Form20'!D317</x:f>
        <x:v>550</x:v>
      </x:c>
      <x:c r="E368" s="50" t="n">
        <x:f>'2019 Form20'!U317</x:f>
        <x:v>0.16545454545454547</x:v>
      </x:c>
      <x:c r="F368" t="n">
        <x:f>'2019 Form20'!V317</x:f>
        <x:v>438</x:v>
      </x:c>
      <x:c r="G368" t="n">
        <x:f>'2019 Form20'!W317</x:f>
        <x:v>-347</x:v>
      </x:c>
      <x:c r="H368" s="52" t="n">
        <x:f>'2019 Form20'!X317</x:f>
        <x:v>-0.6309090909090909</x:v>
      </x:c>
      <x:c r="I368" t="str">
        <x:v>DR. MAHESH SHARMA</x:v>
      </x:c>
      <x:c r="J368" t="str">
        <x:v>BJP</x:v>
      </x:c>
      <x:c r="K368" t="str">
        <x:v>EVM row</x:v>
      </x:c>
      <x:c r="L368" s="133" t="str">
        <x:f>IF(D368&lt;=0,"No EVM votes",IF(E368&lt;$N$7,"Low",IF(E368&gt;$R$7,"High","Middle")))</x:f>
        <x:v>Low</x:v>
      </x:c>
      <x:c r="M368" s="133" t="str">
        <x:f>IF(D368&lt;=0,"No EVM votes",IF(H368&lt;-20%,"Large deficit",IF(H368&lt;-5%,"Moderate deficit",IF(H368&lt;0,"Narrow deficit",IF(H368&lt;=5%,"Narrow lead/tie",IF(H368&lt;=20%,"Moderate lead","Large lead"))))))</x:f>
        <x:v>Large deficit</x:v>
      </x:c>
    </x:row>
    <x:row r="369">
      <x:c r="A369" t="n">
        <x:v>310</x:v>
      </x:c>
      <x:c r="B369" t="str">
        <x:v>PRY. SCHOOL NO. 2 THAURA R.NO. 2</x:v>
      </x:c>
      <x:c r="C369" s="83" t="n">
        <x:f>'2019 Form20'!H318</x:f>
        <x:v>236</x:v>
      </x:c>
      <x:c r="D369" s="83" t="n">
        <x:f>'2019 Form20'!D318</x:f>
        <x:v>475</x:v>
      </x:c>
      <x:c r="E369" s="50" t="n">
        <x:f>'2019 Form20'!U318</x:f>
        <x:v>0.4968421052631579</x:v>
      </x:c>
      <x:c r="F369" t="n">
        <x:f>'2019 Form20'!V318</x:f>
        <x:v>220</x:v>
      </x:c>
      <x:c r="G369" t="n">
        <x:f>'2019 Form20'!W318</x:f>
        <x:v>16</x:v>
      </x:c>
      <x:c r="H369" s="52" t="n">
        <x:f>'2019 Form20'!X318</x:f>
        <x:v>0.03368421052631579</x:v>
      </x:c>
      <x:c r="I369" t="str">
        <x:v>SATVEER</x:v>
      </x:c>
      <x:c r="J369" t="str">
        <x:v>BSP</x:v>
      </x:c>
      <x:c r="K369" t="str">
        <x:v>EVM row</x:v>
      </x:c>
      <x:c r="L369" s="133" t="str">
        <x:f>IF(D369&lt;=0,"No EVM votes",IF(E369&lt;$N$7,"Low",IF(E369&gt;$R$7,"High","Middle")))</x:f>
        <x:v>Middle</x:v>
      </x:c>
      <x:c r="M369" s="133" t="str">
        <x:f>IF(D369&lt;=0,"No EVM votes",IF(H369&lt;-20%,"Large deficit",IF(H369&lt;-5%,"Moderate deficit",IF(H369&lt;0,"Narrow deficit",IF(H369&lt;=5%,"Narrow lead/tie",IF(H369&lt;=20%,"Moderate lead","Large lead"))))))</x:f>
        <x:v>Narrow lead/tie</x:v>
      </x:c>
    </x:row>
    <x:row r="370">
      <x:c r="A370" t="n">
        <x:v>311</x:v>
      </x:c>
      <x:c r="B370" t="str">
        <x:v>PRY. SCHOOL NO. 2 THAURA R.NO. 3</x:v>
      </x:c>
      <x:c r="C370" s="83" t="n">
        <x:f>'2019 Form20'!H319</x:f>
        <x:v>327</x:v>
      </x:c>
      <x:c r="D370" s="83" t="n">
        <x:f>'2019 Form20'!D319</x:f>
        <x:v>545</x:v>
      </x:c>
      <x:c r="E370" s="50" t="n">
        <x:f>'2019 Form20'!U319</x:f>
        <x:v>0.6</x:v>
      </x:c>
      <x:c r="F370" t="n">
        <x:f>'2019 Form20'!V319</x:f>
        <x:v>195</x:v>
      </x:c>
      <x:c r="G370" t="n">
        <x:f>'2019 Form20'!W319</x:f>
        <x:v>132</x:v>
      </x:c>
      <x:c r="H370" s="52" t="n">
        <x:f>'2019 Form20'!X319</x:f>
        <x:v>0.24220183486238533</x:v>
      </x:c>
      <x:c r="I370" t="str">
        <x:v>SATVEER</x:v>
      </x:c>
      <x:c r="J370" t="str">
        <x:v>BSP</x:v>
      </x:c>
      <x:c r="K370" t="str">
        <x:v>EVM row</x:v>
      </x:c>
      <x:c r="L370" s="133" t="str">
        <x:f>IF(D370&lt;=0,"No EVM votes",IF(E370&lt;$N$7,"Low",IF(E370&gt;$R$7,"High","Middle")))</x:f>
        <x:v>Middle</x:v>
      </x:c>
      <x:c r="M370" s="133" t="str">
        <x:f>IF(D370&lt;=0,"No EVM votes",IF(H370&lt;-20%,"Large deficit",IF(H370&lt;-5%,"Moderate deficit",IF(H370&lt;0,"Narrow deficit",IF(H370&lt;=5%,"Narrow lead/tie",IF(H370&lt;=20%,"Moderate lead","Large lead"))))))</x:f>
        <x:v>Large lead</x:v>
      </x:c>
    </x:row>
    <x:row r="371">
      <x:c r="A371" t="n">
        <x:v>312</x:v>
      </x:c>
      <x:c r="B371" t="str">
        <x:v>PRY. SCHOOL BANKAPUR R.NO. 1</x:v>
      </x:c>
      <x:c r="C371" s="83" t="n">
        <x:f>'2019 Form20'!H320</x:f>
        <x:v>55</x:v>
      </x:c>
      <x:c r="D371" s="83" t="n">
        <x:f>'2019 Form20'!D320</x:f>
        <x:v>482</x:v>
      </x:c>
      <x:c r="E371" s="50" t="n">
        <x:f>'2019 Form20'!U320</x:f>
        <x:v>0.11410788381742738</x:v>
      </x:c>
      <x:c r="F371" t="n">
        <x:f>'2019 Form20'!V320</x:f>
        <x:v>415</x:v>
      </x:c>
      <x:c r="G371" t="n">
        <x:f>'2019 Form20'!W320</x:f>
        <x:v>-360</x:v>
      </x:c>
      <x:c r="H371" s="52" t="n">
        <x:f>'2019 Form20'!X320</x:f>
        <x:v>-0.7468879668049793</x:v>
      </x:c>
      <x:c r="I371" t="str">
        <x:v>DR. MAHESH SHARMA</x:v>
      </x:c>
      <x:c r="J371" t="str">
        <x:v>BJP</x:v>
      </x:c>
      <x:c r="K371" t="str">
        <x:v>EVM row</x:v>
      </x:c>
      <x:c r="L371" s="133" t="str">
        <x:f>IF(D371&lt;=0,"No EVM votes",IF(E371&lt;$N$7,"Low",IF(E371&gt;$R$7,"High","Middle")))</x:f>
        <x:v>Low</x:v>
      </x:c>
      <x:c r="M371" s="133" t="str">
        <x:f>IF(D371&lt;=0,"No EVM votes",IF(H371&lt;-20%,"Large deficit",IF(H371&lt;-5%,"Moderate deficit",IF(H371&lt;0,"Narrow deficit",IF(H371&lt;=5%,"Narrow lead/tie",IF(H371&lt;=20%,"Moderate lead","Large lead"))))))</x:f>
        <x:v>Large deficit</x:v>
      </x:c>
    </x:row>
    <x:row r="372">
      <x:c r="A372" t="n">
        <x:v>313</x:v>
      </x:c>
      <x:c r="B372" t="str">
        <x:v>PRY. SCHOOL BANKAPUR R.NO. 2</x:v>
      </x:c>
      <x:c r="C372" s="83" t="n">
        <x:f>'2019 Form20'!H321</x:f>
        <x:v>138</x:v>
      </x:c>
      <x:c r="D372" s="83" t="n">
        <x:f>'2019 Form20'!D321</x:f>
        <x:v>423</x:v>
      </x:c>
      <x:c r="E372" s="50" t="n">
        <x:f>'2019 Form20'!U321</x:f>
        <x:v>0.3262411347517731</x:v>
      </x:c>
      <x:c r="F372" t="n">
        <x:f>'2019 Form20'!V321</x:f>
        <x:v>277</x:v>
      </x:c>
      <x:c r="G372" t="n">
        <x:f>'2019 Form20'!W321</x:f>
        <x:v>-139</x:v>
      </x:c>
      <x:c r="H372" s="52" t="n">
        <x:f>'2019 Form20'!X321</x:f>
        <x:v>-0.32860520094562645</x:v>
      </x:c>
      <x:c r="I372" t="str">
        <x:v>DR. MAHESH SHARMA</x:v>
      </x:c>
      <x:c r="J372" t="str">
        <x:v>BJP</x:v>
      </x:c>
      <x:c r="K372" t="str">
        <x:v>EVM row</x:v>
      </x:c>
      <x:c r="L372" s="133" t="str">
        <x:f>IF(D372&lt;=0,"No EVM votes",IF(E372&lt;$N$7,"Low",IF(E372&gt;$R$7,"High","Middle")))</x:f>
        <x:v>Middle</x:v>
      </x:c>
      <x:c r="M372" s="133" t="str">
        <x:f>IF(D372&lt;=0,"No EVM votes",IF(H372&lt;-20%,"Large deficit",IF(H372&lt;-5%,"Moderate deficit",IF(H372&lt;0,"Narrow deficit",IF(H372&lt;=5%,"Narrow lead/tie",IF(H372&lt;=20%,"Moderate lead","Large lead"))))))</x:f>
        <x:v>Large deficit</x:v>
      </x:c>
    </x:row>
    <x:row r="373">
      <x:c r="A373" t="n">
        <x:v>314</x:v>
      </x:c>
      <x:c r="B373" t="str">
        <x:v>PRY. SCHOOL NEEMKA SHAHJAHANPUR R.NO. 1</x:v>
      </x:c>
      <x:c r="C373" s="83" t="n">
        <x:f>'2019 Form20'!H322</x:f>
        <x:v>448</x:v>
      </x:c>
      <x:c r="D373" s="83" t="n">
        <x:f>'2019 Form20'!D322</x:f>
        <x:v>754</x:v>
      </x:c>
      <x:c r="E373" s="50" t="n">
        <x:f>'2019 Form20'!U322</x:f>
        <x:v>0.5941644562334217</x:v>
      </x:c>
      <x:c r="F373" t="n">
        <x:f>'2019 Form20'!V322</x:f>
        <x:v>283</x:v>
      </x:c>
      <x:c r="G373" t="n">
        <x:f>'2019 Form20'!W322</x:f>
        <x:v>165</x:v>
      </x:c>
      <x:c r="H373" s="52" t="n">
        <x:f>'2019 Form20'!X322</x:f>
        <x:v>0.21883289124668434</x:v>
      </x:c>
      <x:c r="I373" t="str">
        <x:v>SATVEER</x:v>
      </x:c>
      <x:c r="J373" t="str">
        <x:v>BSP</x:v>
      </x:c>
      <x:c r="K373" t="str">
        <x:v>EVM row</x:v>
      </x:c>
      <x:c r="L373" s="133" t="str">
        <x:f>IF(D373&lt;=0,"No EVM votes",IF(E373&lt;$N$7,"Low",IF(E373&gt;$R$7,"High","Middle")))</x:f>
        <x:v>Middle</x:v>
      </x:c>
      <x:c r="M373" s="133" t="str">
        <x:f>IF(D373&lt;=0,"No EVM votes",IF(H373&lt;-20%,"Large deficit",IF(H373&lt;-5%,"Moderate deficit",IF(H373&lt;0,"Narrow deficit",IF(H373&lt;=5%,"Narrow lead/tie",IF(H373&lt;=20%,"Moderate lead","Large lead"))))))</x:f>
        <x:v>Large lead</x:v>
      </x:c>
    </x:row>
    <x:row r="374">
      <x:c r="A374" t="n">
        <x:v>315</x:v>
      </x:c>
      <x:c r="B374" t="str">
        <x:v>PRY. SCHOOL NEEMKA SHAHJAHANPUR R.NO. 2</x:v>
      </x:c>
      <x:c r="C374" s="83" t="n">
        <x:f>'2019 Form20'!H323</x:f>
        <x:v>119</x:v>
      </x:c>
      <x:c r="D374" s="83" t="n">
        <x:f>'2019 Form20'!D323</x:f>
        <x:v>662</x:v>
      </x:c>
      <x:c r="E374" s="50" t="n">
        <x:f>'2019 Form20'!U323</x:f>
        <x:v>0.1797583081570997</x:v>
      </x:c>
      <x:c r="F374" t="n">
        <x:f>'2019 Form20'!V323</x:f>
        <x:v>522</x:v>
      </x:c>
      <x:c r="G374" t="n">
        <x:f>'2019 Form20'!W323</x:f>
        <x:v>-403</x:v>
      </x:c>
      <x:c r="H374" s="52" t="n">
        <x:f>'2019 Form20'!X323</x:f>
        <x:v>-0.6087613293051359</x:v>
      </x:c>
      <x:c r="I374" t="str">
        <x:v>DR. MAHESH SHARMA</x:v>
      </x:c>
      <x:c r="J374" t="str">
        <x:v>BJP</x:v>
      </x:c>
      <x:c r="K374" t="str">
        <x:v>EVM row</x:v>
      </x:c>
      <x:c r="L374" s="133" t="str">
        <x:f>IF(D374&lt;=0,"No EVM votes",IF(E374&lt;$N$7,"Low",IF(E374&gt;$R$7,"High","Middle")))</x:f>
        <x:v>Low</x:v>
      </x:c>
      <x:c r="M374" s="133" t="str">
        <x:f>IF(D374&lt;=0,"No EVM votes",IF(H374&lt;-20%,"Large deficit",IF(H374&lt;-5%,"Moderate deficit",IF(H374&lt;0,"Narrow deficit",IF(H374&lt;=5%,"Narrow lead/tie",IF(H374&lt;=20%,"Moderate lead","Large lead"))))))</x:f>
        <x:v>Large deficit</x:v>
      </x:c>
    </x:row>
    <x:row r="375">
      <x:c r="A375" t="n">
        <x:v>316</x:v>
      </x:c>
      <x:c r="B375" t="str">
        <x:v>J. H. SCHOOL NEEMKA SHAHJAHANPUR R.NO. 1</x:v>
      </x:c>
      <x:c r="C375" s="83" t="n">
        <x:f>'2019 Form20'!H324</x:f>
        <x:v>121</x:v>
      </x:c>
      <x:c r="D375" s="83" t="n">
        <x:f>'2019 Form20'!D324</x:f>
        <x:v>451</x:v>
      </x:c>
      <x:c r="E375" s="50" t="n">
        <x:f>'2019 Form20'!U324</x:f>
        <x:v>0.2682926829268293</x:v>
      </x:c>
      <x:c r="F375" t="n">
        <x:f>'2019 Form20'!V324</x:f>
        <x:v>311</x:v>
      </x:c>
      <x:c r="G375" t="n">
        <x:f>'2019 Form20'!W324</x:f>
        <x:v>-190</x:v>
      </x:c>
      <x:c r="H375" s="52" t="n">
        <x:f>'2019 Form20'!X324</x:f>
        <x:v>-0.4212860310421286</x:v>
      </x:c>
      <x:c r="I375" t="str">
        <x:v>DR. MAHESH SHARMA</x:v>
      </x:c>
      <x:c r="J375" t="str">
        <x:v>BJP</x:v>
      </x:c>
      <x:c r="K375" t="str">
        <x:v>EVM row</x:v>
      </x:c>
      <x:c r="L375" s="133" t="str">
        <x:f>IF(D375&lt;=0,"No EVM votes",IF(E375&lt;$N$7,"Low",IF(E375&gt;$R$7,"High","Middle")))</x:f>
        <x:v>Middle</x:v>
      </x:c>
      <x:c r="M375" s="133" t="str">
        <x:f>IF(D375&lt;=0,"No EVM votes",IF(H375&lt;-20%,"Large deficit",IF(H375&lt;-5%,"Moderate deficit",IF(H375&lt;0,"Narrow deficit",IF(H375&lt;=5%,"Narrow lead/tie",IF(H375&lt;=20%,"Moderate lead","Large lead"))))))</x:f>
        <x:v>Large deficit</x:v>
      </x:c>
    </x:row>
    <x:row r="376">
      <x:c r="A376" t="n">
        <x:v>317</x:v>
      </x:c>
      <x:c r="B376" t="str">
        <x:v>PRY. SCHOOL SADULLAPUR URF MODELPUR R.NO. 1</x:v>
      </x:c>
      <x:c r="C376" s="83" t="n">
        <x:f>'2019 Form20'!H325</x:f>
        <x:v>63</x:v>
      </x:c>
      <x:c r="D376" s="83" t="n">
        <x:f>'2019 Form20'!D325</x:f>
        <x:v>528</x:v>
      </x:c>
      <x:c r="E376" s="50" t="n">
        <x:f>'2019 Form20'!U325</x:f>
        <x:v>0.11931818181818182</x:v>
      </x:c>
      <x:c r="F376" t="n">
        <x:f>'2019 Form20'!V325</x:f>
        <x:v>439</x:v>
      </x:c>
      <x:c r="G376" t="n">
        <x:f>'2019 Form20'!W325</x:f>
        <x:v>-376</x:v>
      </x:c>
      <x:c r="H376" s="52" t="n">
        <x:f>'2019 Form20'!X325</x:f>
        <x:v>-0.7121212121212122</x:v>
      </x:c>
      <x:c r="I376" t="str">
        <x:v>DR. MAHESH SHARMA</x:v>
      </x:c>
      <x:c r="J376" t="str">
        <x:v>BJP</x:v>
      </x:c>
      <x:c r="K376" t="str">
        <x:v>EVM row</x:v>
      </x:c>
      <x:c r="L376" s="133" t="str">
        <x:f>IF(D376&lt;=0,"No EVM votes",IF(E376&lt;$N$7,"Low",IF(E376&gt;$R$7,"High","Middle")))</x:f>
        <x:v>Low</x:v>
      </x:c>
      <x:c r="M376" s="133" t="str">
        <x:f>IF(D376&lt;=0,"No EVM votes",IF(H376&lt;-20%,"Large deficit",IF(H376&lt;-5%,"Moderate deficit",IF(H376&lt;0,"Narrow deficit",IF(H376&lt;=5%,"Narrow lead/tie",IF(H376&lt;=20%,"Moderate lead","Large lead"))))))</x:f>
        <x:v>Large deficit</x:v>
      </x:c>
    </x:row>
    <x:row r="377">
      <x:c r="A377" t="n">
        <x:v>318</x:v>
      </x:c>
      <x:c r="B377" t="str">
        <x:v>PRY. SCHOOL KHWAJPUR R.NO. 1</x:v>
      </x:c>
      <x:c r="C377" s="83" t="n">
        <x:f>'2019 Form20'!H326</x:f>
        <x:v>54</x:v>
      </x:c>
      <x:c r="D377" s="83" t="n">
        <x:f>'2019 Form20'!D326</x:f>
        <x:v>614</x:v>
      </x:c>
      <x:c r="E377" s="50" t="n">
        <x:f>'2019 Form20'!U326</x:f>
        <x:v>0.08794788273615635</x:v>
      </x:c>
      <x:c r="F377" t="n">
        <x:f>'2019 Form20'!V326</x:f>
        <x:v>554</x:v>
      </x:c>
      <x:c r="G377" t="n">
        <x:f>'2019 Form20'!W326</x:f>
        <x:v>-500</x:v>
      </x:c>
      <x:c r="H377" s="52" t="n">
        <x:f>'2019 Form20'!X326</x:f>
        <x:v>-0.8143322475570033</x:v>
      </x:c>
      <x:c r="I377" t="str">
        <x:v>DR. MAHESH SHARMA</x:v>
      </x:c>
      <x:c r="J377" t="str">
        <x:v>BJP</x:v>
      </x:c>
      <x:c r="K377" t="str">
        <x:v>EVM row</x:v>
      </x:c>
      <x:c r="L377" s="133" t="str">
        <x:f>IF(D377&lt;=0,"No EVM votes",IF(E377&lt;$N$7,"Low",IF(E377&gt;$R$7,"High","Middle")))</x:f>
        <x:v>Low</x:v>
      </x:c>
      <x:c r="M377" s="133" t="str">
        <x:f>IF(D377&lt;=0,"No EVM votes",IF(H377&lt;-20%,"Large deficit",IF(H377&lt;-5%,"Moderate deficit",IF(H377&lt;0,"Narrow deficit",IF(H377&lt;=5%,"Narrow lead/tie",IF(H377&lt;=20%,"Moderate lead","Large lead"))))))</x:f>
        <x:v>Large deficit</x:v>
      </x:c>
    </x:row>
    <x:row r="378">
      <x:c r="A378" t="n">
        <x:v>319</x:v>
      </x:c>
      <x:c r="B378" t="str">
        <x:v>PRY. SCHOOL KHWAJPUR R.NO. 2</x:v>
      </x:c>
      <x:c r="C378" s="83" t="n">
        <x:f>'2019 Form20'!H327</x:f>
        <x:v>358</x:v>
      </x:c>
      <x:c r="D378" s="83" t="n">
        <x:f>'2019 Form20'!D327</x:f>
        <x:v>516</x:v>
      </x:c>
      <x:c r="E378" s="50" t="n">
        <x:f>'2019 Form20'!U327</x:f>
        <x:v>0.6937984496124031</x:v>
      </x:c>
      <x:c r="F378" t="n">
        <x:f>'2019 Form20'!V327</x:f>
        <x:v>140</x:v>
      </x:c>
      <x:c r="G378" t="n">
        <x:f>'2019 Form20'!W327</x:f>
        <x:v>218</x:v>
      </x:c>
      <x:c r="H378" s="52" t="n">
        <x:f>'2019 Form20'!X327</x:f>
        <x:v>0.42248062015503873</x:v>
      </x:c>
      <x:c r="I378" t="str">
        <x:v>SATVEER</x:v>
      </x:c>
      <x:c r="J378" t="str">
        <x:v>BSP</x:v>
      </x:c>
      <x:c r="K378" t="str">
        <x:v>EVM row</x:v>
      </x:c>
      <x:c r="L378" s="133" t="str">
        <x:f>IF(D378&lt;=0,"No EVM votes",IF(E378&lt;$N$7,"Low",IF(E378&gt;$R$7,"High","Middle")))</x:f>
        <x:v>High</x:v>
      </x:c>
      <x:c r="M378" s="133" t="str">
        <x:f>IF(D378&lt;=0,"No EVM votes",IF(H378&lt;-20%,"Large deficit",IF(H378&lt;-5%,"Moderate deficit",IF(H378&lt;0,"Narrow deficit",IF(H378&lt;=5%,"Narrow lead/tie",IF(H378&lt;=20%,"Moderate lead","Large lead"))))))</x:f>
        <x:v>Large lead</x:v>
      </x:c>
    </x:row>
    <x:row r="379">
      <x:c r="A379" t="n">
        <x:v>320</x:v>
      </x:c>
      <x:c r="B379" t="str">
        <x:v>PRY. SCHOOL JEWAR KHADAR R.NO. 1</x:v>
      </x:c>
      <x:c r="C379" s="83" t="n">
        <x:f>'2019 Form20'!H328</x:f>
        <x:v>30</x:v>
      </x:c>
      <x:c r="D379" s="83" t="n">
        <x:f>'2019 Form20'!D328</x:f>
        <x:v>507</x:v>
      </x:c>
      <x:c r="E379" s="50" t="n">
        <x:f>'2019 Form20'!U328</x:f>
        <x:v>0.05917159763313609</x:v>
      </x:c>
      <x:c r="F379" t="n">
        <x:f>'2019 Form20'!V328</x:f>
        <x:v>472</x:v>
      </x:c>
      <x:c r="G379" t="n">
        <x:f>'2019 Form20'!W328</x:f>
        <x:v>-442</x:v>
      </x:c>
      <x:c r="H379" s="52" t="n">
        <x:f>'2019 Form20'!X328</x:f>
        <x:v>-0.8717948717948718</x:v>
      </x:c>
      <x:c r="I379" t="str">
        <x:v>DR. MAHESH SHARMA</x:v>
      </x:c>
      <x:c r="J379" t="str">
        <x:v>BJP</x:v>
      </x:c>
      <x:c r="K379" t="str">
        <x:v>EVM row</x:v>
      </x:c>
      <x:c r="L379" s="133" t="str">
        <x:f>IF(D379&lt;=0,"No EVM votes",IF(E379&lt;$N$7,"Low",IF(E379&gt;$R$7,"High","Middle")))</x:f>
        <x:v>Low</x:v>
      </x:c>
      <x:c r="M379" s="133" t="str">
        <x:f>IF(D379&lt;=0,"No EVM votes",IF(H379&lt;-20%,"Large deficit",IF(H379&lt;-5%,"Moderate deficit",IF(H379&lt;0,"Narrow deficit",IF(H379&lt;=5%,"Narrow lead/tie",IF(H379&lt;=20%,"Moderate lead","Large lead"))))))</x:f>
        <x:v>Large deficit</x:v>
      </x:c>
    </x:row>
    <x:row r="380">
      <x:c r="A380" t="n">
        <x:v>321</x:v>
      </x:c>
      <x:c r="B380" t="str">
        <x:v>PRY. SCHOOL JEWAR KHADAR R.NO. 2</x:v>
      </x:c>
      <x:c r="C380" s="83" t="n">
        <x:f>'2019 Form20'!H329</x:f>
        <x:v>15</x:v>
      </x:c>
      <x:c r="D380" s="83" t="n">
        <x:f>'2019 Form20'!D329</x:f>
        <x:v>433</x:v>
      </x:c>
      <x:c r="E380" s="50" t="n">
        <x:f>'2019 Form20'!U329</x:f>
        <x:v>0.03464203233256351</x:v>
      </x:c>
      <x:c r="F380" t="n">
        <x:f>'2019 Form20'!V329</x:f>
        <x:v>414</x:v>
      </x:c>
      <x:c r="G380" t="n">
        <x:f>'2019 Form20'!W329</x:f>
        <x:v>-399</x:v>
      </x:c>
      <x:c r="H380" s="52" t="n">
        <x:f>'2019 Form20'!X329</x:f>
        <x:v>-0.9214780600461894</x:v>
      </x:c>
      <x:c r="I380" t="str">
        <x:v>DR. MAHESH SHARMA</x:v>
      </x:c>
      <x:c r="J380" t="str">
        <x:v>BJP</x:v>
      </x:c>
      <x:c r="K380" t="str">
        <x:v>EVM row</x:v>
      </x:c>
      <x:c r="L380" s="133" t="str">
        <x:f>IF(D380&lt;=0,"No EVM votes",IF(E380&lt;$N$7,"Low",IF(E380&gt;$R$7,"High","Middle")))</x:f>
        <x:v>Low</x:v>
      </x:c>
      <x:c r="M380" s="133" t="str">
        <x:f>IF(D380&lt;=0,"No EVM votes",IF(H380&lt;-20%,"Large deficit",IF(H380&lt;-5%,"Moderate deficit",IF(H380&lt;0,"Narrow deficit",IF(H380&lt;=5%,"Narrow lead/tie",IF(H380&lt;=20%,"Moderate lead","Large lead"))))))</x:f>
        <x:v>Large deficit</x:v>
      </x:c>
    </x:row>
    <x:row r="381">
      <x:c r="A381" t="n">
        <x:v>322</x:v>
      </x:c>
      <x:c r="B381" t="str">
        <x:v>SARSWATI SHISHU MANDIR T.A. JEWAR R.NO. 1</x:v>
      </x:c>
      <x:c r="C381" s="83" t="n">
        <x:f>'2019 Form20'!H330</x:f>
        <x:v>485</x:v>
      </x:c>
      <x:c r="D381" s="83" t="n">
        <x:f>'2019 Form20'!D330</x:f>
        <x:v>712</x:v>
      </x:c>
      <x:c r="E381" s="50" t="n">
        <x:f>'2019 Form20'!U330</x:f>
        <x:v>0.6811797752808989</x:v>
      </x:c>
      <x:c r="F381" t="n">
        <x:f>'2019 Form20'!V330</x:f>
        <x:v>204</x:v>
      </x:c>
      <x:c r="G381" t="n">
        <x:f>'2019 Form20'!W330</x:f>
        <x:v>281</x:v>
      </x:c>
      <x:c r="H381" s="52" t="n">
        <x:f>'2019 Form20'!X330</x:f>
        <x:v>0.3946629213483146</x:v>
      </x:c>
      <x:c r="I381" t="str">
        <x:v>SATVEER</x:v>
      </x:c>
      <x:c r="J381" t="str">
        <x:v>BSP</x:v>
      </x:c>
      <x:c r="K381" t="str">
        <x:v>EVM row</x:v>
      </x:c>
      <x:c r="L381" s="133" t="str">
        <x:f>IF(D381&lt;=0,"No EVM votes",IF(E381&lt;$N$7,"Low",IF(E381&gt;$R$7,"High","Middle")))</x:f>
        <x:v>High</x:v>
      </x:c>
      <x:c r="M381" s="133" t="str">
        <x:f>IF(D381&lt;=0,"No EVM votes",IF(H381&lt;-20%,"Large deficit",IF(H381&lt;-5%,"Moderate deficit",IF(H381&lt;0,"Narrow deficit",IF(H381&lt;=5%,"Narrow lead/tie",IF(H381&lt;=20%,"Moderate lead","Large lead"))))))</x:f>
        <x:v>Large lead</x:v>
      </x:c>
    </x:row>
    <x:row r="382">
      <x:c r="A382" t="n">
        <x:v>323</x:v>
      </x:c>
      <x:c r="B382" t="str">
        <x:v>SARSWATI SHISHU MANDIR T.A. JEWAR R.NO. 2</x:v>
      </x:c>
      <x:c r="C382" s="83" t="n">
        <x:f>'2019 Form20'!H331</x:f>
        <x:v>197</x:v>
      </x:c>
      <x:c r="D382" s="83" t="n">
        <x:f>'2019 Form20'!D331</x:f>
        <x:v>681</x:v>
      </x:c>
      <x:c r="E382" s="50" t="n">
        <x:f>'2019 Form20'!U331</x:f>
        <x:v>0.28928046989721</x:v>
      </x:c>
      <x:c r="F382" t="n">
        <x:f>'2019 Form20'!V331</x:f>
        <x:v>450</x:v>
      </x:c>
      <x:c r="G382" t="n">
        <x:f>'2019 Form20'!W331</x:f>
        <x:v>-253</x:v>
      </x:c>
      <x:c r="H382" s="52" t="n">
        <x:f>'2019 Form20'!X331</x:f>
        <x:v>-0.37151248164464024</x:v>
      </x:c>
      <x:c r="I382" t="str">
        <x:v>DR. MAHESH SHARMA</x:v>
      </x:c>
      <x:c r="J382" t="str">
        <x:v>BJP</x:v>
      </x:c>
      <x:c r="K382" t="str">
        <x:v>EVM row</x:v>
      </x:c>
      <x:c r="L382" s="133" t="str">
        <x:f>IF(D382&lt;=0,"No EVM votes",IF(E382&lt;$N$7,"Low",IF(E382&gt;$R$7,"High","Middle")))</x:f>
        <x:v>Middle</x:v>
      </x:c>
      <x:c r="M382" s="133" t="str">
        <x:f>IF(D382&lt;=0,"No EVM votes",IF(H382&lt;-20%,"Large deficit",IF(H382&lt;-5%,"Moderate deficit",IF(H382&lt;0,"Narrow deficit",IF(H382&lt;=5%,"Narrow lead/tie",IF(H382&lt;=20%,"Moderate lead","Large lead"))))))</x:f>
        <x:v>Large deficit</x:v>
      </x:c>
    </x:row>
    <x:row r="383">
      <x:c r="A383" t="n">
        <x:v>324</x:v>
      </x:c>
      <x:c r="B383" t="str">
        <x:v>SARSWATI SHISHU MANDIR T.A. JEWAR R.NO. 3</x:v>
      </x:c>
      <x:c r="C383" s="83" t="n">
        <x:f>'2019 Form20'!H332</x:f>
        <x:v>283</x:v>
      </x:c>
      <x:c r="D383" s="83" t="n">
        <x:f>'2019 Form20'!D332</x:f>
        <x:v>530</x:v>
      </x:c>
      <x:c r="E383" s="50" t="n">
        <x:f>'2019 Form20'!U332</x:f>
        <x:v>0.5339622641509434</x:v>
      </x:c>
      <x:c r="F383" t="n">
        <x:f>'2019 Form20'!V332</x:f>
        <x:v>220</x:v>
      </x:c>
      <x:c r="G383" t="n">
        <x:f>'2019 Form20'!W332</x:f>
        <x:v>63</x:v>
      </x:c>
      <x:c r="H383" s="52" t="n">
        <x:f>'2019 Form20'!X332</x:f>
        <x:v>0.11886792452830189</x:v>
      </x:c>
      <x:c r="I383" t="str">
        <x:v>SATVEER</x:v>
      </x:c>
      <x:c r="J383" t="str">
        <x:v>BSP</x:v>
      </x:c>
      <x:c r="K383" t="str">
        <x:v>EVM row</x:v>
      </x:c>
      <x:c r="L383" s="133" t="str">
        <x:f>IF(D383&lt;=0,"No EVM votes",IF(E383&lt;$N$7,"Low",IF(E383&gt;$R$7,"High","Middle")))</x:f>
        <x:v>Middle</x:v>
      </x:c>
      <x:c r="M383" s="133" t="str">
        <x:f>IF(D383&lt;=0,"No EVM votes",IF(H383&lt;-20%,"Large deficit",IF(H383&lt;-5%,"Moderate deficit",IF(H383&lt;0,"Narrow deficit",IF(H383&lt;=5%,"Narrow lead/tie",IF(H383&lt;=20%,"Moderate lead","Large lead"))))))</x:f>
        <x:v>Moderate lead</x:v>
      </x:c>
    </x:row>
    <x:row r="384">
      <x:c r="A384" t="n">
        <x:v>325</x:v>
      </x:c>
      <x:c r="B384" t="str">
        <x:v>SARSWATI SHISHU MANDIR T.A. JEWAR R.NO. 4</x:v>
      </x:c>
      <x:c r="C384" s="83" t="n">
        <x:f>'2019 Form20'!H333</x:f>
        <x:v>468</x:v>
      </x:c>
      <x:c r="D384" s="83" t="n">
        <x:f>'2019 Form20'!D333</x:f>
        <x:v>552</x:v>
      </x:c>
      <x:c r="E384" s="50" t="n">
        <x:f>'2019 Form20'!U333</x:f>
        <x:v>0.8478260869565217</x:v>
      </x:c>
      <x:c r="F384" t="n">
        <x:f>'2019 Form20'!V333</x:f>
        <x:v>62</x:v>
      </x:c>
      <x:c r="G384" t="n">
        <x:f>'2019 Form20'!W333</x:f>
        <x:v>406</x:v>
      </x:c>
      <x:c r="H384" s="52" t="n">
        <x:f>'2019 Form20'!X333</x:f>
        <x:v>0.7355072463768116</x:v>
      </x:c>
      <x:c r="I384" t="str">
        <x:v>SATVEER</x:v>
      </x:c>
      <x:c r="J384" t="str">
        <x:v>BSP</x:v>
      </x:c>
      <x:c r="K384" t="str">
        <x:v>EVM row</x:v>
      </x:c>
      <x:c r="L384" s="133" t="str">
        <x:f>IF(D384&lt;=0,"No EVM votes",IF(E384&lt;$N$7,"Low",IF(E384&gt;$R$7,"High","Middle")))</x:f>
        <x:v>High</x:v>
      </x:c>
      <x:c r="M384" s="133" t="str">
        <x:f>IF(D384&lt;=0,"No EVM votes",IF(H384&lt;-20%,"Large deficit",IF(H384&lt;-5%,"Moderate deficit",IF(H384&lt;0,"Narrow deficit",IF(H384&lt;=5%,"Narrow lead/tie",IF(H384&lt;=20%,"Moderate lead","Large lead"))))))</x:f>
        <x:v>Large lead</x:v>
      </x:c>
    </x:row>
    <x:row r="385">
      <x:c r="A385" t="n">
        <x:v>326</x:v>
      </x:c>
      <x:c r="B385" t="str">
        <x:v>SARSWATI SHISHU MANDIR T.A. JEWAR R.NO. 5</x:v>
      </x:c>
      <x:c r="C385" s="83" t="n">
        <x:f>'2019 Form20'!H334</x:f>
        <x:v>107</x:v>
      </x:c>
      <x:c r="D385" s="83" t="n">
        <x:f>'2019 Form20'!D334</x:f>
        <x:v>374</x:v>
      </x:c>
      <x:c r="E385" s="50" t="n">
        <x:f>'2019 Form20'!U334</x:f>
        <x:v>0.28609625668449196</x:v>
      </x:c>
      <x:c r="F385" t="n">
        <x:f>'2019 Form20'!V334</x:f>
        <x:v>247</x:v>
      </x:c>
      <x:c r="G385" t="n">
        <x:f>'2019 Form20'!W334</x:f>
        <x:v>-140</x:v>
      </x:c>
      <x:c r="H385" s="52" t="n">
        <x:f>'2019 Form20'!X334</x:f>
        <x:v>-0.37433155080213903</x:v>
      </x:c>
      <x:c r="I385" t="str">
        <x:v>DR. MAHESH SHARMA</x:v>
      </x:c>
      <x:c r="J385" t="str">
        <x:v>BJP</x:v>
      </x:c>
      <x:c r="K385" t="str">
        <x:v>EVM row</x:v>
      </x:c>
      <x:c r="L385" s="133" t="str">
        <x:f>IF(D385&lt;=0,"No EVM votes",IF(E385&lt;$N$7,"Low",IF(E385&gt;$R$7,"High","Middle")))</x:f>
        <x:v>Middle</x:v>
      </x:c>
      <x:c r="M385" s="133" t="str">
        <x:f>IF(D385&lt;=0,"No EVM votes",IF(H385&lt;-20%,"Large deficit",IF(H385&lt;-5%,"Moderate deficit",IF(H385&lt;0,"Narrow deficit",IF(H385&lt;=5%,"Narrow lead/tie",IF(H385&lt;=20%,"Moderate lead","Large lead"))))))</x:f>
        <x:v>Large deficit</x:v>
      </x:c>
    </x:row>
    <x:row r="386">
      <x:c r="A386" t="n">
        <x:v>327</x:v>
      </x:c>
      <x:c r="B386" t="str">
        <x:v>SARSWATI SHISHU MANDIR T.A. JEWAR R.NO. 6</x:v>
      </x:c>
      <x:c r="C386" s="83" t="n">
        <x:f>'2019 Form20'!H335</x:f>
        <x:v>92</x:v>
      </x:c>
      <x:c r="D386" s="83" t="n">
        <x:f>'2019 Form20'!D335</x:f>
        <x:v>443</x:v>
      </x:c>
      <x:c r="E386" s="50" t="n">
        <x:f>'2019 Form20'!U335</x:f>
        <x:v>0.2076749435665914</x:v>
      </x:c>
      <x:c r="F386" t="n">
        <x:f>'2019 Form20'!V335</x:f>
        <x:v>344</x:v>
      </x:c>
      <x:c r="G386" t="n">
        <x:f>'2019 Form20'!W335</x:f>
        <x:v>-252</x:v>
      </x:c>
      <x:c r="H386" s="52" t="n">
        <x:f>'2019 Form20'!X335</x:f>
        <x:v>-0.5688487584650113</x:v>
      </x:c>
      <x:c r="I386" t="str">
        <x:v>DR. MAHESH SHARMA</x:v>
      </x:c>
      <x:c r="J386" t="str">
        <x:v>BJP</x:v>
      </x:c>
      <x:c r="K386" t="str">
        <x:v>EVM row</x:v>
      </x:c>
      <x:c r="L386" s="133" t="str">
        <x:f>IF(D386&lt;=0,"No EVM votes",IF(E386&lt;$N$7,"Low",IF(E386&gt;$R$7,"High","Middle")))</x:f>
        <x:v>Low</x:v>
      </x:c>
      <x:c r="M386" s="133" t="str">
        <x:f>IF(D386&lt;=0,"No EVM votes",IF(H386&lt;-20%,"Large deficit",IF(H386&lt;-5%,"Moderate deficit",IF(H386&lt;0,"Narrow deficit",IF(H386&lt;=5%,"Narrow lead/tie",IF(H386&lt;=20%,"Moderate lead","Large lead"))))))</x:f>
        <x:v>Large deficit</x:v>
      </x:c>
    </x:row>
    <x:row r="387">
      <x:c r="A387" t="n">
        <x:v>328</x:v>
      </x:c>
      <x:c r="B387" t="str">
        <x:v>SARSWATI SHISHU MANDIR T.A. JEWAR R.NO. 7</x:v>
      </x:c>
      <x:c r="C387" s="83" t="n">
        <x:f>'2019 Form20'!H336</x:f>
        <x:v>65</x:v>
      </x:c>
      <x:c r="D387" s="83" t="n">
        <x:f>'2019 Form20'!D336</x:f>
        <x:v>414</x:v>
      </x:c>
      <x:c r="E387" s="50" t="n">
        <x:f>'2019 Form20'!U336</x:f>
        <x:v>0.1570048309178744</x:v>
      </x:c>
      <x:c r="F387" t="n">
        <x:f>'2019 Form20'!V336</x:f>
        <x:v>343</x:v>
      </x:c>
      <x:c r="G387" t="n">
        <x:f>'2019 Form20'!W336</x:f>
        <x:v>-278</x:v>
      </x:c>
      <x:c r="H387" s="52" t="n">
        <x:f>'2019 Form20'!X336</x:f>
        <x:v>-0.6714975845410628</x:v>
      </x:c>
      <x:c r="I387" t="str">
        <x:v>DR. MAHESH SHARMA</x:v>
      </x:c>
      <x:c r="J387" t="str">
        <x:v>BJP</x:v>
      </x:c>
      <x:c r="K387" t="str">
        <x:v>EVM row</x:v>
      </x:c>
      <x:c r="L387" s="133" t="str">
        <x:f>IF(D387&lt;=0,"No EVM votes",IF(E387&lt;$N$7,"Low",IF(E387&gt;$R$7,"High","Middle")))</x:f>
        <x:v>Low</x:v>
      </x:c>
      <x:c r="M387" s="133" t="str">
        <x:f>IF(D387&lt;=0,"No EVM votes",IF(H387&lt;-20%,"Large deficit",IF(H387&lt;-5%,"Moderate deficit",IF(H387&lt;0,"Narrow deficit",IF(H387&lt;=5%,"Narrow lead/tie",IF(H387&lt;=20%,"Moderate lead","Large lead"))))))</x:f>
        <x:v>Large deficit</x:v>
      </x:c>
    </x:row>
    <x:row r="388">
      <x:c r="A388" t="n">
        <x:v>329</x:v>
      </x:c>
      <x:c r="B388" t="str">
        <x:v>PRY. SCHOOL JAFRABAD R.NO. 1</x:v>
      </x:c>
      <x:c r="C388" s="83" t="n">
        <x:f>'2019 Form20'!H337</x:f>
        <x:v>75</x:v>
      </x:c>
      <x:c r="D388" s="83" t="n">
        <x:f>'2019 Form20'!D337</x:f>
        <x:v>315</x:v>
      </x:c>
      <x:c r="E388" s="50" t="n">
        <x:f>'2019 Form20'!U337</x:f>
        <x:v>0.23809523809523808</x:v>
      </x:c>
      <x:c r="F388" t="n">
        <x:f>'2019 Form20'!V337</x:f>
        <x:v>231</x:v>
      </x:c>
      <x:c r="G388" t="n">
        <x:f>'2019 Form20'!W337</x:f>
        <x:v>-156</x:v>
      </x:c>
      <x:c r="H388" s="52" t="n">
        <x:f>'2019 Form20'!X337</x:f>
        <x:v>-0.49523809523809526</x:v>
      </x:c>
      <x:c r="I388" t="str">
        <x:v>DR. MAHESH SHARMA</x:v>
      </x:c>
      <x:c r="J388" t="str">
        <x:v>BJP</x:v>
      </x:c>
      <x:c r="K388" t="str">
        <x:v>EVM row</x:v>
      </x:c>
      <x:c r="L388" s="133" t="str">
        <x:f>IF(D388&lt;=0,"No EVM votes",IF(E388&lt;$N$7,"Low",IF(E388&gt;$R$7,"High","Middle")))</x:f>
        <x:v>Middle</x:v>
      </x:c>
      <x:c r="M388" s="133" t="str">
        <x:f>IF(D388&lt;=0,"No EVM votes",IF(H388&lt;-20%,"Large deficit",IF(H388&lt;-5%,"Moderate deficit",IF(H388&lt;0,"Narrow deficit",IF(H388&lt;=5%,"Narrow lead/tie",IF(H388&lt;=20%,"Moderate lead","Large lead"))))))</x:f>
        <x:v>Large deficit</x:v>
      </x:c>
    </x:row>
    <x:row r="389">
      <x:c r="A389" t="n">
        <x:v>330</x:v>
      </x:c>
      <x:c r="B389" t="str">
        <x:v>PRY. SCHOOL SAHABNAGAR R.NO. 1</x:v>
      </x:c>
      <x:c r="C389" s="83" t="n">
        <x:f>'2019 Form20'!H338</x:f>
        <x:v>29</x:v>
      </x:c>
      <x:c r="D389" s="83" t="n">
        <x:f>'2019 Form20'!D338</x:f>
        <x:v>555</x:v>
      </x:c>
      <x:c r="E389" s="50" t="n">
        <x:f>'2019 Form20'!U338</x:f>
        <x:v>0.05225225225225225</x:v>
      </x:c>
      <x:c r="F389" t="n">
        <x:f>'2019 Form20'!V338</x:f>
        <x:v>502</x:v>
      </x:c>
      <x:c r="G389" t="n">
        <x:f>'2019 Form20'!W338</x:f>
        <x:v>-473</x:v>
      </x:c>
      <x:c r="H389" s="52" t="n">
        <x:f>'2019 Form20'!X338</x:f>
        <x:v>-0.8522522522522522</x:v>
      </x:c>
      <x:c r="I389" t="str">
        <x:v>DR. MAHESH SHARMA</x:v>
      </x:c>
      <x:c r="J389" t="str">
        <x:v>BJP</x:v>
      </x:c>
      <x:c r="K389" t="str">
        <x:v>EVM row</x:v>
      </x:c>
      <x:c r="L389" s="133" t="str">
        <x:f>IF(D389&lt;=0,"No EVM votes",IF(E389&lt;$N$7,"Low",IF(E389&gt;$R$7,"High","Middle")))</x:f>
        <x:v>Low</x:v>
      </x:c>
      <x:c r="M389" s="133" t="str">
        <x:f>IF(D389&lt;=0,"No EVM votes",IF(H389&lt;-20%,"Large deficit",IF(H389&lt;-5%,"Moderate deficit",IF(H389&lt;0,"Narrow deficit",IF(H389&lt;=5%,"Narrow lead/tie",IF(H389&lt;=20%,"Moderate lead","Large lead"))))))</x:f>
        <x:v>Large deficit</x:v>
      </x:c>
    </x:row>
    <x:row r="390">
      <x:c r="A390" t="n">
        <x:v>331</x:v>
      </x:c>
      <x:c r="B390" t="str">
        <x:v>ADARSH KANYA I. C. T.A. JEWAR R.NO. 1</x:v>
      </x:c>
      <x:c r="C390" s="83" t="n">
        <x:f>'2019 Form20'!H339</x:f>
        <x:v>579</x:v>
      </x:c>
      <x:c r="D390" s="83" t="n">
        <x:f>'2019 Form20'!D339</x:f>
        <x:v>616</x:v>
      </x:c>
      <x:c r="E390" s="50" t="n">
        <x:f>'2019 Form20'!U339</x:f>
        <x:v>0.939935064935065</x:v>
      </x:c>
      <x:c r="F390" t="n">
        <x:f>'2019 Form20'!V339</x:f>
        <x:v>20</x:v>
      </x:c>
      <x:c r="G390" t="n">
        <x:f>'2019 Form20'!W339</x:f>
        <x:v>559</x:v>
      </x:c>
      <x:c r="H390" s="52" t="n">
        <x:f>'2019 Form20'!X339</x:f>
        <x:v>0.9074675324675324</x:v>
      </x:c>
      <x:c r="I390" t="str">
        <x:v>SATVEER</x:v>
      </x:c>
      <x:c r="J390" t="str">
        <x:v>BSP</x:v>
      </x:c>
      <x:c r="K390" t="str">
        <x:v>EVM row</x:v>
      </x:c>
      <x:c r="L390" s="133" t="str">
        <x:f>IF(D390&lt;=0,"No EVM votes",IF(E390&lt;$N$7,"Low",IF(E390&gt;$R$7,"High","Middle")))</x:f>
        <x:v>High</x:v>
      </x:c>
      <x:c r="M390" s="133" t="str">
        <x:f>IF(D390&lt;=0,"No EVM votes",IF(H390&lt;-20%,"Large deficit",IF(H390&lt;-5%,"Moderate deficit",IF(H390&lt;0,"Narrow deficit",IF(H390&lt;=5%,"Narrow lead/tie",IF(H390&lt;=20%,"Moderate lead","Large lead"))))))</x:f>
        <x:v>Large lead</x:v>
      </x:c>
    </x:row>
    <x:row r="391">
      <x:c r="A391" t="n">
        <x:v>332</x:v>
      </x:c>
      <x:c r="B391" t="str">
        <x:v>ADARSH KANYA I. C. T.A. JEWAR R.NO. 2</x:v>
      </x:c>
      <x:c r="C391" s="83" t="n">
        <x:f>'2019 Form20'!H340</x:f>
        <x:v>61</x:v>
      </x:c>
      <x:c r="D391" s="83" t="n">
        <x:f>'2019 Form20'!D340</x:f>
        <x:v>651</x:v>
      </x:c>
      <x:c r="E391" s="50" t="n">
        <x:f>'2019 Form20'!U340</x:f>
        <x:v>0.09370199692780339</x:v>
      </x:c>
      <x:c r="F391" t="n">
        <x:f>'2019 Form20'!V340</x:f>
        <x:v>573</x:v>
      </x:c>
      <x:c r="G391" t="n">
        <x:f>'2019 Form20'!W340</x:f>
        <x:v>-512</x:v>
      </x:c>
      <x:c r="H391" s="52" t="n">
        <x:f>'2019 Form20'!X340</x:f>
        <x:v>-0.7864823348694316</x:v>
      </x:c>
      <x:c r="I391" t="str">
        <x:v>DR. MAHESH SHARMA</x:v>
      </x:c>
      <x:c r="J391" t="str">
        <x:v>BJP</x:v>
      </x:c>
      <x:c r="K391" t="str">
        <x:v>EVM row</x:v>
      </x:c>
      <x:c r="L391" s="133" t="str">
        <x:f>IF(D391&lt;=0,"No EVM votes",IF(E391&lt;$N$7,"Low",IF(E391&gt;$R$7,"High","Middle")))</x:f>
        <x:v>Low</x:v>
      </x:c>
      <x:c r="M391" s="133" t="str">
        <x:f>IF(D391&lt;=0,"No EVM votes",IF(H391&lt;-20%,"Large deficit",IF(H391&lt;-5%,"Moderate deficit",IF(H391&lt;0,"Narrow deficit",IF(H391&lt;=5%,"Narrow lead/tie",IF(H391&lt;=20%,"Moderate lead","Large lead"))))))</x:f>
        <x:v>Large deficit</x:v>
      </x:c>
    </x:row>
    <x:row r="392">
      <x:c r="A392" t="n">
        <x:v>333</x:v>
      </x:c>
      <x:c r="B392" t="str">
        <x:v>ADARSH KANYA I. C. T.A. JEWAR R.NO. 3</x:v>
      </x:c>
      <x:c r="C392" s="83" t="n">
        <x:f>'2019 Form20'!H341</x:f>
        <x:v>131</x:v>
      </x:c>
      <x:c r="D392" s="83" t="n">
        <x:f>'2019 Form20'!D341</x:f>
        <x:v>706</x:v>
      </x:c>
      <x:c r="E392" s="50" t="n">
        <x:f>'2019 Form20'!U341</x:f>
        <x:v>0.18555240793201133</x:v>
      </x:c>
      <x:c r="F392" t="n">
        <x:f>'2019 Form20'!V341</x:f>
        <x:v>543</x:v>
      </x:c>
      <x:c r="G392" t="n">
        <x:f>'2019 Form20'!W341</x:f>
        <x:v>-412</x:v>
      </x:c>
      <x:c r="H392" s="52" t="n">
        <x:f>'2019 Form20'!X341</x:f>
        <x:v>-0.5835694050991501</x:v>
      </x:c>
      <x:c r="I392" t="str">
        <x:v>DR. MAHESH SHARMA</x:v>
      </x:c>
      <x:c r="J392" t="str">
        <x:v>BJP</x:v>
      </x:c>
      <x:c r="K392" t="str">
        <x:v>EVM row</x:v>
      </x:c>
      <x:c r="L392" s="133" t="str">
        <x:f>IF(D392&lt;=0,"No EVM votes",IF(E392&lt;$N$7,"Low",IF(E392&gt;$R$7,"High","Middle")))</x:f>
        <x:v>Low</x:v>
      </x:c>
      <x:c r="M392" s="133" t="str">
        <x:f>IF(D392&lt;=0,"No EVM votes",IF(H392&lt;-20%,"Large deficit",IF(H392&lt;-5%,"Moderate deficit",IF(H392&lt;0,"Narrow deficit",IF(H392&lt;=5%,"Narrow lead/tie",IF(H392&lt;=20%,"Moderate lead","Large lead"))))))</x:f>
        <x:v>Large deficit</x:v>
      </x:c>
    </x:row>
    <x:row r="393">
      <x:c r="A393" t="n">
        <x:v>334</x:v>
      </x:c>
      <x:c r="B393" t="str">
        <x:v>ADARSH KANYA I. C. T.A. JEWAR R.NO. 4</x:v>
      </x:c>
      <x:c r="C393" s="83" t="n">
        <x:f>'2019 Form20'!H342</x:f>
        <x:v>340</x:v>
      </x:c>
      <x:c r="D393" s="83" t="n">
        <x:f>'2019 Form20'!D342</x:f>
        <x:v>682</x:v>
      </x:c>
      <x:c r="E393" s="50" t="n">
        <x:f>'2019 Form20'!U342</x:f>
        <x:v>0.49853372434017595</x:v>
      </x:c>
      <x:c r="F393" t="n">
        <x:f>'2019 Form20'!V342</x:f>
        <x:v>313</x:v>
      </x:c>
      <x:c r="G393" t="n">
        <x:f>'2019 Form20'!W342</x:f>
        <x:v>27</x:v>
      </x:c>
      <x:c r="H393" s="52" t="n">
        <x:f>'2019 Form20'!X342</x:f>
        <x:v>0.039589442815249266</x:v>
      </x:c>
      <x:c r="I393" t="str">
        <x:v>SATVEER</x:v>
      </x:c>
      <x:c r="J393" t="str">
        <x:v>BSP</x:v>
      </x:c>
      <x:c r="K393" t="str">
        <x:v>EVM row</x:v>
      </x:c>
      <x:c r="L393" s="133" t="str">
        <x:f>IF(D393&lt;=0,"No EVM votes",IF(E393&lt;$N$7,"Low",IF(E393&gt;$R$7,"High","Middle")))</x:f>
        <x:v>Middle</x:v>
      </x:c>
      <x:c r="M393" s="133" t="str">
        <x:f>IF(D393&lt;=0,"No EVM votes",IF(H393&lt;-20%,"Large deficit",IF(H393&lt;-5%,"Moderate deficit",IF(H393&lt;0,"Narrow deficit",IF(H393&lt;=5%,"Narrow lead/tie",IF(H393&lt;=20%,"Moderate lead","Large lead"))))))</x:f>
        <x:v>Narrow lead/tie</x:v>
      </x:c>
    </x:row>
    <x:row r="394">
      <x:c r="A394" t="n">
        <x:v>335</x:v>
      </x:c>
      <x:c r="B394" t="str">
        <x:v>ADARSH KANYA I. C. T.A. JEWAR R.NO. 5</x:v>
      </x:c>
      <x:c r="C394" s="83" t="n">
        <x:f>'2019 Form20'!H343</x:f>
        <x:v>587</x:v>
      </x:c>
      <x:c r="D394" s="83" t="n">
        <x:f>'2019 Form20'!D343</x:f>
        <x:v>716</x:v>
      </x:c>
      <x:c r="E394" s="50" t="n">
        <x:f>'2019 Form20'!U343</x:f>
        <x:v>0.8198324022346368</x:v>
      </x:c>
      <x:c r="F394" t="n">
        <x:f>'2019 Form20'!V343</x:f>
        <x:v>111</x:v>
      </x:c>
      <x:c r="G394" t="n">
        <x:f>'2019 Form20'!W343</x:f>
        <x:v>476</x:v>
      </x:c>
      <x:c r="H394" s="52" t="n">
        <x:f>'2019 Form20'!X343</x:f>
        <x:v>0.664804469273743</x:v>
      </x:c>
      <x:c r="I394" t="str">
        <x:v>SATVEER</x:v>
      </x:c>
      <x:c r="J394" t="str">
        <x:v>BSP</x:v>
      </x:c>
      <x:c r="K394" t="str">
        <x:v>EVM row</x:v>
      </x:c>
      <x:c r="L394" s="133" t="str">
        <x:f>IF(D394&lt;=0,"No EVM votes",IF(E394&lt;$N$7,"Low",IF(E394&gt;$R$7,"High","Middle")))</x:f>
        <x:v>High</x:v>
      </x:c>
      <x:c r="M394" s="133" t="str">
        <x:f>IF(D394&lt;=0,"No EVM votes",IF(H394&lt;-20%,"Large deficit",IF(H394&lt;-5%,"Moderate deficit",IF(H394&lt;0,"Narrow deficit",IF(H394&lt;=5%,"Narrow lead/tie",IF(H394&lt;=20%,"Moderate lead","Large lead"))))))</x:f>
        <x:v>Large lead</x:v>
      </x:c>
    </x:row>
    <x:row r="395">
      <x:c r="A395" t="n">
        <x:v>336</x:v>
      </x:c>
      <x:c r="B395" t="str">
        <x:v>PRY. SCHOOL T.A. JEWAR R.NO. 1</x:v>
      </x:c>
      <x:c r="C395" s="83" t="n">
        <x:f>'2019 Form20'!H344</x:f>
        <x:v>63</x:v>
      </x:c>
      <x:c r="D395" s="83" t="n">
        <x:f>'2019 Form20'!D344</x:f>
        <x:v>451</x:v>
      </x:c>
      <x:c r="E395" s="50" t="n">
        <x:f>'2019 Form20'!U344</x:f>
        <x:v>0.13968957871396895</x:v>
      </x:c>
      <x:c r="F395" t="n">
        <x:f>'2019 Form20'!V344</x:f>
        <x:v>373</x:v>
      </x:c>
      <x:c r="G395" t="n">
        <x:f>'2019 Form20'!W344</x:f>
        <x:v>-310</x:v>
      </x:c>
      <x:c r="H395" s="52" t="n">
        <x:f>'2019 Form20'!X344</x:f>
        <x:v>-0.6873614190687362</x:v>
      </x:c>
      <x:c r="I395" t="str">
        <x:v>DR. MAHESH SHARMA</x:v>
      </x:c>
      <x:c r="J395" t="str">
        <x:v>BJP</x:v>
      </x:c>
      <x:c r="K395" t="str">
        <x:v>EVM row</x:v>
      </x:c>
      <x:c r="L395" s="133" t="str">
        <x:f>IF(D395&lt;=0,"No EVM votes",IF(E395&lt;$N$7,"Low",IF(E395&gt;$R$7,"High","Middle")))</x:f>
        <x:v>Low</x:v>
      </x:c>
      <x:c r="M395" s="133" t="str">
        <x:f>IF(D395&lt;=0,"No EVM votes",IF(H395&lt;-20%,"Large deficit",IF(H395&lt;-5%,"Moderate deficit",IF(H395&lt;0,"Narrow deficit",IF(H395&lt;=5%,"Narrow lead/tie",IF(H395&lt;=20%,"Moderate lead","Large lead"))))))</x:f>
        <x:v>Large deficit</x:v>
      </x:c>
    </x:row>
    <x:row r="396">
      <x:c r="A396" t="n">
        <x:v>337</x:v>
      </x:c>
      <x:c r="B396" t="str">
        <x:v>PRY. SCHOOL T.A. JEWAR R.NO. 2</x:v>
      </x:c>
      <x:c r="C396" s="83" t="n">
        <x:f>'2019 Form20'!H345</x:f>
        <x:v>559</x:v>
      </x:c>
      <x:c r="D396" s="83" t="n">
        <x:f>'2019 Form20'!D345</x:f>
        <x:v>718</x:v>
      </x:c>
      <x:c r="E396" s="50" t="n">
        <x:f>'2019 Form20'!U345</x:f>
        <x:v>0.7785515320334262</x:v>
      </x:c>
      <x:c r="F396" t="n">
        <x:f>'2019 Form20'!V345</x:f>
        <x:v>139</x:v>
      </x:c>
      <x:c r="G396" t="n">
        <x:f>'2019 Form20'!W345</x:f>
        <x:v>420</x:v>
      </x:c>
      <x:c r="H396" s="52" t="n">
        <x:f>'2019 Form20'!X345</x:f>
        <x:v>0.584958217270195</x:v>
      </x:c>
      <x:c r="I396" t="str">
        <x:v>SATVEER</x:v>
      </x:c>
      <x:c r="J396" t="str">
        <x:v>BSP</x:v>
      </x:c>
      <x:c r="K396" t="str">
        <x:v>EVM row</x:v>
      </x:c>
      <x:c r="L396" s="133" t="str">
        <x:f>IF(D396&lt;=0,"No EVM votes",IF(E396&lt;$N$7,"Low",IF(E396&gt;$R$7,"High","Middle")))</x:f>
        <x:v>High</x:v>
      </x:c>
      <x:c r="M396" s="133" t="str">
        <x:f>IF(D396&lt;=0,"No EVM votes",IF(H396&lt;-20%,"Large deficit",IF(H396&lt;-5%,"Moderate deficit",IF(H396&lt;0,"Narrow deficit",IF(H396&lt;=5%,"Narrow lead/tie",IF(H396&lt;=20%,"Moderate lead","Large lead"))))))</x:f>
        <x:v>Large lead</x:v>
      </x:c>
    </x:row>
    <x:row r="397">
      <x:c r="A397" t="n">
        <x:v>338</x:v>
      </x:c>
      <x:c r="B397" t="str">
        <x:v>JANTA I. C. T. A. JEWAR R.NO. 1</x:v>
      </x:c>
      <x:c r="C397" s="83" t="n">
        <x:f>'2019 Form20'!H346</x:f>
        <x:v>279</x:v>
      </x:c>
      <x:c r="D397" s="83" t="n">
        <x:f>'2019 Form20'!D346</x:f>
        <x:v>636</x:v>
      </x:c>
      <x:c r="E397" s="50" t="n">
        <x:f>'2019 Form20'!U346</x:f>
        <x:v>0.4386792452830189</x:v>
      </x:c>
      <x:c r="F397" t="n">
        <x:f>'2019 Form20'!V346</x:f>
        <x:v>313</x:v>
      </x:c>
      <x:c r="G397" t="n">
        <x:f>'2019 Form20'!W346</x:f>
        <x:v>-34</x:v>
      </x:c>
      <x:c r="H397" s="52" t="n">
        <x:f>'2019 Form20'!X346</x:f>
        <x:v>-0.05345911949685535</x:v>
      </x:c>
      <x:c r="I397" t="str">
        <x:v>DR. MAHESH SHARMA</x:v>
      </x:c>
      <x:c r="J397" t="str">
        <x:v>BJP</x:v>
      </x:c>
      <x:c r="K397" t="str">
        <x:v>EVM row</x:v>
      </x:c>
      <x:c r="L397" s="133" t="str">
        <x:f>IF(D397&lt;=0,"No EVM votes",IF(E397&lt;$N$7,"Low",IF(E397&gt;$R$7,"High","Middle")))</x:f>
        <x:v>Middle</x:v>
      </x:c>
      <x:c r="M397" s="133" t="str">
        <x:f>IF(D397&lt;=0,"No EVM votes",IF(H397&lt;-20%,"Large deficit",IF(H397&lt;-5%,"Moderate deficit",IF(H397&lt;0,"Narrow deficit",IF(H397&lt;=5%,"Narrow lead/tie",IF(H397&lt;=20%,"Moderate lead","Large lead"))))))</x:f>
        <x:v>Moderate deficit</x:v>
      </x:c>
    </x:row>
    <x:row r="398">
      <x:c r="A398" t="n">
        <x:v>339</x:v>
      </x:c>
      <x:c r="B398" t="str">
        <x:v>JANTA I. C. T. A. JEWAR R.NO. 2</x:v>
      </x:c>
      <x:c r="C398" s="83" t="n">
        <x:f>'2019 Form20'!H347</x:f>
        <x:v>263</x:v>
      </x:c>
      <x:c r="D398" s="83" t="n">
        <x:f>'2019 Form20'!D347</x:f>
        <x:v>449</x:v>
      </x:c>
      <x:c r="E398" s="50" t="n">
        <x:f>'2019 Form20'!U347</x:f>
        <x:v>0.5857461024498887</x:v>
      </x:c>
      <x:c r="F398" t="n">
        <x:f>'2019 Form20'!V347</x:f>
        <x:v>167</x:v>
      </x:c>
      <x:c r="G398" t="n">
        <x:f>'2019 Form20'!W347</x:f>
        <x:v>96</x:v>
      </x:c>
      <x:c r="H398" s="52" t="n">
        <x:f>'2019 Form20'!X347</x:f>
        <x:v>0.21380846325167038</x:v>
      </x:c>
      <x:c r="I398" t="str">
        <x:v>SATVEER</x:v>
      </x:c>
      <x:c r="J398" t="str">
        <x:v>BSP</x:v>
      </x:c>
      <x:c r="K398" t="str">
        <x:v>EVM row</x:v>
      </x:c>
      <x:c r="L398" s="133" t="str">
        <x:f>IF(D398&lt;=0,"No EVM votes",IF(E398&lt;$N$7,"Low",IF(E398&gt;$R$7,"High","Middle")))</x:f>
        <x:v>Middle</x:v>
      </x:c>
      <x:c r="M398" s="133" t="str">
        <x:f>IF(D398&lt;=0,"No EVM votes",IF(H398&lt;-20%,"Large deficit",IF(H398&lt;-5%,"Moderate deficit",IF(H398&lt;0,"Narrow deficit",IF(H398&lt;=5%,"Narrow lead/tie",IF(H398&lt;=20%,"Moderate lead","Large lead"))))))</x:f>
        <x:v>Large lead</x:v>
      </x:c>
    </x:row>
    <x:row r="399">
      <x:c r="A399" t="n">
        <x:v>340</x:v>
      </x:c>
      <x:c r="B399" t="str">
        <x:v>JANTA I. C. T. A. JEWAR R.NO. 3</x:v>
      </x:c>
      <x:c r="C399" s="83" t="n">
        <x:f>'2019 Form20'!H348</x:f>
        <x:v>181</x:v>
      </x:c>
      <x:c r="D399" s="83" t="n">
        <x:f>'2019 Form20'!D348</x:f>
        <x:v>514</x:v>
      </x:c>
      <x:c r="E399" s="50" t="n">
        <x:f>'2019 Form20'!U348</x:f>
        <x:v>0.3521400778210117</x:v>
      </x:c>
      <x:c r="F399" t="n">
        <x:f>'2019 Form20'!V348</x:f>
        <x:v>313</x:v>
      </x:c>
      <x:c r="G399" t="n">
        <x:f>'2019 Form20'!W348</x:f>
        <x:v>-132</x:v>
      </x:c>
      <x:c r="H399" s="52" t="n">
        <x:f>'2019 Form20'!X348</x:f>
        <x:v>-0.25680933852140075</x:v>
      </x:c>
      <x:c r="I399" t="str">
        <x:v>DR. MAHESH SHARMA</x:v>
      </x:c>
      <x:c r="J399" t="str">
        <x:v>BJP</x:v>
      </x:c>
      <x:c r="K399" t="str">
        <x:v>EVM row</x:v>
      </x:c>
      <x:c r="L399" s="133" t="str">
        <x:f>IF(D399&lt;=0,"No EVM votes",IF(E399&lt;$N$7,"Low",IF(E399&gt;$R$7,"High","Middle")))</x:f>
        <x:v>Middle</x:v>
      </x:c>
      <x:c r="M399" s="133" t="str">
        <x:f>IF(D399&lt;=0,"No EVM votes",IF(H399&lt;-20%,"Large deficit",IF(H399&lt;-5%,"Moderate deficit",IF(H399&lt;0,"Narrow deficit",IF(H399&lt;=5%,"Narrow lead/tie",IF(H399&lt;=20%,"Moderate lead","Large lead"))))))</x:f>
        <x:v>Large deficit</x:v>
      </x:c>
    </x:row>
    <x:row r="400">
      <x:c r="A400" t="n">
        <x:v>341</x:v>
      </x:c>
      <x:c r="B400" t="str">
        <x:v>JANTA I. C. T. A. JEWAR R.NO. 4</x:v>
      </x:c>
      <x:c r="C400" s="83" t="n">
        <x:f>'2019 Form20'!H349</x:f>
        <x:v>71</x:v>
      </x:c>
      <x:c r="D400" s="83" t="n">
        <x:f>'2019 Form20'!D349</x:f>
        <x:v>418</x:v>
      </x:c>
      <x:c r="E400" s="50" t="n">
        <x:f>'2019 Form20'!U349</x:f>
        <x:v>0.16985645933014354</x:v>
      </x:c>
      <x:c r="F400" t="n">
        <x:f>'2019 Form20'!V349</x:f>
        <x:v>324</x:v>
      </x:c>
      <x:c r="G400" t="n">
        <x:f>'2019 Form20'!W349</x:f>
        <x:v>-253</x:v>
      </x:c>
      <x:c r="H400" s="52" t="n">
        <x:f>'2019 Form20'!X349</x:f>
        <x:v>-0.6052631578947368</x:v>
      </x:c>
      <x:c r="I400" t="str">
        <x:v>DR. MAHESH SHARMA</x:v>
      </x:c>
      <x:c r="J400" t="str">
        <x:v>BJP</x:v>
      </x:c>
      <x:c r="K400" t="str">
        <x:v>EVM row</x:v>
      </x:c>
      <x:c r="L400" s="133" t="str">
        <x:f>IF(D400&lt;=0,"No EVM votes",IF(E400&lt;$N$7,"Low",IF(E400&gt;$R$7,"High","Middle")))</x:f>
        <x:v>Low</x:v>
      </x:c>
      <x:c r="M400" s="133" t="str">
        <x:f>IF(D400&lt;=0,"No EVM votes",IF(H400&lt;-20%,"Large deficit",IF(H400&lt;-5%,"Moderate deficit",IF(H400&lt;0,"Narrow deficit",IF(H400&lt;=5%,"Narrow lead/tie",IF(H400&lt;=20%,"Moderate lead","Large lead"))))))</x:f>
        <x:v>Large deficit</x:v>
      </x:c>
    </x:row>
    <x:row r="401">
      <x:c r="A401" t="n">
        <x:v>342</x:v>
      </x:c>
      <x:c r="B401" t="str">
        <x:v>JANTA I. C. T. A. JEWAR R.NO. 5</x:v>
      </x:c>
      <x:c r="C401" s="83" t="n">
        <x:f>'2019 Form20'!H350</x:f>
        <x:v>497</x:v>
      </x:c>
      <x:c r="D401" s="83" t="n">
        <x:f>'2019 Form20'!D350</x:f>
        <x:v>575</x:v>
      </x:c>
      <x:c r="E401" s="50" t="n">
        <x:f>'2019 Form20'!U350</x:f>
        <x:v>0.8643478260869565</x:v>
      </x:c>
      <x:c r="F401" t="n">
        <x:f>'2019 Form20'!V350</x:f>
        <x:v>55</x:v>
      </x:c>
      <x:c r="G401" t="n">
        <x:f>'2019 Form20'!W350</x:f>
        <x:v>442</x:v>
      </x:c>
      <x:c r="H401" s="52" t="n">
        <x:f>'2019 Form20'!X350</x:f>
        <x:v>0.768695652173913</x:v>
      </x:c>
      <x:c r="I401" t="str">
        <x:v>SATVEER</x:v>
      </x:c>
      <x:c r="J401" t="str">
        <x:v>BSP</x:v>
      </x:c>
      <x:c r="K401" t="str">
        <x:v>EVM row</x:v>
      </x:c>
      <x:c r="L401" s="133" t="str">
        <x:f>IF(D401&lt;=0,"No EVM votes",IF(E401&lt;$N$7,"Low",IF(E401&gt;$R$7,"High","Middle")))</x:f>
        <x:v>High</x:v>
      </x:c>
      <x:c r="M401" s="133" t="str">
        <x:f>IF(D401&lt;=0,"No EVM votes",IF(H401&lt;-20%,"Large deficit",IF(H401&lt;-5%,"Moderate deficit",IF(H401&lt;0,"Narrow deficit",IF(H401&lt;=5%,"Narrow lead/tie",IF(H401&lt;=20%,"Moderate lead","Large lead"))))))</x:f>
        <x:v>Large lead</x:v>
      </x:c>
    </x:row>
    <x:row r="402">
      <x:c r="A402" t="n">
        <x:v>343</x:v>
      </x:c>
      <x:c r="B402" t="str">
        <x:v>JANTA I. C. T. A. JEWAR R.NO. 6</x:v>
      </x:c>
      <x:c r="C402" s="83" t="n">
        <x:f>'2019 Form20'!H351</x:f>
        <x:v>274</x:v>
      </x:c>
      <x:c r="D402" s="83" t="n">
        <x:f>'2019 Form20'!D351</x:f>
        <x:v>440</x:v>
      </x:c>
      <x:c r="E402" s="50" t="n">
        <x:f>'2019 Form20'!U351</x:f>
        <x:v>0.6227272727272727</x:v>
      </x:c>
      <x:c r="F402" t="n">
        <x:f>'2019 Form20'!V351</x:f>
        <x:v>146</x:v>
      </x:c>
      <x:c r="G402" t="n">
        <x:f>'2019 Form20'!W351</x:f>
        <x:v>128</x:v>
      </x:c>
      <x:c r="H402" s="52" t="n">
        <x:f>'2019 Form20'!X351</x:f>
        <x:v>0.2909090909090909</x:v>
      </x:c>
      <x:c r="I402" t="str">
        <x:v>SATVEER</x:v>
      </x:c>
      <x:c r="J402" t="str">
        <x:v>BSP</x:v>
      </x:c>
      <x:c r="K402" t="str">
        <x:v>EVM row</x:v>
      </x:c>
      <x:c r="L402" s="133" t="str">
        <x:f>IF(D402&lt;=0,"No EVM votes",IF(E402&lt;$N$7,"Low",IF(E402&gt;$R$7,"High","Middle")))</x:f>
        <x:v>Middle</x:v>
      </x:c>
      <x:c r="M402" s="133" t="str">
        <x:f>IF(D402&lt;=0,"No EVM votes",IF(H402&lt;-20%,"Large deficit",IF(H402&lt;-5%,"Moderate deficit",IF(H402&lt;0,"Narrow deficit",IF(H402&lt;=5%,"Narrow lead/tie",IF(H402&lt;=20%,"Moderate lead","Large lead"))))))</x:f>
        <x:v>Large lead</x:v>
      </x:c>
    </x:row>
    <x:row r="403">
      <x:c r="A403" t="n">
        <x:v>344</x:v>
      </x:c>
      <x:c r="B403" t="str">
        <x:v>PRY. SCHOOL VENA ROAD JEWAR R.NO. 1</x:v>
      </x:c>
      <x:c r="C403" s="83" t="n">
        <x:f>'2019 Form20'!H352</x:f>
        <x:v>330</x:v>
      </x:c>
      <x:c r="D403" s="83" t="n">
        <x:f>'2019 Form20'!D352</x:f>
        <x:v>365</x:v>
      </x:c>
      <x:c r="E403" s="50" t="n">
        <x:f>'2019 Form20'!U352</x:f>
        <x:v>0.9041095890410958</x:v>
      </x:c>
      <x:c r="F403" t="n">
        <x:f>'2019 Form20'!V352</x:f>
        <x:v>30</x:v>
      </x:c>
      <x:c r="G403" t="n">
        <x:f>'2019 Form20'!W352</x:f>
        <x:v>300</x:v>
      </x:c>
      <x:c r="H403" s="52" t="n">
        <x:f>'2019 Form20'!X352</x:f>
        <x:v>0.821917808219178</x:v>
      </x:c>
      <x:c r="I403" t="str">
        <x:v>SATVEER</x:v>
      </x:c>
      <x:c r="J403" t="str">
        <x:v>BSP</x:v>
      </x:c>
      <x:c r="K403" t="str">
        <x:v>EVM row</x:v>
      </x:c>
      <x:c r="L403" s="133" t="str">
        <x:f>IF(D403&lt;=0,"No EVM votes",IF(E403&lt;$N$7,"Low",IF(E403&gt;$R$7,"High","Middle")))</x:f>
        <x:v>High</x:v>
      </x:c>
      <x:c r="M403" s="133" t="str">
        <x:f>IF(D403&lt;=0,"No EVM votes",IF(H403&lt;-20%,"Large deficit",IF(H403&lt;-5%,"Moderate deficit",IF(H403&lt;0,"Narrow deficit",IF(H403&lt;=5%,"Narrow lead/tie",IF(H403&lt;=20%,"Moderate lead","Large lead"))))))</x:f>
        <x:v>Large lead</x:v>
      </x:c>
    </x:row>
    <x:row r="404">
      <x:c r="A404" t="n">
        <x:v>345</x:v>
      </x:c>
      <x:c r="B404" t="str">
        <x:v>PRY. SCHOOL VENA ROAD JEWAR R.NO. 2</x:v>
      </x:c>
      <x:c r="C404" s="83" t="n">
        <x:f>'2019 Form20'!H353</x:f>
        <x:v>185</x:v>
      </x:c>
      <x:c r="D404" s="83" t="n">
        <x:f>'2019 Form20'!D353</x:f>
        <x:v>554</x:v>
      </x:c>
      <x:c r="E404" s="50" t="n">
        <x:f>'2019 Form20'!U353</x:f>
        <x:v>0.33393501805054154</x:v>
      </x:c>
      <x:c r="F404" t="n">
        <x:f>'2019 Form20'!V353</x:f>
        <x:v>342</x:v>
      </x:c>
      <x:c r="G404" t="n">
        <x:f>'2019 Form20'!W353</x:f>
        <x:v>-157</x:v>
      </x:c>
      <x:c r="H404" s="52" t="n">
        <x:f>'2019 Form20'!X353</x:f>
        <x:v>-0.2833935018050541</x:v>
      </x:c>
      <x:c r="I404" t="str">
        <x:v>DR. MAHESH SHARMA</x:v>
      </x:c>
      <x:c r="J404" t="str">
        <x:v>BJP</x:v>
      </x:c>
      <x:c r="K404" t="str">
        <x:v>EVM row</x:v>
      </x:c>
      <x:c r="L404" s="133" t="str">
        <x:f>IF(D404&lt;=0,"No EVM votes",IF(E404&lt;$N$7,"Low",IF(E404&gt;$R$7,"High","Middle")))</x:f>
        <x:v>Middle</x:v>
      </x:c>
      <x:c r="M404" s="133" t="str">
        <x:f>IF(D404&lt;=0,"No EVM votes",IF(H404&lt;-20%,"Large deficit",IF(H404&lt;-5%,"Moderate deficit",IF(H404&lt;0,"Narrow deficit",IF(H404&lt;=5%,"Narrow lead/tie",IF(H404&lt;=20%,"Moderate lead","Large lead"))))))</x:f>
        <x:v>Large deficit</x:v>
      </x:c>
    </x:row>
    <x:row r="405">
      <x:c r="A405" t="n">
        <x:v>346</x:v>
      </x:c>
      <x:c r="B405" t="str">
        <x:v>PRY. SCHOOL VENA ROAD JEWAR R.NO. 3</x:v>
      </x:c>
      <x:c r="C405" s="83" t="n">
        <x:f>'2019 Form20'!H354</x:f>
        <x:v>451</x:v>
      </x:c>
      <x:c r="D405" s="83" t="n">
        <x:f>'2019 Form20'!D354</x:f>
        <x:v>656</x:v>
      </x:c>
      <x:c r="E405" s="50" t="n">
        <x:f>'2019 Form20'!U354</x:f>
        <x:v>0.6875</x:v>
      </x:c>
      <x:c r="F405" t="n">
        <x:f>'2019 Form20'!V354</x:f>
        <x:v>173</x:v>
      </x:c>
      <x:c r="G405" t="n">
        <x:f>'2019 Form20'!W354</x:f>
        <x:v>278</x:v>
      </x:c>
      <x:c r="H405" s="52" t="n">
        <x:f>'2019 Form20'!X354</x:f>
        <x:v>0.42378048780487804</x:v>
      </x:c>
      <x:c r="I405" t="str">
        <x:v>SATVEER</x:v>
      </x:c>
      <x:c r="J405" t="str">
        <x:v>BSP</x:v>
      </x:c>
      <x:c r="K405" t="str">
        <x:v>EVM row</x:v>
      </x:c>
      <x:c r="L405" s="133" t="str">
        <x:f>IF(D405&lt;=0,"No EVM votes",IF(E405&lt;$N$7,"Low",IF(E405&gt;$R$7,"High","Middle")))</x:f>
        <x:v>High</x:v>
      </x:c>
      <x:c r="M405" s="133" t="str">
        <x:f>IF(D405&lt;=0,"No EVM votes",IF(H405&lt;-20%,"Large deficit",IF(H405&lt;-5%,"Moderate deficit",IF(H405&lt;0,"Narrow deficit",IF(H405&lt;=5%,"Narrow lead/tie",IF(H405&lt;=20%,"Moderate lead","Large lead"))))))</x:f>
        <x:v>Large lead</x:v>
      </x:c>
    </x:row>
    <x:row r="406">
      <x:c r="A406" t="n">
        <x:v>347</x:v>
      </x:c>
      <x:c r="B406" t="str">
        <x:v>KANWAR TECHNICAL I.C.T.A. JEWAR R.NO. 1</x:v>
      </x:c>
      <x:c r="C406" s="83" t="n">
        <x:f>'2019 Form20'!H355</x:f>
        <x:v>87</x:v>
      </x:c>
      <x:c r="D406" s="83" t="n">
        <x:f>'2019 Form20'!D355</x:f>
        <x:v>566</x:v>
      </x:c>
      <x:c r="E406" s="50" t="n">
        <x:f>'2019 Form20'!U355</x:f>
        <x:v>0.15371024734982333</x:v>
      </x:c>
      <x:c r="F406" t="n">
        <x:f>'2019 Form20'!V355</x:f>
        <x:v>420</x:v>
      </x:c>
      <x:c r="G406" t="n">
        <x:f>'2019 Form20'!W355</x:f>
        <x:v>-333</x:v>
      </x:c>
      <x:c r="H406" s="52" t="n">
        <x:f>'2019 Form20'!X355</x:f>
        <x:v>-0.588339222614841</x:v>
      </x:c>
      <x:c r="I406" t="str">
        <x:v>DR. MAHESH SHARMA</x:v>
      </x:c>
      <x:c r="J406" t="str">
        <x:v>BJP</x:v>
      </x:c>
      <x:c r="K406" t="str">
        <x:v>EVM row</x:v>
      </x:c>
      <x:c r="L406" s="133" t="str">
        <x:f>IF(D406&lt;=0,"No EVM votes",IF(E406&lt;$N$7,"Low",IF(E406&gt;$R$7,"High","Middle")))</x:f>
        <x:v>Low</x:v>
      </x:c>
      <x:c r="M406" s="133" t="str">
        <x:f>IF(D406&lt;=0,"No EVM votes",IF(H406&lt;-20%,"Large deficit",IF(H406&lt;-5%,"Moderate deficit",IF(H406&lt;0,"Narrow deficit",IF(H406&lt;=5%,"Narrow lead/tie",IF(H406&lt;=20%,"Moderate lead","Large lead"))))))</x:f>
        <x:v>Large deficit</x:v>
      </x:c>
    </x:row>
    <x:row r="407">
      <x:c r="A407" t="n">
        <x:v>348</x:v>
      </x:c>
      <x:c r="B407" t="str">
        <x:v>KANWAR TECHNICAL I.C.T.A. JEWAR R.NO. 2</x:v>
      </x:c>
      <x:c r="C407" s="83" t="n">
        <x:f>'2019 Form20'!H356</x:f>
        <x:v>285</x:v>
      </x:c>
      <x:c r="D407" s="83" t="n">
        <x:f>'2019 Form20'!D356</x:f>
        <x:v>495</x:v>
      </x:c>
      <x:c r="E407" s="50" t="n">
        <x:f>'2019 Form20'!U356</x:f>
        <x:v>0.5757575757575758</x:v>
      </x:c>
      <x:c r="F407" t="n">
        <x:f>'2019 Form20'!V356</x:f>
        <x:v>203</x:v>
      </x:c>
      <x:c r="G407" t="n">
        <x:f>'2019 Form20'!W356</x:f>
        <x:v>82</x:v>
      </x:c>
      <x:c r="H407" s="52" t="n">
        <x:f>'2019 Form20'!X356</x:f>
        <x:v>0.16565656565656567</x:v>
      </x:c>
      <x:c r="I407" t="str">
        <x:v>SATVEER</x:v>
      </x:c>
      <x:c r="J407" t="str">
        <x:v>BSP</x:v>
      </x:c>
      <x:c r="K407" t="str">
        <x:v>EVM row</x:v>
      </x:c>
      <x:c r="L407" s="133" t="str">
        <x:f>IF(D407&lt;=0,"No EVM votes",IF(E407&lt;$N$7,"Low",IF(E407&gt;$R$7,"High","Middle")))</x:f>
        <x:v>Middle</x:v>
      </x:c>
      <x:c r="M407" s="133" t="str">
        <x:f>IF(D407&lt;=0,"No EVM votes",IF(H407&lt;-20%,"Large deficit",IF(H407&lt;-5%,"Moderate deficit",IF(H407&lt;0,"Narrow deficit",IF(H407&lt;=5%,"Narrow lead/tie",IF(H407&lt;=20%,"Moderate lead","Large lead"))))))</x:f>
        <x:v>Moderate lead</x:v>
      </x:c>
    </x:row>
    <x:row r="408">
      <x:c r="A408" t="n">
        <x:v>349</x:v>
      </x:c>
      <x:c r="B408" t="str">
        <x:v>KANWAR TECHNICAL I.C.T.A. JEWAR R.NO. 3</x:v>
      </x:c>
      <x:c r="C408" s="83" t="n">
        <x:f>'2019 Form20'!H357</x:f>
        <x:v>426</x:v>
      </x:c>
      <x:c r="D408" s="83" t="n">
        <x:f>'2019 Form20'!D357</x:f>
        <x:v>620</x:v>
      </x:c>
      <x:c r="E408" s="50" t="n">
        <x:f>'2019 Form20'!U357</x:f>
        <x:v>0.6870967741935484</x:v>
      </x:c>
      <x:c r="F408" t="n">
        <x:f>'2019 Form20'!V357</x:f>
        <x:v>164</x:v>
      </x:c>
      <x:c r="G408" t="n">
        <x:f>'2019 Form20'!W357</x:f>
        <x:v>262</x:v>
      </x:c>
      <x:c r="H408" s="52" t="n">
        <x:f>'2019 Form20'!X357</x:f>
        <x:v>0.42258064516129035</x:v>
      </x:c>
      <x:c r="I408" t="str">
        <x:v>SATVEER</x:v>
      </x:c>
      <x:c r="J408" t="str">
        <x:v>BSP</x:v>
      </x:c>
      <x:c r="K408" t="str">
        <x:v>EVM row</x:v>
      </x:c>
      <x:c r="L408" s="133" t="str">
        <x:f>IF(D408&lt;=0,"No EVM votes",IF(E408&lt;$N$7,"Low",IF(E408&gt;$R$7,"High","Middle")))</x:f>
        <x:v>High</x:v>
      </x:c>
      <x:c r="M408" s="133" t="str">
        <x:f>IF(D408&lt;=0,"No EVM votes",IF(H408&lt;-20%,"Large deficit",IF(H408&lt;-5%,"Moderate deficit",IF(H408&lt;0,"Narrow deficit",IF(H408&lt;=5%,"Narrow lead/tie",IF(H408&lt;=20%,"Moderate lead","Large lead"))))))</x:f>
        <x:v>Large lead</x:v>
      </x:c>
    </x:row>
    <x:row r="409">
      <x:c r="A409" t="n">
        <x:v>350</x:v>
      </x:c>
      <x:c r="B409" t="str">
        <x:v>PRY. SCHOOL MIRPUR KACHCHH URF KANIGARHI R.NO. 1</x:v>
      </x:c>
      <x:c r="C409" s="83" t="n">
        <x:f>'2019 Form20'!H358</x:f>
        <x:v>86</x:v>
      </x:c>
      <x:c r="D409" s="83" t="n">
        <x:f>'2019 Form20'!D358</x:f>
        <x:v>829</x:v>
      </x:c>
      <x:c r="E409" s="50" t="n">
        <x:f>'2019 Form20'!U358</x:f>
        <x:v>0.1037394451145959</x:v>
      </x:c>
      <x:c r="F409" t="n">
        <x:f>'2019 Form20'!V358</x:f>
        <x:v>730</x:v>
      </x:c>
      <x:c r="G409" t="n">
        <x:f>'2019 Form20'!W358</x:f>
        <x:v>-644</x:v>
      </x:c>
      <x:c r="H409" s="52" t="n">
        <x:f>'2019 Form20'!X358</x:f>
        <x:v>-0.7768395657418576</x:v>
      </x:c>
      <x:c r="I409" t="str">
        <x:v>DR. MAHESH SHARMA</x:v>
      </x:c>
      <x:c r="J409" t="str">
        <x:v>BJP</x:v>
      </x:c>
      <x:c r="K409" t="str">
        <x:v>EVM row</x:v>
      </x:c>
      <x:c r="L409" s="133" t="str">
        <x:f>IF(D409&lt;=0,"No EVM votes",IF(E409&lt;$N$7,"Low",IF(E409&gt;$R$7,"High","Middle")))</x:f>
        <x:v>Low</x:v>
      </x:c>
      <x:c r="M409" s="133" t="str">
        <x:f>IF(D409&lt;=0,"No EVM votes",IF(H409&lt;-20%,"Large deficit",IF(H409&lt;-5%,"Moderate deficit",IF(H409&lt;0,"Narrow deficit",IF(H409&lt;=5%,"Narrow lead/tie",IF(H409&lt;=20%,"Moderate lead","Large lead"))))))</x:f>
        <x:v>Large deficit</x:v>
      </x:c>
    </x:row>
    <x:row r="410">
      <x:c r="A410" t="n">
        <x:v>351</x:v>
      </x:c>
      <x:c r="B410" t="str">
        <x:v>PRY. SCHOOL MIRPUR KACHCHH URF KANIGARHI R.NO. 2</x:v>
      </x:c>
      <x:c r="C410" s="83" t="n">
        <x:f>'2019 Form20'!H359</x:f>
        <x:v>202</x:v>
      </x:c>
      <x:c r="D410" s="83" t="n">
        <x:f>'2019 Form20'!D359</x:f>
        <x:v>734</x:v>
      </x:c>
      <x:c r="E410" s="50" t="n">
        <x:f>'2019 Form20'!U359</x:f>
        <x:v>0.27520435967302453</x:v>
      </x:c>
      <x:c r="F410" t="n">
        <x:f>'2019 Form20'!V359</x:f>
        <x:v>501</x:v>
      </x:c>
      <x:c r="G410" t="n">
        <x:f>'2019 Form20'!W359</x:f>
        <x:v>-299</x:v>
      </x:c>
      <x:c r="H410" s="52" t="n">
        <x:f>'2019 Form20'!X359</x:f>
        <x:v>-0.40735694822888285</x:v>
      </x:c>
      <x:c r="I410" t="str">
        <x:v>DR. MAHESH SHARMA</x:v>
      </x:c>
      <x:c r="J410" t="str">
        <x:v>BJP</x:v>
      </x:c>
      <x:c r="K410" t="str">
        <x:v>EVM row</x:v>
      </x:c>
      <x:c r="L410" s="133" t="str">
        <x:f>IF(D410&lt;=0,"No EVM votes",IF(E410&lt;$N$7,"Low",IF(E410&gt;$R$7,"High","Middle")))</x:f>
        <x:v>Middle</x:v>
      </x:c>
      <x:c r="M410" s="133" t="str">
        <x:f>IF(D410&lt;=0,"No EVM votes",IF(H410&lt;-20%,"Large deficit",IF(H410&lt;-5%,"Moderate deficit",IF(H410&lt;0,"Narrow deficit",IF(H410&lt;=5%,"Narrow lead/tie",IF(H410&lt;=20%,"Moderate lead","Large lead"))))))</x:f>
        <x:v>Large deficit</x:v>
      </x:c>
    </x:row>
    <x:row r="411">
      <x:c r="A411" t="n">
        <x:v>352</x:v>
      </x:c>
      <x:c r="B411" t="str">
        <x:v>PRY. SCHOOL GOVINSGARH R.NO. 1</x:v>
      </x:c>
      <x:c r="C411" s="83" t="n">
        <x:f>'2019 Form20'!H360</x:f>
        <x:v>45</x:v>
      </x:c>
      <x:c r="D411" s="83" t="n">
        <x:f>'2019 Form20'!D360</x:f>
        <x:v>585</x:v>
      </x:c>
      <x:c r="E411" s="50" t="n">
        <x:f>'2019 Form20'!U360</x:f>
        <x:v>0.07692307692307693</x:v>
      </x:c>
      <x:c r="F411" t="n">
        <x:f>'2019 Form20'!V360</x:f>
        <x:v>516</x:v>
      </x:c>
      <x:c r="G411" t="n">
        <x:f>'2019 Form20'!W360</x:f>
        <x:v>-471</x:v>
      </x:c>
      <x:c r="H411" s="52" t="n">
        <x:f>'2019 Form20'!X360</x:f>
        <x:v>-0.8051282051282052</x:v>
      </x:c>
      <x:c r="I411" t="str">
        <x:v>DR. MAHESH SHARMA</x:v>
      </x:c>
      <x:c r="J411" t="str">
        <x:v>BJP</x:v>
      </x:c>
      <x:c r="K411" t="str">
        <x:v>EVM row</x:v>
      </x:c>
      <x:c r="L411" s="133" t="str">
        <x:f>IF(D411&lt;=0,"No EVM votes",IF(E411&lt;$N$7,"Low",IF(E411&gt;$R$7,"High","Middle")))</x:f>
        <x:v>Low</x:v>
      </x:c>
      <x:c r="M411" s="133" t="str">
        <x:f>IF(D411&lt;=0,"No EVM votes",IF(H411&lt;-20%,"Large deficit",IF(H411&lt;-5%,"Moderate deficit",IF(H411&lt;0,"Narrow deficit",IF(H411&lt;=5%,"Narrow lead/tie",IF(H411&lt;=20%,"Moderate lead","Large lead"))))))</x:f>
        <x:v>Large deficit</x:v>
      </x:c>
    </x:row>
    <x:row r="412">
      <x:c r="A412" t="n">
        <x:v>353</x:v>
      </x:c>
      <x:c r="B412" t="str">
        <x:v>PRY SCHOOL SHAMSHAMNAGAR R.NO. 1</x:v>
      </x:c>
      <x:c r="C412" s="83" t="n">
        <x:f>'2019 Form20'!H361</x:f>
        <x:v>135</x:v>
      </x:c>
      <x:c r="D412" s="83" t="n">
        <x:f>'2019 Form20'!D361</x:f>
        <x:v>550</x:v>
      </x:c>
      <x:c r="E412" s="50" t="n">
        <x:f>'2019 Form20'!U361</x:f>
        <x:v>0.24545454545454545</x:v>
      </x:c>
      <x:c r="F412" t="n">
        <x:f>'2019 Form20'!V361</x:f>
        <x:v>366</x:v>
      </x:c>
      <x:c r="G412" t="n">
        <x:f>'2019 Form20'!W361</x:f>
        <x:v>-231</x:v>
      </x:c>
      <x:c r="H412" s="52" t="n">
        <x:f>'2019 Form20'!X361</x:f>
        <x:v>-0.42</x:v>
      </x:c>
      <x:c r="I412" t="str">
        <x:v>DR. MAHESH SHARMA</x:v>
      </x:c>
      <x:c r="J412" t="str">
        <x:v>BJP</x:v>
      </x:c>
      <x:c r="K412" t="str">
        <x:v>EVM row</x:v>
      </x:c>
      <x:c r="L412" s="133" t="str">
        <x:f>IF(D412&lt;=0,"No EVM votes",IF(E412&lt;$N$7,"Low",IF(E412&gt;$R$7,"High","Middle")))</x:f>
        <x:v>Middle</x:v>
      </x:c>
      <x:c r="M412" s="133" t="str">
        <x:f>IF(D412&lt;=0,"No EVM votes",IF(H412&lt;-20%,"Large deficit",IF(H412&lt;-5%,"Moderate deficit",IF(H412&lt;0,"Narrow deficit",IF(H412&lt;=5%,"Narrow lead/tie",IF(H412&lt;=20%,"Moderate lead","Large lead"))))))</x:f>
        <x:v>Large deficit</x:v>
      </x:c>
    </x:row>
    <x:row r="413">
      <x:c r="A413" t="n">
        <x:v>354</x:v>
      </x:c>
      <x:c r="B413" t="str">
        <x:v>PRY. SCHOOL BHAGVANTPUR CHHANTAGA R.NO. 1</x:v>
      </x:c>
      <x:c r="C413" s="83" t="n">
        <x:f>'2019 Form20'!H362</x:f>
        <x:v>227</x:v>
      </x:c>
      <x:c r="D413" s="83" t="n">
        <x:f>'2019 Form20'!D362</x:f>
        <x:v>697</x:v>
      </x:c>
      <x:c r="E413" s="50" t="n">
        <x:f>'2019 Form20'!U362</x:f>
        <x:v>0.32568149210903874</x:v>
      </x:c>
      <x:c r="F413" t="n">
        <x:f>'2019 Form20'!V362</x:f>
        <x:v>424</x:v>
      </x:c>
      <x:c r="G413" t="n">
        <x:f>'2019 Form20'!W362</x:f>
        <x:v>-197</x:v>
      </x:c>
      <x:c r="H413" s="52" t="n">
        <x:f>'2019 Form20'!X362</x:f>
        <x:v>-0.28263988522238165</x:v>
      </x:c>
      <x:c r="I413" t="str">
        <x:v>DR. MAHESH SHARMA</x:v>
      </x:c>
      <x:c r="J413" t="str">
        <x:v>BJP</x:v>
      </x:c>
      <x:c r="K413" t="str">
        <x:v>EVM row</x:v>
      </x:c>
      <x:c r="L413" s="133" t="str">
        <x:f>IF(D413&lt;=0,"No EVM votes",IF(E413&lt;$N$7,"Low",IF(E413&gt;$R$7,"High","Middle")))</x:f>
        <x:v>Middle</x:v>
      </x:c>
      <x:c r="M413" s="133" t="str">
        <x:f>IF(D413&lt;=0,"No EVM votes",IF(H413&lt;-20%,"Large deficit",IF(H413&lt;-5%,"Moderate deficit",IF(H413&lt;0,"Narrow deficit",IF(H413&lt;=5%,"Narrow lead/tie",IF(H413&lt;=20%,"Moderate lead","Large lead"))))))</x:f>
        <x:v>Large deficit</x:v>
      </x:c>
    </x:row>
    <x:row r="414">
      <x:c r="A414" t="n">
        <x:v>355</x:v>
      </x:c>
      <x:c r="B414" t="str">
        <x:v>PRY. SCHOOL CHHATANGA KHURD R.NO. 1</x:v>
      </x:c>
      <x:c r="C414" s="83" t="n">
        <x:f>'2019 Form20'!H363</x:f>
        <x:v>160</x:v>
      </x:c>
      <x:c r="D414" s="83" t="n">
        <x:f>'2019 Form20'!D363</x:f>
        <x:v>479</x:v>
      </x:c>
      <x:c r="E414" s="50" t="n">
        <x:f>'2019 Form20'!U363</x:f>
        <x:v>0.33402922755741127</x:v>
      </x:c>
      <x:c r="F414" t="n">
        <x:f>'2019 Form20'!V363</x:f>
        <x:v>297</x:v>
      </x:c>
      <x:c r="G414" t="n">
        <x:f>'2019 Form20'!W363</x:f>
        <x:v>-137</x:v>
      </x:c>
      <x:c r="H414" s="52" t="n">
        <x:f>'2019 Form20'!X363</x:f>
        <x:v>-0.2860125260960334</x:v>
      </x:c>
      <x:c r="I414" t="str">
        <x:v>DR. MAHESH SHARMA</x:v>
      </x:c>
      <x:c r="J414" t="str">
        <x:v>BJP</x:v>
      </x:c>
      <x:c r="K414" t="str">
        <x:v>EVM row</x:v>
      </x:c>
      <x:c r="L414" s="133" t="str">
        <x:f>IF(D414&lt;=0,"No EVM votes",IF(E414&lt;$N$7,"Low",IF(E414&gt;$R$7,"High","Middle")))</x:f>
        <x:v>Middle</x:v>
      </x:c>
      <x:c r="M414" s="133" t="str">
        <x:f>IF(D414&lt;=0,"No EVM votes",IF(H414&lt;-20%,"Large deficit",IF(H414&lt;-5%,"Moderate deficit",IF(H414&lt;0,"Narrow deficit",IF(H414&lt;=5%,"Narrow lead/tie",IF(H414&lt;=20%,"Moderate lead","Large lead"))))))</x:f>
        <x:v>Large deficit</x:v>
      </x:c>
    </x:row>
    <x:row r="415">
      <x:c r="A415" t="n">
        <x:v>356</x:v>
      </x:c>
      <x:c r="B415" t="str">
        <x:v>PRY. SCHOOL JHUPPA NARAYAN SINGH R.NO. 1</x:v>
      </x:c>
      <x:c r="C415" s="83" t="n">
        <x:f>'2019 Form20'!H364</x:f>
        <x:v>440</x:v>
      </x:c>
      <x:c r="D415" s="83" t="n">
        <x:f>'2019 Form20'!D364</x:f>
        <x:v>690</x:v>
      </x:c>
      <x:c r="E415" s="50" t="n">
        <x:f>'2019 Form20'!U364</x:f>
        <x:v>0.6376811594202898</x:v>
      </x:c>
      <x:c r="F415" t="n">
        <x:f>'2019 Form20'!V364</x:f>
        <x:v>187</x:v>
      </x:c>
      <x:c r="G415" t="n">
        <x:f>'2019 Form20'!W364</x:f>
        <x:v>253</x:v>
      </x:c>
      <x:c r="H415" s="52" t="n">
        <x:f>'2019 Form20'!X364</x:f>
        <x:v>0.36666666666666664</x:v>
      </x:c>
      <x:c r="I415" t="str">
        <x:v>SATVEER</x:v>
      </x:c>
      <x:c r="J415" t="str">
        <x:v>BSP</x:v>
      </x:c>
      <x:c r="K415" t="str">
        <x:v>EVM row</x:v>
      </x:c>
      <x:c r="L415" s="133" t="str">
        <x:f>IF(D415&lt;=0,"No EVM votes",IF(E415&lt;$N$7,"Low",IF(E415&gt;$R$7,"High","Middle")))</x:f>
        <x:v>Middle</x:v>
      </x:c>
      <x:c r="M415" s="133" t="str">
        <x:f>IF(D415&lt;=0,"No EVM votes",IF(H415&lt;-20%,"Large deficit",IF(H415&lt;-5%,"Moderate deficit",IF(H415&lt;0,"Narrow deficit",IF(H415&lt;=5%,"Narrow lead/tie",IF(H415&lt;=20%,"Moderate lead","Large lead"))))))</x:f>
        <x:v>Large lead</x:v>
      </x:c>
    </x:row>
    <x:row r="416">
      <x:c r="A416" t="n">
        <x:v>357</x:v>
      </x:c>
      <x:c r="B416" t="str">
        <x:v>PRY. SCHOOL JHUPPA KALAN R.NO. 1</x:v>
      </x:c>
      <x:c r="C416" s="83" t="n">
        <x:f>'2019 Form20'!H365</x:f>
        <x:v>245</x:v>
      </x:c>
      <x:c r="D416" s="83" t="n">
        <x:f>'2019 Form20'!D365</x:f>
        <x:v>366</x:v>
      </x:c>
      <x:c r="E416" s="50" t="n">
        <x:f>'2019 Form20'!U365</x:f>
        <x:v>0.6693989071038251</x:v>
      </x:c>
      <x:c r="F416" t="n">
        <x:f>'2019 Form20'!V365</x:f>
        <x:v>104</x:v>
      </x:c>
      <x:c r="G416" t="n">
        <x:f>'2019 Form20'!W365</x:f>
        <x:v>141</x:v>
      </x:c>
      <x:c r="H416" s="52" t="n">
        <x:f>'2019 Form20'!X365</x:f>
        <x:v>0.38524590163934425</x:v>
      </x:c>
      <x:c r="I416" t="str">
        <x:v>SATVEER</x:v>
      </x:c>
      <x:c r="J416" t="str">
        <x:v>BSP</x:v>
      </x:c>
      <x:c r="K416" t="str">
        <x:v>EVM row</x:v>
      </x:c>
      <x:c r="L416" s="133" t="str">
        <x:f>IF(D416&lt;=0,"No EVM votes",IF(E416&lt;$N$7,"Low",IF(E416&gt;$R$7,"High","Middle")))</x:f>
        <x:v>Middle</x:v>
      </x:c>
      <x:c r="M416" s="133" t="str">
        <x:f>IF(D416&lt;=0,"No EVM votes",IF(H416&lt;-20%,"Large deficit",IF(H416&lt;-5%,"Moderate deficit",IF(H416&lt;0,"Narrow deficit",IF(H416&lt;=5%,"Narrow lead/tie",IF(H416&lt;=20%,"Moderate lead","Large lead"))))))</x:f>
        <x:v>Large lead</x:v>
      </x:c>
    </x:row>
    <x:row r="417">
      <x:c r="A417" t="n">
        <x:v>358</x:v>
      </x:c>
      <x:c r="B417" t="str">
        <x:v>PRY. SCHOOL MEVLA GOPALGARH R.NO. 1</x:v>
      </x:c>
      <x:c r="C417" s="83" t="n">
        <x:f>'2019 Form20'!H366</x:f>
        <x:v>195</x:v>
      </x:c>
      <x:c r="D417" s="83" t="n">
        <x:f>'2019 Form20'!D366</x:f>
        <x:v>602</x:v>
      </x:c>
      <x:c r="E417" s="50" t="n">
        <x:f>'2019 Form20'!U366</x:f>
        <x:v>0.3239202657807309</x:v>
      </x:c>
      <x:c r="F417" t="n">
        <x:f>'2019 Form20'!V366</x:f>
        <x:v>399</x:v>
      </x:c>
      <x:c r="G417" t="n">
        <x:f>'2019 Form20'!W366</x:f>
        <x:v>-204</x:v>
      </x:c>
      <x:c r="H417" s="52" t="n">
        <x:f>'2019 Form20'!X366</x:f>
        <x:v>-0.3388704318936877</x:v>
      </x:c>
      <x:c r="I417" t="str">
        <x:v>DR. MAHESH SHARMA</x:v>
      </x:c>
      <x:c r="J417" t="str">
        <x:v>BJP</x:v>
      </x:c>
      <x:c r="K417" t="str">
        <x:v>EVM row</x:v>
      </x:c>
      <x:c r="L417" s="133" t="str">
        <x:f>IF(D417&lt;=0,"No EVM votes",IF(E417&lt;$N$7,"Low",IF(E417&gt;$R$7,"High","Middle")))</x:f>
        <x:v>Middle</x:v>
      </x:c>
      <x:c r="M417" s="133" t="str">
        <x:f>IF(D417&lt;=0,"No EVM votes",IF(H417&lt;-20%,"Large deficit",IF(H417&lt;-5%,"Moderate deficit",IF(H417&lt;0,"Narrow deficit",IF(H417&lt;=5%,"Narrow lead/tie",IF(H417&lt;=20%,"Moderate lead","Large lead"))))))</x:f>
        <x:v>Large deficit</x:v>
      </x:c>
    </x:row>
    <x:row r="418">
      <x:c r="A418" t="n">
        <x:v>359</x:v>
      </x:c>
      <x:c r="B418" t="str">
        <x:v>PRY. SCHOOL MEVLA GOPALGARH R.NO. 2</x:v>
      </x:c>
      <x:c r="C418" s="83" t="n">
        <x:f>'2019 Form20'!H367</x:f>
        <x:v>26</x:v>
      </x:c>
      <x:c r="D418" s="83" t="n">
        <x:f>'2019 Form20'!D367</x:f>
        <x:v>719</x:v>
      </x:c>
      <x:c r="E418" s="50" t="n">
        <x:f>'2019 Form20'!U367</x:f>
        <x:v>0.03616133518776078</x:v>
      </x:c>
      <x:c r="F418" t="n">
        <x:f>'2019 Form20'!V367</x:f>
        <x:v>673</x:v>
      </x:c>
      <x:c r="G418" t="n">
        <x:f>'2019 Form20'!W367</x:f>
        <x:v>-647</x:v>
      </x:c>
      <x:c r="H418" s="52" t="n">
        <x:f>'2019 Form20'!X367</x:f>
        <x:v>-0.8998609179415855</x:v>
      </x:c>
      <x:c r="I418" t="str">
        <x:v>DR. MAHESH SHARMA</x:v>
      </x:c>
      <x:c r="J418" t="str">
        <x:v>BJP</x:v>
      </x:c>
      <x:c r="K418" t="str">
        <x:v>EVM row</x:v>
      </x:c>
      <x:c r="L418" s="133" t="str">
        <x:f>IF(D418&lt;=0,"No EVM votes",IF(E418&lt;$N$7,"Low",IF(E418&gt;$R$7,"High","Middle")))</x:f>
        <x:v>Low</x:v>
      </x:c>
      <x:c r="M418" s="133" t="str">
        <x:f>IF(D418&lt;=0,"No EVM votes",IF(H418&lt;-20%,"Large deficit",IF(H418&lt;-5%,"Moderate deficit",IF(H418&lt;0,"Narrow deficit",IF(H418&lt;=5%,"Narrow lead/tie",IF(H418&lt;=20%,"Moderate lead","Large lead"))))))</x:f>
        <x:v>Large deficit</x:v>
      </x:c>
    </x:row>
    <x:row r="419">
      <x:c r="A419" t="n">
        <x:v>360</x:v>
      </x:c>
      <x:c r="B419" t="str">
        <x:v>PRY. SCHOOL ALIYABAD URF MENHADIPUR R.NO. 1</x:v>
      </x:c>
      <x:c r="C419" s="83" t="n">
        <x:f>'2019 Form20'!H368</x:f>
        <x:v>592</x:v>
      </x:c>
      <x:c r="D419" s="83" t="n">
        <x:f>'2019 Form20'!D368</x:f>
        <x:v>684</x:v>
      </x:c>
      <x:c r="E419" s="50" t="n">
        <x:f>'2019 Form20'!U368</x:f>
        <x:v>0.8654970760233918</x:v>
      </x:c>
      <x:c r="F419" t="n">
        <x:f>'2019 Form20'!V368</x:f>
        <x:v>50</x:v>
      </x:c>
      <x:c r="G419" t="n">
        <x:f>'2019 Form20'!W368</x:f>
        <x:v>542</x:v>
      </x:c>
      <x:c r="H419" s="52" t="n">
        <x:f>'2019 Form20'!X368</x:f>
        <x:v>0.7923976608187134</x:v>
      </x:c>
      <x:c r="I419" t="str">
        <x:v>SATVEER</x:v>
      </x:c>
      <x:c r="J419" t="str">
        <x:v>BSP</x:v>
      </x:c>
      <x:c r="K419" t="str">
        <x:v>EVM row</x:v>
      </x:c>
      <x:c r="L419" s="133" t="str">
        <x:f>IF(D419&lt;=0,"No EVM votes",IF(E419&lt;$N$7,"Low",IF(E419&gt;$R$7,"High","Middle")))</x:f>
        <x:v>High</x:v>
      </x:c>
      <x:c r="M419" s="133" t="str">
        <x:f>IF(D419&lt;=0,"No EVM votes",IF(H419&lt;-20%,"Large deficit",IF(H419&lt;-5%,"Moderate deficit",IF(H419&lt;0,"Narrow deficit",IF(H419&lt;=5%,"Narrow lead/tie",IF(H419&lt;=20%,"Moderate lead","Large lead"))))))</x:f>
        <x:v>Large lead</x:v>
      </x:c>
    </x:row>
    <x:row r="420">
      <x:c r="A420" t="n">
        <x:v>361</x:v>
      </x:c>
      <x:c r="B420" t="str">
        <x:v>PRY. SCHOOL MANGRAULI R.NO. 1</x:v>
      </x:c>
      <x:c r="C420" s="83" t="n">
        <x:f>'2019 Form20'!H369</x:f>
        <x:v>42</x:v>
      </x:c>
      <x:c r="D420" s="83" t="n">
        <x:f>'2019 Form20'!D369</x:f>
        <x:v>509</x:v>
      </x:c>
      <x:c r="E420" s="50" t="n">
        <x:f>'2019 Form20'!U369</x:f>
        <x:v>0.0825147347740668</x:v>
      </x:c>
      <x:c r="F420" t="n">
        <x:f>'2019 Form20'!V369</x:f>
        <x:v>450</x:v>
      </x:c>
      <x:c r="G420" t="n">
        <x:f>'2019 Form20'!W369</x:f>
        <x:v>-408</x:v>
      </x:c>
      <x:c r="H420" s="52" t="n">
        <x:f>'2019 Form20'!X369</x:f>
        <x:v>-0.8015717092337917</x:v>
      </x:c>
      <x:c r="I420" t="str">
        <x:v>DR. MAHESH SHARMA</x:v>
      </x:c>
      <x:c r="J420" t="str">
        <x:v>BJP</x:v>
      </x:c>
      <x:c r="K420" t="str">
        <x:v>EVM row</x:v>
      </x:c>
      <x:c r="L420" s="133" t="str">
        <x:f>IF(D420&lt;=0,"No EVM votes",IF(E420&lt;$N$7,"Low",IF(E420&gt;$R$7,"High","Middle")))</x:f>
        <x:v>Low</x:v>
      </x:c>
      <x:c r="M420" s="133" t="str">
        <x:f>IF(D420&lt;=0,"No EVM votes",IF(H420&lt;-20%,"Large deficit",IF(H420&lt;-5%,"Moderate deficit",IF(H420&lt;0,"Narrow deficit",IF(H420&lt;=5%,"Narrow lead/tie",IF(H420&lt;=20%,"Moderate lead","Large lead"))))))</x:f>
        <x:v>Large deficit</x:v>
      </x:c>
    </x:row>
    <x:row r="421">
      <x:c r="A421" t="n">
        <x:v>362</x:v>
      </x:c>
      <x:c r="B421" t="str">
        <x:v>PRY. SCHOOL MANGRAULI R.NO. 2</x:v>
      </x:c>
      <x:c r="C421" s="83" t="n">
        <x:f>'2019 Form20'!H370</x:f>
        <x:v>392</x:v>
      </x:c>
      <x:c r="D421" s="83" t="n">
        <x:f>'2019 Form20'!D370</x:f>
        <x:v>479</x:v>
      </x:c>
      <x:c r="E421" s="50" t="n">
        <x:f>'2019 Form20'!U370</x:f>
        <x:v>0.8183716075156576</x:v>
      </x:c>
      <x:c r="F421" t="n">
        <x:f>'2019 Form20'!V370</x:f>
        <x:v>85</x:v>
      </x:c>
      <x:c r="G421" t="n">
        <x:f>'2019 Form20'!W370</x:f>
        <x:v>307</x:v>
      </x:c>
      <x:c r="H421" s="52" t="n">
        <x:f>'2019 Form20'!X370</x:f>
        <x:v>0.6409185803757829</x:v>
      </x:c>
      <x:c r="I421" t="str">
        <x:v>SATVEER</x:v>
      </x:c>
      <x:c r="J421" t="str">
        <x:v>BSP</x:v>
      </x:c>
      <x:c r="K421" t="str">
        <x:v>EVM row</x:v>
      </x:c>
      <x:c r="L421" s="133" t="str">
        <x:f>IF(D421&lt;=0,"No EVM votes",IF(E421&lt;$N$7,"Low",IF(E421&gt;$R$7,"High","Middle")))</x:f>
        <x:v>High</x:v>
      </x:c>
      <x:c r="M421" s="133" t="str">
        <x:f>IF(D421&lt;=0,"No EVM votes",IF(H421&lt;-20%,"Large deficit",IF(H421&lt;-5%,"Moderate deficit",IF(H421&lt;0,"Narrow deficit",IF(H421&lt;=5%,"Narrow lead/tie",IF(H421&lt;=20%,"Moderate lead","Large lead"))))))</x:f>
        <x:v>Large lead</x:v>
      </x:c>
    </x:row>
    <x:row r="422">
      <x:c r="A422" t="n">
        <x:v>363</x:v>
      </x:c>
      <x:c r="B422" t="str">
        <x:v>PRY. SCHOOL ALAWALPUR R.NO. 1</x:v>
      </x:c>
      <x:c r="C422" s="83" t="n">
        <x:f>'2019 Form20'!H371</x:f>
        <x:v>161</x:v>
      </x:c>
      <x:c r="D422" s="83" t="n">
        <x:f>'2019 Form20'!D371</x:f>
        <x:v>374</x:v>
      </x:c>
      <x:c r="E422" s="50" t="n">
        <x:f>'2019 Form20'!U371</x:f>
        <x:v>0.4304812834224599</x:v>
      </x:c>
      <x:c r="F422" t="n">
        <x:f>'2019 Form20'!V371</x:f>
        <x:v>209</x:v>
      </x:c>
      <x:c r="G422" t="n">
        <x:f>'2019 Form20'!W371</x:f>
        <x:v>-48</x:v>
      </x:c>
      <x:c r="H422" s="52" t="n">
        <x:f>'2019 Form20'!X371</x:f>
        <x:v>-0.12834224598930483</x:v>
      </x:c>
      <x:c r="I422" t="str">
        <x:v>DR. MAHESH SHARMA</x:v>
      </x:c>
      <x:c r="J422" t="str">
        <x:v>BJP</x:v>
      </x:c>
      <x:c r="K422" t="str">
        <x:v>EVM row</x:v>
      </x:c>
      <x:c r="L422" s="133" t="str">
        <x:f>IF(D422&lt;=0,"No EVM votes",IF(E422&lt;$N$7,"Low",IF(E422&gt;$R$7,"High","Middle")))</x:f>
        <x:v>Middle</x:v>
      </x:c>
      <x:c r="M422" s="133" t="str">
        <x:f>IF(D422&lt;=0,"No EVM votes",IF(H422&lt;-20%,"Large deficit",IF(H422&lt;-5%,"Moderate deficit",IF(H422&lt;0,"Narrow deficit",IF(H422&lt;=5%,"Narrow lead/tie",IF(H422&lt;=20%,"Moderate lead","Large lead"))))))</x:f>
        <x:v>Moderate deficit</x:v>
      </x:c>
    </x:row>
    <x:row r="423">
      <x:c r="A423" t="n">
        <x:v>364</x:v>
      </x:c>
      <x:c r="B423" t="str">
        <x:v>PRY. SCHOOL AHMADPUR CHAURAULI R.NO. 1</x:v>
      </x:c>
      <x:c r="C423" s="83" t="n">
        <x:f>'2019 Form20'!H372</x:f>
        <x:v>278</x:v>
      </x:c>
      <x:c r="D423" s="83" t="n">
        <x:f>'2019 Form20'!D372</x:f>
        <x:v>513</x:v>
      </x:c>
      <x:c r="E423" s="50" t="n">
        <x:f>'2019 Form20'!U372</x:f>
        <x:v>0.5419103313840156</x:v>
      </x:c>
      <x:c r="F423" t="n">
        <x:f>'2019 Form20'!V372</x:f>
        <x:v>217</x:v>
      </x:c>
      <x:c r="G423" t="n">
        <x:f>'2019 Form20'!W372</x:f>
        <x:v>61</x:v>
      </x:c>
      <x:c r="H423" s="52" t="n">
        <x:f>'2019 Form20'!X372</x:f>
        <x:v>0.1189083820662768</x:v>
      </x:c>
      <x:c r="I423" t="str">
        <x:v>SATVEER</x:v>
      </x:c>
      <x:c r="J423" t="str">
        <x:v>BSP</x:v>
      </x:c>
      <x:c r="K423" t="str">
        <x:v>EVM row</x:v>
      </x:c>
      <x:c r="L423" s="133" t="str">
        <x:f>IF(D423&lt;=0,"No EVM votes",IF(E423&lt;$N$7,"Low",IF(E423&gt;$R$7,"High","Middle")))</x:f>
        <x:v>Middle</x:v>
      </x:c>
      <x:c r="M423" s="133" t="str">
        <x:f>IF(D423&lt;=0,"No EVM votes",IF(H423&lt;-20%,"Large deficit",IF(H423&lt;-5%,"Moderate deficit",IF(H423&lt;0,"Narrow deficit",IF(H423&lt;=5%,"Narrow lead/tie",IF(H423&lt;=20%,"Moderate lead","Large lead"))))))</x:f>
        <x:v>Moderate lead</x:v>
      </x:c>
    </x:row>
    <x:row r="424">
      <x:c r="A424" t="n">
        <x:v>365</x:v>
      </x:c>
      <x:c r="B424" t="str">
        <x:v>PRY. SCHOOL AHMADPUR CHAURAULI R.NO. 2</x:v>
      </x:c>
      <x:c r="C424" s="83" t="n">
        <x:f>'2019 Form20'!H373</x:f>
        <x:v>175</x:v>
      </x:c>
      <x:c r="D424" s="83" t="n">
        <x:f>'2019 Form20'!D373</x:f>
        <x:v>611</x:v>
      </x:c>
      <x:c r="E424" s="50" t="n">
        <x:f>'2019 Form20'!U373</x:f>
        <x:v>0.2864157119476268</x:v>
      </x:c>
      <x:c r="F424" t="n">
        <x:f>'2019 Form20'!V373</x:f>
        <x:v>414</x:v>
      </x:c>
      <x:c r="G424" t="n">
        <x:f>'2019 Form20'!W373</x:f>
        <x:v>-239</x:v>
      </x:c>
      <x:c r="H424" s="52" t="n">
        <x:f>'2019 Form20'!X373</x:f>
        <x:v>-0.3911620294599018</x:v>
      </x:c>
      <x:c r="I424" t="str">
        <x:v>DR. MAHESH SHARMA</x:v>
      </x:c>
      <x:c r="J424" t="str">
        <x:v>BJP</x:v>
      </x:c>
      <x:c r="K424" t="str">
        <x:v>EVM row</x:v>
      </x:c>
      <x:c r="L424" s="133" t="str">
        <x:f>IF(D424&lt;=0,"No EVM votes",IF(E424&lt;$N$7,"Low",IF(E424&gt;$R$7,"High","Middle")))</x:f>
        <x:v>Middle</x:v>
      </x:c>
      <x:c r="M424" s="133" t="str">
        <x:f>IF(D424&lt;=0,"No EVM votes",IF(H424&lt;-20%,"Large deficit",IF(H424&lt;-5%,"Moderate deficit",IF(H424&lt;0,"Narrow deficit",IF(H424&lt;=5%,"Narrow lead/tie",IF(H424&lt;=20%,"Moderate lead","Large lead"))))))</x:f>
        <x:v>Large deficit</x:v>
      </x:c>
    </x:row>
    <x:row r="425">
      <x:c r="A425" t="n">
        <x:v>366</x:v>
      </x:c>
      <x:c r="B425" t="str">
        <x:v>PRY. SCHOOL AHMADPUR CHAURAULI R.NO. 3</x:v>
      </x:c>
      <x:c r="C425" s="83" t="n">
        <x:f>'2019 Form20'!H374</x:f>
        <x:v>103</x:v>
      </x:c>
      <x:c r="D425" s="83" t="n">
        <x:f>'2019 Form20'!D374</x:f>
        <x:v>604</x:v>
      </x:c>
      <x:c r="E425" s="50" t="n">
        <x:f>'2019 Form20'!U374</x:f>
        <x:v>0.17052980132450332</x:v>
      </x:c>
      <x:c r="F425" t="n">
        <x:f>'2019 Form20'!V374</x:f>
        <x:v>482</x:v>
      </x:c>
      <x:c r="G425" t="n">
        <x:f>'2019 Form20'!W374</x:f>
        <x:v>-379</x:v>
      </x:c>
      <x:c r="H425" s="52" t="n">
        <x:f>'2019 Form20'!X374</x:f>
        <x:v>-0.6274834437086093</x:v>
      </x:c>
      <x:c r="I425" t="str">
        <x:v>DR. MAHESH SHARMA</x:v>
      </x:c>
      <x:c r="J425" t="str">
        <x:v>BJP</x:v>
      </x:c>
      <x:c r="K425" t="str">
        <x:v>EVM row</x:v>
      </x:c>
      <x:c r="L425" s="133" t="str">
        <x:f>IF(D425&lt;=0,"No EVM votes",IF(E425&lt;$N$7,"Low",IF(E425&gt;$R$7,"High","Middle")))</x:f>
        <x:v>Low</x:v>
      </x:c>
      <x:c r="M425" s="133" t="str">
        <x:f>IF(D425&lt;=0,"No EVM votes",IF(H425&lt;-20%,"Large deficit",IF(H425&lt;-5%,"Moderate deficit",IF(H425&lt;0,"Narrow deficit",IF(H425&lt;=5%,"Narrow lead/tie",IF(H425&lt;=20%,"Moderate lead","Large lead"))))))</x:f>
        <x:v>Large deficit</x:v>
      </x:c>
    </x:row>
    <x:row r="426">
      <x:c r="A426" t="n">
        <x:v>367</x:v>
      </x:c>
      <x:c r="B426" t="str">
        <x:v>J.H. SCHOOL AHMADPUR CHAURAULI R.NO. 1</x:v>
      </x:c>
      <x:c r="C426" s="83" t="n">
        <x:f>'2019 Form20'!H375</x:f>
        <x:v>164</x:v>
      </x:c>
      <x:c r="D426" s="83" t="n">
        <x:f>'2019 Form20'!D375</x:f>
        <x:v>536</x:v>
      </x:c>
      <x:c r="E426" s="50" t="n">
        <x:f>'2019 Form20'!U375</x:f>
        <x:v>0.30597014925373134</x:v>
      </x:c>
      <x:c r="F426" t="n">
        <x:f>'2019 Form20'!V375</x:f>
        <x:v>347</x:v>
      </x:c>
      <x:c r="G426" t="n">
        <x:f>'2019 Form20'!W375</x:f>
        <x:v>-183</x:v>
      </x:c>
      <x:c r="H426" s="52" t="n">
        <x:f>'2019 Form20'!X375</x:f>
        <x:v>-0.3414179104477612</x:v>
      </x:c>
      <x:c r="I426" t="str">
        <x:v>DR. MAHESH SHARMA</x:v>
      </x:c>
      <x:c r="J426" t="str">
        <x:v>BJP</x:v>
      </x:c>
      <x:c r="K426" t="str">
        <x:v>EVM row</x:v>
      </x:c>
      <x:c r="L426" s="133" t="str">
        <x:f>IF(D426&lt;=0,"No EVM votes",IF(E426&lt;$N$7,"Low",IF(E426&gt;$R$7,"High","Middle")))</x:f>
        <x:v>Middle</x:v>
      </x:c>
      <x:c r="M426" s="133" t="str">
        <x:f>IF(D426&lt;=0,"No EVM votes",IF(H426&lt;-20%,"Large deficit",IF(H426&lt;-5%,"Moderate deficit",IF(H426&lt;0,"Narrow deficit",IF(H426&lt;=5%,"Narrow lead/tie",IF(H426&lt;=20%,"Moderate lead","Large lead"))))))</x:f>
        <x:v>Large deficit</x:v>
      </x:c>
    </x:row>
    <x:row r="427">
      <x:c r="A427" t="n">
        <x:v>368</x:v>
      </x:c>
      <x:c r="B427" t="str">
        <x:v>J.H. SCHOOL AHMADPUR CHAURAULI R.NO. 2</x:v>
      </x:c>
      <x:c r="C427" s="83" t="n">
        <x:f>'2019 Form20'!H376</x:f>
        <x:v>211</x:v>
      </x:c>
      <x:c r="D427" s="83" t="n">
        <x:f>'2019 Form20'!D376</x:f>
        <x:v>436</x:v>
      </x:c>
      <x:c r="E427" s="50" t="n">
        <x:f>'2019 Form20'!U376</x:f>
        <x:v>0.48394495412844035</x:v>
      </x:c>
      <x:c r="F427" t="n">
        <x:f>'2019 Form20'!V376</x:f>
        <x:v>213</x:v>
      </x:c>
      <x:c r="G427" t="n">
        <x:f>'2019 Form20'!W376</x:f>
        <x:v>-2</x:v>
      </x:c>
      <x:c r="H427" s="52" t="n">
        <x:f>'2019 Form20'!X376</x:f>
        <x:v>-0.0045871559633027525</x:v>
      </x:c>
      <x:c r="I427" t="str">
        <x:v>DR. MAHESH SHARMA</x:v>
      </x:c>
      <x:c r="J427" t="str">
        <x:v>BJP</x:v>
      </x:c>
      <x:c r="K427" t="str">
        <x:v>EVM row</x:v>
      </x:c>
      <x:c r="L427" s="133" t="str">
        <x:f>IF(D427&lt;=0,"No EVM votes",IF(E427&lt;$N$7,"Low",IF(E427&gt;$R$7,"High","Middle")))</x:f>
        <x:v>Middle</x:v>
      </x:c>
      <x:c r="M427" s="133" t="str">
        <x:f>IF(D427&lt;=0,"No EVM votes",IF(H427&lt;-20%,"Large deficit",IF(H427&lt;-5%,"Moderate deficit",IF(H427&lt;0,"Narrow deficit",IF(H427&lt;=5%,"Narrow lead/tie",IF(H427&lt;=20%,"Moderate lead","Large lead"))))))</x:f>
        <x:v>Narrow deficit</x:v>
      </x:c>
    </x:row>
    <x:row r="428">
      <x:c r="A428" t="n">
        <x:v>369</x:v>
      </x:c>
      <x:c r="B428" t="str">
        <x:v>PRY. SCHOOL BHAVOKRA R.NO. 1</x:v>
      </x:c>
      <x:c r="C428" s="83" t="n">
        <x:f>'2019 Form20'!H377</x:f>
        <x:v>255</x:v>
      </x:c>
      <x:c r="D428" s="83" t="n">
        <x:f>'2019 Form20'!D377</x:f>
        <x:v>866</x:v>
      </x:c>
      <x:c r="E428" s="50" t="n">
        <x:f>'2019 Form20'!U377</x:f>
        <x:v>0.29445727482678985</x:v>
      </x:c>
      <x:c r="F428" t="n">
        <x:f>'2019 Form20'!V377</x:f>
        <x:v>593</x:v>
      </x:c>
      <x:c r="G428" t="n">
        <x:f>'2019 Form20'!W377</x:f>
        <x:v>-338</x:v>
      </x:c>
      <x:c r="H428" s="52" t="n">
        <x:f>'2019 Form20'!X377</x:f>
        <x:v>-0.3903002309468822</x:v>
      </x:c>
      <x:c r="I428" t="str">
        <x:v>DR. MAHESH SHARMA</x:v>
      </x:c>
      <x:c r="J428" t="str">
        <x:v>BJP</x:v>
      </x:c>
      <x:c r="K428" t="str">
        <x:v>EVM row</x:v>
      </x:c>
      <x:c r="L428" s="133" t="str">
        <x:f>IF(D428&lt;=0,"No EVM votes",IF(E428&lt;$N$7,"Low",IF(E428&gt;$R$7,"High","Middle")))</x:f>
        <x:v>Middle</x:v>
      </x:c>
      <x:c r="M428" s="133" t="str">
        <x:f>IF(D428&lt;=0,"No EVM votes",IF(H428&lt;-20%,"Large deficit",IF(H428&lt;-5%,"Moderate deficit",IF(H428&lt;0,"Narrow deficit",IF(H428&lt;=5%,"Narrow lead/tie",IF(H428&lt;=20%,"Moderate lead","Large lead"))))))</x:f>
        <x:v>Large deficit</x:v>
      </x:c>
    </x:row>
    <x:row r="429">
      <x:c r="A429" t="n">
        <x:v>370</x:v>
      </x:c>
      <x:c r="B429" t="str">
        <x:v>PRY. SCHOOL DYORAR R.NO. 1</x:v>
      </x:c>
      <x:c r="C429" s="83" t="n">
        <x:f>'2019 Form20'!H378</x:f>
        <x:v>164</x:v>
      </x:c>
      <x:c r="D429" s="83" t="n">
        <x:f>'2019 Form20'!D378</x:f>
        <x:v>693</x:v>
      </x:c>
      <x:c r="E429" s="50" t="n">
        <x:f>'2019 Form20'!U378</x:f>
        <x:v>0.23665223665223664</x:v>
      </x:c>
      <x:c r="F429" t="n">
        <x:f>'2019 Form20'!V378</x:f>
        <x:v>506</x:v>
      </x:c>
      <x:c r="G429" t="n">
        <x:f>'2019 Form20'!W378</x:f>
        <x:v>-342</x:v>
      </x:c>
      <x:c r="H429" s="52" t="n">
        <x:f>'2019 Form20'!X378</x:f>
        <x:v>-0.4935064935064935</x:v>
      </x:c>
      <x:c r="I429" t="str">
        <x:v>DR. MAHESH SHARMA</x:v>
      </x:c>
      <x:c r="J429" t="str">
        <x:v>BJP</x:v>
      </x:c>
      <x:c r="K429" t="str">
        <x:v>EVM row</x:v>
      </x:c>
      <x:c r="L429" s="133" t="str">
        <x:f>IF(D429&lt;=0,"No EVM votes",IF(E429&lt;$N$7,"Low",IF(E429&gt;$R$7,"High","Middle")))</x:f>
        <x:v>Middle</x:v>
      </x:c>
      <x:c r="M429" s="133" t="str">
        <x:f>IF(D429&lt;=0,"No EVM votes",IF(H429&lt;-20%,"Large deficit",IF(H429&lt;-5%,"Moderate deficit",IF(H429&lt;0,"Narrow deficit",IF(H429&lt;=5%,"Narrow lead/tie",IF(H429&lt;=20%,"Moderate lead","Large lead"))))))</x:f>
        <x:v>Large deficit</x:v>
      </x:c>
    </x:row>
    <x:row r="430">
      <x:c r="A430" t="n">
        <x:v>371</x:v>
      </x:c>
      <x:c r="B430" t="str">
        <x:v>J.H. SCHOOL CHANCHALI R.NO. 1</x:v>
      </x:c>
      <x:c r="C430" s="83" t="n">
        <x:f>'2019 Form20'!H379</x:f>
        <x:v>70</x:v>
      </x:c>
      <x:c r="D430" s="83" t="n">
        <x:f>'2019 Form20'!D379</x:f>
        <x:v>786</x:v>
      </x:c>
      <x:c r="E430" s="50" t="n">
        <x:f>'2019 Form20'!U379</x:f>
        <x:v>0.089058524173028</x:v>
      </x:c>
      <x:c r="F430" t="n">
        <x:f>'2019 Form20'!V379</x:f>
        <x:v>685</x:v>
      </x:c>
      <x:c r="G430" t="n">
        <x:f>'2019 Form20'!W379</x:f>
        <x:v>-615</x:v>
      </x:c>
      <x:c r="H430" s="52" t="n">
        <x:f>'2019 Form20'!X379</x:f>
        <x:v>-0.7824427480916031</x:v>
      </x:c>
      <x:c r="I430" t="str">
        <x:v>DR. MAHESH SHARMA</x:v>
      </x:c>
      <x:c r="J430" t="str">
        <x:v>BJP</x:v>
      </x:c>
      <x:c r="K430" t="str">
        <x:v>EVM row</x:v>
      </x:c>
      <x:c r="L430" s="133" t="str">
        <x:f>IF(D430&lt;=0,"No EVM votes",IF(E430&lt;$N$7,"Low",IF(E430&gt;$R$7,"High","Middle")))</x:f>
        <x:v>Low</x:v>
      </x:c>
      <x:c r="M430" s="133" t="str">
        <x:f>IF(D430&lt;=0,"No EVM votes",IF(H430&lt;-20%,"Large deficit",IF(H430&lt;-5%,"Moderate deficit",IF(H430&lt;0,"Narrow deficit",IF(H430&lt;=5%,"Narrow lead/tie",IF(H430&lt;=20%,"Moderate lead","Large lead"))))))</x:f>
        <x:v>Large deficit</x:v>
      </x:c>
    </x:row>
    <x:row r="431">
      <x:c r="A431" t="n">
        <x:v>372</x:v>
      </x:c>
      <x:c r="B431" t="str">
        <x:v>J.H. SCHOOL CHANCHALI R.NO. 2</x:v>
      </x:c>
      <x:c r="C431" s="83" t="n">
        <x:f>'2019 Form20'!H380</x:f>
        <x:v>273</x:v>
      </x:c>
      <x:c r="D431" s="83" t="n">
        <x:f>'2019 Form20'!D380</x:f>
        <x:v>342</x:v>
      </x:c>
      <x:c r="E431" s="50" t="n">
        <x:f>'2019 Form20'!U380</x:f>
        <x:v>0.7982456140350878</x:v>
      </x:c>
      <x:c r="F431" t="n">
        <x:f>'2019 Form20'!V380</x:f>
        <x:v>57</x:v>
      </x:c>
      <x:c r="G431" t="n">
        <x:f>'2019 Form20'!W380</x:f>
        <x:v>216</x:v>
      </x:c>
      <x:c r="H431" s="52" t="n">
        <x:f>'2019 Form20'!X380</x:f>
        <x:v>0.631578947368421</x:v>
      </x:c>
      <x:c r="I431" t="str">
        <x:v>SATVEER</x:v>
      </x:c>
      <x:c r="J431" t="str">
        <x:v>BSP</x:v>
      </x:c>
      <x:c r="K431" t="str">
        <x:v>EVM row</x:v>
      </x:c>
      <x:c r="L431" s="133" t="str">
        <x:f>IF(D431&lt;=0,"No EVM votes",IF(E431&lt;$N$7,"Low",IF(E431&gt;$R$7,"High","Middle")))</x:f>
        <x:v>High</x:v>
      </x:c>
      <x:c r="M431" s="133" t="str">
        <x:f>IF(D431&lt;=0,"No EVM votes",IF(H431&lt;-20%,"Large deficit",IF(H431&lt;-5%,"Moderate deficit",IF(H431&lt;0,"Narrow deficit",IF(H431&lt;=5%,"Narrow lead/tie",IF(H431&lt;=20%,"Moderate lead","Large lead"))))))</x:f>
        <x:v>Large lead</x:v>
      </x:c>
    </x:row>
    <x:row r="432">
      <x:c r="A432" t="n">
        <x:v>373</x:v>
      </x:c>
      <x:c r="B432" t="str">
        <x:v>PRY. SCHOOL ORANGABAD URF HIMAYUPUR R.NO. 1</x:v>
      </x:c>
      <x:c r="C432" s="83" t="n">
        <x:f>'2019 Form20'!H381</x:f>
        <x:v>109</x:v>
      </x:c>
      <x:c r="D432" s="83" t="n">
        <x:f>'2019 Form20'!D381</x:f>
        <x:v>435</x:v>
      </x:c>
      <x:c r="E432" s="50" t="n">
        <x:f>'2019 Form20'!U381</x:f>
        <x:v>0.25057471264367814</x:v>
      </x:c>
      <x:c r="F432" t="n">
        <x:f>'2019 Form20'!V381</x:f>
        <x:v>313</x:v>
      </x:c>
      <x:c r="G432" t="n">
        <x:f>'2019 Form20'!W381</x:f>
        <x:v>-204</x:v>
      </x:c>
      <x:c r="H432" s="52" t="n">
        <x:f>'2019 Form20'!X381</x:f>
        <x:v>-0.4689655172413793</x:v>
      </x:c>
      <x:c r="I432" t="str">
        <x:v>DR. MAHESH SHARMA</x:v>
      </x:c>
      <x:c r="J432" t="str">
        <x:v>BJP</x:v>
      </x:c>
      <x:c r="K432" t="str">
        <x:v>EVM row</x:v>
      </x:c>
      <x:c r="L432" s="133" t="str">
        <x:f>IF(D432&lt;=0,"No EVM votes",IF(E432&lt;$N$7,"Low",IF(E432&gt;$R$7,"High","Middle")))</x:f>
        <x:v>Middle</x:v>
      </x:c>
      <x:c r="M432" s="133" t="str">
        <x:f>IF(D432&lt;=0,"No EVM votes",IF(H432&lt;-20%,"Large deficit",IF(H432&lt;-5%,"Moderate deficit",IF(H432&lt;0,"Narrow deficit",IF(H432&lt;=5%,"Narrow lead/tie",IF(H432&lt;=20%,"Moderate lead","Large lead"))))))</x:f>
        <x:v>Large deficit</x:v>
      </x:c>
    </x:row>
    <x:row r="433">
      <x:c r="A433" t="n">
        <x:v>374</x:v>
      </x:c>
      <x:c r="B433" t="str">
        <x:v>INTER COLLEG T.A. JAHANGIRPUR R.NO. 1</x:v>
      </x:c>
      <x:c r="C433" s="83" t="n">
        <x:f>'2019 Form20'!H382</x:f>
        <x:v>233</x:v>
      </x:c>
      <x:c r="D433" s="83" t="n">
        <x:f>'2019 Form20'!D382</x:f>
        <x:v>451</x:v>
      </x:c>
      <x:c r="E433" s="50" t="n">
        <x:f>'2019 Form20'!U382</x:f>
        <x:v>0.516629711751663</x:v>
      </x:c>
      <x:c r="F433" t="n">
        <x:f>'2019 Form20'!V382</x:f>
        <x:v>194</x:v>
      </x:c>
      <x:c r="G433" t="n">
        <x:f>'2019 Form20'!W382</x:f>
        <x:v>39</x:v>
      </x:c>
      <x:c r="H433" s="52" t="n">
        <x:f>'2019 Form20'!X382</x:f>
        <x:v>0.08647450110864745</x:v>
      </x:c>
      <x:c r="I433" t="str">
        <x:v>SATVEER</x:v>
      </x:c>
      <x:c r="J433" t="str">
        <x:v>BSP</x:v>
      </x:c>
      <x:c r="K433" t="str">
        <x:v>EVM row</x:v>
      </x:c>
      <x:c r="L433" s="133" t="str">
        <x:f>IF(D433&lt;=0,"No EVM votes",IF(E433&lt;$N$7,"Low",IF(E433&gt;$R$7,"High","Middle")))</x:f>
        <x:v>Middle</x:v>
      </x:c>
      <x:c r="M433" s="133" t="str">
        <x:f>IF(D433&lt;=0,"No EVM votes",IF(H433&lt;-20%,"Large deficit",IF(H433&lt;-5%,"Moderate deficit",IF(H433&lt;0,"Narrow deficit",IF(H433&lt;=5%,"Narrow lead/tie",IF(H433&lt;=20%,"Moderate lead","Large lead"))))))</x:f>
        <x:v>Moderate lead</x:v>
      </x:c>
    </x:row>
    <x:row r="434">
      <x:c r="A434" t="n">
        <x:v>375</x:v>
      </x:c>
      <x:c r="B434" t="str">
        <x:v>INTER COLLEG T.A. JAHANGIRPUR R.NO. 2</x:v>
      </x:c>
      <x:c r="C434" s="83" t="n">
        <x:f>'2019 Form20'!H383</x:f>
        <x:v>227</x:v>
      </x:c>
      <x:c r="D434" s="83" t="n">
        <x:f>'2019 Form20'!D383</x:f>
        <x:v>440</x:v>
      </x:c>
      <x:c r="E434" s="50" t="n">
        <x:f>'2019 Form20'!U383</x:f>
        <x:v>0.5159090909090909</x:v>
      </x:c>
      <x:c r="F434" t="n">
        <x:f>'2019 Form20'!V383</x:f>
        <x:v>203</x:v>
      </x:c>
      <x:c r="G434" t="n">
        <x:f>'2019 Form20'!W383</x:f>
        <x:v>24</x:v>
      </x:c>
      <x:c r="H434" s="52" t="n">
        <x:f>'2019 Form20'!X383</x:f>
        <x:v>0.05454545454545454</x:v>
      </x:c>
      <x:c r="I434" t="str">
        <x:v>SATVEER</x:v>
      </x:c>
      <x:c r="J434" t="str">
        <x:v>BSP</x:v>
      </x:c>
      <x:c r="K434" t="str">
        <x:v>EVM row</x:v>
      </x:c>
      <x:c r="L434" s="133" t="str">
        <x:f>IF(D434&lt;=0,"No EVM votes",IF(E434&lt;$N$7,"Low",IF(E434&gt;$R$7,"High","Middle")))</x:f>
        <x:v>Middle</x:v>
      </x:c>
      <x:c r="M434" s="133" t="str">
        <x:f>IF(D434&lt;=0,"No EVM votes",IF(H434&lt;-20%,"Large deficit",IF(H434&lt;-5%,"Moderate deficit",IF(H434&lt;0,"Narrow deficit",IF(H434&lt;=5%,"Narrow lead/tie",IF(H434&lt;=20%,"Moderate lead","Large lead"))))))</x:f>
        <x:v>Moderate lead</x:v>
      </x:c>
    </x:row>
    <x:row r="435">
      <x:c r="A435" t="n">
        <x:v>376</x:v>
      </x:c>
      <x:c r="B435" t="str">
        <x:v>INTER COLLEG T.A. JAHANGIRPUR R.NO. 3</x:v>
      </x:c>
      <x:c r="C435" s="83" t="n">
        <x:f>'2019 Form20'!H384</x:f>
        <x:v>38</x:v>
      </x:c>
      <x:c r="D435" s="83" t="n">
        <x:f>'2019 Form20'!D384</x:f>
        <x:v>367</x:v>
      </x:c>
      <x:c r="E435" s="50" t="n">
        <x:f>'2019 Form20'!U384</x:f>
        <x:v>0.10354223433242507</x:v>
      </x:c>
      <x:c r="F435" t="n">
        <x:f>'2019 Form20'!V384</x:f>
        <x:v>320</x:v>
      </x:c>
      <x:c r="G435" t="n">
        <x:f>'2019 Form20'!W384</x:f>
        <x:v>-282</x:v>
      </x:c>
      <x:c r="H435" s="52" t="n">
        <x:f>'2019 Form20'!X384</x:f>
        <x:v>-0.7683923705722071</x:v>
      </x:c>
      <x:c r="I435" t="str">
        <x:v>DR. MAHESH SHARMA</x:v>
      </x:c>
      <x:c r="J435" t="str">
        <x:v>BJP</x:v>
      </x:c>
      <x:c r="K435" t="str">
        <x:v>EVM row</x:v>
      </x:c>
      <x:c r="L435" s="133" t="str">
        <x:f>IF(D435&lt;=0,"No EVM votes",IF(E435&lt;$N$7,"Low",IF(E435&gt;$R$7,"High","Middle")))</x:f>
        <x:v>Low</x:v>
      </x:c>
      <x:c r="M435" s="133" t="str">
        <x:f>IF(D435&lt;=0,"No EVM votes",IF(H435&lt;-20%,"Large deficit",IF(H435&lt;-5%,"Moderate deficit",IF(H435&lt;0,"Narrow deficit",IF(H435&lt;=5%,"Narrow lead/tie",IF(H435&lt;=20%,"Moderate lead","Large lead"))))))</x:f>
        <x:v>Large deficit</x:v>
      </x:c>
    </x:row>
    <x:row r="436">
      <x:c r="A436" t="n">
        <x:v>377</x:v>
      </x:c>
      <x:c r="B436" t="str">
        <x:v>INTER COLLEG T.A. JAHANGIRPUR R.NO. 4</x:v>
      </x:c>
      <x:c r="C436" s="83" t="n">
        <x:f>'2019 Form20'!H385</x:f>
        <x:v>88</x:v>
      </x:c>
      <x:c r="D436" s="83" t="n">
        <x:f>'2019 Form20'!D385</x:f>
        <x:v>619</x:v>
      </x:c>
      <x:c r="E436" s="50" t="n">
        <x:f>'2019 Form20'!U385</x:f>
        <x:v>0.1421647819063005</x:v>
      </x:c>
      <x:c r="F436" t="n">
        <x:f>'2019 Form20'!V385</x:f>
        <x:v>518</x:v>
      </x:c>
      <x:c r="G436" t="n">
        <x:f>'2019 Form20'!W385</x:f>
        <x:v>-430</x:v>
      </x:c>
      <x:c r="H436" s="52" t="n">
        <x:f>'2019 Form20'!X385</x:f>
        <x:v>-0.6946688206785138</x:v>
      </x:c>
      <x:c r="I436" t="str">
        <x:v>DR. MAHESH SHARMA</x:v>
      </x:c>
      <x:c r="J436" t="str">
        <x:v>BJP</x:v>
      </x:c>
      <x:c r="K436" t="str">
        <x:v>EVM row</x:v>
      </x:c>
      <x:c r="L436" s="133" t="str">
        <x:f>IF(D436&lt;=0,"No EVM votes",IF(E436&lt;$N$7,"Low",IF(E436&gt;$R$7,"High","Middle")))</x:f>
        <x:v>Low</x:v>
      </x:c>
      <x:c r="M436" s="133" t="str">
        <x:f>IF(D436&lt;=0,"No EVM votes",IF(H436&lt;-20%,"Large deficit",IF(H436&lt;-5%,"Moderate deficit",IF(H436&lt;0,"Narrow deficit",IF(H436&lt;=5%,"Narrow lead/tie",IF(H436&lt;=20%,"Moderate lead","Large lead"))))))</x:f>
        <x:v>Large deficit</x:v>
      </x:c>
    </x:row>
    <x:row r="437">
      <x:c r="A437" t="n">
        <x:v>378</x:v>
      </x:c>
      <x:c r="B437" t="str">
        <x:v>INTER COLLEG T.A. JAHANGIRPUR R.NO. 5</x:v>
      </x:c>
      <x:c r="C437" s="83" t="n">
        <x:f>'2019 Form20'!H386</x:f>
        <x:v>82</x:v>
      </x:c>
      <x:c r="D437" s="83" t="n">
        <x:f>'2019 Form20'!D386</x:f>
        <x:v>540</x:v>
      </x:c>
      <x:c r="E437" s="50" t="n">
        <x:f>'2019 Form20'!U386</x:f>
        <x:v>0.15185185185185185</x:v>
      </x:c>
      <x:c r="F437" t="n">
        <x:f>'2019 Form20'!V386</x:f>
        <x:v>443</x:v>
      </x:c>
      <x:c r="G437" t="n">
        <x:f>'2019 Form20'!W386</x:f>
        <x:v>-361</x:v>
      </x:c>
      <x:c r="H437" s="52" t="n">
        <x:f>'2019 Form20'!X386</x:f>
        <x:v>-0.6685185185185185</x:v>
      </x:c>
      <x:c r="I437" t="str">
        <x:v>DR. MAHESH SHARMA</x:v>
      </x:c>
      <x:c r="J437" t="str">
        <x:v>BJP</x:v>
      </x:c>
      <x:c r="K437" t="str">
        <x:v>EVM row</x:v>
      </x:c>
      <x:c r="L437" s="133" t="str">
        <x:f>IF(D437&lt;=0,"No EVM votes",IF(E437&lt;$N$7,"Low",IF(E437&gt;$R$7,"High","Middle")))</x:f>
        <x:v>Low</x:v>
      </x:c>
      <x:c r="M437" s="133" t="str">
        <x:f>IF(D437&lt;=0,"No EVM votes",IF(H437&lt;-20%,"Large deficit",IF(H437&lt;-5%,"Moderate deficit",IF(H437&lt;0,"Narrow deficit",IF(H437&lt;=5%,"Narrow lead/tie",IF(H437&lt;=20%,"Moderate lead","Large lead"))))))</x:f>
        <x:v>Large deficit</x:v>
      </x:c>
    </x:row>
    <x:row r="438">
      <x:c r="A438" t="n">
        <x:v>379</x:v>
      </x:c>
      <x:c r="B438" t="str">
        <x:v>KANYA PATH. T.A. JAHANGIRPUR R.NO. 1</x:v>
      </x:c>
      <x:c r="C438" s="83" t="n">
        <x:f>'2019 Form20'!H387</x:f>
        <x:v>205</x:v>
      </x:c>
      <x:c r="D438" s="83" t="n">
        <x:f>'2019 Form20'!D387</x:f>
        <x:v>705</x:v>
      </x:c>
      <x:c r="E438" s="50" t="n">
        <x:f>'2019 Form20'!U387</x:f>
        <x:v>0.2907801418439716</x:v>
      </x:c>
      <x:c r="F438" t="n">
        <x:f>'2019 Form20'!V387</x:f>
        <x:v>473</x:v>
      </x:c>
      <x:c r="G438" t="n">
        <x:f>'2019 Form20'!W387</x:f>
        <x:v>-268</x:v>
      </x:c>
      <x:c r="H438" s="52" t="n">
        <x:f>'2019 Form20'!X387</x:f>
        <x:v>-0.3801418439716312</x:v>
      </x:c>
      <x:c r="I438" t="str">
        <x:v>DR. MAHESH SHARMA</x:v>
      </x:c>
      <x:c r="J438" t="str">
        <x:v>BJP</x:v>
      </x:c>
      <x:c r="K438" t="str">
        <x:v>EVM row</x:v>
      </x:c>
      <x:c r="L438" s="133" t="str">
        <x:f>IF(D438&lt;=0,"No EVM votes",IF(E438&lt;$N$7,"Low",IF(E438&gt;$R$7,"High","Middle")))</x:f>
        <x:v>Middle</x:v>
      </x:c>
      <x:c r="M438" s="133" t="str">
        <x:f>IF(D438&lt;=0,"No EVM votes",IF(H438&lt;-20%,"Large deficit",IF(H438&lt;-5%,"Moderate deficit",IF(H438&lt;0,"Narrow deficit",IF(H438&lt;=5%,"Narrow lead/tie",IF(H438&lt;=20%,"Moderate lead","Large lead"))))))</x:f>
        <x:v>Large deficit</x:v>
      </x:c>
    </x:row>
    <x:row r="439">
      <x:c r="A439" t="n">
        <x:v>380</x:v>
      </x:c>
      <x:c r="B439" t="str">
        <x:v>KANYA PATH. T.A. JAHANGIRPUR R.NO. 2</x:v>
      </x:c>
      <x:c r="C439" s="83" t="n">
        <x:f>'2019 Form20'!H388</x:f>
        <x:v>45</x:v>
      </x:c>
      <x:c r="D439" s="83" t="n">
        <x:f>'2019 Form20'!D388</x:f>
        <x:v>273</x:v>
      </x:c>
      <x:c r="E439" s="50" t="n">
        <x:f>'2019 Form20'!U388</x:f>
        <x:v>0.16483516483516483</x:v>
      </x:c>
      <x:c r="F439" t="n">
        <x:f>'2019 Form20'!V388</x:f>
        <x:v>218</x:v>
      </x:c>
      <x:c r="G439" t="n">
        <x:f>'2019 Form20'!W388</x:f>
        <x:v>-173</x:v>
      </x:c>
      <x:c r="H439" s="52" t="n">
        <x:f>'2019 Form20'!X388</x:f>
        <x:v>-0.6336996336996337</x:v>
      </x:c>
      <x:c r="I439" t="str">
        <x:v>DR. MAHESH SHARMA</x:v>
      </x:c>
      <x:c r="J439" t="str">
        <x:v>BJP</x:v>
      </x:c>
      <x:c r="K439" t="str">
        <x:v>EVM row</x:v>
      </x:c>
      <x:c r="L439" s="133" t="str">
        <x:f>IF(D439&lt;=0,"No EVM votes",IF(E439&lt;$N$7,"Low",IF(E439&gt;$R$7,"High","Middle")))</x:f>
        <x:v>Low</x:v>
      </x:c>
      <x:c r="M439" s="133" t="str">
        <x:f>IF(D439&lt;=0,"No EVM votes",IF(H439&lt;-20%,"Large deficit",IF(H439&lt;-5%,"Moderate deficit",IF(H439&lt;0,"Narrow deficit",IF(H439&lt;=5%,"Narrow lead/tie",IF(H439&lt;=20%,"Moderate lead","Large lead"))))))</x:f>
        <x:v>Large deficit</x:v>
      </x:c>
    </x:row>
    <x:row r="440">
      <x:c r="A440" t="n">
        <x:v>381</x:v>
      </x:c>
      <x:c r="B440" t="str">
        <x:v>PRY. SCHOOL T.A. JAHANGIRPUR R.NO. 1</x:v>
      </x:c>
      <x:c r="C440" s="83" t="n">
        <x:f>'2019 Form20'!H389</x:f>
        <x:v>182</x:v>
      </x:c>
      <x:c r="D440" s="83" t="n">
        <x:f>'2019 Form20'!D389</x:f>
        <x:v>656</x:v>
      </x:c>
      <x:c r="E440" s="50" t="n">
        <x:f>'2019 Form20'!U389</x:f>
        <x:v>0.2774390243902439</x:v>
      </x:c>
      <x:c r="F440" t="n">
        <x:f>'2019 Form20'!V389</x:f>
        <x:v>434</x:v>
      </x:c>
      <x:c r="G440" t="n">
        <x:f>'2019 Form20'!W389</x:f>
        <x:v>-252</x:v>
      </x:c>
      <x:c r="H440" s="52" t="n">
        <x:f>'2019 Form20'!X389</x:f>
        <x:v>-0.38414634146341464</x:v>
      </x:c>
      <x:c r="I440" t="str">
        <x:v>DR. MAHESH SHARMA</x:v>
      </x:c>
      <x:c r="J440" t="str">
        <x:v>BJP</x:v>
      </x:c>
      <x:c r="K440" t="str">
        <x:v>EVM row</x:v>
      </x:c>
      <x:c r="L440" s="133" t="str">
        <x:f>IF(D440&lt;=0,"No EVM votes",IF(E440&lt;$N$7,"Low",IF(E440&gt;$R$7,"High","Middle")))</x:f>
        <x:v>Middle</x:v>
      </x:c>
      <x:c r="M440" s="133" t="str">
        <x:f>IF(D440&lt;=0,"No EVM votes",IF(H440&lt;-20%,"Large deficit",IF(H440&lt;-5%,"Moderate deficit",IF(H440&lt;0,"Narrow deficit",IF(H440&lt;=5%,"Narrow lead/tie",IF(H440&lt;=20%,"Moderate lead","Large lead"))))))</x:f>
        <x:v>Large deficit</x:v>
      </x:c>
    </x:row>
    <x:row r="441">
      <x:c r="A441" t="n">
        <x:v>382</x:v>
      </x:c>
      <x:c r="B441" t="str">
        <x:v>PRY. SCHOOL T.A. JAHANGIRPUR R.NO. 2</x:v>
      </x:c>
      <x:c r="C441" s="83" t="n">
        <x:f>'2019 Form20'!H390</x:f>
        <x:v>342</x:v>
      </x:c>
      <x:c r="D441" s="83" t="n">
        <x:f>'2019 Form20'!D390</x:f>
        <x:v>417</x:v>
      </x:c>
      <x:c r="E441" s="50" t="n">
        <x:f>'2019 Form20'!U390</x:f>
        <x:v>0.8201438848920863</x:v>
      </x:c>
      <x:c r="F441" t="n">
        <x:f>'2019 Form20'!V390</x:f>
        <x:v>55</x:v>
      </x:c>
      <x:c r="G441" t="n">
        <x:f>'2019 Form20'!W390</x:f>
        <x:v>287</x:v>
      </x:c>
      <x:c r="H441" s="52" t="n">
        <x:f>'2019 Form20'!X390</x:f>
        <x:v>0.6882494004796164</x:v>
      </x:c>
      <x:c r="I441" t="str">
        <x:v>SATVEER</x:v>
      </x:c>
      <x:c r="J441" t="str">
        <x:v>BSP</x:v>
      </x:c>
      <x:c r="K441" t="str">
        <x:v>EVM row</x:v>
      </x:c>
      <x:c r="L441" s="133" t="str">
        <x:f>IF(D441&lt;=0,"No EVM votes",IF(E441&lt;$N$7,"Low",IF(E441&gt;$R$7,"High","Middle")))</x:f>
        <x:v>High</x:v>
      </x:c>
      <x:c r="M441" s="133" t="str">
        <x:f>IF(D441&lt;=0,"No EVM votes",IF(H441&lt;-20%,"Large deficit",IF(H441&lt;-5%,"Moderate deficit",IF(H441&lt;0,"Narrow deficit",IF(H441&lt;=5%,"Narrow lead/tie",IF(H441&lt;=20%,"Moderate lead","Large lead"))))))</x:f>
        <x:v>Large lead</x:v>
      </x:c>
    </x:row>
    <x:row r="442">
      <x:c r="A442" t="n">
        <x:v>383</x:v>
      </x:c>
      <x:c r="B442" t="str">
        <x:v>PRY. SCHOOL T.A. JAHANGIRPUR R.NO. 3</x:v>
      </x:c>
      <x:c r="C442" s="83" t="n">
        <x:f>'2019 Form20'!H391</x:f>
        <x:v>524</x:v>
      </x:c>
      <x:c r="D442" s="83" t="n">
        <x:f>'2019 Form20'!D391</x:f>
        <x:v>597</x:v>
      </x:c>
      <x:c r="E442" s="50" t="n">
        <x:f>'2019 Form20'!U391</x:f>
        <x:v>0.8777219430485762</x:v>
      </x:c>
      <x:c r="F442" t="n">
        <x:f>'2019 Form20'!V391</x:f>
        <x:v>51</x:v>
      </x:c>
      <x:c r="G442" t="n">
        <x:f>'2019 Form20'!W391</x:f>
        <x:v>473</x:v>
      </x:c>
      <x:c r="H442" s="52" t="n">
        <x:f>'2019 Form20'!X391</x:f>
        <x:v>0.7922948073701842</x:v>
      </x:c>
      <x:c r="I442" t="str">
        <x:v>SATVEER</x:v>
      </x:c>
      <x:c r="J442" t="str">
        <x:v>BSP</x:v>
      </x:c>
      <x:c r="K442" t="str">
        <x:v>EVM row</x:v>
      </x:c>
      <x:c r="L442" s="133" t="str">
        <x:f>IF(D442&lt;=0,"No EVM votes",IF(E442&lt;$N$7,"Low",IF(E442&gt;$R$7,"High","Middle")))</x:f>
        <x:v>High</x:v>
      </x:c>
      <x:c r="M442" s="133" t="str">
        <x:f>IF(D442&lt;=0,"No EVM votes",IF(H442&lt;-20%,"Large deficit",IF(H442&lt;-5%,"Moderate deficit",IF(H442&lt;0,"Narrow deficit",IF(H442&lt;=5%,"Narrow lead/tie",IF(H442&lt;=20%,"Moderate lead","Large lead"))))))</x:f>
        <x:v>Large lead</x:v>
      </x:c>
    </x:row>
    <x:row r="443">
      <x:c r="A443" t="n">
        <x:v>384</x:v>
      </x:c>
      <x:c r="B443" t="str">
        <x:v>PRY. SCHOOL CHAK JAHANGIRPUR R.NO. 1</x:v>
      </x:c>
      <x:c r="C443" s="83" t="n">
        <x:f>'2019 Form20'!H392</x:f>
        <x:v>44</x:v>
      </x:c>
      <x:c r="D443" s="83" t="n">
        <x:f>'2019 Form20'!D392</x:f>
        <x:v>205</x:v>
      </x:c>
      <x:c r="E443" s="50" t="n">
        <x:f>'2019 Form20'!U392</x:f>
        <x:v>0.2146341463414634</x:v>
      </x:c>
      <x:c r="F443" t="n">
        <x:f>'2019 Form20'!V392</x:f>
        <x:v>159</x:v>
      </x:c>
      <x:c r="G443" t="n">
        <x:f>'2019 Form20'!W392</x:f>
        <x:v>-115</x:v>
      </x:c>
      <x:c r="H443" s="52" t="n">
        <x:f>'2019 Form20'!X392</x:f>
        <x:v>-0.5609756097560976</x:v>
      </x:c>
      <x:c r="I443" t="str">
        <x:v>DR. MAHESH SHARMA</x:v>
      </x:c>
      <x:c r="J443" t="str">
        <x:v>BJP</x:v>
      </x:c>
      <x:c r="K443" t="str">
        <x:v>EVM row</x:v>
      </x:c>
      <x:c r="L443" s="133" t="str">
        <x:f>IF(D443&lt;=0,"No EVM votes",IF(E443&lt;$N$7,"Low",IF(E443&gt;$R$7,"High","Middle")))</x:f>
        <x:v>Low</x:v>
      </x:c>
      <x:c r="M443" s="133" t="str">
        <x:f>IF(D443&lt;=0,"No EVM votes",IF(H443&lt;-20%,"Large deficit",IF(H443&lt;-5%,"Moderate deficit",IF(H443&lt;0,"Narrow deficit",IF(H443&lt;=5%,"Narrow lead/tie",IF(H443&lt;=20%,"Moderate lead","Large lead"))))))</x:f>
        <x:v>Large deficit</x:v>
      </x:c>
    </x:row>
    <x:row r="444">
      <x:c r="A444" t="n">
        <x:v>385</x:v>
      </x:c>
      <x:c r="B444" t="str">
        <x:v>PRY. SCHOOL JAFARGHAR MAZRA JAHANGIRPUR R.NO. 1</x:v>
      </x:c>
      <x:c r="C444" s="83" t="n">
        <x:f>'2019 Form20'!H393</x:f>
        <x:v>290</x:v>
      </x:c>
      <x:c r="D444" s="83" t="n">
        <x:f>'2019 Form20'!D393</x:f>
        <x:v>329</x:v>
      </x:c>
      <x:c r="E444" s="50" t="n">
        <x:f>'2019 Form20'!U393</x:f>
        <x:v>0.8814589665653495</x:v>
      </x:c>
      <x:c r="F444" t="n">
        <x:f>'2019 Form20'!V393</x:f>
        <x:v>28</x:v>
      </x:c>
      <x:c r="G444" t="n">
        <x:f>'2019 Form20'!W393</x:f>
        <x:v>262</x:v>
      </x:c>
      <x:c r="H444" s="52" t="n">
        <x:f>'2019 Form20'!X393</x:f>
        <x:v>0.7963525835866262</x:v>
      </x:c>
      <x:c r="I444" t="str">
        <x:v>SATVEER</x:v>
      </x:c>
      <x:c r="J444" t="str">
        <x:v>BSP</x:v>
      </x:c>
      <x:c r="K444" t="str">
        <x:v>EVM row</x:v>
      </x:c>
      <x:c r="L444" s="133" t="str">
        <x:f>IF(D444&lt;=0,"No EVM votes",IF(E444&lt;$N$7,"Low",IF(E444&gt;$R$7,"High","Middle")))</x:f>
        <x:v>High</x:v>
      </x:c>
      <x:c r="M444" s="133" t="str">
        <x:f>IF(D444&lt;=0,"No EVM votes",IF(H444&lt;-20%,"Large deficit",IF(H444&lt;-5%,"Moderate deficit",IF(H444&lt;0,"Narrow deficit",IF(H444&lt;=5%,"Narrow lead/tie",IF(H444&lt;=20%,"Moderate lead","Large lead"))))))</x:f>
        <x:v>Large lead</x:v>
      </x:c>
    </x:row>
    <x:row r="445">
      <x:c r="A445" t="n">
        <x:v>386</x:v>
      </x:c>
      <x:c r="B445" t="str">
        <x:v>PRY. SCHOOL CHAK NAGALIYA R.NO. 1</x:v>
      </x:c>
      <x:c r="C445" s="83" t="n">
        <x:f>'2019 Form20'!H394</x:f>
        <x:v>52</x:v>
      </x:c>
      <x:c r="D445" s="83" t="n">
        <x:f>'2019 Form20'!D394</x:f>
        <x:v>515</x:v>
      </x:c>
      <x:c r="E445" s="50" t="n">
        <x:f>'2019 Form20'!U394</x:f>
        <x:v>0.10097087378640776</x:v>
      </x:c>
      <x:c r="F445" t="n">
        <x:f>'2019 Form20'!V394</x:f>
        <x:v>454</x:v>
      </x:c>
      <x:c r="G445" t="n">
        <x:f>'2019 Form20'!W394</x:f>
        <x:v>-402</x:v>
      </x:c>
      <x:c r="H445" s="52" t="n">
        <x:f>'2019 Form20'!X394</x:f>
        <x:v>-0.7805825242718447</x:v>
      </x:c>
      <x:c r="I445" t="str">
        <x:v>DR. MAHESH SHARMA</x:v>
      </x:c>
      <x:c r="J445" t="str">
        <x:v>BJP</x:v>
      </x:c>
      <x:c r="K445" t="str">
        <x:v>EVM row</x:v>
      </x:c>
      <x:c r="L445" s="133" t="str">
        <x:f>IF(D445&lt;=0,"No EVM votes",IF(E445&lt;$N$7,"Low",IF(E445&gt;$R$7,"High","Middle")))</x:f>
        <x:v>Low</x:v>
      </x:c>
      <x:c r="M445" s="133" t="str">
        <x:f>IF(D445&lt;=0,"No EVM votes",IF(H445&lt;-20%,"Large deficit",IF(H445&lt;-5%,"Moderate deficit",IF(H445&lt;0,"Narrow deficit",IF(H445&lt;=5%,"Narrow lead/tie",IF(H445&lt;=20%,"Moderate lead","Large lead"))))))</x:f>
        <x:v>Large deficit</x:v>
      </x:c>
    </x:row>
    <x:row r="446">
      <x:c r="A446" t="n">
        <x:v>387</x:v>
      </x:c>
      <x:c r="B446" t="str">
        <x:v>PRY. SCHOOL ALAMPUR HATHLA URF LAUDONA R.NO. 1</x:v>
      </x:c>
      <x:c r="C446" s="83" t="n">
        <x:f>'2019 Form20'!H395</x:f>
        <x:v>180</x:v>
      </x:c>
      <x:c r="D446" s="83" t="n">
        <x:f>'2019 Form20'!D395</x:f>
        <x:v>606</x:v>
      </x:c>
      <x:c r="E446" s="50" t="n">
        <x:f>'2019 Form20'!U395</x:f>
        <x:v>0.297029702970297</x:v>
      </x:c>
      <x:c r="F446" t="n">
        <x:f>'2019 Form20'!V395</x:f>
        <x:v>412</x:v>
      </x:c>
      <x:c r="G446" t="n">
        <x:f>'2019 Form20'!W395</x:f>
        <x:v>-232</x:v>
      </x:c>
      <x:c r="H446" s="52" t="n">
        <x:f>'2019 Form20'!X395</x:f>
        <x:v>-0.38283828382838286</x:v>
      </x:c>
      <x:c r="I446" t="str">
        <x:v>DR. MAHESH SHARMA</x:v>
      </x:c>
      <x:c r="J446" t="str">
        <x:v>BJP</x:v>
      </x:c>
      <x:c r="K446" t="str">
        <x:v>EVM row</x:v>
      </x:c>
      <x:c r="L446" s="133" t="str">
        <x:f>IF(D446&lt;=0,"No EVM votes",IF(E446&lt;$N$7,"Low",IF(E446&gt;$R$7,"High","Middle")))</x:f>
        <x:v>Middle</x:v>
      </x:c>
      <x:c r="M446" s="133" t="str">
        <x:f>IF(D446&lt;=0,"No EVM votes",IF(H446&lt;-20%,"Large deficit",IF(H446&lt;-5%,"Moderate deficit",IF(H446&lt;0,"Narrow deficit",IF(H446&lt;=5%,"Narrow lead/tie",IF(H446&lt;=20%,"Moderate lead","Large lead"))))))</x:f>
        <x:v>Large deficit</x:v>
      </x:c>
    </x:row>
    <x:row r="447">
      <x:c r="A447" t="n">
        <x:v>388</x:v>
      </x:c>
      <x:c r="B447" t="str">
        <x:v>PRY. SCHOOL ALAMPUR HATHLA URF LAUDONA R.NO. 2</x:v>
      </x:c>
      <x:c r="C447" s="83" t="n">
        <x:f>'2019 Form20'!H396</x:f>
        <x:v>83</x:v>
      </x:c>
      <x:c r="D447" s="83" t="n">
        <x:f>'2019 Form20'!D396</x:f>
        <x:v>580</x:v>
      </x:c>
      <x:c r="E447" s="50" t="n">
        <x:f>'2019 Form20'!U396</x:f>
        <x:v>0.14310344827586208</x:v>
      </x:c>
      <x:c r="F447" t="n">
        <x:f>'2019 Form20'!V396</x:f>
        <x:v>471</x:v>
      </x:c>
      <x:c r="G447" t="n">
        <x:f>'2019 Form20'!W396</x:f>
        <x:v>-388</x:v>
      </x:c>
      <x:c r="H447" s="52" t="n">
        <x:f>'2019 Form20'!X396</x:f>
        <x:v>-0.6689655172413793</x:v>
      </x:c>
      <x:c r="I447" t="str">
        <x:v>DR. MAHESH SHARMA</x:v>
      </x:c>
      <x:c r="J447" t="str">
        <x:v>BJP</x:v>
      </x:c>
      <x:c r="K447" t="str">
        <x:v>EVM row</x:v>
      </x:c>
      <x:c r="L447" s="133" t="str">
        <x:f>IF(D447&lt;=0,"No EVM votes",IF(E447&lt;$N$7,"Low",IF(E447&gt;$R$7,"High","Middle")))</x:f>
        <x:v>Low</x:v>
      </x:c>
      <x:c r="M447" s="133" t="str">
        <x:f>IF(D447&lt;=0,"No EVM votes",IF(H447&lt;-20%,"Large deficit",IF(H447&lt;-5%,"Moderate deficit",IF(H447&lt;0,"Narrow deficit",IF(H447&lt;=5%,"Narrow lead/tie",IF(H447&lt;=20%,"Moderate lead","Large lead"))))))</x:f>
        <x:v>Large deficit</x:v>
      </x:c>
    </x:row>
  </x:sheetData>
  <x:mergeCells>
    <x:mergeCell ref="A5:G5"/>
    <x:mergeCell ref="A9:G9"/>
    <x:mergeCell ref="A26:F26"/>
    <x:mergeCell ref="A37:F37"/>
    <x:mergeCell ref="D27:J27"/>
    <x:mergeCell ref="A58:K58"/>
    <x:mergeCell ref="A4:K4"/>
    <x:mergeCell ref="M5:T5"/>
    <x:mergeCell ref="M16:T16"/>
    <x:mergeCell ref="M17:T17"/>
    <x:mergeCell ref="M18:T18"/>
    <x:mergeCell ref="M19:T19"/>
    <x:mergeCell ref="M21:T21"/>
    <x:mergeCell ref="M22:T22"/>
    <x:mergeCell ref="M26:T26"/>
    <x:mergeCell ref="M28:T28"/>
    <x:mergeCell ref="M35:T35"/>
    <x:mergeCell ref="M36:T36"/>
    <x:mergeCell ref="M37:T37"/>
    <x:mergeCell ref="M39:T39"/>
    <x:mergeCell ref="R42:T42"/>
    <x:mergeCell ref="A1:K2"/>
    <x:mergeCell ref="A3:K3"/>
    <x:mergeCell ref="H7:K9"/>
  </x:mergeCells>
  <x:conditionalFormatting sqref="D11:D23">
    <x:cfRule type="dataBar" priority="1">
      <x:dataBar>
        <x:cfvo type="min"/>
        <x:cfvo type="max"/>
        <x:color rgb="FF44B4AC"/>
      </x:dataBar>
      <x:extLst>
        <x:ext xmlns:x14="http://schemas.microsoft.com/office/spreadsheetml/2009/9/main" uri="{B025F937-C7B1-47D3-B67F-A62EFF666E3E}">
          <x14:id>{ADEEF451-7271-C830-6013-0E4D2D7AA1A4}</x14:id>
        </x:ext>
      </x:extLst>
    </x:cfRule>
  </x:conditionalFormatting>
  <x:conditionalFormatting sqref="E11:E23">
    <x:cfRule type="dataBar" priority="2">
      <x:dataBar>
        <x:cfvo type="min"/>
        <x:cfvo type="max"/>
        <x:color rgb="FF7EA5CB"/>
      </x:dataBar>
      <x:extLst>
        <x:ext xmlns:x14="http://schemas.microsoft.com/office/spreadsheetml/2009/9/main" uri="{B025F937-C7B1-47D3-B67F-A62EFF666E3E}">
          <x14:id>{065CF9BF-B3FE-83D7-D4B2-9DA7B98C5E0F}</x14:id>
        </x:ext>
      </x:extLst>
    </x:cfRule>
  </x:conditionalFormatting>
  <x:conditionalFormatting sqref="E60:E447">
    <x:cfRule type="dataBar" priority="3">
      <x:dataBar>
        <x:cfvo type="min"/>
        <x:cfvo type="max"/>
        <x:color rgb="FF6EBBAE"/>
      </x:dataBar>
      <x:extLst>
        <x:ext xmlns:x14="http://schemas.microsoft.com/office/spreadsheetml/2009/9/main" uri="{B025F937-C7B1-47D3-B67F-A62EFF666E3E}">
          <x14:id>{C6C20A80-39A3-5E2B-5FCE-A10B783BA6A0}</x14:id>
        </x:ext>
      </x:extLst>
    </x:cfRule>
  </x:conditionalFormatting>
  <x:conditionalFormatting sqref="H60:H447">
    <x:cfRule type="colorScale" priority="4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N30:S32">
    <x:cfRule type="colorScale" priority="5">
      <x:colorScale>
        <x:cfvo type="min"/>
        <x:cfvo type="percentile" val="50"/>
        <x:cfvo type="max"/>
        <x:color rgb="FFFFFFFF"/>
        <x:color rgb="FFD5EEF5"/>
        <x:color rgb="FF3D8AA5"/>
      </x:colorScale>
    </x:cfRule>
  </x:conditionalFormatting>
  <x:conditionalFormatting sqref="L60:L447">
    <x:cfRule type="expression" dxfId="7" priority="6">
      <x:formula>L60="High"</x:formula>
    </x:cfRule>
    <x:cfRule type="expression" dxfId="8" priority="7">
      <x:formula>L60="Low"</x:formula>
    </x:cfRule>
  </x:conditionalFormatting>
  <x:conditionalFormatting sqref="T44:T63">
    <x:cfRule type="dataBar" priority="8">
      <x:dataBar>
        <x:cfvo type="min"/>
        <x:cfvo type="max"/>
        <x:color rgb="FF4C96AF"/>
      </x:dataBar>
      <x:extLst>
        <x:ext xmlns:x14="http://schemas.microsoft.com/office/spreadsheetml/2009/9/main" uri="{B025F937-C7B1-47D3-B67F-A62EFF666E3E}">
          <x14:id>{62A22C97-F4AC-3067-2C44-37C9B42E1D41}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b3a02ad72d04d4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DEEF451-7271-C830-6013-0E4D2D7AA1A4}">
            <x14:dataBar gradient="1">
              <x14:cfvo type="min"/>
              <x14:cfvo type="max"/>
              <x14:fillColor rgb="FF44B4AC"/>
            </x14:dataBar>
          </x14:cfRule>
          <xm:sqref>D11:D23</xm:sqref>
        </x14:conditionalFormatting>
        <x14:conditionalFormatting>
          <x14:cfRule type="dataBar" priority="2" id="{065CF9BF-B3FE-83D7-D4B2-9DA7B98C5E0F}">
            <x14:dataBar gradient="1">
              <x14:cfvo type="min"/>
              <x14:cfvo type="max"/>
              <x14:fillColor rgb="FF7EA5CB"/>
            </x14:dataBar>
          </x14:cfRule>
          <xm:sqref>E11:E23</xm:sqref>
        </x14:conditionalFormatting>
        <x14:conditionalFormatting>
          <x14:cfRule type="dataBar" priority="3" id="{C6C20A80-39A3-5E2B-5FCE-A10B783BA6A0}">
            <x14:dataBar gradient="1">
              <x14:cfvo type="min"/>
              <x14:cfvo type="max"/>
              <x14:fillColor rgb="FF6EBBAE"/>
            </x14:dataBar>
          </x14:cfRule>
          <xm:sqref>E60:E447</xm:sqref>
        </x14:conditionalFormatting>
        <x14:conditionalFormatting>
          <x14:cfRule type="dataBar" priority="8" id="{62A22C97-F4AC-3067-2C44-37C9B42E1D41}">
            <x14:dataBar gradient="0">
              <x14:cfvo type="min"/>
              <x14:cfvo type="max"/>
              <x14:fillColor rgb="FF4C96AF"/>
            </x14:dataBar>
          </x14:cfRule>
          <xm:sqref>T44:T63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35" hidden="0" customWidth="1"/>
    <x:col min="10" max="10" width="18" hidden="0" customWidth="1"/>
    <x:col min="11" max="11" width="18" hidden="0" customWidth="1"/>
    <x:col min="12" max="12" width="17" hidden="0" customWidth="1"/>
    <x:col min="13" max="13" width="2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" hidden="0" customWidth="1"/>
    <x:col min="22" max="22" width="3" hidden="0" customWidth="1"/>
    <x:col min="23" max="23" width="3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</x:cols>
  <x:sheetData>
    <x:row r="1" ht="27" customHeight="1">
      <x:c r="A1" s="4" t="str">
        <x:v>2022 | BOOTH PERFORMANCE LAB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37" t="str">
        <x:v>2022  |  QUARTILE • VOTE-MARGIN MATRIX</x:v>
      </x:c>
      <x:c r="N1" s="137"/>
      <x:c r="O1" s="137"/>
      <x:c r="P1" s="137"/>
      <x:c r="Q1" s="137"/>
      <x:c r="R1" s="137"/>
      <x:c r="S1" s="137"/>
      <x:c r="T1" s="137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4" customHeight="1">
      <x:c r="A3" s="10" t="str">
        <x:v>FOCUS: AVTAR SINGH BHADANA • Actual polling-station EVM counts • lead = focal votes minus strongest other candidate • 2027 outcome NOT inferred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43" t="str">
        <x:v>FOCUS: Avtar Singh Bhadana (RLD, SP alliance)  •  station-level EVM votes  •  historic descriptive analysis</x:v>
      </x:c>
      <x:c r="N3" s="143"/>
      <x:c r="O3" s="143"/>
      <x:c r="P3" s="143"/>
      <x:c r="Q3" s="143"/>
      <x:c r="R3" s="143"/>
      <x:c r="S3" s="143"/>
      <x:c r="T3" s="143"/>
    </x:row>
    <x:row r="4" ht="24" customHeight="1">
      <x:c r="A4" s="95" t="str">
        <x:v>NEW →  Quartiles (Q1 / Median / Q3) • share × margin matrix • continuous histogram • talking-point insights. Scroll RIGHT to columns M–AJ.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</x:row>
    <x:row r="5" ht="27" customHeight="1">
      <x:c r="A5" s="16" t="str">
        <x:v>AT A GLANCE — FOCAL CANDIDATE / ALLIANCE CANDIDATE</x:v>
      </x:c>
      <x:c r="B5" s="16"/>
      <x:c r="C5" s="16"/>
      <x:c r="D5" s="16"/>
      <x:c r="E5" s="16"/>
      <x:c r="F5" s="16"/>
      <x:c r="G5" s="16"/>
      <x:c r="M5" s="113" t="str">
        <x:v>01   VOTE-SHARE DISTRIBUTION  |  Q1 • MEDIAN • Q3</x:v>
      </x:c>
      <x:c r="N5" s="113"/>
      <x:c r="O5" s="113"/>
      <x:c r="P5" s="113"/>
      <x:c r="Q5" s="113"/>
      <x:c r="R5" s="113"/>
      <x:c r="S5" s="113"/>
      <x:c r="T5" s="113"/>
    </x:row>
    <x:row r="6" ht="46" customHeight="1">
      <x:c r="A6" s="57" t="str">
        <x:v>Focus EVM votes</x:v>
      </x:c>
      <x:c r="B6" s="57" t="str">
        <x:v>Focus vote share</x:v>
      </x:c>
      <x:c r="C6" s="57" t="str">
        <x:v>Outright station leads</x:v>
      </x:c>
      <x:c r="D6" s="57" t="str">
        <x:v>Number of stations</x:v>
      </x:c>
    </x:row>
    <x:row r="7" ht="33" customHeight="1">
      <x:c r="A7" s="80" t="n">
        <x:f>C11</x:f>
        <x:v>60696</x:v>
      </x:c>
      <x:c r="B7" s="62" t="n">
        <x:f>D11</x:f>
        <x:v>0.26289892234658163</x:v>
      </x:c>
      <x:c r="C7" s="60" t="n">
        <x:v>89</x:v>
      </x:c>
      <x:c r="D7" s="60" t="n">
        <x:v>419</x:v>
      </x:c>
      <x:c r="H7" s="67" t="str">
        <x:v>How to read: 'lead' means the most votes at that station, NOT a 2027 forecast. For 2019 and 2022 the focal candidate represented a party allied with SP, not an SP-symbol contest.</x:v>
      </x:c>
      <x:c r="I7" s="67"/>
      <x:c r="J7" s="67"/>
      <x:c r="K7" s="67"/>
      <x:c r="L7" s="67"/>
      <x:c r="M7" s="96" t="str">
        <x:v>Q1 · 25th</x:v>
      </x:c>
      <x:c r="N7" s="100" t="n">
        <x:f>_xlfn.PERCENTILE.INC($E$60:$E$478,0.25)</x:f>
        <x:v>0.09151529992973</x:v>
      </x:c>
      <x:c r="O7" s="96" t="str">
        <x:v>Median · 50th</x:v>
      </x:c>
      <x:c r="P7" s="100" t="n">
        <x:f>MEDIAN($E$60:$E$478)</x:f>
        <x:v>0.2204861111111111</x:v>
      </x:c>
      <x:c r="Q7" s="96" t="str">
        <x:v>Q3 · 75th</x:v>
      </x:c>
      <x:c r="R7" s="100" t="n">
        <x:f>_xlfn.PERCENTILE.INC($E$60:$E$478,0.75)</x:f>
        <x:v>0.36614512471655</x:v>
      </x:c>
      <x:c r="S7" s="67"/>
      <x:c r="T7" s="67"/>
      <x:c r="U7" s="67"/>
    </x:row>
    <x:row r="8"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</x:row>
    <x:row r="9" ht="34" customHeight="1">
      <x:c r="A9" s="16" t="str">
        <x:v>CANDIDATE SCORECARD — VOTES, SHARE AND POLLING-STATION LEADS</x:v>
      </x:c>
      <x:c r="B9" s="16"/>
      <x:c r="C9" s="16"/>
      <x:c r="D9" s="16"/>
      <x:c r="E9" s="16"/>
      <x:c r="F9" s="16"/>
      <x:c r="G9" s="16"/>
      <x:c r="H9" s="67"/>
      <x:c r="I9" s="67"/>
      <x:c r="J9" s="67"/>
      <x:c r="K9" s="67"/>
      <x:c r="L9" s="67"/>
      <x:c r="M9" s="142" t="str">
        <x:v>Tulsipur method: Low &lt; Q1  |  Middle = Q1 to Q3 inclusive  |  High &gt; Q3. Relative to THIS election only.</x:v>
      </x:c>
      <x:c r="N9" s="142"/>
      <x:c r="O9" s="142"/>
      <x:c r="P9" s="142"/>
      <x:c r="Q9" s="142"/>
      <x:c r="R9" s="142"/>
      <x:c r="S9" s="142"/>
      <x:c r="T9" s="142"/>
      <x:c r="U9" s="67"/>
    </x:row>
    <x:row r="10" ht="38" customHeight="1">
      <x:c r="A10" s="45" t="str">
        <x:v>Candidate</x:v>
      </x:c>
      <x:c r="B10" s="45" t="str">
        <x:v>Party</x:v>
      </x:c>
      <x:c r="C10" s="45" t="str">
        <x:v>EVM votes</x:v>
      </x:c>
      <x:c r="D10" s="45" t="str">
        <x:v>EVM share</x:v>
      </x:c>
      <x:c r="E10" s="45" t="str">
        <x:v>Station leads</x:v>
      </x:c>
      <x:c r="F10" s="45" t="str">
        <x:v>Tied for lead</x:v>
      </x:c>
      <x:c r="G10" s="45" t="str">
        <x:v>Lead share of PS</x:v>
      </x:c>
    </x:row>
    <x:row r="11" ht="28" customHeight="1">
      <x:c r="A11" s="36" t="str">
        <x:v>AVTAR SINGH BHADANA</x:v>
      </x:c>
      <x:c r="B11" s="36" t="str">
        <x:v>Rashtriya Lok Dal</x:v>
      </x:c>
      <x:c r="C11" s="82" t="n">
        <x:f>SUM('2022 Form20'!H9:H427)</x:f>
        <x:v>60696</x:v>
      </x:c>
      <x:c r="D11" s="64" t="n">
        <x:f>IFERROR(C11/SUM('2022 Form20'!D9:D427),0)</x:f>
        <x:v>0.26289892234658163</x:v>
      </x:c>
      <x:c r="E11" s="36" t="n">
        <x:v>89</x:v>
      </x:c>
      <x:c r="F11" s="36" t="n">
        <x:v>2</x:v>
      </x:c>
      <x:c r="G11" s="64" t="n">
        <x:f>IFERROR(E11/419,0)</x:f>
        <x:v>0.21241050119331742</x:v>
      </x:c>
      <x:c r="M11" s="104" t="str">
        <x:v>Share band</x:v>
      </x:c>
      <x:c r="N11" s="104" t="str">
        <x:v>Stations</x:v>
      </x:c>
      <x:c r="O11" s="104" t="str">
        <x:v>% valid PS</x:v>
      </x:c>
      <x:c r="P11" s="104" t="str">
        <x:v>Avg share</x:v>
      </x:c>
      <x:c r="Q11" s="104" t="str">
        <x:v>Avg margin</x:v>
      </x:c>
    </x:row>
    <x:row r="12" ht="24" customHeight="1">
      <x:c r="A12" t="str">
        <x:v>DHIRENDRA SINGH</x:v>
      </x:c>
      <x:c r="B12" t="str">
        <x:v>Bharatiya Janata Party</x:v>
      </x:c>
      <x:c r="C12" s="83" t="n">
        <x:f>SUM('2022 Form20'!I9:I427)</x:f>
        <x:v>116488</x:v>
      </x:c>
      <x:c r="D12" s="50" t="n">
        <x:f>IFERROR(C12/SUM('2022 Form20'!D9:D427),0)</x:f>
        <x:v>0.5045566374441249</x:v>
      </x:c>
      <x:c r="E12" t="n">
        <x:v>263</x:v>
      </x:c>
      <x:c r="F12" t="n">
        <x:v>1</x:v>
      </x:c>
      <x:c r="G12" s="50" t="n">
        <x:f>IFERROR(E12/419,0)</x:f>
        <x:v>0.6276849642004774</x:v>
      </x:c>
      <x:c r="M12" s="106" t="str">
        <x:v>Low</x:v>
      </x:c>
      <x:c r="N12" s="108" t="n">
        <x:f>COUNTIF($L$60:$L$478,M12)</x:f>
        <x:v>105</x:v>
      </x:c>
      <x:c r="O12" s="107" t="n">
        <x:f>IFERROR(N12/COUNT($E$60:$E$478),0)</x:f>
        <x:v>0.25059665871121717</x:v>
      </x:c>
      <x:c r="P12" s="107" t="n">
        <x:f>IFERROR(AVERAGEIF($L$60:$L$478,M12,$E$60:$E$478),0)</x:f>
        <x:v>0.04836722590449068</x:v>
      </x:c>
      <x:c r="Q12" s="107" t="n">
        <x:f>IFERROR(AVERAGEIF($L$60:$L$478,M12,$H$60:$H$478),0)</x:f>
        <x:v>-0.7044646131681768</x:v>
      </x:c>
    </x:row>
    <x:row r="13" ht="24" customHeight="1">
      <x:c r="A13" t="str">
        <x:v>NARENDER KUMAR</x:v>
      </x:c>
      <x:c r="B13" t="str">
        <x:v>Bahujan Samaj Party</x:v>
      </x:c>
      <x:c r="C13" s="83" t="n">
        <x:f>SUM('2022 Form20'!J9:J427)</x:f>
        <x:v>45131</x:v>
      </x:c>
      <x:c r="D13" s="50" t="n">
        <x:f>IFERROR(C13/SUM('2022 Form20'!D9:D427),0)</x:f>
        <x:v>0.1954806126338404</x:v>
      </x:c>
      <x:c r="E13" t="n">
        <x:v>64</x:v>
      </x:c>
      <x:c r="F13" t="n">
        <x:v>1</x:v>
      </x:c>
      <x:c r="G13" s="50" t="n">
        <x:f>IFERROR(E13/419,0)</x:f>
        <x:v>0.15274463007159905</x:v>
      </x:c>
      <x:c r="M13" s="106" t="str">
        <x:v>Middle</x:v>
      </x:c>
      <x:c r="N13" s="108" t="n">
        <x:f>COUNTIF($L$60:$L$478,M13)</x:f>
        <x:v>209</x:v>
      </x:c>
      <x:c r="O13" s="107" t="n">
        <x:f>IFERROR(N13/COUNT($E$60:$E$478),0)</x:f>
        <x:v>0.4988066825775656</x:v>
      </x:c>
      <x:c r="P13" s="107" t="n">
        <x:f>IFERROR(AVERAGEIF($L$60:$L$478,M13,$E$60:$E$478),0)</x:f>
        <x:v>0.21975023448111167</x:v>
      </x:c>
      <x:c r="Q13" s="107" t="n">
        <x:f>IFERROR(AVERAGEIF($L$60:$L$478,M13,$H$60:$H$478),0)</x:f>
        <x:v>-0.3796904266969893</x:v>
      </x:c>
    </x:row>
    <x:row r="14" ht="24" customHeight="1">
      <x:c r="A14" t="str">
        <x:v>MANOJ</x:v>
      </x:c>
      <x:c r="B14" t="str">
        <x:v>Indian National Congress</x:v>
      </x:c>
      <x:c r="C14" s="83" t="n">
        <x:f>SUM('2022 Form20'!K9:K427)</x:f>
        <x:v>3173</x:v>
      </x:c>
      <x:c r="D14" s="50" t="n">
        <x:f>IFERROR(C14/SUM('2022 Form20'!D9:D427),0)</x:f>
        <x:v>0.013743546207422295</x:v>
      </x:c>
      <x:c r="E14" t="n">
        <x:v>1</x:v>
      </x:c>
      <x:c r="F14" t="n">
        <x:v>0</x:v>
      </x:c>
      <x:c r="G14" s="50" t="n">
        <x:f>IFERROR(E14/419,0)</x:f>
        <x:v>0.002386634844868735</x:v>
      </x:c>
      <x:c r="M14" s="109" t="str">
        <x:v>High</x:v>
      </x:c>
      <x:c r="N14" s="110" t="n">
        <x:f>COUNTIF($L$60:$L$478,M14)</x:f>
        <x:v>105</x:v>
      </x:c>
      <x:c r="O14" s="111" t="n">
        <x:f>IFERROR(N14/COUNT($E$60:$E$478),0)</x:f>
        <x:v>0.25059665871121717</x:v>
      </x:c>
      <x:c r="P14" s="111" t="n">
        <x:f>IFERROR(AVERAGEIF($L$60:$L$478,M14,$E$60:$E$478),0)</x:f>
        <x:v>0.5493986948626237</x:v>
      </x:c>
      <x:c r="Q14" s="111" t="n">
        <x:f>IFERROR(AVERAGEIF($L$60:$L$478,M14,$H$60:$H$478),0)</x:f>
        <x:v>0.22827703425207177</x:v>
      </x:c>
    </x:row>
    <x:row r="15" ht="29" customHeight="1">
      <x:c r="A15" t="str">
        <x:v>NEERU WALIA</x:v>
      </x:c>
      <x:c r="B15" t="str">
        <x:v>Sarv Samaj Party</x:v>
      </x:c>
      <x:c r="C15" s="83" t="n">
        <x:f>SUM('2022 Form20'!L9:L427)</x:f>
        <x:v>277</x:v>
      </x:c>
      <x:c r="D15" s="50" t="n">
        <x:f>IFERROR(C15/SUM('2022 Form20'!D9:D427),0)</x:f>
        <x:v>0.001199799022835164</x:v>
      </x:c>
      <x:c r="E15" t="n">
        <x:v>0</x:v>
      </x:c>
      <x:c r="F15" t="n">
        <x:v>0</x:v>
      </x:c>
      <x:c r="G15" s="50" t="n">
        <x:f>IFERROR(E15/419,0)</x:f>
        <x:v>0</x:v>
      </x:c>
    </x:row>
    <x:row r="16" ht="27" customHeight="1">
      <x:c r="A16" t="str">
        <x:v>POONAM</x:v>
      </x:c>
      <x:c r="B16" t="str">
        <x:v>Aam Aadmi Party</x:v>
      </x:c>
      <x:c r="C16" s="83" t="n">
        <x:f>SUM('2022 Form20'!M9:M427)</x:f>
        <x:v>585</x:v>
      </x:c>
      <x:c r="D16" s="50" t="n">
        <x:f>IFERROR(C16/SUM('2022 Form20'!D9:D427),0)</x:f>
        <x:v>0.002533871582521917</x:v>
      </x:c>
      <x:c r="E16" t="n">
        <x:v>0</x:v>
      </x:c>
      <x:c r="F16" t="n">
        <x:v>0</x:v>
      </x:c>
      <x:c r="G16" s="50" t="n">
        <x:f>IFERROR(E16/419,0)</x:f>
        <x:v>0</x:v>
      </x:c>
      <x:c r="M16" s="113" t="str">
        <x:v>READ THE DISTRIBUTION — HISTORICAL INSIGHTS</x:v>
      </x:c>
      <x:c r="N16" s="113"/>
      <x:c r="O16" s="113"/>
      <x:c r="P16" s="113"/>
      <x:c r="Q16" s="113"/>
      <x:c r="R16" s="113"/>
      <x:c r="S16" s="113"/>
      <x:c r="T16" s="113"/>
    </x:row>
    <x:row r="17" ht="43" customHeight="1">
      <x:c r="A17" t="str">
        <x:v>MANOJ KUMAR SHARMA</x:v>
      </x:c>
      <x:c r="B17" t="str">
        <x:v>Loktantrik Janshakti Party</x:v>
      </x:c>
      <x:c r="C17" s="83" t="n">
        <x:f>SUM('2022 Form20'!N9:N427)</x:f>
        <x:v>168</x:v>
      </x:c>
      <x:c r="D17" s="50" t="n">
        <x:f>IFERROR(C17/SUM('2022 Form20'!D9:D427),0)</x:f>
        <x:v>0.0007276759416473197</x:v>
      </x:c>
      <x:c r="E17" t="n">
        <x:v>0</x:v>
      </x:c>
      <x:c r="F17" t="n">
        <x:v>0</x:v>
      </x:c>
      <x:c r="G17" s="50" t="n">
        <x:f>IFERROR(E17/419,0)</x:f>
        <x:v>0</x:v>
      </x:c>
      <x:c r="M17" s="116" t="str">
        <x:v>Vote share quartiles: Q1 9.2%; median 22.0%; Q3 36.6%. Low / Middle / High contains 105 / 209 / 105 stations. These are station percentiles, not voter demographics.</x:v>
      </x:c>
      <x:c r="N17" s="116"/>
      <x:c r="O17" s="116"/>
      <x:c r="P17" s="116"/>
      <x:c r="Q17" s="116"/>
      <x:c r="R17" s="116"/>
      <x:c r="S17" s="116"/>
      <x:c r="T17" s="116"/>
    </x:row>
    <x:row r="18" ht="43" customHeight="1">
      <x:c r="A18" t="str">
        <x:v>TRILOK CHAND SHARMA</x:v>
      </x:c>
      <x:c r="B18" t="str">
        <x:v>Independent</x:v>
      </x:c>
      <x:c r="C18" s="83" t="n">
        <x:f>SUM('2022 Form20'!O9:O427)</x:f>
        <x:v>232</x:v>
      </x:c>
      <x:c r="D18" s="50" t="n">
        <x:f>IFERROR(C18/SUM('2022 Form20'!D9:D427),0)</x:f>
        <x:v>0.001004885824179632</x:v>
      </x:c>
      <x:c r="E18" t="n">
        <x:v>0</x:v>
      </x:c>
      <x:c r="F18" t="n">
        <x:v>0</x:v>
      </x:c>
      <x:c r="G18" s="50" t="n">
        <x:f>IFERROR(E18/419,0)</x:f>
        <x:v>0</x:v>
      </x:c>
      <x:c r="M18" s="116" t="str">
        <x:v>51 of 419 valid EVM stations (12%) had focal share below 5%. Median signed margin vs the strongest rival was -35.5% (-35.5 percentage points).</x:v>
      </x:c>
      <x:c r="N18" s="116"/>
      <x:c r="O18" s="116"/>
      <x:c r="P18" s="116"/>
      <x:c r="Q18" s="116"/>
      <x:c r="R18" s="116"/>
      <x:c r="S18" s="116"/>
      <x:c r="T18" s="116"/>
    </x:row>
    <x:row r="19" ht="43" customHeight="1">
      <x:c r="A19" t="str">
        <x:v>DHANIRAM</x:v>
      </x:c>
      <x:c r="B19" t="str">
        <x:v>Independent</x:v>
      </x:c>
      <x:c r="C19" s="83" t="n">
        <x:f>SUM('2022 Form20'!P9:P427)</x:f>
        <x:v>389</x:v>
      </x:c>
      <x:c r="D19" s="50" t="n">
        <x:f>IFERROR(C19/SUM('2022 Form20'!D9:D427),0)</x:f>
        <x:v>0.0016849163172667106</x:v>
      </x:c>
      <x:c r="E19" t="n">
        <x:v>0</x:v>
      </x:c>
      <x:c r="F19" t="n">
        <x:v>0</x:v>
      </x:c>
      <x:c r="G19" s="50" t="n">
        <x:f>IFERROR(E19/419,0)</x:f>
        <x:v>0</x:v>
      </x:c>
      <x:c r="M19" s="119" t="str">
        <x:v>2017 isolates Narender Nagar personally. Other years feature DIFFERENT candidates/alliances; their counts are context, not his personal historic or future votes.</x:v>
      </x:c>
      <x:c r="N19" s="119"/>
      <x:c r="O19" s="119"/>
      <x:c r="P19" s="119"/>
      <x:c r="Q19" s="119"/>
      <x:c r="R19" s="119"/>
      <x:c r="S19" s="119"/>
      <x:c r="T19" s="119"/>
    </x:row>
    <x:row r="20" ht="29" customHeight="1">
      <x:c r="A20" t="str">
        <x:v>VIJAY</x:v>
      </x:c>
      <x:c r="B20" t="str">
        <x:v>Independent</x:v>
      </x:c>
      <x:c r="C20" s="83" t="n">
        <x:f>SUM('2022 Form20'!Q9:Q427)</x:f>
        <x:v>236</x:v>
      </x:c>
      <x:c r="D20" s="50" t="n">
        <x:f>IFERROR(C20/SUM('2022 Form20'!D9:D427),0)</x:f>
        <x:v>0.0010222114418379014</x:v>
      </x:c>
      <x:c r="E20" t="n">
        <x:v>0</x:v>
      </x:c>
      <x:c r="F20" t="n">
        <x:v>0</x:v>
      </x:c>
      <x:c r="G20" s="50" t="n">
        <x:f>IFERROR(E20/419,0)</x:f>
        <x:v>0</x:v>
      </x:c>
    </x:row>
    <x:row r="21" ht="27" customHeight="1">
      <x:c r="A21" t="str">
        <x:v>VEER SINGH</x:v>
      </x:c>
      <x:c r="B21" t="str">
        <x:v>Independent</x:v>
      </x:c>
      <x:c r="C21" s="83" t="n">
        <x:f>SUM('2022 Form20'!R9:R427)</x:f>
        <x:v>807</x:v>
      </x:c>
      <x:c r="D21" s="50" t="n">
        <x:f>IFERROR(C21/SUM('2022 Form20'!D9:D427),0)</x:f>
        <x:v>0.003495443362555875</x:v>
      </x:c>
      <x:c r="E21" t="n">
        <x:v>0</x:v>
      </x:c>
      <x:c r="F21" t="n">
        <x:v>0</x:v>
      </x:c>
      <x:c r="G21" s="50" t="n">
        <x:f>IFERROR(E21/419,0)</x:f>
        <x:v>0</x:v>
      </x:c>
      <x:c r="M21" s="113" t="str">
        <x:v>02   SHARE MARGIN  |  DIFFERENCE FROM STRONGEST RIVAL</x:v>
      </x:c>
      <x:c r="N21" s="113"/>
      <x:c r="O21" s="113"/>
      <x:c r="P21" s="113"/>
      <x:c r="Q21" s="113"/>
      <x:c r="R21" s="113"/>
      <x:c r="S21" s="113"/>
      <x:c r="T21" s="113"/>
    </x:row>
    <x:row r="22" ht="27" customHeight="1">
      <x:c r="A22" t="str">
        <x:v>SUNIL GAUTAM</x:v>
      </x:c>
      <x:c r="B22" t="str">
        <x:v>Independent</x:v>
      </x:c>
      <x:c r="C22" s="83" t="n">
        <x:f>SUM('2022 Form20'!S9:S427)</x:f>
        <x:v>1001</x:v>
      </x:c>
      <x:c r="D22" s="50" t="n">
        <x:f>IFERROR(C22/SUM('2022 Form20'!D9:D427),0)</x:f>
        <x:v>0.004335735818981947</x:v>
      </x:c>
      <x:c r="E22" t="n">
        <x:v>0</x:v>
      </x:c>
      <x:c r="F22" t="n">
        <x:v>0</x:v>
      </x:c>
      <x:c r="G22" s="50" t="n">
        <x:f>IFERROR(E22/419,0)</x:f>
        <x:v>0</x:v>
      </x:c>
      <x:c r="M22" s="120" t="str">
        <x:v>Signed margin (percentage points) = (focal candidate votes − highest OTHER candidate votes) ÷ total EVM votes. A negative value means trailing.</x:v>
      </x:c>
      <x:c r="N22" s="120"/>
      <x:c r="O22" s="120"/>
      <x:c r="P22" s="120"/>
      <x:c r="Q22" s="120"/>
      <x:c r="R22" s="120"/>
      <x:c r="S22" s="120"/>
      <x:c r="T22" s="120"/>
    </x:row>
    <x:row r="24" ht="32" customHeight="1">
      <x:c r="M24" s="123" t="str">
        <x:v>Median margin</x:v>
      </x:c>
      <x:c r="N24" s="124" t="n">
        <x:f>MEDIAN($H$60:$H$478)</x:f>
        <x:v>-0.3553299492385787</x:v>
      </x:c>
      <x:c r="O24" s="123" t="str">
        <x:v>Trail stations</x:v>
      </x:c>
      <x:c r="P24" s="123" t="n">
        <x:f>COUNTIF($H$60:$H$478,"&lt;0")</x:f>
        <x:v>328</x:v>
      </x:c>
      <x:c r="Q24" s="123" t="str">
        <x:v>Lead stations</x:v>
      </x:c>
      <x:c r="R24" s="123" t="n">
        <x:f>COUNTIF($H$60:$H$478,"&gt;0")</x:f>
        <x:v>89</x:v>
      </x:c>
      <x:c r="S24" s="123" t="str">
        <x:v>Near 5pp</x:v>
      </x:c>
      <x:c r="T24" s="123" t="n">
        <x:f>COUNTIFS($H$60:$H$478,"&gt;=-0.05",$H$60:$H$478,"&lt;=0.05",$D$60:$D$478,"&gt;0")</x:f>
        <x:v>24</x:v>
      </x:c>
    </x:row>
    <x:row r="26" ht="43" customHeight="1">
      <x:c r="A26" s="16" t="str">
        <x:v>FOCAL CANDIDATE — VOTE-SHARE HISTOGRAM</x:v>
      </x:c>
      <x:c r="B26" s="16"/>
      <x:c r="C26" s="16"/>
      <x:c r="D26" s="16"/>
      <x:c r="E26" s="16"/>
      <x:c r="F26" s="16"/>
      <x:c r="M26" s="116" t="str">
        <x:v>On 328 valid stations, the focus candidate trailed the strongest rival; on 89, the candidate led. This is candidate-versus-best-rival margin, not the constituency-wide winner–runner-up margin.</x:v>
      </x:c>
      <x:c r="N26" s="116"/>
      <x:c r="O26" s="116"/>
      <x:c r="P26" s="116"/>
      <x:c r="Q26" s="116"/>
      <x:c r="R26" s="116"/>
      <x:c r="S26" s="116"/>
      <x:c r="T26" s="116"/>
    </x:row>
    <x:row r="27" ht="27" customHeight="1">
      <x:c r="A27" s="45" t="str">
        <x:v>Vote-share band</x:v>
      </x:c>
      <x:c r="B27" s="45" t="str">
        <x:v>Station count</x:v>
      </x:c>
      <x:c r="C27" s="45" t="str">
        <x:v>% stations</x:v>
      </x:c>
      <x:c r="D27" s="16" t="str">
        <x:v>VOTE-SHARE × STATION LEADER MATRIX</x:v>
      </x:c>
      <x:c r="E27" s="16"/>
      <x:c r="F27" s="16"/>
      <x:c r="G27" s="16"/>
      <x:c r="H27" s="16"/>
      <x:c r="I27" s="16"/>
      <x:c r="J27" s="16"/>
    </x:row>
    <x:row r="28" ht="27" customHeight="1">
      <x:c r="A28" t="str">
        <x:v>0–5%</x:v>
      </x:c>
      <x:c r="B28" t="n">
        <x:v>51</x:v>
      </x:c>
      <x:c r="C28" s="50" t="n">
        <x:f>IFERROR(B28/$D$7,0)</x:f>
        <x:v>0.12171837708830549</x:v>
      </x:c>
      <x:c r="D28" s="45" t="str">
        <x:v>Focus share</x:v>
      </x:c>
      <x:c r="E28" s="45" t="str">
        <x:v>Focus</x:v>
      </x:c>
      <x:c r="F28" s="45" t="str">
        <x:v>BJP</x:v>
      </x:c>
      <x:c r="G28" s="45" t="str">
        <x:v>BSP</x:v>
      </x:c>
      <x:c r="H28" s="45" t="str">
        <x:v>Other</x:v>
      </x:c>
      <x:c r="I28" s="45" t="str">
        <x:v>All</x:v>
      </x:c>
      <x:c r="M28" s="113" t="str">
        <x:v>03   VOTE SHARE  ×  VOTE MARGIN MATRIX</x:v>
      </x:c>
      <x:c r="N28" s="113"/>
      <x:c r="O28" s="113"/>
      <x:c r="P28" s="113"/>
      <x:c r="Q28" s="113"/>
      <x:c r="R28" s="113"/>
      <x:c r="S28" s="113"/>
      <x:c r="T28" s="113"/>
    </x:row>
    <x:row r="29" ht="42" customHeight="1">
      <x:c r="A29" t="str">
        <x:v>5–10%</x:v>
      </x:c>
      <x:c r="B29" t="n">
        <x:v>65</x:v>
      </x:c>
      <x:c r="C29" s="50" t="n">
        <x:f>IFERROR(B29/$D$7,0)</x:f>
        <x:v>0.15513126491646778</x:v>
      </x:c>
      <x:c r="D29" t="str">
        <x:v>0–5%</x:v>
      </x:c>
      <x:c r="E29" t="n">
        <x:v>0</x:v>
      </x:c>
      <x:c r="F29" t="n">
        <x:v>34</x:v>
      </x:c>
      <x:c r="G29" t="n">
        <x:v>17</x:v>
      </x:c>
      <x:c r="H29" t="n">
        <x:v>0</x:v>
      </x:c>
      <x:c r="I29" t="n">
        <x:v>51</x:v>
      </x:c>
      <x:c r="M29" s="126" t="str">
        <x:v>Share band</x:v>
      </x:c>
      <x:c r="N29" s="126" t="str">
        <x:v>Large deficit</x:v>
      </x:c>
      <x:c r="O29" s="126" t="str">
        <x:v>Moderate deficit</x:v>
      </x:c>
      <x:c r="P29" s="126" t="str">
        <x:v>Narrow deficit</x:v>
      </x:c>
      <x:c r="Q29" s="126" t="str">
        <x:v>Narrow lead/tie</x:v>
      </x:c>
      <x:c r="R29" s="126" t="str">
        <x:v>Moderate lead</x:v>
      </x:c>
      <x:c r="S29" s="126" t="str">
        <x:v>Large lead</x:v>
      </x:c>
      <x:c r="T29" s="126" t="str">
        <x:v>TOTAL</x:v>
      </x:c>
    </x:row>
    <x:row r="30" ht="27" customHeight="1">
      <x:c r="A30" t="str">
        <x:v>10–20%</x:v>
      </x:c>
      <x:c r="B30" t="n">
        <x:v>78</x:v>
      </x:c>
      <x:c r="C30" s="50" t="n">
        <x:f>IFERROR(B30/$D$7,0)</x:f>
        <x:v>0.18615751789976134</x:v>
      </x:c>
      <x:c r="D30" t="str">
        <x:v>5–10%</x:v>
      </x:c>
      <x:c r="E30" t="n">
        <x:v>0</x:v>
      </x:c>
      <x:c r="F30" t="n">
        <x:v>48</x:v>
      </x:c>
      <x:c r="G30" t="n">
        <x:v>17</x:v>
      </x:c>
      <x:c r="H30" t="n">
        <x:v>0</x:v>
      </x:c>
      <x:c r="I30" t="n">
        <x:v>65</x:v>
      </x:c>
      <x:c r="M30" s="127" t="str">
        <x:v>Low</x:v>
      </x:c>
      <x:c r="N30" s="127" t="n">
        <x:f>COUNTIFS($L$60:$L$478,$M30,$M$60:$M$478,N$29)</x:f>
        <x:v>105</x:v>
      </x:c>
      <x:c r="O30" s="127" t="n">
        <x:f>COUNTIFS($L$60:$L$478,$M30,$M$60:$M$478,O$29)</x:f>
        <x:v>0</x:v>
      </x:c>
      <x:c r="P30" s="127" t="n">
        <x:f>COUNTIFS($L$60:$L$478,$M30,$M$60:$M$478,P$29)</x:f>
        <x:v>0</x:v>
      </x:c>
      <x:c r="Q30" s="127" t="n">
        <x:f>COUNTIFS($L$60:$L$478,$M30,$M$60:$M$478,Q$29)</x:f>
        <x:v>0</x:v>
      </x:c>
      <x:c r="R30" s="127" t="n">
        <x:f>COUNTIFS($L$60:$L$478,$M30,$M$60:$M$478,R$29)</x:f>
        <x:v>0</x:v>
      </x:c>
      <x:c r="S30" s="127" t="n">
        <x:f>COUNTIFS($L$60:$L$478,$M30,$M$60:$M$478,S$29)</x:f>
        <x:v>0</x:v>
      </x:c>
      <x:c r="T30" s="127" t="n">
        <x:f>SUM(N30:S30)</x:f>
        <x:v>105</x:v>
      </x:c>
    </x:row>
    <x:row r="31" ht="27" customHeight="1">
      <x:c r="A31" t="str">
        <x:v>20–35%</x:v>
      </x:c>
      <x:c r="B31" t="n">
        <x:v>111</x:v>
      </x:c>
      <x:c r="C31" s="50" t="n">
        <x:f>IFERROR(B31/$D$7,0)</x:f>
        <x:v>0.2649164677804296</x:v>
      </x:c>
      <x:c r="D31" t="str">
        <x:v>10–20%</x:v>
      </x:c>
      <x:c r="E31" t="n">
        <x:v>0</x:v>
      </x:c>
      <x:c r="F31" t="n">
        <x:v>65</x:v>
      </x:c>
      <x:c r="G31" t="n">
        <x:v>12</x:v>
      </x:c>
      <x:c r="H31" t="n">
        <x:v>1</x:v>
      </x:c>
      <x:c r="I31" t="n">
        <x:v>78</x:v>
      </x:c>
      <x:c r="M31" s="128" t="str">
        <x:v>Middle</x:v>
      </x:c>
      <x:c r="N31" s="128" t="n">
        <x:f>COUNTIFS($L$60:$L$478,$M31,$M$60:$M$478,N$29)</x:f>
        <x:v>164</x:v>
      </x:c>
      <x:c r="O31" s="128" t="n">
        <x:f>COUNTIFS($L$60:$L$478,$M31,$M$60:$M$478,O$29)</x:f>
        <x:v>38</x:v>
      </x:c>
      <x:c r="P31" s="128" t="n">
        <x:f>COUNTIFS($L$60:$L$478,$M31,$M$60:$M$478,P$29)</x:f>
        <x:v>3</x:v>
      </x:c>
      <x:c r="Q31" s="128" t="n">
        <x:f>COUNTIFS($L$60:$L$478,$M31,$M$60:$M$478,Q$29)</x:f>
        <x:v>3</x:v>
      </x:c>
      <x:c r="R31" s="128" t="n">
        <x:f>COUNTIFS($L$60:$L$478,$M31,$M$60:$M$478,R$29)</x:f>
        <x:v>1</x:v>
      </x:c>
      <x:c r="S31" s="128" t="n">
        <x:f>COUNTIFS($L$60:$L$478,$M31,$M$60:$M$478,S$29)</x:f>
        <x:v>0</x:v>
      </x:c>
      <x:c r="T31" s="128" t="n">
        <x:f>SUM(N31:S31)</x:f>
        <x:v>209</x:v>
      </x:c>
    </x:row>
    <x:row r="32" ht="27" customHeight="1">
      <x:c r="A32" t="str">
        <x:v>35–50%</x:v>
      </x:c>
      <x:c r="B32" t="n">
        <x:v>62</x:v>
      </x:c>
      <x:c r="C32" s="50" t="n">
        <x:f>IFERROR(B32/$D$7,0)</x:f>
        <x:v>0.14797136038186157</x:v>
      </x:c>
      <x:c r="D32" t="str">
        <x:v>20–35%</x:v>
      </x:c>
      <x:c r="E32" t="n">
        <x:v>3</x:v>
      </x:c>
      <x:c r="F32" t="n">
        <x:v>91</x:v>
      </x:c>
      <x:c r="G32" t="n">
        <x:v>17</x:v>
      </x:c>
      <x:c r="H32" t="n">
        <x:v>0</x:v>
      </x:c>
      <x:c r="I32" t="n">
        <x:v>111</x:v>
      </x:c>
      <x:c r="M32" s="127" t="str">
        <x:v>High</x:v>
      </x:c>
      <x:c r="N32" s="127" t="n">
        <x:f>COUNTIFS($L$60:$L$478,$M32,$M$60:$M$478,N$29)</x:f>
        <x:v>0</x:v>
      </x:c>
      <x:c r="O32" s="127" t="n">
        <x:f>COUNTIFS($L$60:$L$478,$M32,$M$60:$M$478,O$29)</x:f>
        <x:v>11</x:v>
      </x:c>
      <x:c r="P32" s="127" t="n">
        <x:f>COUNTIFS($L$60:$L$478,$M32,$M$60:$M$478,P$29)</x:f>
        <x:v>7</x:v>
      </x:c>
      <x:c r="Q32" s="127" t="n">
        <x:f>COUNTIFS($L$60:$L$478,$M32,$M$60:$M$478,Q$29)</x:f>
        <x:v>11</x:v>
      </x:c>
      <x:c r="R32" s="127" t="n">
        <x:f>COUNTIFS($L$60:$L$478,$M32,$M$60:$M$478,R$29)</x:f>
        <x:v>27</x:v>
      </x:c>
      <x:c r="S32" s="127" t="n">
        <x:f>COUNTIFS($L$60:$L$478,$M32,$M$60:$M$478,S$29)</x:f>
        <x:v>49</x:v>
      </x:c>
      <x:c r="T32" s="127" t="n">
        <x:f>SUM(N32:S32)</x:f>
        <x:v>105</x:v>
      </x:c>
    </x:row>
    <x:row r="33" ht="27" customHeight="1">
      <x:c r="A33" t="str">
        <x:v>50–100%</x:v>
      </x:c>
      <x:c r="B33" t="n">
        <x:v>52</x:v>
      </x:c>
      <x:c r="C33" s="50" t="n">
        <x:f>IFERROR(B33/$D$7,0)</x:f>
        <x:v>0.12410501193317422</x:v>
      </x:c>
      <x:c r="D33" t="str">
        <x:v>35–50%</x:v>
      </x:c>
      <x:c r="E33" t="n">
        <x:v>36</x:v>
      </x:c>
      <x:c r="F33" t="n">
        <x:v>25</x:v>
      </x:c>
      <x:c r="G33" t="n">
        <x:v>1</x:v>
      </x:c>
      <x:c r="H33" t="n">
        <x:v>0</x:v>
      </x:c>
      <x:c r="I33" t="n">
        <x:v>62</x:v>
      </x:c>
      <x:c r="M33" s="129" t="str">
        <x:v>TOTAL</x:v>
      </x:c>
      <x:c r="N33" s="129" t="n">
        <x:f>SUM(N30:N32)</x:f>
        <x:v>269</x:v>
      </x:c>
      <x:c r="O33" s="129" t="n">
        <x:f>SUM(O30:O32)</x:f>
        <x:v>49</x:v>
      </x:c>
      <x:c r="P33" s="129" t="n">
        <x:f>SUM(P30:P32)</x:f>
        <x:v>10</x:v>
      </x:c>
      <x:c r="Q33" s="129" t="n">
        <x:f>SUM(Q30:Q32)</x:f>
        <x:v>14</x:v>
      </x:c>
      <x:c r="R33" s="129" t="n">
        <x:f>SUM(R30:R32)</x:f>
        <x:v>28</x:v>
      </x:c>
      <x:c r="S33" s="129" t="n">
        <x:f>SUM(S30:S32)</x:f>
        <x:v>49</x:v>
      </x:c>
      <x:c r="T33" s="129" t="n">
        <x:f>SUM(T30:T32)</x:f>
        <x:v>419</x:v>
      </x:c>
    </x:row>
    <x:row r="34">
      <x:c r="D34" t="str">
        <x:v>50–100%</x:v>
      </x:c>
      <x:c r="E34" t="n">
        <x:v>52</x:v>
      </x:c>
      <x:c r="F34" t="n">
        <x:v>0</x:v>
      </x:c>
      <x:c r="G34" t="n">
        <x:v>0</x:v>
      </x:c>
      <x:c r="H34" t="n">
        <x:v>0</x:v>
      </x:c>
      <x:c r="I34" t="n">
        <x:v>52</x:v>
      </x:c>
    </x:row>
    <x:row r="35" ht="43" customHeight="1">
      <x:c r="M35" s="116" t="str">
        <x:v>Matrix reading: even among 105 High-share stations (&gt;Q3), 18 trailed the best rival. High SHARE and positive MARGIN describe different things.</x:v>
      </x:c>
      <x:c r="N35" s="116"/>
      <x:c r="O35" s="116"/>
      <x:c r="P35" s="116"/>
      <x:c r="Q35" s="116"/>
      <x:c r="R35" s="116"/>
      <x:c r="S35" s="116"/>
      <x:c r="T35" s="116"/>
    </x:row>
    <x:row r="36" ht="43" customHeight="1">
      <x:c r="M36" s="116" t="str">
        <x:v>Historical pattern: 105 Low-share stations were also Large-deficit stations; 164 Middle-share stations were Large-deficit stations. These are counts, not reasons for voting.</x:v>
      </x:c>
      <x:c r="N36" s="116"/>
      <x:c r="O36" s="116"/>
      <x:c r="P36" s="116"/>
      <x:c r="Q36" s="116"/>
      <x:c r="R36" s="116"/>
      <x:c r="S36" s="116"/>
      <x:c r="T36" s="116"/>
    </x:row>
    <x:row r="37" ht="43" customHeight="1">
      <x:c r="A37" s="16" t="str">
        <x:v>FOCAL CANDIDATE — LEAD / TRAIL MARGIN HISTOGRAM</x:v>
      </x:c>
      <x:c r="B37" s="16"/>
      <x:c r="C37" s="16"/>
      <x:c r="D37" s="16"/>
      <x:c r="E37" s="16"/>
      <x:c r="F37" s="16"/>
      <x:c r="M37" s="119" t="str">
        <x:v>2027 relevance: old booth identifiers, candidate and alliance changes, and local issues need independent verification before making any current claims. Research gaps can be addressed through records reconciliation and transparent constituency monitoring.</x:v>
      </x:c>
      <x:c r="N37" s="119"/>
      <x:c r="O37" s="119"/>
      <x:c r="P37" s="119"/>
      <x:c r="Q37" s="119"/>
      <x:c r="R37" s="119"/>
      <x:c r="S37" s="119"/>
      <x:c r="T37" s="119"/>
    </x:row>
    <x:row r="38" ht="38" customHeight="1">
      <x:c r="A38" s="45" t="str">
        <x:v>Margin (percentage points)</x:v>
      </x:c>
      <x:c r="B38" s="45" t="str">
        <x:v>Stations</x:v>
      </x:c>
    </x:row>
    <x:row r="39" ht="25" customHeight="1">
      <x:c r="A39" t="str">
        <x:v>Trail &gt;30pp</x:v>
      </x:c>
      <x:c r="B39" t="n">
        <x:v>236</x:v>
      </x:c>
      <x:c r="M39" s="131" t="str">
        <x:v>Margin classes: &lt;−20pp, −20 to −5pp, −5 to &lt;0pp, 0 to +5pp (ties included), &gt;+5 to +20pp, &gt;+20pp.</x:v>
      </x:c>
      <x:c r="N39" s="131"/>
      <x:c r="O39" s="131"/>
      <x:c r="P39" s="131"/>
      <x:c r="Q39" s="131"/>
      <x:c r="R39" s="131"/>
      <x:c r="S39" s="131"/>
      <x:c r="T39" s="131"/>
    </x:row>
    <x:row r="40">
      <x:c r="A40" t="str">
        <x:v>Trail 10–30pp</x:v>
      </x:c>
      <x:c r="B40" t="n">
        <x:v>73</x:v>
      </x:c>
    </x:row>
    <x:row r="41">
      <x:c r="A41" t="str">
        <x:v>Trail 3–10pp</x:v>
      </x:c>
      <x:c r="B41" t="n">
        <x:v>11</x:v>
      </x:c>
    </x:row>
    <x:row r="42" ht="27" customHeight="1">
      <x:c r="A42" t="str">
        <x:v>Within ±3pp</x:v>
      </x:c>
      <x:c r="B42" t="n">
        <x:v>17</x:v>
      </x:c>
      <x:c r="R42" s="135" t="str">
        <x:v>04   CONTINUOUS SHARE HISTOGRAM SOURCE (5pp BINS)</x:v>
      </x:c>
      <x:c r="S42" s="135"/>
      <x:c r="T42" s="135"/>
    </x:row>
    <x:row r="43" ht="28" customHeight="1">
      <x:c r="A43" t="str">
        <x:v>Lead 3–10pp</x:v>
      </x:c>
      <x:c r="B43" t="n">
        <x:v>18</x:v>
      </x:c>
      <x:c r="R43" s="104" t="str">
        <x:v>Vote share band</x:v>
      </x:c>
      <x:c r="S43" s="104" t="str">
        <x:v>Lower bound</x:v>
      </x:c>
      <x:c r="T43" s="104" t="str">
        <x:v>Stations</x:v>
      </x:c>
    </x:row>
    <x:row r="44" ht="20" customHeight="1">
      <x:c r="A44" t="str">
        <x:v>Lead 10–30pp</x:v>
      </x:c>
      <x:c r="B44" t="n">
        <x:v>27</x:v>
      </x:c>
      <x:c r="R44" s="114" t="str">
        <x:v>00–05%</x:v>
      </x:c>
      <x:c r="S44" s="136" t="n">
        <x:v>0</x:v>
      </x:c>
      <x:c r="T44" s="114" t="n">
        <x:f>COUNTIFS($D$60:$D$478,"&gt;0",$E$60:$E$478,"&gt;="&amp;S44,$E$60:$E$478,"&lt;"&amp;S45)</x:f>
        <x:v>51</x:v>
      </x:c>
    </x:row>
    <x:row r="45" ht="20" customHeight="1">
      <x:c r="A45" t="str">
        <x:v>Lead &gt;30pp</x:v>
      </x:c>
      <x:c r="B45" t="n">
        <x:v>37</x:v>
      </x:c>
      <x:c r="R45" s="114" t="str">
        <x:v>05–10%</x:v>
      </x:c>
      <x:c r="S45" s="136" t="n">
        <x:v>0.05</x:v>
      </x:c>
      <x:c r="T45" s="114" t="n">
        <x:f>COUNTIFS($D$60:$D$478,"&gt;0",$E$60:$E$478,"&gt;="&amp;S45,$E$60:$E$478,"&lt;"&amp;S46)</x:f>
        <x:v>65</x:v>
      </x:c>
    </x:row>
    <x:row r="46" ht="20" customHeight="1">
      <x:c r="R46" s="114" t="str">
        <x:v>10–15%</x:v>
      </x:c>
      <x:c r="S46" s="136" t="n">
        <x:v>0.1</x:v>
      </x:c>
      <x:c r="T46" s="114" t="n">
        <x:f>COUNTIFS($D$60:$D$478,"&gt;0",$E$60:$E$478,"&gt;="&amp;S46,$E$60:$E$478,"&lt;"&amp;S47)</x:f>
        <x:v>39</x:v>
      </x:c>
    </x:row>
    <x:row r="47" ht="20" customHeight="1">
      <x:c r="R47" s="114" t="str">
        <x:v>15–20%</x:v>
      </x:c>
      <x:c r="S47" s="136" t="n">
        <x:v>0.15</x:v>
      </x:c>
      <x:c r="T47" s="114" t="n">
        <x:f>COUNTIFS($D$60:$D$478,"&gt;0",$E$60:$E$478,"&gt;="&amp;S47,$E$60:$E$478,"&lt;"&amp;S48)</x:f>
        <x:v>39</x:v>
      </x:c>
    </x:row>
    <x:row r="48" ht="20" customHeight="1">
      <x:c r="R48" s="114" t="str">
        <x:v>20–25%</x:v>
      </x:c>
      <x:c r="S48" s="136" t="n">
        <x:v>0.2</x:v>
      </x:c>
      <x:c r="T48" s="114" t="n">
        <x:f>COUNTIFS($D$60:$D$478,"&gt;0",$E$60:$E$478,"&gt;="&amp;S48,$E$60:$E$478,"&lt;"&amp;S49)</x:f>
        <x:v>42</x:v>
      </x:c>
    </x:row>
    <x:row r="49" ht="20" customHeight="1">
      <x:c r="R49" s="114" t="str">
        <x:v>25–30%</x:v>
      </x:c>
      <x:c r="S49" s="136" t="n">
        <x:v>0.25</x:v>
      </x:c>
      <x:c r="T49" s="114" t="n">
        <x:f>COUNTIFS($D$60:$D$478,"&gt;0",$E$60:$E$478,"&gt;="&amp;S49,$E$60:$E$478,"&lt;"&amp;S50)</x:f>
        <x:v>33</x:v>
      </x:c>
    </x:row>
    <x:row r="50" ht="20" customHeight="1">
      <x:c r="R50" s="114" t="str">
        <x:v>30–35%</x:v>
      </x:c>
      <x:c r="S50" s="136" t="n">
        <x:v>0.3</x:v>
      </x:c>
      <x:c r="T50" s="114" t="n">
        <x:f>COUNTIFS($D$60:$D$478,"&gt;0",$E$60:$E$478,"&gt;="&amp;S50,$E$60:$E$478,"&lt;"&amp;S51)</x:f>
        <x:v>36</x:v>
      </x:c>
    </x:row>
    <x:row r="51" ht="20" customHeight="1">
      <x:c r="R51" s="114" t="str">
        <x:v>35–40%</x:v>
      </x:c>
      <x:c r="S51" s="136" t="n">
        <x:v>0.35</x:v>
      </x:c>
      <x:c r="T51" s="114" t="n">
        <x:f>COUNTIFS($D$60:$D$478,"&gt;0",$E$60:$E$478,"&gt;="&amp;S51,$E$60:$E$478,"&lt;"&amp;S52)</x:f>
        <x:v>21</x:v>
      </x:c>
    </x:row>
    <x:row r="52" ht="20" customHeight="1">
      <x:c r="R52" s="114" t="str">
        <x:v>40–45%</x:v>
      </x:c>
      <x:c r="S52" s="136" t="n">
        <x:v>0.4</x:v>
      </x:c>
      <x:c r="T52" s="114" t="n">
        <x:f>COUNTIFS($D$60:$D$478,"&gt;0",$E$60:$E$478,"&gt;="&amp;S52,$E$60:$E$478,"&lt;"&amp;S53)</x:f>
        <x:v>19</x:v>
      </x:c>
    </x:row>
    <x:row r="53" ht="20" customHeight="1">
      <x:c r="R53" s="114" t="str">
        <x:v>45–50%</x:v>
      </x:c>
      <x:c r="S53" s="136" t="n">
        <x:v>0.45</x:v>
      </x:c>
      <x:c r="T53" s="114" t="n">
        <x:f>COUNTIFS($D$60:$D$478,"&gt;0",$E$60:$E$478,"&gt;="&amp;S53,$E$60:$E$478,"&lt;"&amp;S54)</x:f>
        <x:v>22</x:v>
      </x:c>
    </x:row>
    <x:row r="54" ht="20" customHeight="1">
      <x:c r="R54" s="114" t="str">
        <x:v>50–55%</x:v>
      </x:c>
      <x:c r="S54" s="136" t="n">
        <x:v>0.5</x:v>
      </x:c>
      <x:c r="T54" s="114" t="n">
        <x:f>COUNTIFS($D$60:$D$478,"&gt;0",$E$60:$E$478,"&gt;="&amp;S54,$E$60:$E$478,"&lt;"&amp;S55)</x:f>
        <x:v>7</x:v>
      </x:c>
    </x:row>
    <x:row r="55" ht="20" customHeight="1">
      <x:c r="R55" s="114" t="str">
        <x:v>55–60%</x:v>
      </x:c>
      <x:c r="S55" s="136" t="n">
        <x:v>0.55</x:v>
      </x:c>
      <x:c r="T55" s="114" t="n">
        <x:f>COUNTIFS($D$60:$D$478,"&gt;0",$E$60:$E$478,"&gt;="&amp;S55,$E$60:$E$478,"&lt;"&amp;S56)</x:f>
        <x:v>12</x:v>
      </x:c>
    </x:row>
    <x:row r="56" ht="20" customHeight="1">
      <x:c r="R56" s="114" t="str">
        <x:v>60–65%</x:v>
      </x:c>
      <x:c r="S56" s="136" t="n">
        <x:v>0.6</x:v>
      </x:c>
      <x:c r="T56" s="114" t="n">
        <x:f>COUNTIFS($D$60:$D$478,"&gt;0",$E$60:$E$478,"&gt;="&amp;S56,$E$60:$E$478,"&lt;"&amp;S57)</x:f>
        <x:v>7</x:v>
      </x:c>
    </x:row>
    <x:row r="57" ht="20" customHeight="1">
      <x:c r="R57" s="114" t="str">
        <x:v>65–70%</x:v>
      </x:c>
      <x:c r="S57" s="136" t="n">
        <x:v>0.65</x:v>
      </x:c>
      <x:c r="T57" s="114" t="n">
        <x:f>COUNTIFS($D$60:$D$478,"&gt;0",$E$60:$E$478,"&gt;="&amp;S57,$E$60:$E$478,"&lt;"&amp;S58)</x:f>
        <x:v>8</x:v>
      </x:c>
    </x:row>
    <x:row r="58" ht="20" customHeight="1">
      <x:c r="A58" s="16" t="str">
        <x:v>POLLING-STATION DETAIL — SORT / FILTER BY FOCAL SHARE, MARGIN OR EVM LEADER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R58" s="114" t="str">
        <x:v>70–75%</x:v>
      </x:c>
      <x:c r="S58" s="136" t="n">
        <x:v>0.7</x:v>
      </x:c>
      <x:c r="T58" s="114" t="n">
        <x:f>COUNTIFS($D$60:$D$478,"&gt;0",$E$60:$E$478,"&gt;="&amp;S58,$E$60:$E$478,"&lt;"&amp;S59)</x:f>
        <x:v>6</x:v>
      </x:c>
    </x:row>
    <x:row r="59" ht="20" customHeight="1">
      <x:c r="A59" s="45" t="str">
        <x:v>Station #</x:v>
      </x:c>
      <x:c r="B59" s="45" t="str">
        <x:v>Name (source or unavailable)</x:v>
      </x:c>
      <x:c r="C59" s="45" t="str">
        <x:v>Focus votes</x:v>
      </x:c>
      <x:c r="D59" s="45" t="str">
        <x:v>Total EVM</x:v>
      </x:c>
      <x:c r="E59" s="45" t="str">
        <x:v>Focus share</x:v>
      </x:c>
      <x:c r="F59" s="45" t="str">
        <x:v>Max rival votes</x:v>
      </x:c>
      <x:c r="G59" s="45" t="str">
        <x:v>Lead votes</x:v>
      </x:c>
      <x:c r="H59" s="45" t="str">
        <x:v>Lead pp</x:v>
      </x:c>
      <x:c r="I59" s="45" t="str">
        <x:v>Top candidate (EVM)</x:v>
      </x:c>
      <x:c r="J59" s="45" t="str">
        <x:v>Top party (EVM)</x:v>
      </x:c>
      <x:c r="K59" s="45" t="str">
        <x:v>Data status</x:v>
      </x:c>
      <x:c r="L59" s="132" t="str">
        <x:v>Q1/Q3 Share group</x:v>
      </x:c>
      <x:c r="M59" s="132" t="str">
        <x:v>Signed margin class</x:v>
      </x:c>
      <x:c r="R59" s="114" t="str">
        <x:v>75–80%</x:v>
      </x:c>
      <x:c r="S59" s="136" t="n">
        <x:v>0.75</x:v>
      </x:c>
      <x:c r="T59" s="114" t="n">
        <x:f>COUNTIFS($D$60:$D$478,"&gt;0",$E$60:$E$478,"&gt;="&amp;S59,$E$60:$E$478,"&lt;"&amp;S60)</x:f>
        <x:v>4</x:v>
      </x:c>
    </x:row>
    <x:row r="60" ht="20" customHeight="1">
      <x:c r="A60" t="n">
        <x:v>1</x:v>
      </x:c>
      <x:c r="B60" t="str">
        <x:v>AMICHAND INTER COLLEGE KASNA ROOM N.1</x:v>
      </x:c>
      <x:c r="C60" s="83" t="n">
        <x:f>'2022 Form20'!H9</x:f>
        <x:v>129</x:v>
      </x:c>
      <x:c r="D60" s="83" t="n">
        <x:f>'2022 Form20'!D9</x:f>
        <x:v>636</x:v>
      </x:c>
      <x:c r="E60" s="50" t="n">
        <x:f>'2022 Form20'!T9</x:f>
        <x:v>0.2028301886792453</x:v>
      </x:c>
      <x:c r="F60" t="n">
        <x:f>'2022 Form20'!U9</x:f>
        <x:v>374</x:v>
      </x:c>
      <x:c r="G60" t="n">
        <x:f>'2022 Form20'!V9</x:f>
        <x:v>-245</x:v>
      </x:c>
      <x:c r="H60" s="52" t="n">
        <x:f>'2022 Form20'!W9</x:f>
        <x:v>-0.38522012578616355</x:v>
      </x:c>
      <x:c r="I60" t="str">
        <x:v>DHIRENDRA SINGH</x:v>
      </x:c>
      <x:c r="J60" t="str">
        <x:v>Bharatiya Janata Party</x:v>
      </x:c>
      <x:c r="K60" t="str">
        <x:v>EVM row</x:v>
      </x:c>
      <x:c r="L60" s="133" t="str">
        <x:f>IF(D60&lt;=0,"No EVM votes",IF(E60&lt;$N$7,"Low",IF(E60&gt;$R$7,"High","Middle")))</x:f>
        <x:v>Middle</x:v>
      </x:c>
      <x:c r="M60" s="133" t="str">
        <x:f>IF(D60&lt;=0,"No EVM votes",IF(H60&lt;-20%,"Large deficit",IF(H60&lt;-5%,"Moderate deficit",IF(H60&lt;0,"Narrow deficit",IF(H60&lt;=5%,"Narrow lead/tie",IF(H60&lt;=20%,"Moderate lead","Large lead"))))))</x:f>
        <x:v>Large deficit</x:v>
      </x:c>
      <x:c r="R60" s="114" t="str">
        <x:v>80–85%</x:v>
      </x:c>
      <x:c r="S60" s="136" t="n">
        <x:v>0.8</x:v>
      </x:c>
      <x:c r="T60" s="114" t="n">
        <x:f>COUNTIFS($D$60:$D$478,"&gt;0",$E$60:$E$478,"&gt;="&amp;S60,$E$60:$E$478,"&lt;"&amp;S61)</x:f>
        <x:v>5</x:v>
      </x:c>
    </x:row>
    <x:row r="61" ht="20" customHeight="1">
      <x:c r="A61" t="n">
        <x:v>2</x:v>
      </x:c>
      <x:c r="B61" t="str">
        <x:v>AMICHAND INTER COLLEGE KASNA R. N. 2</x:v>
      </x:c>
      <x:c r="C61" s="83" t="n">
        <x:f>'2022 Form20'!H10</x:f>
        <x:v>141</x:v>
      </x:c>
      <x:c r="D61" s="83" t="n">
        <x:f>'2022 Form20'!D10</x:f>
        <x:v>629</x:v>
      </x:c>
      <x:c r="E61" s="50" t="n">
        <x:f>'2022 Form20'!T10</x:f>
        <x:v>0.22416534181240064</x:v>
      </x:c>
      <x:c r="F61" t="n">
        <x:f>'2022 Form20'!U10</x:f>
        <x:v>390</x:v>
      </x:c>
      <x:c r="G61" t="n">
        <x:f>'2022 Form20'!V10</x:f>
        <x:v>-249</x:v>
      </x:c>
      <x:c r="H61" s="52" t="n">
        <x:f>'2022 Form20'!W10</x:f>
        <x:v>-0.3958664546899841</x:v>
      </x:c>
      <x:c r="I61" t="str">
        <x:v>DHIRENDRA SINGH</x:v>
      </x:c>
      <x:c r="J61" t="str">
        <x:v>Bharatiya Janata Party</x:v>
      </x:c>
      <x:c r="K61" t="str">
        <x:v>EVM row</x:v>
      </x:c>
      <x:c r="L61" s="133" t="str">
        <x:f>IF(D61&lt;=0,"No EVM votes",IF(E61&lt;$N$7,"Low",IF(E61&gt;$R$7,"High","Middle")))</x:f>
        <x:v>Middle</x:v>
      </x:c>
      <x:c r="M61" s="133" t="str">
        <x:f>IF(D61&lt;=0,"No EVM votes",IF(H61&lt;-20%,"Large deficit",IF(H61&lt;-5%,"Moderate deficit",IF(H61&lt;0,"Narrow deficit",IF(H61&lt;=5%,"Narrow lead/tie",IF(H61&lt;=20%,"Moderate lead","Large lead"))))))</x:f>
        <x:v>Large deficit</x:v>
      </x:c>
      <x:c r="R61" s="114" t="str">
        <x:v>85–90%</x:v>
      </x:c>
      <x:c r="S61" s="136" t="n">
        <x:v>0.85</x:v>
      </x:c>
      <x:c r="T61" s="114" t="n">
        <x:f>COUNTIFS($D$60:$D$478,"&gt;0",$E$60:$E$478,"&gt;="&amp;S61,$E$60:$E$478,"&lt;"&amp;S62)</x:f>
        <x:v>2</x:v>
      </x:c>
    </x:row>
    <x:row r="62" ht="20" customHeight="1">
      <x:c r="A62" t="n">
        <x:v>3</x:v>
      </x:c>
      <x:c r="B62" t="str">
        <x:v>AMICHAND INTER COLLEGE .KASNA ROOM N 3</x:v>
      </x:c>
      <x:c r="C62" s="83" t="n">
        <x:f>'2022 Form20'!H11</x:f>
        <x:v>84</x:v>
      </x:c>
      <x:c r="D62" s="83" t="n">
        <x:f>'2022 Form20'!D11</x:f>
        <x:v>746</x:v>
      </x:c>
      <x:c r="E62" s="50" t="n">
        <x:f>'2022 Form20'!T11</x:f>
        <x:v>0.1126005361930295</x:v>
      </x:c>
      <x:c r="F62" t="n">
        <x:f>'2022 Form20'!U11</x:f>
        <x:v>497</x:v>
      </x:c>
      <x:c r="G62" t="n">
        <x:f>'2022 Form20'!V11</x:f>
        <x:v>-413</x:v>
      </x:c>
      <x:c r="H62" s="52" t="n">
        <x:f>'2022 Form20'!W11</x:f>
        <x:v>-0.5536193029490617</x:v>
      </x:c>
      <x:c r="I62" t="str">
        <x:v>NARENDER KUMAR</x:v>
      </x:c>
      <x:c r="J62" t="str">
        <x:v>Bahujan Samaj Party</x:v>
      </x:c>
      <x:c r="K62" t="str">
        <x:v>EVM row</x:v>
      </x:c>
      <x:c r="L62" s="133" t="str">
        <x:f>IF(D62&lt;=0,"No EVM votes",IF(E62&lt;$N$7,"Low",IF(E62&gt;$R$7,"High","Middle")))</x:f>
        <x:v>Middle</x:v>
      </x:c>
      <x:c r="M62" s="133" t="str">
        <x:f>IF(D62&lt;=0,"No EVM votes",IF(H62&lt;-20%,"Large deficit",IF(H62&lt;-5%,"Moderate deficit",IF(H62&lt;0,"Narrow deficit",IF(H62&lt;=5%,"Narrow lead/tie",IF(H62&lt;=20%,"Moderate lead","Large lead"))))))</x:f>
        <x:v>Large deficit</x:v>
      </x:c>
      <x:c r="R62" s="114" t="str">
        <x:v>90–95%</x:v>
      </x:c>
      <x:c r="S62" s="136" t="n">
        <x:v>0.9</x:v>
      </x:c>
      <x:c r="T62" s="114" t="n">
        <x:f>COUNTIFS($D$60:$D$478,"&gt;0",$E$60:$E$478,"&gt;="&amp;S62,$E$60:$E$478,"&lt;"&amp;S63)</x:f>
        <x:v>1</x:v>
      </x:c>
    </x:row>
    <x:row r="63" ht="20" customHeight="1">
      <x:c r="A63" t="n">
        <x:v>4</x:v>
      </x:c>
      <x:c r="B63" t="str">
        <x:v>AMICHAND INTER COLLEGE KASNA ROON N 4</x:v>
      </x:c>
      <x:c r="C63" s="83" t="n">
        <x:f>'2022 Form20'!H12</x:f>
        <x:v>50</x:v>
      </x:c>
      <x:c r="D63" s="83" t="n">
        <x:f>'2022 Form20'!D12</x:f>
        <x:v>526</x:v>
      </x:c>
      <x:c r="E63" s="50" t="n">
        <x:f>'2022 Form20'!T12</x:f>
        <x:v>0.09505703422053231</x:v>
      </x:c>
      <x:c r="F63" t="n">
        <x:f>'2022 Form20'!U12</x:f>
        <x:v>238</x:v>
      </x:c>
      <x:c r="G63" t="n">
        <x:f>'2022 Form20'!V12</x:f>
        <x:v>-188</x:v>
      </x:c>
      <x:c r="H63" s="52" t="n">
        <x:f>'2022 Form20'!W12</x:f>
        <x:v>-0.3574144486692015</x:v>
      </x:c>
      <x:c r="I63" t="str">
        <x:v>DHIRENDRA SINGH</x:v>
      </x:c>
      <x:c r="J63" t="str">
        <x:v>Bharatiya Janata Party</x:v>
      </x:c>
      <x:c r="K63" t="str">
        <x:v>EVM row</x:v>
      </x:c>
      <x:c r="L63" s="133" t="str">
        <x:f>IF(D63&lt;=0,"No EVM votes",IF(E63&lt;$N$7,"Low",IF(E63&gt;$R$7,"High","Middle")))</x:f>
        <x:v>Middle</x:v>
      </x:c>
      <x:c r="M63" s="133" t="str">
        <x:f>IF(D63&lt;=0,"No EVM votes",IF(H63&lt;-20%,"Large deficit",IF(H63&lt;-5%,"Moderate deficit",IF(H63&lt;0,"Narrow deficit",IF(H63&lt;=5%,"Narrow lead/tie",IF(H63&lt;=20%,"Moderate lead","Large lead"))))))</x:f>
        <x:v>Large deficit</x:v>
      </x:c>
      <x:c r="R63" s="114" t="str">
        <x:v>95–100%</x:v>
      </x:c>
      <x:c r="S63" s="136" t="n">
        <x:v>0.95</x:v>
      </x:c>
      <x:c r="T63" s="114" t="n">
        <x:f>COUNTIFS($D$60:$D$478,"&gt;0",$E$60:$E$478,"&gt;="&amp;S63,$E$60:$E$478,"&lt;=1")</x:f>
        <x:v>0</x:v>
      </x:c>
    </x:row>
    <x:row r="64">
      <x:c r="A64" t="n">
        <x:v>5</x:v>
      </x:c>
      <x:c r="B64" t="str">
        <x:v>AMICHAND INTER COLLEGE, KASNA ROOM N 5</x:v>
      </x:c>
      <x:c r="C64" s="83" t="n">
        <x:f>'2022 Form20'!H13</x:f>
        <x:v>78</x:v>
      </x:c>
      <x:c r="D64" s="83" t="n">
        <x:f>'2022 Form20'!D13</x:f>
        <x:v>379</x:v>
      </x:c>
      <x:c r="E64" s="50" t="n">
        <x:f>'2022 Form20'!T13</x:f>
        <x:v>0.20580474934036938</x:v>
      </x:c>
      <x:c r="F64" t="n">
        <x:f>'2022 Form20'!U13</x:f>
        <x:v>213</x:v>
      </x:c>
      <x:c r="G64" t="n">
        <x:f>'2022 Form20'!V13</x:f>
        <x:v>-135</x:v>
      </x:c>
      <x:c r="H64" s="52" t="n">
        <x:f>'2022 Form20'!W13</x:f>
        <x:v>-0.3562005277044855</x:v>
      </x:c>
      <x:c r="I64" t="str">
        <x:v>DHIRENDRA SINGH</x:v>
      </x:c>
      <x:c r="J64" t="str">
        <x:v>Bharatiya Janata Party</x:v>
      </x:c>
      <x:c r="K64" t="str">
        <x:v>EVM row</x:v>
      </x:c>
      <x:c r="L64" s="133" t="str">
        <x:f>IF(D64&lt;=0,"No EVM votes",IF(E64&lt;$N$7,"Low",IF(E64&gt;$R$7,"High","Middle")))</x:f>
        <x:v>Middle</x:v>
      </x:c>
      <x:c r="M64" s="133" t="str">
        <x:f>IF(D64&lt;=0,"No EVM votes",IF(H64&lt;-20%,"Large deficit",IF(H64&lt;-5%,"Moderate deficit",IF(H64&lt;0,"Narrow deficit",IF(H64&lt;=5%,"Narrow lead/tie",IF(H64&lt;=20%,"Moderate lead","Large lead"))))))</x:f>
        <x:v>Large deficit</x:v>
      </x:c>
    </x:row>
    <x:row r="65">
      <x:c r="A65" t="n">
        <x:v>6</x:v>
      </x:c>
      <x:c r="B65" t="str">
        <x:v>AMICHAND INTER COLLEGE KASNA ROOM N 6</x:v>
      </x:c>
      <x:c r="C65" s="83" t="n">
        <x:f>'2022 Form20'!H14</x:f>
        <x:v>42</x:v>
      </x:c>
      <x:c r="D65" s="83" t="n">
        <x:f>'2022 Form20'!D14</x:f>
        <x:v>266</x:v>
      </x:c>
      <x:c r="E65" s="50" t="n">
        <x:f>'2022 Form20'!T14</x:f>
        <x:v>0.15789473684210525</x:v>
      </x:c>
      <x:c r="F65" t="n">
        <x:f>'2022 Form20'!U14</x:f>
        <x:v>136</x:v>
      </x:c>
      <x:c r="G65" t="n">
        <x:f>'2022 Form20'!V14</x:f>
        <x:v>-94</x:v>
      </x:c>
      <x:c r="H65" s="52" t="n">
        <x:f>'2022 Form20'!W14</x:f>
        <x:v>-0.3533834586466165</x:v>
      </x:c>
      <x:c r="I65" t="str">
        <x:v>DHIRENDRA SINGH</x:v>
      </x:c>
      <x:c r="J65" t="str">
        <x:v>Bharatiya Janata Party</x:v>
      </x:c>
      <x:c r="K65" t="str">
        <x:v>EVM row</x:v>
      </x:c>
      <x:c r="L65" s="133" t="str">
        <x:f>IF(D65&lt;=0,"No EVM votes",IF(E65&lt;$N$7,"Low",IF(E65&gt;$R$7,"High","Middle")))</x:f>
        <x:v>Middle</x:v>
      </x:c>
      <x:c r="M65" s="133" t="str">
        <x:f>IF(D65&lt;=0,"No EVM votes",IF(H65&lt;-20%,"Large deficit",IF(H65&lt;-5%,"Moderate deficit",IF(H65&lt;0,"Narrow deficit",IF(H65&lt;=5%,"Narrow lead/tie",IF(H65&lt;=20%,"Moderate lead","Large lead"))))))</x:f>
        <x:v>Large deficit</x:v>
      </x:c>
    </x:row>
    <x:row r="66">
      <x:c r="A66" t="n">
        <x:v>7</x:v>
      </x:c>
      <x:c r="B66" t="str">
        <x:v>KENDRYA VIDHYALAY SECTOR P-3 ROOM N 1</x:v>
      </x:c>
      <x:c r="C66" s="83" t="n">
        <x:f>'2022 Form20'!H15</x:f>
        <x:v>32</x:v>
      </x:c>
      <x:c r="D66" s="83" t="n">
        <x:f>'2022 Form20'!D15</x:f>
        <x:v>310</x:v>
      </x:c>
      <x:c r="E66" s="50" t="n">
        <x:f>'2022 Form20'!T15</x:f>
        <x:v>0.1032258064516129</x:v>
      </x:c>
      <x:c r="F66" t="n">
        <x:f>'2022 Form20'!U15</x:f>
        <x:v>256</x:v>
      </x:c>
      <x:c r="G66" t="n">
        <x:f>'2022 Form20'!V15</x:f>
        <x:v>-224</x:v>
      </x:c>
      <x:c r="H66" s="52" t="n">
        <x:f>'2022 Form20'!W15</x:f>
        <x:v>-0.7225806451612903</x:v>
      </x:c>
      <x:c r="I66" t="str">
        <x:v>DHIRENDRA SINGH</x:v>
      </x:c>
      <x:c r="J66" t="str">
        <x:v>Bharatiya Janata Party</x:v>
      </x:c>
      <x:c r="K66" t="str">
        <x:v>EVM row</x:v>
      </x:c>
      <x:c r="L66" s="133" t="str">
        <x:f>IF(D66&lt;=0,"No EVM votes",IF(E66&lt;$N$7,"Low",IF(E66&gt;$R$7,"High","Middle")))</x:f>
        <x:v>Middle</x:v>
      </x:c>
      <x:c r="M66" s="133" t="str">
        <x:f>IF(D66&lt;=0,"No EVM votes",IF(H66&lt;-20%,"Large deficit",IF(H66&lt;-5%,"Moderate deficit",IF(H66&lt;0,"Narrow deficit",IF(H66&lt;=5%,"Narrow lead/tie",IF(H66&lt;=20%,"Moderate lead","Large lead"))))))</x:f>
        <x:v>Large deficit</x:v>
      </x:c>
    </x:row>
    <x:row r="67">
      <x:c r="A67" t="n">
        <x:v>8</x:v>
      </x:c>
      <x:c r="B67" t="str">
        <x:v>KENDRYA VIDHYALAY SECTOR P-3 ROOM N 2</x:v>
      </x:c>
      <x:c r="C67" s="83" t="n">
        <x:f>'2022 Form20'!H16</x:f>
        <x:v>39</x:v>
      </x:c>
      <x:c r="D67" s="83" t="n">
        <x:f>'2022 Form20'!D16</x:f>
        <x:v>418</x:v>
      </x:c>
      <x:c r="E67" s="50" t="n">
        <x:f>'2022 Form20'!T16</x:f>
        <x:v>0.09330143540669857</x:v>
      </x:c>
      <x:c r="F67" t="n">
        <x:f>'2022 Form20'!U16</x:f>
        <x:v>345</x:v>
      </x:c>
      <x:c r="G67" t="n">
        <x:f>'2022 Form20'!V16</x:f>
        <x:v>-306</x:v>
      </x:c>
      <x:c r="H67" s="52" t="n">
        <x:f>'2022 Form20'!W16</x:f>
        <x:v>-0.7320574162679426</x:v>
      </x:c>
      <x:c r="I67" t="str">
        <x:v>DHIRENDRA SINGH</x:v>
      </x:c>
      <x:c r="J67" t="str">
        <x:v>Bharatiya Janata Party</x:v>
      </x:c>
      <x:c r="K67" t="str">
        <x:v>EVM row</x:v>
      </x:c>
      <x:c r="L67" s="133" t="str">
        <x:f>IF(D67&lt;=0,"No EVM votes",IF(E67&lt;$N$7,"Low",IF(E67&gt;$R$7,"High","Middle")))</x:f>
        <x:v>Middle</x:v>
      </x:c>
      <x:c r="M67" s="133" t="str">
        <x:f>IF(D67&lt;=0,"No EVM votes",IF(H67&lt;-20%,"Large deficit",IF(H67&lt;-5%,"Moderate deficit",IF(H67&lt;0,"Narrow deficit",IF(H67&lt;=5%,"Narrow lead/tie",IF(H67&lt;=20%,"Moderate lead","Large lead"))))))</x:f>
        <x:v>Large deficit</x:v>
      </x:c>
    </x:row>
    <x:row r="68">
      <x:c r="A68" t="n">
        <x:v>9</x:v>
      </x:c>
      <x:c r="B68" t="str">
        <x:v>KENDRYA VIDHYALAY SECTOR P-3 ROOM N 3</x:v>
      </x:c>
      <x:c r="C68" s="83" t="n">
        <x:f>'2022 Form20'!H17</x:f>
        <x:v>43</x:v>
      </x:c>
      <x:c r="D68" s="83" t="n">
        <x:f>'2022 Form20'!D17</x:f>
        <x:v>514</x:v>
      </x:c>
      <x:c r="E68" s="50" t="n">
        <x:f>'2022 Form20'!T17</x:f>
        <x:v>0.08365758754863813</x:v>
      </x:c>
      <x:c r="F68" t="n">
        <x:f>'2022 Form20'!U17</x:f>
        <x:v>416</x:v>
      </x:c>
      <x:c r="G68" t="n">
        <x:f>'2022 Form20'!V17</x:f>
        <x:v>-373</x:v>
      </x:c>
      <x:c r="H68" s="52" t="n">
        <x:f>'2022 Form20'!W17</x:f>
        <x:v>-0.72568093385214</x:v>
      </x:c>
      <x:c r="I68" t="str">
        <x:v>DHIRENDRA SINGH</x:v>
      </x:c>
      <x:c r="J68" t="str">
        <x:v>Bharatiya Janata Party</x:v>
      </x:c>
      <x:c r="K68" t="str">
        <x:v>EVM row</x:v>
      </x:c>
      <x:c r="L68" s="133" t="str">
        <x:f>IF(D68&lt;=0,"No EVM votes",IF(E68&lt;$N$7,"Low",IF(E68&gt;$R$7,"High","Middle")))</x:f>
        <x:v>Low</x:v>
      </x:c>
      <x:c r="M68" s="133" t="str">
        <x:f>IF(D68&lt;=0,"No EVM votes",IF(H68&lt;-20%,"Large deficit",IF(H68&lt;-5%,"Moderate deficit",IF(H68&lt;0,"Narrow deficit",IF(H68&lt;=5%,"Narrow lead/tie",IF(H68&lt;=20%,"Moderate lead","Large lead"))))))</x:f>
        <x:v>Large deficit</x:v>
      </x:c>
    </x:row>
    <x:row r="69">
      <x:c r="A69" t="n">
        <x:v>10</x:v>
      </x:c>
      <x:c r="B69" t="str">
        <x:v>KENDRYA VIDHYALAY SECTOR P-3 ROOM N 4</x:v>
      </x:c>
      <x:c r="C69" s="83" t="n">
        <x:f>'2022 Form20'!H18</x:f>
        <x:v>21</x:v>
      </x:c>
      <x:c r="D69" s="83" t="n">
        <x:f>'2022 Form20'!D18</x:f>
        <x:v>447</x:v>
      </x:c>
      <x:c r="E69" s="50" t="n">
        <x:f>'2022 Form20'!T18</x:f>
        <x:v>0.04697986577181208</x:v>
      </x:c>
      <x:c r="F69" t="n">
        <x:f>'2022 Form20'!U18</x:f>
        <x:v>391</x:v>
      </x:c>
      <x:c r="G69" t="n">
        <x:f>'2022 Form20'!V18</x:f>
        <x:v>-370</x:v>
      </x:c>
      <x:c r="H69" s="52" t="n">
        <x:f>'2022 Form20'!W18</x:f>
        <x:v>-0.8277404921700223</x:v>
      </x:c>
      <x:c r="I69" t="str">
        <x:v>DHIRENDRA SINGH</x:v>
      </x:c>
      <x:c r="J69" t="str">
        <x:v>Bharatiya Janata Party</x:v>
      </x:c>
      <x:c r="K69" t="str">
        <x:v>EVM row</x:v>
      </x:c>
      <x:c r="L69" s="133" t="str">
        <x:f>IF(D69&lt;=0,"No EVM votes",IF(E69&lt;$N$7,"Low",IF(E69&gt;$R$7,"High","Middle")))</x:f>
        <x:v>Low</x:v>
      </x:c>
      <x:c r="M69" s="133" t="str">
        <x:f>IF(D69&lt;=0,"No EVM votes",IF(H69&lt;-20%,"Large deficit",IF(H69&lt;-5%,"Moderate deficit",IF(H69&lt;0,"Narrow deficit",IF(H69&lt;=5%,"Narrow lead/tie",IF(H69&lt;=20%,"Moderate lead","Large lead"))))))</x:f>
        <x:v>Large deficit</x:v>
      </x:c>
    </x:row>
    <x:row r="70">
      <x:c r="A70" t="n">
        <x:v>11</x:v>
      </x:c>
      <x:c r="B70" t="str">
        <x:v>URSULINE CONVENT SENIOR SECONDARY SCHOOL SEC-36 ROOM N 1</x:v>
      </x:c>
      <x:c r="C70" s="83" t="n">
        <x:f>'2022 Form20'!H19</x:f>
        <x:v>119</x:v>
      </x:c>
      <x:c r="D70" s="83" t="n">
        <x:f>'2022 Form20'!D19</x:f>
        <x:v>454</x:v>
      </x:c>
      <x:c r="E70" s="50" t="n">
        <x:f>'2022 Form20'!T19</x:f>
        <x:v>0.2621145374449339</x:v>
      </x:c>
      <x:c r="F70" t="n">
        <x:f>'2022 Form20'!U19</x:f>
        <x:v>196</x:v>
      </x:c>
      <x:c r="G70" t="n">
        <x:f>'2022 Form20'!V19</x:f>
        <x:v>-77</x:v>
      </x:c>
      <x:c r="H70" s="52" t="n">
        <x:f>'2022 Form20'!W19</x:f>
        <x:v>-0.1696035242290749</x:v>
      </x:c>
      <x:c r="I70" t="str">
        <x:v>DHIRENDRA SINGH</x:v>
      </x:c>
      <x:c r="J70" t="str">
        <x:v>Bharatiya Janata Party</x:v>
      </x:c>
      <x:c r="K70" t="str">
        <x:v>EVM row</x:v>
      </x:c>
      <x:c r="L70" s="133" t="str">
        <x:f>IF(D70&lt;=0,"No EVM votes",IF(E70&lt;$N$7,"Low",IF(E70&gt;$R$7,"High","Middle")))</x:f>
        <x:v>Middle</x:v>
      </x:c>
      <x:c r="M70" s="133" t="str">
        <x:f>IF(D70&lt;=0,"No EVM votes",IF(H70&lt;-20%,"Large deficit",IF(H70&lt;-5%,"Moderate deficit",IF(H70&lt;0,"Narrow deficit",IF(H70&lt;=5%,"Narrow lead/tie",IF(H70&lt;=20%,"Moderate lead","Large lead"))))))</x:f>
        <x:v>Moderate deficit</x:v>
      </x:c>
    </x:row>
    <x:row r="71">
      <x:c r="A71" t="n">
        <x:v>12</x:v>
      </x:c>
      <x:c r="B71" t="str">
        <x:v>URSULINE CONVENT SENIOR SECONDARY SCHOOL SEC 36 ROOM N 2</x:v>
      </x:c>
      <x:c r="C71" s="83" t="n">
        <x:f>'2022 Form20'!H20</x:f>
        <x:v>166</x:v>
      </x:c>
      <x:c r="D71" s="83" t="n">
        <x:f>'2022 Form20'!D20</x:f>
        <x:v>361</x:v>
      </x:c>
      <x:c r="E71" s="50" t="n">
        <x:f>'2022 Form20'!T20</x:f>
        <x:v>0.4598337950138504</x:v>
      </x:c>
      <x:c r="F71" t="n">
        <x:f>'2022 Form20'!U20</x:f>
        <x:v>149</x:v>
      </x:c>
      <x:c r="G71" t="n">
        <x:f>'2022 Form20'!V20</x:f>
        <x:v>17</x:v>
      </x:c>
      <x:c r="H71" s="52" t="n">
        <x:f>'2022 Form20'!W20</x:f>
        <x:v>0.04709141274238227</x:v>
      </x:c>
      <x:c r="I71" t="str">
        <x:v>AVTAR SINGH BHADANA</x:v>
      </x:c>
      <x:c r="J71" t="str">
        <x:v>Rashtriya Lok Dal</x:v>
      </x:c>
      <x:c r="K71" t="str">
        <x:v>EVM row</x:v>
      </x:c>
      <x:c r="L71" s="133" t="str">
        <x:f>IF(D71&lt;=0,"No EVM votes",IF(E71&lt;$N$7,"Low",IF(E71&gt;$R$7,"High","Middle")))</x:f>
        <x:v>High</x:v>
      </x:c>
      <x:c r="M71" s="133" t="str">
        <x:f>IF(D71&lt;=0,"No EVM votes",IF(H71&lt;-20%,"Large deficit",IF(H71&lt;-5%,"Moderate deficit",IF(H71&lt;0,"Narrow deficit",IF(H71&lt;=5%,"Narrow lead/tie",IF(H71&lt;=20%,"Moderate lead","Large lead"))))))</x:f>
        <x:v>Narrow lead/tie</x:v>
      </x:c>
    </x:row>
    <x:row r="72">
      <x:c r="A72" t="n">
        <x:v>13</x:v>
      </x:c>
      <x:c r="B72" t="str">
        <x:v>URSULINE CONVENT SENIOR SECONDARY SCHOOL SEC 36 ROOM N 3</x:v>
      </x:c>
      <x:c r="C72" s="83" t="n">
        <x:f>'2022 Form20'!H21</x:f>
        <x:v>38</x:v>
      </x:c>
      <x:c r="D72" s="83" t="n">
        <x:f>'2022 Form20'!D21</x:f>
        <x:v>369</x:v>
      </x:c>
      <x:c r="E72" s="50" t="n">
        <x:f>'2022 Form20'!T21</x:f>
        <x:v>0.10298102981029811</x:v>
      </x:c>
      <x:c r="F72" t="n">
        <x:f>'2022 Form20'!U21</x:f>
        <x:v>292</x:v>
      </x:c>
      <x:c r="G72" t="n">
        <x:f>'2022 Form20'!V21</x:f>
        <x:v>-254</x:v>
      </x:c>
      <x:c r="H72" s="52" t="n">
        <x:f>'2022 Form20'!W21</x:f>
        <x:v>-0.6883468834688347</x:v>
      </x:c>
      <x:c r="I72" t="str">
        <x:v>DHIRENDRA SINGH</x:v>
      </x:c>
      <x:c r="J72" t="str">
        <x:v>Bharatiya Janata Party</x:v>
      </x:c>
      <x:c r="K72" t="str">
        <x:v>EVM row</x:v>
      </x:c>
      <x:c r="L72" s="133" t="str">
        <x:f>IF(D72&lt;=0,"No EVM votes",IF(E72&lt;$N$7,"Low",IF(E72&gt;$R$7,"High","Middle")))</x:f>
        <x:v>Middle</x:v>
      </x:c>
      <x:c r="M72" s="133" t="str">
        <x:f>IF(D72&lt;=0,"No EVM votes",IF(H72&lt;-20%,"Large deficit",IF(H72&lt;-5%,"Moderate deficit",IF(H72&lt;0,"Narrow deficit",IF(H72&lt;=5%,"Narrow lead/tie",IF(H72&lt;=20%,"Moderate lead","Large lead"))))))</x:f>
        <x:v>Large deficit</x:v>
      </x:c>
    </x:row>
    <x:row r="73">
      <x:c r="A73" t="n">
        <x:v>14</x:v>
      </x:c>
      <x:c r="B73" t="str">
        <x:v>URSULINE CONVENT SENIOR SECONDARY SCHOOL SEC 36 ROOM N 4</x:v>
      </x:c>
      <x:c r="C73" s="83" t="n">
        <x:f>'2022 Form20'!H22</x:f>
        <x:v>29</x:v>
      </x:c>
      <x:c r="D73" s="83" t="n">
        <x:f>'2022 Form20'!D22</x:f>
        <x:v>354</x:v>
      </x:c>
      <x:c r="E73" s="50" t="n">
        <x:f>'2022 Form20'!T22</x:f>
        <x:v>0.08192090395480225</x:v>
      </x:c>
      <x:c r="F73" t="n">
        <x:f>'2022 Form20'!U22</x:f>
        <x:v>268</x:v>
      </x:c>
      <x:c r="G73" t="n">
        <x:f>'2022 Form20'!V22</x:f>
        <x:v>-239</x:v>
      </x:c>
      <x:c r="H73" s="52" t="n">
        <x:f>'2022 Form20'!W22</x:f>
        <x:v>-0.6751412429378532</x:v>
      </x:c>
      <x:c r="I73" t="str">
        <x:v>DHIRENDRA SINGH</x:v>
      </x:c>
      <x:c r="J73" t="str">
        <x:v>Bharatiya Janata Party</x:v>
      </x:c>
      <x:c r="K73" t="str">
        <x:v>EVM row</x:v>
      </x:c>
      <x:c r="L73" s="133" t="str">
        <x:f>IF(D73&lt;=0,"No EVM votes",IF(E73&lt;$N$7,"Low",IF(E73&gt;$R$7,"High","Middle")))</x:f>
        <x:v>Low</x:v>
      </x:c>
      <x:c r="M73" s="133" t="str">
        <x:f>IF(D73&lt;=0,"No EVM votes",IF(H73&lt;-20%,"Large deficit",IF(H73&lt;-5%,"Moderate deficit",IF(H73&lt;0,"Narrow deficit",IF(H73&lt;=5%,"Narrow lead/tie",IF(H73&lt;=20%,"Moderate lead","Large lead"))))))</x:f>
        <x:v>Large deficit</x:v>
      </x:c>
    </x:row>
    <x:row r="74">
      <x:c r="A74" t="n">
        <x:v>15</x:v>
      </x:c>
      <x:c r="B74" t="str">
        <x:v>ARSHLINE CONVENT SENIOR SECONDARY SCHOOL SECTOR 36 ROOM NO 5</x:v>
      </x:c>
      <x:c r="C74" s="83" t="n">
        <x:f>'2022 Form20'!H23</x:f>
        <x:v>52</x:v>
      </x:c>
      <x:c r="D74" s="83" t="n">
        <x:f>'2022 Form20'!D23</x:f>
        <x:v>377</x:v>
      </x:c>
      <x:c r="E74" s="50" t="n">
        <x:f>'2022 Form20'!T23</x:f>
        <x:v>0.13793103448275862</x:v>
      </x:c>
      <x:c r="F74" t="n">
        <x:f>'2022 Form20'!U23</x:f>
        <x:v>275</x:v>
      </x:c>
      <x:c r="G74" t="n">
        <x:f>'2022 Form20'!V23</x:f>
        <x:v>-223</x:v>
      </x:c>
      <x:c r="H74" s="52" t="n">
        <x:f>'2022 Form20'!W23</x:f>
        <x:v>-0.5915119363395226</x:v>
      </x:c>
      <x:c r="I74" t="str">
        <x:v>DHIRENDRA SINGH</x:v>
      </x:c>
      <x:c r="J74" t="str">
        <x:v>Bharatiya Janata Party</x:v>
      </x:c>
      <x:c r="K74" t="str">
        <x:v>EVM row</x:v>
      </x:c>
      <x:c r="L74" s="133" t="str">
        <x:f>IF(D74&lt;=0,"No EVM votes",IF(E74&lt;$N$7,"Low",IF(E74&gt;$R$7,"High","Middle")))</x:f>
        <x:v>Middle</x:v>
      </x:c>
      <x:c r="M74" s="133" t="str">
        <x:f>IF(D74&lt;=0,"No EVM votes",IF(H74&lt;-20%,"Large deficit",IF(H74&lt;-5%,"Moderate deficit",IF(H74&lt;0,"Narrow deficit",IF(H74&lt;=5%,"Narrow lead/tie",IF(H74&lt;=20%,"Moderate lead","Large lead"))))))</x:f>
        <x:v>Large deficit</x:v>
      </x:c>
    </x:row>
    <x:row r="75">
      <x:c r="A75" t="n">
        <x:v>16</x:v>
      </x:c>
      <x:c r="B75" t="str">
        <x:v>ARSHLINE CONVENT SENIOR SECONDARY SCHOOL SECTOR 36 ROOM NO 6</x:v>
      </x:c>
      <x:c r="C75" s="83" t="n">
        <x:f>'2022 Form20'!H24</x:f>
        <x:v>55</x:v>
      </x:c>
      <x:c r="D75" s="83" t="n">
        <x:f>'2022 Form20'!D24</x:f>
        <x:v>393</x:v>
      </x:c>
      <x:c r="E75" s="50" t="n">
        <x:f>'2022 Form20'!T24</x:f>
        <x:v>0.13994910941475827</x:v>
      </x:c>
      <x:c r="F75" t="n">
        <x:f>'2022 Form20'!U24</x:f>
        <x:v>310</x:v>
      </x:c>
      <x:c r="G75" t="n">
        <x:f>'2022 Form20'!V24</x:f>
        <x:v>-255</x:v>
      </x:c>
      <x:c r="H75" s="52" t="n">
        <x:f>'2022 Form20'!W24</x:f>
        <x:v>-0.648854961832061</x:v>
      </x:c>
      <x:c r="I75" t="str">
        <x:v>DHIRENDRA SINGH</x:v>
      </x:c>
      <x:c r="J75" t="str">
        <x:v>Bharatiya Janata Party</x:v>
      </x:c>
      <x:c r="K75" t="str">
        <x:v>EVM row</x:v>
      </x:c>
      <x:c r="L75" s="133" t="str">
        <x:f>IF(D75&lt;=0,"No EVM votes",IF(E75&lt;$N$7,"Low",IF(E75&gt;$R$7,"High","Middle")))</x:f>
        <x:v>Middle</x:v>
      </x:c>
      <x:c r="M75" s="133" t="str">
        <x:f>IF(D75&lt;=0,"No EVM votes",IF(H75&lt;-20%,"Large deficit",IF(H75&lt;-5%,"Moderate deficit",IF(H75&lt;0,"Narrow deficit",IF(H75&lt;=5%,"Narrow lead/tie",IF(H75&lt;=20%,"Moderate lead","Large lead"))))))</x:f>
        <x:v>Large deficit</x:v>
      </x:c>
    </x:row>
    <x:row r="76">
      <x:c r="A76" t="n">
        <x:v>17</x:v>
      </x:c>
      <x:c r="B76" t="str">
        <x:v>ARSHLINE CONVENT SENIOR SECONDARY SCHOOL SECTOR 36 ROOM NO 7</x:v>
      </x:c>
      <x:c r="C76" s="83" t="n">
        <x:f>'2022 Form20'!H25</x:f>
        <x:v>53</x:v>
      </x:c>
      <x:c r="D76" s="83" t="n">
        <x:f>'2022 Form20'!D25</x:f>
        <x:v>497</x:v>
      </x:c>
      <x:c r="E76" s="50" t="n">
        <x:f>'2022 Form20'!T25</x:f>
        <x:v>0.10663983903420524</x:v>
      </x:c>
      <x:c r="F76" t="n">
        <x:f>'2022 Form20'!U25</x:f>
        <x:v>406</x:v>
      </x:c>
      <x:c r="G76" t="n">
        <x:f>'2022 Form20'!V25</x:f>
        <x:v>-353</x:v>
      </x:c>
      <x:c r="H76" s="52" t="n">
        <x:f>'2022 Form20'!W25</x:f>
        <x:v>-0.710261569416499</x:v>
      </x:c>
      <x:c r="I76" t="str">
        <x:v>DHIRENDRA SINGH</x:v>
      </x:c>
      <x:c r="J76" t="str">
        <x:v>Bharatiya Janata Party</x:v>
      </x:c>
      <x:c r="K76" t="str">
        <x:v>EVM row</x:v>
      </x:c>
      <x:c r="L76" s="133" t="str">
        <x:f>IF(D76&lt;=0,"No EVM votes",IF(E76&lt;$N$7,"Low",IF(E76&gt;$R$7,"High","Middle")))</x:f>
        <x:v>Middle</x:v>
      </x:c>
      <x:c r="M76" s="133" t="str">
        <x:f>IF(D76&lt;=0,"No EVM votes",IF(H76&lt;-20%,"Large deficit",IF(H76&lt;-5%,"Moderate deficit",IF(H76&lt;0,"Narrow deficit",IF(H76&lt;=5%,"Narrow lead/tie",IF(H76&lt;=20%,"Moderate lead","Large lead"))))))</x:f>
        <x:v>Large deficit</x:v>
      </x:c>
    </x:row>
    <x:row r="77">
      <x:c r="A77" t="n">
        <x:v>18</x:v>
      </x:c>
      <x:c r="B77" t="str">
        <x:v>COMMUNITY CENTER SIGMA 4 GREATER NOIDA ROOM NO 1</x:v>
      </x:c>
      <x:c r="C77" s="83" t="n">
        <x:f>'2022 Form20'!H26</x:f>
        <x:v>44</x:v>
      </x:c>
      <x:c r="D77" s="83" t="n">
        <x:f>'2022 Form20'!D26</x:f>
        <x:v>284</x:v>
      </x:c>
      <x:c r="E77" s="50" t="n">
        <x:f>'2022 Form20'!T26</x:f>
        <x:v>0.15492957746478872</x:v>
      </x:c>
      <x:c r="F77" t="n">
        <x:f>'2022 Form20'!U26</x:f>
        <x:v>213</x:v>
      </x:c>
      <x:c r="G77" t="n">
        <x:f>'2022 Form20'!V26</x:f>
        <x:v>-169</x:v>
      </x:c>
      <x:c r="H77" s="52" t="n">
        <x:f>'2022 Form20'!W26</x:f>
        <x:v>-0.5950704225352113</x:v>
      </x:c>
      <x:c r="I77" t="str">
        <x:v>DHIRENDRA SINGH</x:v>
      </x:c>
      <x:c r="J77" t="str">
        <x:v>Bharatiya Janata Party</x:v>
      </x:c>
      <x:c r="K77" t="str">
        <x:v>EVM row</x:v>
      </x:c>
      <x:c r="L77" s="133" t="str">
        <x:f>IF(D77&lt;=0,"No EVM votes",IF(E77&lt;$N$7,"Low",IF(E77&gt;$R$7,"High","Middle")))</x:f>
        <x:v>Middle</x:v>
      </x:c>
      <x:c r="M77" s="133" t="str">
        <x:f>IF(D77&lt;=0,"No EVM votes",IF(H77&lt;-20%,"Large deficit",IF(H77&lt;-5%,"Moderate deficit",IF(H77&lt;0,"Narrow deficit",IF(H77&lt;=5%,"Narrow lead/tie",IF(H77&lt;=20%,"Moderate lead","Large lead"))))))</x:f>
        <x:v>Large deficit</x:v>
      </x:c>
    </x:row>
    <x:row r="78">
      <x:c r="A78" t="n">
        <x:v>19</x:v>
      </x:c>
      <x:c r="B78" t="str">
        <x:v>COMMUNITY CENTER SIGMA 4 GREATER NOIDA ROOM NO 2</x:v>
      </x:c>
      <x:c r="C78" s="83" t="n">
        <x:f>'2022 Form20'!H27</x:f>
        <x:v>48</x:v>
      </x:c>
      <x:c r="D78" s="83" t="n">
        <x:f>'2022 Form20'!D27</x:f>
        <x:v>498</x:v>
      </x:c>
      <x:c r="E78" s="50" t="n">
        <x:f>'2022 Form20'!T27</x:f>
        <x:v>0.0963855421686747</x:v>
      </x:c>
      <x:c r="F78" t="n">
        <x:f>'2022 Form20'!U27</x:f>
        <x:v>407</x:v>
      </x:c>
      <x:c r="G78" t="n">
        <x:f>'2022 Form20'!V27</x:f>
        <x:v>-359</x:v>
      </x:c>
      <x:c r="H78" s="52" t="n">
        <x:f>'2022 Form20'!W27</x:f>
        <x:v>-0.7208835341365462</x:v>
      </x:c>
      <x:c r="I78" t="str">
        <x:v>DHIRENDRA SINGH</x:v>
      </x:c>
      <x:c r="J78" t="str">
        <x:v>Bharatiya Janata Party</x:v>
      </x:c>
      <x:c r="K78" t="str">
        <x:v>EVM row</x:v>
      </x:c>
      <x:c r="L78" s="133" t="str">
        <x:f>IF(D78&lt;=0,"No EVM votes",IF(E78&lt;$N$7,"Low",IF(E78&gt;$R$7,"High","Middle")))</x:f>
        <x:v>Middle</x:v>
      </x:c>
      <x:c r="M78" s="133" t="str">
        <x:f>IF(D78&lt;=0,"No EVM votes",IF(H78&lt;-20%,"Large deficit",IF(H78&lt;-5%,"Moderate deficit",IF(H78&lt;0,"Narrow deficit",IF(H78&lt;=5%,"Narrow lead/tie",IF(H78&lt;=20%,"Moderate lead","Large lead"))))))</x:f>
        <x:v>Large deficit</x:v>
      </x:c>
    </x:row>
    <x:row r="79">
      <x:c r="A79" t="n">
        <x:v>20</x:v>
      </x:c>
      <x:c r="B79" t="str">
        <x:v>PRIMARY SCHOOL BIRODA ROOM NO 1</x:v>
      </x:c>
      <x:c r="C79" s="83" t="n">
        <x:f>'2022 Form20'!H28</x:f>
        <x:v>141</x:v>
      </x:c>
      <x:c r="D79" s="83" t="n">
        <x:f>'2022 Form20'!D28</x:f>
        <x:v>421</x:v>
      </x:c>
      <x:c r="E79" s="50" t="n">
        <x:f>'2022 Form20'!T28</x:f>
        <x:v>0.334916864608076</x:v>
      </x:c>
      <x:c r="F79" t="n">
        <x:f>'2022 Form20'!U28</x:f>
        <x:v>143</x:v>
      </x:c>
      <x:c r="G79" t="n">
        <x:f>'2022 Form20'!V28</x:f>
        <x:v>-2</x:v>
      </x:c>
      <x:c r="H79" s="52" t="n">
        <x:f>'2022 Form20'!W28</x:f>
        <x:v>-0.004750593824228029</x:v>
      </x:c>
      <x:c r="I79" t="str">
        <x:v>DHIRENDRA SINGH</x:v>
      </x:c>
      <x:c r="J79" t="str">
        <x:v>Bharatiya Janata Party</x:v>
      </x:c>
      <x:c r="K79" t="str">
        <x:v>EVM row</x:v>
      </x:c>
      <x:c r="L79" s="133" t="str">
        <x:f>IF(D79&lt;=0,"No EVM votes",IF(E79&lt;$N$7,"Low",IF(E79&gt;$R$7,"High","Middle")))</x:f>
        <x:v>Middle</x:v>
      </x:c>
      <x:c r="M79" s="133" t="str">
        <x:f>IF(D79&lt;=0,"No EVM votes",IF(H79&lt;-20%,"Large deficit",IF(H79&lt;-5%,"Moderate deficit",IF(H79&lt;0,"Narrow deficit",IF(H79&lt;=5%,"Narrow lead/tie",IF(H79&lt;=20%,"Moderate lead","Large lead"))))))</x:f>
        <x:v>Narrow deficit</x:v>
      </x:c>
    </x:row>
    <x:row r="80">
      <x:c r="A80" t="n">
        <x:v>21</x:v>
      </x:c>
      <x:c r="B80" t="str">
        <x:v>SAMSARA WORLD PUBLIC SCHOOL PAI 1 GREATER NOIDA ROOM NO 1</x:v>
      </x:c>
      <x:c r="C80" s="83" t="n">
        <x:f>'2022 Form20'!H29</x:f>
        <x:v>49</x:v>
      </x:c>
      <x:c r="D80" s="83" t="n">
        <x:f>'2022 Form20'!D29</x:f>
        <x:v>470</x:v>
      </x:c>
      <x:c r="E80" s="50" t="n">
        <x:f>'2022 Form20'!T29</x:f>
        <x:v>0.10425531914893617</x:v>
      </x:c>
      <x:c r="F80" t="n">
        <x:f>'2022 Form20'!U29</x:f>
        <x:v>375</x:v>
      </x:c>
      <x:c r="G80" t="n">
        <x:f>'2022 Form20'!V29</x:f>
        <x:v>-326</x:v>
      </x:c>
      <x:c r="H80" s="52" t="n">
        <x:f>'2022 Form20'!W29</x:f>
        <x:v>-0.6936170212765957</x:v>
      </x:c>
      <x:c r="I80" t="str">
        <x:v>DHIRENDRA SINGH</x:v>
      </x:c>
      <x:c r="J80" t="str">
        <x:v>Bharatiya Janata Party</x:v>
      </x:c>
      <x:c r="K80" t="str">
        <x:v>EVM row</x:v>
      </x:c>
      <x:c r="L80" s="133" t="str">
        <x:f>IF(D80&lt;=0,"No EVM votes",IF(E80&lt;$N$7,"Low",IF(E80&gt;$R$7,"High","Middle")))</x:f>
        <x:v>Middle</x:v>
      </x:c>
      <x:c r="M80" s="133" t="str">
        <x:f>IF(D80&lt;=0,"No EVM votes",IF(H80&lt;-20%,"Large deficit",IF(H80&lt;-5%,"Moderate deficit",IF(H80&lt;0,"Narrow deficit",IF(H80&lt;=5%,"Narrow lead/tie",IF(H80&lt;=20%,"Moderate lead","Large lead"))))))</x:f>
        <x:v>Large deficit</x:v>
      </x:c>
    </x:row>
    <x:row r="81">
      <x:c r="A81" t="n">
        <x:v>22</x:v>
      </x:c>
      <x:c r="B81" t="str">
        <x:v>SAMSARA WORLD PUBLIC SCHOOL PAI 1 GREATER NOIDA NO 2</x:v>
      </x:c>
      <x:c r="C81" s="83" t="n">
        <x:f>'2022 Form20'!H30</x:f>
        <x:v>27</x:v>
      </x:c>
      <x:c r="D81" s="83" t="n">
        <x:f>'2022 Form20'!D30</x:f>
        <x:v>383</x:v>
      </x:c>
      <x:c r="E81" s="50" t="n">
        <x:f>'2022 Form20'!T30</x:f>
        <x:v>0.07049608355091384</x:v>
      </x:c>
      <x:c r="F81" t="n">
        <x:f>'2022 Form20'!U30</x:f>
        <x:v>327</x:v>
      </x:c>
      <x:c r="G81" t="n">
        <x:f>'2022 Form20'!V30</x:f>
        <x:v>-300</x:v>
      </x:c>
      <x:c r="H81" s="52" t="n">
        <x:f>'2022 Form20'!W30</x:f>
        <x:v>-0.783289817232376</x:v>
      </x:c>
      <x:c r="I81" t="str">
        <x:v>DHIRENDRA SINGH</x:v>
      </x:c>
      <x:c r="J81" t="str">
        <x:v>Bharatiya Janata Party</x:v>
      </x:c>
      <x:c r="K81" t="str">
        <x:v>EVM row</x:v>
      </x:c>
      <x:c r="L81" s="133" t="str">
        <x:f>IF(D81&lt;=0,"No EVM votes",IF(E81&lt;$N$7,"Low",IF(E81&gt;$R$7,"High","Middle")))</x:f>
        <x:v>Low</x:v>
      </x:c>
      <x:c r="M81" s="133" t="str">
        <x:f>IF(D81&lt;=0,"No EVM votes",IF(H81&lt;-20%,"Large deficit",IF(H81&lt;-5%,"Moderate deficit",IF(H81&lt;0,"Narrow deficit",IF(H81&lt;=5%,"Narrow lead/tie",IF(H81&lt;=20%,"Moderate lead","Large lead"))))))</x:f>
        <x:v>Large deficit</x:v>
      </x:c>
    </x:row>
    <x:row r="82">
      <x:c r="A82" t="n">
        <x:v>23</x:v>
      </x:c>
      <x:c r="B82" t="str">
        <x:v>SAMSARA WORLD PUBLIC SCHOOL PAI 1 GREATER NOIDA ROOM NO 3</x:v>
      </x:c>
      <x:c r="C82" s="83" t="n">
        <x:f>'2022 Form20'!H31</x:f>
        <x:v>35</x:v>
      </x:c>
      <x:c r="D82" s="83" t="n">
        <x:f>'2022 Form20'!D31</x:f>
        <x:v>531</x:v>
      </x:c>
      <x:c r="E82" s="50" t="n">
        <x:f>'2022 Form20'!T31</x:f>
        <x:v>0.06591337099811675</x:v>
      </x:c>
      <x:c r="F82" t="n">
        <x:f>'2022 Form20'!U31</x:f>
        <x:v>434</x:v>
      </x:c>
      <x:c r="G82" t="n">
        <x:f>'2022 Form20'!V31</x:f>
        <x:v>-399</x:v>
      </x:c>
      <x:c r="H82" s="52" t="n">
        <x:f>'2022 Form20'!W31</x:f>
        <x:v>-0.751412429378531</x:v>
      </x:c>
      <x:c r="I82" t="str">
        <x:v>DHIRENDRA SINGH</x:v>
      </x:c>
      <x:c r="J82" t="str">
        <x:v>Bharatiya Janata Party</x:v>
      </x:c>
      <x:c r="K82" t="str">
        <x:v>EVM row</x:v>
      </x:c>
      <x:c r="L82" s="133" t="str">
        <x:f>IF(D82&lt;=0,"No EVM votes",IF(E82&lt;$N$7,"Low",IF(E82&gt;$R$7,"High","Middle")))</x:f>
        <x:v>Low</x:v>
      </x:c>
      <x:c r="M82" s="133" t="str">
        <x:f>IF(D82&lt;=0,"No EVM votes",IF(H82&lt;-20%,"Large deficit",IF(H82&lt;-5%,"Moderate deficit",IF(H82&lt;0,"Narrow deficit",IF(H82&lt;=5%,"Narrow lead/tie",IF(H82&lt;=20%,"Moderate lead","Large lead"))))))</x:f>
        <x:v>Large deficit</x:v>
      </x:c>
    </x:row>
    <x:row r="83">
      <x:c r="A83" t="n">
        <x:v>24</x:v>
      </x:c>
      <x:c r="B83" t="str">
        <x:v>SAMSARA WORLD PUBLIC SCHOOL PAI 1 GREATER NOIDA ROOM NO 4</x:v>
      </x:c>
      <x:c r="C83" s="83" t="n">
        <x:f>'2022 Form20'!H32</x:f>
        <x:v>31</x:v>
      </x:c>
      <x:c r="D83" s="83" t="n">
        <x:f>'2022 Form20'!D32</x:f>
        <x:v>467</x:v>
      </x:c>
      <x:c r="E83" s="50" t="n">
        <x:f>'2022 Form20'!T32</x:f>
        <x:v>0.06638115631691649</x:v>
      </x:c>
      <x:c r="F83" t="n">
        <x:f>'2022 Form20'!U32</x:f>
        <x:v>377</x:v>
      </x:c>
      <x:c r="G83" t="n">
        <x:f>'2022 Form20'!V32</x:f>
        <x:v>-346</x:v>
      </x:c>
      <x:c r="H83" s="52" t="n">
        <x:f>'2022 Form20'!W32</x:f>
        <x:v>-0.7408993576017131</x:v>
      </x:c>
      <x:c r="I83" t="str">
        <x:v>DHIRENDRA SINGH</x:v>
      </x:c>
      <x:c r="J83" t="str">
        <x:v>Bharatiya Janata Party</x:v>
      </x:c>
      <x:c r="K83" t="str">
        <x:v>EVM row</x:v>
      </x:c>
      <x:c r="L83" s="133" t="str">
        <x:f>IF(D83&lt;=0,"No EVM votes",IF(E83&lt;$N$7,"Low",IF(E83&gt;$R$7,"High","Middle")))</x:f>
        <x:v>Low</x:v>
      </x:c>
      <x:c r="M83" s="133" t="str">
        <x:f>IF(D83&lt;=0,"No EVM votes",IF(H83&lt;-20%,"Large deficit",IF(H83&lt;-5%,"Moderate deficit",IF(H83&lt;0,"Narrow deficit",IF(H83&lt;=5%,"Narrow lead/tie",IF(H83&lt;=20%,"Moderate lead","Large lead"))))))</x:f>
        <x:v>Large deficit</x:v>
      </x:c>
    </x:row>
    <x:row r="84">
      <x:c r="A84" t="n">
        <x:v>25</x:v>
      </x:c>
      <x:c r="B84" t="str">
        <x:v>SAMSARA WORLD PUBLIC SCHOOL PAI 1 GREATER NOIDA ROOM NO 5</x:v>
      </x:c>
      <x:c r="C84" s="83" t="n">
        <x:f>'2022 Form20'!H33</x:f>
        <x:v>65</x:v>
      </x:c>
      <x:c r="D84" s="83" t="n">
        <x:f>'2022 Form20'!D33</x:f>
        <x:v>595</x:v>
      </x:c>
      <x:c r="E84" s="50" t="n">
        <x:f>'2022 Form20'!T33</x:f>
        <x:v>0.1092436974789916</x:v>
      </x:c>
      <x:c r="F84" t="n">
        <x:f>'2022 Form20'!U33</x:f>
        <x:v>487</x:v>
      </x:c>
      <x:c r="G84" t="n">
        <x:f>'2022 Form20'!V33</x:f>
        <x:v>-422</x:v>
      </x:c>
      <x:c r="H84" s="52" t="n">
        <x:f>'2022 Form20'!W33</x:f>
        <x:v>-0.7092436974789916</x:v>
      </x:c>
      <x:c r="I84" t="str">
        <x:v>DHIRENDRA SINGH</x:v>
      </x:c>
      <x:c r="J84" t="str">
        <x:v>Bharatiya Janata Party</x:v>
      </x:c>
      <x:c r="K84" t="str">
        <x:v>EVM row</x:v>
      </x:c>
      <x:c r="L84" s="133" t="str">
        <x:f>IF(D84&lt;=0,"No EVM votes",IF(E84&lt;$N$7,"Low",IF(E84&gt;$R$7,"High","Middle")))</x:f>
        <x:v>Middle</x:v>
      </x:c>
      <x:c r="M84" s="133" t="str">
        <x:f>IF(D84&lt;=0,"No EVM votes",IF(H84&lt;-20%,"Large deficit",IF(H84&lt;-5%,"Moderate deficit",IF(H84&lt;0,"Narrow deficit",IF(H84&lt;=5%,"Narrow lead/tie",IF(H84&lt;=20%,"Moderate lead","Large lead"))))))</x:f>
        <x:v>Large deficit</x:v>
      </x:c>
    </x:row>
    <x:row r="85">
      <x:c r="A85" t="n">
        <x:v>26</x:v>
      </x:c>
      <x:c r="B85" t="str">
        <x:v>PRIMARY SCHOOL DADA ROOM NO 1</x:v>
      </x:c>
      <x:c r="C85" s="83" t="n">
        <x:f>'2022 Form20'!H34</x:f>
        <x:v>57</x:v>
      </x:c>
      <x:c r="D85" s="83" t="n">
        <x:f>'2022 Form20'!D34</x:f>
        <x:v>775</x:v>
      </x:c>
      <x:c r="E85" s="50" t="n">
        <x:f>'2022 Form20'!T34</x:f>
        <x:v>0.07354838709677419</x:v>
      </x:c>
      <x:c r="F85" t="n">
        <x:f>'2022 Form20'!U34</x:f>
        <x:v>432</x:v>
      </x:c>
      <x:c r="G85" t="n">
        <x:f>'2022 Form20'!V34</x:f>
        <x:v>-375</x:v>
      </x:c>
      <x:c r="H85" s="52" t="n">
        <x:f>'2022 Form20'!W34</x:f>
        <x:v>-0.4838709677419355</x:v>
      </x:c>
      <x:c r="I85" t="str">
        <x:v>NARENDER KUMAR</x:v>
      </x:c>
      <x:c r="J85" t="str">
        <x:v>Bahujan Samaj Party</x:v>
      </x:c>
      <x:c r="K85" t="str">
        <x:v>EVM row</x:v>
      </x:c>
      <x:c r="L85" s="133" t="str">
        <x:f>IF(D85&lt;=0,"No EVM votes",IF(E85&lt;$N$7,"Low",IF(E85&gt;$R$7,"High","Middle")))</x:f>
        <x:v>Low</x:v>
      </x:c>
      <x:c r="M85" s="133" t="str">
        <x:f>IF(D85&lt;=0,"No EVM votes",IF(H85&lt;-20%,"Large deficit",IF(H85&lt;-5%,"Moderate deficit",IF(H85&lt;0,"Narrow deficit",IF(H85&lt;=5%,"Narrow lead/tie",IF(H85&lt;=20%,"Moderate lead","Large lead"))))))</x:f>
        <x:v>Large deficit</x:v>
      </x:c>
    </x:row>
    <x:row r="86">
      <x:c r="A86" t="n">
        <x:v>27</x:v>
      </x:c>
      <x:c r="B86" t="str">
        <x:v>PRIMARY SCHOOL DADA ROOM NO 2</x:v>
      </x:c>
      <x:c r="C86" s="83" t="n">
        <x:f>'2022 Form20'!H35</x:f>
        <x:v>48</x:v>
      </x:c>
      <x:c r="D86" s="83" t="n">
        <x:f>'2022 Form20'!D35</x:f>
        <x:v>792</x:v>
      </x:c>
      <x:c r="E86" s="50" t="n">
        <x:f>'2022 Form20'!T35</x:f>
        <x:v>0.06060606060606061</x:v>
      </x:c>
      <x:c r="F86" t="n">
        <x:f>'2022 Form20'!U35</x:f>
        <x:v>445</x:v>
      </x:c>
      <x:c r="G86" t="n">
        <x:f>'2022 Form20'!V35</x:f>
        <x:v>-397</x:v>
      </x:c>
      <x:c r="H86" s="52" t="n">
        <x:f>'2022 Form20'!W35</x:f>
        <x:v>-0.5012626262626263</x:v>
      </x:c>
      <x:c r="I86" t="str">
        <x:v>NARENDER KUMAR</x:v>
      </x:c>
      <x:c r="J86" t="str">
        <x:v>Bahujan Samaj Party</x:v>
      </x:c>
      <x:c r="K86" t="str">
        <x:v>EVM row</x:v>
      </x:c>
      <x:c r="L86" s="133" t="str">
        <x:f>IF(D86&lt;=0,"No EVM votes",IF(E86&lt;$N$7,"Low",IF(E86&gt;$R$7,"High","Middle")))</x:f>
        <x:v>Low</x:v>
      </x:c>
      <x:c r="M86" s="133" t="str">
        <x:f>IF(D86&lt;=0,"No EVM votes",IF(H86&lt;-20%,"Large deficit",IF(H86&lt;-5%,"Moderate deficit",IF(H86&lt;0,"Narrow deficit",IF(H86&lt;=5%,"Narrow lead/tie",IF(H86&lt;=20%,"Moderate lead","Large lead"))))))</x:f>
        <x:v>Large deficit</x:v>
      </x:c>
    </x:row>
    <x:row r="87">
      <x:c r="A87" t="n">
        <x:v>28</x:v>
      </x:c>
      <x:c r="B87" t="str">
        <x:v>PRIMARY SCHOOL SIRSA ROOM NO 1</x:v>
      </x:c>
      <x:c r="C87" s="83" t="n">
        <x:f>'2022 Form20'!H36</x:f>
        <x:v>197</x:v>
      </x:c>
      <x:c r="D87" s="83" t="n">
        <x:f>'2022 Form20'!D36</x:f>
        <x:v>549</x:v>
      </x:c>
      <x:c r="E87" s="50" t="n">
        <x:f>'2022 Form20'!T36</x:f>
        <x:v>0.3588342440801457</x:v>
      </x:c>
      <x:c r="F87" t="n">
        <x:f>'2022 Form20'!U36</x:f>
        <x:v>257</x:v>
      </x:c>
      <x:c r="G87" t="n">
        <x:f>'2022 Form20'!V36</x:f>
        <x:v>-60</x:v>
      </x:c>
      <x:c r="H87" s="52" t="n">
        <x:f>'2022 Form20'!W36</x:f>
        <x:v>-0.1092896174863388</x:v>
      </x:c>
      <x:c r="I87" t="str">
        <x:v>DHIRENDRA SINGH</x:v>
      </x:c>
      <x:c r="J87" t="str">
        <x:v>Bharatiya Janata Party</x:v>
      </x:c>
      <x:c r="K87" t="str">
        <x:v>EVM row</x:v>
      </x:c>
      <x:c r="L87" s="133" t="str">
        <x:f>IF(D87&lt;=0,"No EVM votes",IF(E87&lt;$N$7,"Low",IF(E87&gt;$R$7,"High","Middle")))</x:f>
        <x:v>Middle</x:v>
      </x:c>
      <x:c r="M87" s="133" t="str">
        <x:f>IF(D87&lt;=0,"No EVM votes",IF(H87&lt;-20%,"Large deficit",IF(H87&lt;-5%,"Moderate deficit",IF(H87&lt;0,"Narrow deficit",IF(H87&lt;=5%,"Narrow lead/tie",IF(H87&lt;=20%,"Moderate lead","Large lead"))))))</x:f>
        <x:v>Moderate deficit</x:v>
      </x:c>
    </x:row>
    <x:row r="88">
      <x:c r="A88" t="n">
        <x:v>29</x:v>
      </x:c>
      <x:c r="B88" t="str">
        <x:v>PRIMARY SCHOOL SIRSA ROOM NO 2</x:v>
      </x:c>
      <x:c r="C88" s="83" t="n">
        <x:f>'2022 Form20'!H37</x:f>
        <x:v>103</x:v>
      </x:c>
      <x:c r="D88" s="83" t="n">
        <x:f>'2022 Form20'!D37</x:f>
        <x:v>635</x:v>
      </x:c>
      <x:c r="E88" s="50" t="n">
        <x:f>'2022 Form20'!T37</x:f>
        <x:v>0.16220472440944883</x:v>
      </x:c>
      <x:c r="F88" t="n">
        <x:f>'2022 Form20'!U37</x:f>
        <x:v>377</x:v>
      </x:c>
      <x:c r="G88" t="n">
        <x:f>'2022 Form20'!V37</x:f>
        <x:v>-274</x:v>
      </x:c>
      <x:c r="H88" s="52" t="n">
        <x:f>'2022 Form20'!W37</x:f>
        <x:v>-0.431496062992126</x:v>
      </x:c>
      <x:c r="I88" t="str">
        <x:v>DHIRENDRA SINGH</x:v>
      </x:c>
      <x:c r="J88" t="str">
        <x:v>Bharatiya Janata Party</x:v>
      </x:c>
      <x:c r="K88" t="str">
        <x:v>EVM row</x:v>
      </x:c>
      <x:c r="L88" s="133" t="str">
        <x:f>IF(D88&lt;=0,"No EVM votes",IF(E88&lt;$N$7,"Low",IF(E88&gt;$R$7,"High","Middle")))</x:f>
        <x:v>Middle</x:v>
      </x:c>
      <x:c r="M88" s="133" t="str">
        <x:f>IF(D88&lt;=0,"No EVM votes",IF(H88&lt;-20%,"Large deficit",IF(H88&lt;-5%,"Moderate deficit",IF(H88&lt;0,"Narrow deficit",IF(H88&lt;=5%,"Narrow lead/tie",IF(H88&lt;=20%,"Moderate lead","Large lead"))))))</x:f>
        <x:v>Large deficit</x:v>
      </x:c>
    </x:row>
    <x:row r="89">
      <x:c r="A89" t="n">
        <x:v>30</x:v>
      </x:c>
      <x:c r="B89" t="str">
        <x:v>PRIMARY SCHOOL KHANPUR ROOM NO 1</x:v>
      </x:c>
      <x:c r="C89" s="83" t="n">
        <x:f>'2022 Form20'!H38</x:f>
        <x:v>259</x:v>
      </x:c>
      <x:c r="D89" s="83" t="n">
        <x:f>'2022 Form20'!D38</x:f>
        <x:v>606</x:v>
      </x:c>
      <x:c r="E89" s="50" t="n">
        <x:f>'2022 Form20'!T38</x:f>
        <x:v>0.4273927392739274</x:v>
      </x:c>
      <x:c r="F89" t="n">
        <x:f>'2022 Form20'!U38</x:f>
        <x:v>266</x:v>
      </x:c>
      <x:c r="G89" t="n">
        <x:f>'2022 Form20'!V38</x:f>
        <x:v>-7</x:v>
      </x:c>
      <x:c r="H89" s="52" t="n">
        <x:f>'2022 Form20'!W38</x:f>
        <x:v>-0.01155115511551155</x:v>
      </x:c>
      <x:c r="I89" t="str">
        <x:v>DHIRENDRA SINGH</x:v>
      </x:c>
      <x:c r="J89" t="str">
        <x:v>Bharatiya Janata Party</x:v>
      </x:c>
      <x:c r="K89" t="str">
        <x:v>EVM row</x:v>
      </x:c>
      <x:c r="L89" s="133" t="str">
        <x:f>IF(D89&lt;=0,"No EVM votes",IF(E89&lt;$N$7,"Low",IF(E89&gt;$R$7,"High","Middle")))</x:f>
        <x:v>High</x:v>
      </x:c>
      <x:c r="M89" s="133" t="str">
        <x:f>IF(D89&lt;=0,"No EVM votes",IF(H89&lt;-20%,"Large deficit",IF(H89&lt;-5%,"Moderate deficit",IF(H89&lt;0,"Narrow deficit",IF(H89&lt;=5%,"Narrow lead/tie",IF(H89&lt;=20%,"Moderate lead","Large lead"))))))</x:f>
        <x:v>Narrow deficit</x:v>
      </x:c>
    </x:row>
    <x:row r="90">
      <x:c r="A90" t="n">
        <x:v>31</x:v>
      </x:c>
      <x:c r="B90" t="str">
        <x:v>PRIMARY SCHOOL KHANPUR ROOM NO 2</x:v>
      </x:c>
      <x:c r="C90" s="83" t="n">
        <x:f>'2022 Form20'!H39</x:f>
        <x:v>272</x:v>
      </x:c>
      <x:c r="D90" s="83" t="n">
        <x:f>'2022 Form20'!D39</x:f>
        <x:v>735</x:v>
      </x:c>
      <x:c r="E90" s="50" t="n">
        <x:f>'2022 Form20'!T39</x:f>
        <x:v>0.37006802721088433</x:v>
      </x:c>
      <x:c r="F90" t="n">
        <x:f>'2022 Form20'!U39</x:f>
        <x:v>240</x:v>
      </x:c>
      <x:c r="G90" t="n">
        <x:f>'2022 Form20'!V39</x:f>
        <x:v>32</x:v>
      </x:c>
      <x:c r="H90" s="52" t="n">
        <x:f>'2022 Form20'!W39</x:f>
        <x:v>0.04353741496598639</x:v>
      </x:c>
      <x:c r="I90" t="str">
        <x:v>AVTAR SINGH BHADANA</x:v>
      </x:c>
      <x:c r="J90" t="str">
        <x:v>Rashtriya Lok Dal</x:v>
      </x:c>
      <x:c r="K90" t="str">
        <x:v>EVM row</x:v>
      </x:c>
      <x:c r="L90" s="133" t="str">
        <x:f>IF(D90&lt;=0,"No EVM votes",IF(E90&lt;$N$7,"Low",IF(E90&gt;$R$7,"High","Middle")))</x:f>
        <x:v>High</x:v>
      </x:c>
      <x:c r="M90" s="133" t="str">
        <x:f>IF(D90&lt;=0,"No EVM votes",IF(H90&lt;-20%,"Large deficit",IF(H90&lt;-5%,"Moderate deficit",IF(H90&lt;0,"Narrow deficit",IF(H90&lt;=5%,"Narrow lead/tie",IF(H90&lt;=20%,"Moderate lead","Large lead"))))))</x:f>
        <x:v>Narrow lead/tie</x:v>
      </x:c>
    </x:row>
    <x:row r="91">
      <x:c r="A91" t="n">
        <x:v>32</x:v>
      </x:c>
      <x:c r="B91" t="str">
        <x:v>PRIMARY SCHOOL LUXOR ROOM NO. 1</x:v>
      </x:c>
      <x:c r="C91" s="83" t="n">
        <x:f>'2022 Form20'!H40</x:f>
        <x:v>150</x:v>
      </x:c>
      <x:c r="D91" s="83" t="n">
        <x:f>'2022 Form20'!D40</x:f>
        <x:v>478</x:v>
      </x:c>
      <x:c r="E91" s="50" t="n">
        <x:f>'2022 Form20'!T40</x:f>
        <x:v>0.3138075313807531</x:v>
      </x:c>
      <x:c r="F91" t="n">
        <x:f>'2022 Form20'!U40</x:f>
        <x:v>234</x:v>
      </x:c>
      <x:c r="G91" t="n">
        <x:f>'2022 Form20'!V40</x:f>
        <x:v>-84</x:v>
      </x:c>
      <x:c r="H91" s="52" t="n">
        <x:f>'2022 Form20'!W40</x:f>
        <x:v>-0.17573221757322174</x:v>
      </x:c>
      <x:c r="I91" t="str">
        <x:v>DHIRENDRA SINGH</x:v>
      </x:c>
      <x:c r="J91" t="str">
        <x:v>Bharatiya Janata Party</x:v>
      </x:c>
      <x:c r="K91" t="str">
        <x:v>EVM row</x:v>
      </x:c>
      <x:c r="L91" s="133" t="str">
        <x:f>IF(D91&lt;=0,"No EVM votes",IF(E91&lt;$N$7,"Low",IF(E91&gt;$R$7,"High","Middle")))</x:f>
        <x:v>Middle</x:v>
      </x:c>
      <x:c r="M91" s="133" t="str">
        <x:f>IF(D91&lt;=0,"No EVM votes",IF(H91&lt;-20%,"Large deficit",IF(H91&lt;-5%,"Moderate deficit",IF(H91&lt;0,"Narrow deficit",IF(H91&lt;=5%,"Narrow lead/tie",IF(H91&lt;=20%,"Moderate lead","Large lead"))))))</x:f>
        <x:v>Moderate deficit</x:v>
      </x:c>
    </x:row>
    <x:row r="92">
      <x:c r="A92" t="n">
        <x:v>33</x:v>
      </x:c>
      <x:c r="B92" t="str">
        <x:v>PRIMARY SCHOOL LUXOR ROOM NO. 2</x:v>
      </x:c>
      <x:c r="C92" s="83" t="n">
        <x:f>'2022 Form20'!H41</x:f>
        <x:v>109</x:v>
      </x:c>
      <x:c r="D92" s="83" t="n">
        <x:f>'2022 Form20'!D41</x:f>
        <x:v>333</x:v>
      </x:c>
      <x:c r="E92" s="50" t="n">
        <x:f>'2022 Form20'!T41</x:f>
        <x:v>0.32732732732732733</x:v>
      </x:c>
      <x:c r="F92" t="n">
        <x:f>'2022 Form20'!U41</x:f>
        <x:v>153</x:v>
      </x:c>
      <x:c r="G92" t="n">
        <x:f>'2022 Form20'!V41</x:f>
        <x:v>-44</x:v>
      </x:c>
      <x:c r="H92" s="52" t="n">
        <x:f>'2022 Form20'!W41</x:f>
        <x:v>-0.13213213213213212</x:v>
      </x:c>
      <x:c r="I92" t="str">
        <x:v>DHIRENDRA SINGH</x:v>
      </x:c>
      <x:c r="J92" t="str">
        <x:v>Bharatiya Janata Party</x:v>
      </x:c>
      <x:c r="K92" t="str">
        <x:v>EVM row</x:v>
      </x:c>
      <x:c r="L92" s="133" t="str">
        <x:f>IF(D92&lt;=0,"No EVM votes",IF(E92&lt;$N$7,"Low",IF(E92&gt;$R$7,"High","Middle")))</x:f>
        <x:v>Middle</x:v>
      </x:c>
      <x:c r="M92" s="133" t="str">
        <x:f>IF(D92&lt;=0,"No EVM votes",IF(H92&lt;-20%,"Large deficit",IF(H92&lt;-5%,"Moderate deficit",IF(H92&lt;0,"Narrow deficit",IF(H92&lt;=5%,"Narrow lead/tie",IF(H92&lt;=20%,"Moderate lead","Large lead"))))))</x:f>
        <x:v>Moderate deficit</x:v>
      </x:c>
    </x:row>
    <x:row r="93">
      <x:c r="A93" t="n">
        <x:v>34</x:v>
      </x:c>
      <x:c r="B93" t="str">
        <x:v>PRIMARY SCHOOL MURSHADPUR ROOM NO 1</x:v>
      </x:c>
      <x:c r="C93" s="83" t="n">
        <x:f>'2022 Form20'!H42</x:f>
        <x:v>342</x:v>
      </x:c>
      <x:c r="D93" s="83" t="n">
        <x:f>'2022 Form20'!D42</x:f>
        <x:v>616</x:v>
      </x:c>
      <x:c r="E93" s="50" t="n">
        <x:f>'2022 Form20'!T42</x:f>
        <x:v>0.5551948051948052</x:v>
      </x:c>
      <x:c r="F93" t="n">
        <x:f>'2022 Form20'!U42</x:f>
        <x:v>176</x:v>
      </x:c>
      <x:c r="G93" t="n">
        <x:f>'2022 Form20'!V42</x:f>
        <x:v>166</x:v>
      </x:c>
      <x:c r="H93" s="52" t="n">
        <x:f>'2022 Form20'!W42</x:f>
        <x:v>0.2694805194805195</x:v>
      </x:c>
      <x:c r="I93" t="str">
        <x:v>AVTAR SINGH BHADANA</x:v>
      </x:c>
      <x:c r="J93" t="str">
        <x:v>Rashtriya Lok Dal</x:v>
      </x:c>
      <x:c r="K93" t="str">
        <x:v>EVM row</x:v>
      </x:c>
      <x:c r="L93" s="133" t="str">
        <x:f>IF(D93&lt;=0,"No EVM votes",IF(E93&lt;$N$7,"Low",IF(E93&gt;$R$7,"High","Middle")))</x:f>
        <x:v>High</x:v>
      </x:c>
      <x:c r="M93" s="133" t="str">
        <x:f>IF(D93&lt;=0,"No EVM votes",IF(H93&lt;-20%,"Large deficit",IF(H93&lt;-5%,"Moderate deficit",IF(H93&lt;0,"Narrow deficit",IF(H93&lt;=5%,"Narrow lead/tie",IF(H93&lt;=20%,"Moderate lead","Large lead"))))))</x:f>
        <x:v>Large lead</x:v>
      </x:c>
    </x:row>
    <x:row r="94">
      <x:c r="A94" t="n">
        <x:v>35</x:v>
      </x:c>
      <x:c r="B94" t="str">
        <x:v>PRIMARY SCHOOL GHARBRA ROOM NO 1</x:v>
      </x:c>
      <x:c r="C94" s="83" t="n">
        <x:f>'2022 Form20'!H43</x:f>
        <x:v>298</x:v>
      </x:c>
      <x:c r="D94" s="83" t="n">
        <x:f>'2022 Form20'!D43</x:f>
        <x:v>680</x:v>
      </x:c>
      <x:c r="E94" s="50" t="n">
        <x:f>'2022 Form20'!T43</x:f>
        <x:v>0.43823529411764706</x:v>
      </x:c>
      <x:c r="F94" t="n">
        <x:f>'2022 Form20'!U43</x:f>
        <x:v>234</x:v>
      </x:c>
      <x:c r="G94" t="n">
        <x:f>'2022 Form20'!V43</x:f>
        <x:v>64</x:v>
      </x:c>
      <x:c r="H94" s="52" t="n">
        <x:f>'2022 Form20'!W43</x:f>
        <x:v>0.09411764705882353</x:v>
      </x:c>
      <x:c r="I94" t="str">
        <x:v>AVTAR SINGH BHADANA</x:v>
      </x:c>
      <x:c r="J94" t="str">
        <x:v>Rashtriya Lok Dal</x:v>
      </x:c>
      <x:c r="K94" t="str">
        <x:v>EVM row</x:v>
      </x:c>
      <x:c r="L94" s="133" t="str">
        <x:f>IF(D94&lt;=0,"No EVM votes",IF(E94&lt;$N$7,"Low",IF(E94&gt;$R$7,"High","Middle")))</x:f>
        <x:v>High</x:v>
      </x:c>
      <x:c r="M94" s="133" t="str">
        <x:f>IF(D94&lt;=0,"No EVM votes",IF(H94&lt;-20%,"Large deficit",IF(H94&lt;-5%,"Moderate deficit",IF(H94&lt;0,"Narrow deficit",IF(H94&lt;=5%,"Narrow lead/tie",IF(H94&lt;=20%,"Moderate lead","Large lead"))))))</x:f>
        <x:v>Moderate lead</x:v>
      </x:c>
    </x:row>
    <x:row r="95">
      <x:c r="A95" t="n">
        <x:v>36</x:v>
      </x:c>
      <x:c r="B95" t="str">
        <x:v>PRIMARY SCHOOL GHARBRA ROOM NO 2</x:v>
      </x:c>
      <x:c r="C95" s="83" t="n">
        <x:f>'2022 Form20'!H44</x:f>
        <x:v>227</x:v>
      </x:c>
      <x:c r="D95" s="83" t="n">
        <x:f>'2022 Form20'!D44</x:f>
        <x:v>528</x:v>
      </x:c>
      <x:c r="E95" s="50" t="n">
        <x:f>'2022 Form20'!T44</x:f>
        <x:v>0.42992424242424243</x:v>
      </x:c>
      <x:c r="F95" t="n">
        <x:f>'2022 Form20'!U44</x:f>
        <x:v>227</x:v>
      </x:c>
      <x:c r="G95" t="n">
        <x:f>'2022 Form20'!V44</x:f>
        <x:v>0</x:v>
      </x:c>
      <x:c r="H95" s="52" t="n">
        <x:f>'2022 Form20'!W44</x:f>
        <x:v>0</x:v>
      </x:c>
      <x:c r="I95" t="str">
        <x:v>AVTAR SINGH BHADANA</x:v>
      </x:c>
      <x:c r="J95" t="str">
        <x:v>Rashtriya Lok Dal</x:v>
      </x:c>
      <x:c r="K95" t="str">
        <x:v>EVM row</x:v>
      </x:c>
      <x:c r="L95" s="133" t="str">
        <x:f>IF(D95&lt;=0,"No EVM votes",IF(E95&lt;$N$7,"Low",IF(E95&gt;$R$7,"High","Middle")))</x:f>
        <x:v>High</x:v>
      </x:c>
      <x:c r="M95" s="133" t="str">
        <x:f>IF(D95&lt;=0,"No EVM votes",IF(H95&lt;-20%,"Large deficit",IF(H95&lt;-5%,"Moderate deficit",IF(H95&lt;0,"Narrow deficit",IF(H95&lt;=5%,"Narrow lead/tie",IF(H95&lt;=20%,"Moderate lead","Large lead"))))))</x:f>
        <x:v>Narrow lead/tie</x:v>
      </x:c>
    </x:row>
    <x:row r="96">
      <x:c r="A96" t="n">
        <x:v>37</x:v>
      </x:c>
      <x:c r="B96" t="str">
        <x:v>JUNIOR HIGH SCHOOL ATTAI MURADPUR ROOM NO 1</x:v>
      </x:c>
      <x:c r="C96" s="83" t="n">
        <x:f>'2022 Form20'!H45</x:f>
        <x:v>141</x:v>
      </x:c>
      <x:c r="D96" s="83" t="n">
        <x:f>'2022 Form20'!D45</x:f>
        <x:v>431</x:v>
      </x:c>
      <x:c r="E96" s="50" t="n">
        <x:f>'2022 Form20'!T45</x:f>
        <x:v>0.3271461716937355</x:v>
      </x:c>
      <x:c r="F96" t="n">
        <x:f>'2022 Form20'!U45</x:f>
        <x:v>191</x:v>
      </x:c>
      <x:c r="G96" t="n">
        <x:f>'2022 Form20'!V45</x:f>
        <x:v>-50</x:v>
      </x:c>
      <x:c r="H96" s="52" t="n">
        <x:f>'2022 Form20'!W45</x:f>
        <x:v>-0.11600928074245939</x:v>
      </x:c>
      <x:c r="I96" t="str">
        <x:v>DHIRENDRA SINGH</x:v>
      </x:c>
      <x:c r="J96" t="str">
        <x:v>Bharatiya Janata Party</x:v>
      </x:c>
      <x:c r="K96" t="str">
        <x:v>EVM row</x:v>
      </x:c>
      <x:c r="L96" s="133" t="str">
        <x:f>IF(D96&lt;=0,"No EVM votes",IF(E96&lt;$N$7,"Low",IF(E96&gt;$R$7,"High","Middle")))</x:f>
        <x:v>Middle</x:v>
      </x:c>
      <x:c r="M96" s="133" t="str">
        <x:f>IF(D96&lt;=0,"No EVM votes",IF(H96&lt;-20%,"Large deficit",IF(H96&lt;-5%,"Moderate deficit",IF(H96&lt;0,"Narrow deficit",IF(H96&lt;=5%,"Narrow lead/tie",IF(H96&lt;=20%,"Moderate lead","Large lead"))))))</x:f>
        <x:v>Moderate deficit</x:v>
      </x:c>
    </x:row>
    <x:row r="97">
      <x:c r="A97" t="n">
        <x:v>38</x:v>
      </x:c>
      <x:c r="B97" t="str">
        <x:v>PRIMARY SCHOOL IMALIAKA ROOM NO 1</x:v>
      </x:c>
      <x:c r="C97" s="83" t="n">
        <x:f>'2022 Form20'!H46</x:f>
        <x:v>413</x:v>
      </x:c>
      <x:c r="D97" s="83" t="n">
        <x:f>'2022 Form20'!D46</x:f>
        <x:v>728</x:v>
      </x:c>
      <x:c r="E97" s="50" t="n">
        <x:f>'2022 Form20'!T46</x:f>
        <x:v>0.5673076923076923</x:v>
      </x:c>
      <x:c r="F97" t="n">
        <x:f>'2022 Form20'!U46</x:f>
        <x:v>188</x:v>
      </x:c>
      <x:c r="G97" t="n">
        <x:f>'2022 Form20'!V46</x:f>
        <x:v>225</x:v>
      </x:c>
      <x:c r="H97" s="52" t="n">
        <x:f>'2022 Form20'!W46</x:f>
        <x:v>0.3090659340659341</x:v>
      </x:c>
      <x:c r="I97" t="str">
        <x:v>AVTAR SINGH BHADANA</x:v>
      </x:c>
      <x:c r="J97" t="str">
        <x:v>Rashtriya Lok Dal</x:v>
      </x:c>
      <x:c r="K97" t="str">
        <x:v>EVM row</x:v>
      </x:c>
      <x:c r="L97" s="133" t="str">
        <x:f>IF(D97&lt;=0,"No EVM votes",IF(E97&lt;$N$7,"Low",IF(E97&gt;$R$7,"High","Middle")))</x:f>
        <x:v>High</x:v>
      </x:c>
      <x:c r="M97" s="133" t="str">
        <x:f>IF(D97&lt;=0,"No EVM votes",IF(H97&lt;-20%,"Large deficit",IF(H97&lt;-5%,"Moderate deficit",IF(H97&lt;0,"Narrow deficit",IF(H97&lt;=5%,"Narrow lead/tie",IF(H97&lt;=20%,"Moderate lead","Large lead"))))))</x:f>
        <x:v>Large lead</x:v>
      </x:c>
    </x:row>
    <x:row r="98">
      <x:c r="A98" t="n">
        <x:v>39</x:v>
      </x:c>
      <x:c r="B98" t="str">
        <x:v>PRIMARY SCHOOL IMALIAKA ROOM NO 2</x:v>
      </x:c>
      <x:c r="C98" s="83" t="n">
        <x:f>'2022 Form20'!H47</x:f>
        <x:v>473</x:v>
      </x:c>
      <x:c r="D98" s="83" t="n">
        <x:f>'2022 Form20'!D47</x:f>
        <x:v>667</x:v>
      </x:c>
      <x:c r="E98" s="50" t="n">
        <x:f>'2022 Form20'!T47</x:f>
        <x:v>0.7091454272863568</x:v>
      </x:c>
      <x:c r="F98" t="n">
        <x:f>'2022 Form20'!U47</x:f>
        <x:v>146</x:v>
      </x:c>
      <x:c r="G98" t="n">
        <x:f>'2022 Form20'!V47</x:f>
        <x:v>327</x:v>
      </x:c>
      <x:c r="H98" s="52" t="n">
        <x:f>'2022 Form20'!W47</x:f>
        <x:v>0.49025487256371814</x:v>
      </x:c>
      <x:c r="I98" t="str">
        <x:v>AVTAR SINGH BHADANA</x:v>
      </x:c>
      <x:c r="J98" t="str">
        <x:v>Rashtriya Lok Dal</x:v>
      </x:c>
      <x:c r="K98" t="str">
        <x:v>EVM row</x:v>
      </x:c>
      <x:c r="L98" s="133" t="str">
        <x:f>IF(D98&lt;=0,"No EVM votes",IF(E98&lt;$N$7,"Low",IF(E98&gt;$R$7,"High","Middle")))</x:f>
        <x:v>High</x:v>
      </x:c>
      <x:c r="M98" s="133" t="str">
        <x:f>IF(D98&lt;=0,"No EVM votes",IF(H98&lt;-20%,"Large deficit",IF(H98&lt;-5%,"Moderate deficit",IF(H98&lt;0,"Narrow deficit",IF(H98&lt;=5%,"Narrow lead/tie",IF(H98&lt;=20%,"Moderate lead","Large lead"))))))</x:f>
        <x:v>Large lead</x:v>
      </x:c>
    </x:row>
    <x:row r="99">
      <x:c r="A99" t="n">
        <x:v>40</x:v>
      </x:c>
      <x:c r="B99" t="str">
        <x:v>PRIMARY SCHOOL LADPURA ROOM NO 1</x:v>
      </x:c>
      <x:c r="C99" s="83" t="n">
        <x:f>'2022 Form20'!H48</x:f>
        <x:v>266</x:v>
      </x:c>
      <x:c r="D99" s="83" t="n">
        <x:f>'2022 Form20'!D48</x:f>
        <x:v>803</x:v>
      </x:c>
      <x:c r="E99" s="50" t="n">
        <x:f>'2022 Form20'!T48</x:f>
        <x:v>0.3312577833125778</x:v>
      </x:c>
      <x:c r="F99" t="n">
        <x:f>'2022 Form20'!U48</x:f>
        <x:v>344</x:v>
      </x:c>
      <x:c r="G99" t="n">
        <x:f>'2022 Form20'!V48</x:f>
        <x:v>-78</x:v>
      </x:c>
      <x:c r="H99" s="52" t="n">
        <x:f>'2022 Form20'!W48</x:f>
        <x:v>-0.09713574097135741</x:v>
      </x:c>
      <x:c r="I99" t="str">
        <x:v>DHIRENDRA SINGH</x:v>
      </x:c>
      <x:c r="J99" t="str">
        <x:v>Bharatiya Janata Party</x:v>
      </x:c>
      <x:c r="K99" t="str">
        <x:v>EVM row</x:v>
      </x:c>
      <x:c r="L99" s="133" t="str">
        <x:f>IF(D99&lt;=0,"No EVM votes",IF(E99&lt;$N$7,"Low",IF(E99&gt;$R$7,"High","Middle")))</x:f>
        <x:v>Middle</x:v>
      </x:c>
      <x:c r="M99" s="133" t="str">
        <x:f>IF(D99&lt;=0,"No EVM votes",IF(H99&lt;-20%,"Large deficit",IF(H99&lt;-5%,"Moderate deficit",IF(H99&lt;0,"Narrow deficit",IF(H99&lt;=5%,"Narrow lead/tie",IF(H99&lt;=20%,"Moderate lead","Large lead"))))))</x:f>
        <x:v>Moderate deficit</x:v>
      </x:c>
    </x:row>
    <x:row r="100">
      <x:c r="A100" t="n">
        <x:v>41</x:v>
      </x:c>
      <x:c r="B100" t="str">
        <x:v>PRIMARY SCHOOL LADPURA ROOM NO 2</x:v>
      </x:c>
      <x:c r="C100" s="83" t="n">
        <x:f>'2022 Form20'!H49</x:f>
        <x:v>176</x:v>
      </x:c>
      <x:c r="D100" s="83" t="n">
        <x:f>'2022 Form20'!D49</x:f>
        <x:v>718</x:v>
      </x:c>
      <x:c r="E100" s="50" t="n">
        <x:f>'2022 Form20'!T49</x:f>
        <x:v>0.24512534818941503</x:v>
      </x:c>
      <x:c r="F100" t="n">
        <x:f>'2022 Form20'!U49</x:f>
        <x:v>268</x:v>
      </x:c>
      <x:c r="G100" t="n">
        <x:f>'2022 Form20'!V49</x:f>
        <x:v>-92</x:v>
      </x:c>
      <x:c r="H100" s="52" t="n">
        <x:f>'2022 Form20'!W49</x:f>
        <x:v>-0.12813370473537605</x:v>
      </x:c>
      <x:c r="I100" t="str">
        <x:v>NARENDER KUMAR</x:v>
      </x:c>
      <x:c r="J100" t="str">
        <x:v>Bahujan Samaj Party</x:v>
      </x:c>
      <x:c r="K100" t="str">
        <x:v>EVM row</x:v>
      </x:c>
      <x:c r="L100" s="133" t="str">
        <x:f>IF(D100&lt;=0,"No EVM votes",IF(E100&lt;$N$7,"Low",IF(E100&gt;$R$7,"High","Middle")))</x:f>
        <x:v>Middle</x:v>
      </x:c>
      <x:c r="M100" s="133" t="str">
        <x:f>IF(D100&lt;=0,"No EVM votes",IF(H100&lt;-20%,"Large deficit",IF(H100&lt;-5%,"Moderate deficit",IF(H100&lt;0,"Narrow deficit",IF(H100&lt;=5%,"Narrow lead/tie",IF(H100&lt;=20%,"Moderate lead","Large lead"))))))</x:f>
        <x:v>Moderate deficit</x:v>
      </x:c>
    </x:row>
    <x:row r="101">
      <x:c r="A101" t="n">
        <x:v>42</x:v>
      </x:c>
      <x:c r="B101" t="str">
        <x:v>PRIMARY SCHOOL LADPURA ROOM NO 3</x:v>
      </x:c>
      <x:c r="C101" s="83" t="n">
        <x:f>'2022 Form20'!H50</x:f>
        <x:v>128</x:v>
      </x:c>
      <x:c r="D101" s="83" t="n">
        <x:f>'2022 Form20'!D50</x:f>
        <x:v>601</x:v>
      </x:c>
      <x:c r="E101" s="50" t="n">
        <x:f>'2022 Form20'!T50</x:f>
        <x:v>0.2129783693843594</x:v>
      </x:c>
      <x:c r="F101" t="n">
        <x:f>'2022 Form20'!U50</x:f>
        <x:v>256</x:v>
      </x:c>
      <x:c r="G101" t="n">
        <x:f>'2022 Form20'!V50</x:f>
        <x:v>-128</x:v>
      </x:c>
      <x:c r="H101" s="52" t="n">
        <x:f>'2022 Form20'!W50</x:f>
        <x:v>-0.2129783693843594</x:v>
      </x:c>
      <x:c r="I101" t="str">
        <x:v>NARENDER KUMAR</x:v>
      </x:c>
      <x:c r="J101" t="str">
        <x:v>Bahujan Samaj Party</x:v>
      </x:c>
      <x:c r="K101" t="str">
        <x:v>EVM row</x:v>
      </x:c>
      <x:c r="L101" s="133" t="str">
        <x:f>IF(D101&lt;=0,"No EVM votes",IF(E101&lt;$N$7,"Low",IF(E101&gt;$R$7,"High","Middle")))</x:f>
        <x:v>Middle</x:v>
      </x:c>
      <x:c r="M101" s="133" t="str">
        <x:f>IF(D101&lt;=0,"No EVM votes",IF(H101&lt;-20%,"Large deficit",IF(H101&lt;-5%,"Moderate deficit",IF(H101&lt;0,"Narrow deficit",IF(H101&lt;=5%,"Narrow lead/tie",IF(H101&lt;=20%,"Moderate lead","Large lead"))))))</x:f>
        <x:v>Large deficit</x:v>
      </x:c>
    </x:row>
    <x:row r="102">
      <x:c r="A102" t="n">
        <x:v>43</x:v>
      </x:c>
      <x:c r="B102" t="str">
        <x:v>PRIMARY SCHOOL GHANGHOLA ROOM NO 1</x:v>
      </x:c>
      <x:c r="C102" s="83" t="n">
        <x:f>'2022 Form20'!H51</x:f>
        <x:v>240</x:v>
      </x:c>
      <x:c r="D102" s="83" t="n">
        <x:f>'2022 Form20'!D51</x:f>
        <x:v>553</x:v>
      </x:c>
      <x:c r="E102" s="50" t="n">
        <x:f>'2022 Form20'!T51</x:f>
        <x:v>0.43399638336347196</x:v>
      </x:c>
      <x:c r="F102" t="n">
        <x:f>'2022 Form20'!U51</x:f>
        <x:v>246</x:v>
      </x:c>
      <x:c r="G102" t="n">
        <x:f>'2022 Form20'!V51</x:f>
        <x:v>-6</x:v>
      </x:c>
      <x:c r="H102" s="52" t="n">
        <x:f>'2022 Form20'!W51</x:f>
        <x:v>-0.0108499095840868</x:v>
      </x:c>
      <x:c r="I102" t="str">
        <x:v>DHIRENDRA SINGH</x:v>
      </x:c>
      <x:c r="J102" t="str">
        <x:v>Bharatiya Janata Party</x:v>
      </x:c>
      <x:c r="K102" t="str">
        <x:v>EVM row</x:v>
      </x:c>
      <x:c r="L102" s="133" t="str">
        <x:f>IF(D102&lt;=0,"No EVM votes",IF(E102&lt;$N$7,"Low",IF(E102&gt;$R$7,"High","Middle")))</x:f>
        <x:v>High</x:v>
      </x:c>
      <x:c r="M102" s="133" t="str">
        <x:f>IF(D102&lt;=0,"No EVM votes",IF(H102&lt;-20%,"Large deficit",IF(H102&lt;-5%,"Moderate deficit",IF(H102&lt;0,"Narrow deficit",IF(H102&lt;=5%,"Narrow lead/tie",IF(H102&lt;=20%,"Moderate lead","Large lead"))))))</x:f>
        <x:v>Narrow deficit</x:v>
      </x:c>
    </x:row>
    <x:row r="103">
      <x:c r="A103" t="n">
        <x:v>44</x:v>
      </x:c>
      <x:c r="B103" t="str">
        <x:v>PRIMARY SCHOOL GHANGHOLA ROOM NO 2</x:v>
      </x:c>
      <x:c r="C103" s="83" t="n">
        <x:f>'2022 Form20'!H52</x:f>
        <x:v>179</x:v>
      </x:c>
      <x:c r="D103" s="83" t="n">
        <x:f>'2022 Form20'!D52</x:f>
        <x:v>521</x:v>
      </x:c>
      <x:c r="E103" s="50" t="n">
        <x:f>'2022 Form20'!T52</x:f>
        <x:v>0.3435700575815739</x:v>
      </x:c>
      <x:c r="F103" t="n">
        <x:f>'2022 Form20'!U52</x:f>
        <x:v>206</x:v>
      </x:c>
      <x:c r="G103" t="n">
        <x:f>'2022 Form20'!V52</x:f>
        <x:v>-27</x:v>
      </x:c>
      <x:c r="H103" s="52" t="n">
        <x:f>'2022 Form20'!W52</x:f>
        <x:v>-0.05182341650671785</x:v>
      </x:c>
      <x:c r="I103" t="str">
        <x:v>DHIRENDRA SINGH</x:v>
      </x:c>
      <x:c r="J103" t="str">
        <x:v>Bharatiya Janata Party</x:v>
      </x:c>
      <x:c r="K103" t="str">
        <x:v>EVM row</x:v>
      </x:c>
      <x:c r="L103" s="133" t="str">
        <x:f>IF(D103&lt;=0,"No EVM votes",IF(E103&lt;$N$7,"Low",IF(E103&gt;$R$7,"High","Middle")))</x:f>
        <x:v>Middle</x:v>
      </x:c>
      <x:c r="M103" s="133" t="str">
        <x:f>IF(D103&lt;=0,"No EVM votes",IF(H103&lt;-20%,"Large deficit",IF(H103&lt;-5%,"Moderate deficit",IF(H103&lt;0,"Narrow deficit",IF(H103&lt;=5%,"Narrow lead/tie",IF(H103&lt;=20%,"Moderate lead","Large lead"))))))</x:f>
        <x:v>Moderate deficit</x:v>
      </x:c>
    </x:row>
    <x:row r="104">
      <x:c r="A104" t="n">
        <x:v>45</x:v>
      </x:c>
      <x:c r="B104" t="str">
        <x:v>PRIMARY SCHOOL GHANGHOLA ROOM NO 3</x:v>
      </x:c>
      <x:c r="C104" s="83" t="n">
        <x:f>'2022 Form20'!H53</x:f>
        <x:v>216</x:v>
      </x:c>
      <x:c r="D104" s="83" t="n">
        <x:f>'2022 Form20'!D53</x:f>
        <x:v>451</x:v>
      </x:c>
      <x:c r="E104" s="50" t="n">
        <x:f>'2022 Form20'!T53</x:f>
        <x:v>0.4789356984478936</x:v>
      </x:c>
      <x:c r="F104" t="n">
        <x:f>'2022 Form20'!U53</x:f>
        <x:v>117</x:v>
      </x:c>
      <x:c r="G104" t="n">
        <x:f>'2022 Form20'!V53</x:f>
        <x:v>99</x:v>
      </x:c>
      <x:c r="H104" s="52" t="n">
        <x:f>'2022 Form20'!W53</x:f>
        <x:v>0.21951219512195122</x:v>
      </x:c>
      <x:c r="I104" t="str">
        <x:v>AVTAR SINGH BHADANA</x:v>
      </x:c>
      <x:c r="J104" t="str">
        <x:v>Rashtriya Lok Dal</x:v>
      </x:c>
      <x:c r="K104" t="str">
        <x:v>EVM row</x:v>
      </x:c>
      <x:c r="L104" s="133" t="str">
        <x:f>IF(D104&lt;=0,"No EVM votes",IF(E104&lt;$N$7,"Low",IF(E104&gt;$R$7,"High","Middle")))</x:f>
        <x:v>High</x:v>
      </x:c>
      <x:c r="M104" s="133" t="str">
        <x:f>IF(D104&lt;=0,"No EVM votes",IF(H104&lt;-20%,"Large deficit",IF(H104&lt;-5%,"Moderate deficit",IF(H104&lt;0,"Narrow deficit",IF(H104&lt;=5%,"Narrow lead/tie",IF(H104&lt;=20%,"Moderate lead","Large lead"))))))</x:f>
        <x:v>Large lead</x:v>
      </x:c>
    </x:row>
    <x:row r="105">
      <x:c r="A105" t="n">
        <x:v>46</x:v>
      </x:c>
      <x:c r="B105" t="str">
        <x:v>PRIMARY SCHOOL CHEERSI ROOM NO 1</x:v>
      </x:c>
      <x:c r="C105" s="83" t="n">
        <x:f>'2022 Form20'!H54</x:f>
        <x:v>20</x:v>
      </x:c>
      <x:c r="D105" s="83" t="n">
        <x:f>'2022 Form20'!D54</x:f>
        <x:v>432</x:v>
      </x:c>
      <x:c r="E105" s="50" t="n">
        <x:f>'2022 Form20'!T54</x:f>
        <x:v>0.046296296296296294</x:v>
      </x:c>
      <x:c r="F105" t="n">
        <x:f>'2022 Form20'!U54</x:f>
        <x:v>311</x:v>
      </x:c>
      <x:c r="G105" t="n">
        <x:f>'2022 Form20'!V54</x:f>
        <x:v>-291</x:v>
      </x:c>
      <x:c r="H105" s="52" t="n">
        <x:f>'2022 Form20'!W54</x:f>
        <x:v>-0.6736111111111112</x:v>
      </x:c>
      <x:c r="I105" t="str">
        <x:v>DHIRENDRA SINGH</x:v>
      </x:c>
      <x:c r="J105" t="str">
        <x:v>Bharatiya Janata Party</x:v>
      </x:c>
      <x:c r="K105" t="str">
        <x:v>EVM row</x:v>
      </x:c>
      <x:c r="L105" s="133" t="str">
        <x:f>IF(D105&lt;=0,"No EVM votes",IF(E105&lt;$N$7,"Low",IF(E105&gt;$R$7,"High","Middle")))</x:f>
        <x:v>Low</x:v>
      </x:c>
      <x:c r="M105" s="133" t="str">
        <x:f>IF(D105&lt;=0,"No EVM votes",IF(H105&lt;-20%,"Large deficit",IF(H105&lt;-5%,"Moderate deficit",IF(H105&lt;0,"Narrow deficit",IF(H105&lt;=5%,"Narrow lead/tie",IF(H105&lt;=20%,"Moderate lead","Large lead"))))))</x:f>
        <x:v>Large deficit</x:v>
      </x:c>
    </x:row>
    <x:row r="106">
      <x:c r="A106" t="n">
        <x:v>47</x:v>
      </x:c>
      <x:c r="B106" t="str">
        <x:v>PRIMARY SCHOOL CHEERSI ROOM NO 2</x:v>
      </x:c>
      <x:c r="C106" s="83" t="n">
        <x:f>'2022 Form20'!H55</x:f>
        <x:v>88</x:v>
      </x:c>
      <x:c r="D106" s="83" t="n">
        <x:f>'2022 Form20'!D55</x:f>
        <x:v>409</x:v>
      </x:c>
      <x:c r="E106" s="50" t="n">
        <x:f>'2022 Form20'!T55</x:f>
        <x:v>0.21515892420537897</x:v>
      </x:c>
      <x:c r="F106" t="n">
        <x:f>'2022 Form20'!U55</x:f>
        <x:v>222</x:v>
      </x:c>
      <x:c r="G106" t="n">
        <x:f>'2022 Form20'!V55</x:f>
        <x:v>-134</x:v>
      </x:c>
      <x:c r="H106" s="52" t="n">
        <x:f>'2022 Form20'!W55</x:f>
        <x:v>-0.3276283618581907</x:v>
      </x:c>
      <x:c r="I106" t="str">
        <x:v>NARENDER KUMAR</x:v>
      </x:c>
      <x:c r="J106" t="str">
        <x:v>Bahujan Samaj Party</x:v>
      </x:c>
      <x:c r="K106" t="str">
        <x:v>EVM row</x:v>
      </x:c>
      <x:c r="L106" s="133" t="str">
        <x:f>IF(D106&lt;=0,"No EVM votes",IF(E106&lt;$N$7,"Low",IF(E106&gt;$R$7,"High","Middle")))</x:f>
        <x:v>Middle</x:v>
      </x:c>
      <x:c r="M106" s="133" t="str">
        <x:f>IF(D106&lt;=0,"No EVM votes",IF(H106&lt;-20%,"Large deficit",IF(H106&lt;-5%,"Moderate deficit",IF(H106&lt;0,"Narrow deficit",IF(H106&lt;=5%,"Narrow lead/tie",IF(H106&lt;=20%,"Moderate lead","Large lead"))))))</x:f>
        <x:v>Large deficit</x:v>
      </x:c>
    </x:row>
    <x:row r="107">
      <x:c r="A107" t="n">
        <x:v>48</x:v>
      </x:c>
      <x:c r="B107" t="str">
        <x:v>PRIMARY SCHOOL FAZAYALPUR ROOM NO 1</x:v>
      </x:c>
      <x:c r="C107" s="83" t="n">
        <x:f>'2022 Form20'!H56</x:f>
        <x:v>155</x:v>
      </x:c>
      <x:c r="D107" s="83" t="n">
        <x:f>'2022 Form20'!D56</x:f>
        <x:v>509</x:v>
      </x:c>
      <x:c r="E107" s="50" t="n">
        <x:f>'2022 Form20'!T56</x:f>
        <x:v>0.3045186640471513</x:v>
      </x:c>
      <x:c r="F107" t="n">
        <x:f>'2022 Form20'!U56</x:f>
        <x:v>194</x:v>
      </x:c>
      <x:c r="G107" t="n">
        <x:f>'2022 Form20'!V56</x:f>
        <x:v>-39</x:v>
      </x:c>
      <x:c r="H107" s="52" t="n">
        <x:f>'2022 Form20'!W56</x:f>
        <x:v>-0.07662082514734773</x:v>
      </x:c>
      <x:c r="I107" t="str">
        <x:v>DHIRENDRA SINGH</x:v>
      </x:c>
      <x:c r="J107" t="str">
        <x:v>Bharatiya Janata Party</x:v>
      </x:c>
      <x:c r="K107" t="str">
        <x:v>EVM row</x:v>
      </x:c>
      <x:c r="L107" s="133" t="str">
        <x:f>IF(D107&lt;=0,"No EVM votes",IF(E107&lt;$N$7,"Low",IF(E107&gt;$R$7,"High","Middle")))</x:f>
        <x:v>Middle</x:v>
      </x:c>
      <x:c r="M107" s="133" t="str">
        <x:f>IF(D107&lt;=0,"No EVM votes",IF(H107&lt;-20%,"Large deficit",IF(H107&lt;-5%,"Moderate deficit",IF(H107&lt;0,"Narrow deficit",IF(H107&lt;=5%,"Narrow lead/tie",IF(H107&lt;=20%,"Moderate lead","Large lead"))))))</x:f>
        <x:v>Moderate deficit</x:v>
      </x:c>
    </x:row>
    <x:row r="108">
      <x:c r="A108" t="n">
        <x:v>49</x:v>
      </x:c>
      <x:c r="B108" t="str">
        <x:v>PRIMARY SCHOOL FAZAYALPUR ROOM NO 2</x:v>
      </x:c>
      <x:c r="C108" s="83" t="n">
        <x:f>'2022 Form20'!H57</x:f>
        <x:v>82</x:v>
      </x:c>
      <x:c r="D108" s="83" t="n">
        <x:f>'2022 Form20'!D57</x:f>
        <x:v>489</x:v>
      </x:c>
      <x:c r="E108" s="50" t="n">
        <x:f>'2022 Form20'!T57</x:f>
        <x:v>0.16768916155419222</x:v>
      </x:c>
      <x:c r="F108" t="n">
        <x:f>'2022 Form20'!U57</x:f>
        <x:v>212</x:v>
      </x:c>
      <x:c r="G108" t="n">
        <x:f>'2022 Form20'!V57</x:f>
        <x:v>-130</x:v>
      </x:c>
      <x:c r="H108" s="52" t="n">
        <x:f>'2022 Form20'!W57</x:f>
        <x:v>-0.2658486707566462</x:v>
      </x:c>
      <x:c r="I108" t="str">
        <x:v>DHIRENDRA SINGH</x:v>
      </x:c>
      <x:c r="J108" t="str">
        <x:v>Bharatiya Janata Party</x:v>
      </x:c>
      <x:c r="K108" t="str">
        <x:v>EVM row</x:v>
      </x:c>
      <x:c r="L108" s="133" t="str">
        <x:f>IF(D108&lt;=0,"No EVM votes",IF(E108&lt;$N$7,"Low",IF(E108&gt;$R$7,"High","Middle")))</x:f>
        <x:v>Middle</x:v>
      </x:c>
      <x:c r="M108" s="133" t="str">
        <x:f>IF(D108&lt;=0,"No EVM votes",IF(H108&lt;-20%,"Large deficit",IF(H108&lt;-5%,"Moderate deficit",IF(H108&lt;0,"Narrow deficit",IF(H108&lt;=5%,"Narrow lead/tie",IF(H108&lt;=20%,"Moderate lead","Large lead"))))))</x:f>
        <x:v>Large deficit</x:v>
      </x:c>
    </x:row>
    <x:row r="109">
      <x:c r="A109" t="n">
        <x:v>50</x:v>
      </x:c>
      <x:c r="B109" t="str">
        <x:v>PRIMARY SCHOOL DAULARAJPURA ROOM NO 1</x:v>
      </x:c>
      <x:c r="C109" s="83" t="n">
        <x:f>'2022 Form20'!H58</x:f>
        <x:v>528</x:v>
      </x:c>
      <x:c r="D109" s="83" t="n">
        <x:f>'2022 Form20'!D58</x:f>
        <x:v>680</x:v>
      </x:c>
      <x:c r="E109" s="50" t="n">
        <x:f>'2022 Form20'!T58</x:f>
        <x:v>0.7764705882352941</x:v>
      </x:c>
      <x:c r="F109" t="n">
        <x:f>'2022 Form20'!U58</x:f>
        <x:v>127</x:v>
      </x:c>
      <x:c r="G109" t="n">
        <x:f>'2022 Form20'!V58</x:f>
        <x:v>401</x:v>
      </x:c>
      <x:c r="H109" s="52" t="n">
        <x:f>'2022 Form20'!W58</x:f>
        <x:v>0.5897058823529412</x:v>
      </x:c>
      <x:c r="I109" t="str">
        <x:v>AVTAR SINGH BHADANA</x:v>
      </x:c>
      <x:c r="J109" t="str">
        <x:v>Rashtriya Lok Dal</x:v>
      </x:c>
      <x:c r="K109" t="str">
        <x:v>EVM row</x:v>
      </x:c>
      <x:c r="L109" s="133" t="str">
        <x:f>IF(D109&lt;=0,"No EVM votes",IF(E109&lt;$N$7,"Low",IF(E109&gt;$R$7,"High","Middle")))</x:f>
        <x:v>High</x:v>
      </x:c>
      <x:c r="M109" s="133" t="str">
        <x:f>IF(D109&lt;=0,"No EVM votes",IF(H109&lt;-20%,"Large deficit",IF(H109&lt;-5%,"Moderate deficit",IF(H109&lt;0,"Narrow deficit",IF(H109&lt;=5%,"Narrow lead/tie",IF(H109&lt;=20%,"Moderate lead","Large lead"))))))</x:f>
        <x:v>Large lead</x:v>
      </x:c>
    </x:row>
    <x:row r="110">
      <x:c r="A110" t="n">
        <x:v>51</x:v>
      </x:c>
      <x:c r="B110" t="str">
        <x:v>PRIMARY SCHOOL DAULARAJPURA ROOM NO 2</x:v>
      </x:c>
      <x:c r="C110" s="83" t="n">
        <x:f>'2022 Form20'!H59</x:f>
        <x:v>432</x:v>
      </x:c>
      <x:c r="D110" s="83" t="n">
        <x:f>'2022 Form20'!D59</x:f>
        <x:v>716</x:v>
      </x:c>
      <x:c r="E110" s="50" t="n">
        <x:f>'2022 Form20'!T59</x:f>
        <x:v>0.6033519553072626</x:v>
      </x:c>
      <x:c r="F110" t="n">
        <x:f>'2022 Form20'!U59</x:f>
        <x:v>229</x:v>
      </x:c>
      <x:c r="G110" t="n">
        <x:f>'2022 Form20'!V59</x:f>
        <x:v>203</x:v>
      </x:c>
      <x:c r="H110" s="52" t="n">
        <x:f>'2022 Form20'!W59</x:f>
        <x:v>0.2835195530726257</x:v>
      </x:c>
      <x:c r="I110" t="str">
        <x:v>AVTAR SINGH BHADANA</x:v>
      </x:c>
      <x:c r="J110" t="str">
        <x:v>Rashtriya Lok Dal</x:v>
      </x:c>
      <x:c r="K110" t="str">
        <x:v>EVM row</x:v>
      </x:c>
      <x:c r="L110" s="133" t="str">
        <x:f>IF(D110&lt;=0,"No EVM votes",IF(E110&lt;$N$7,"Low",IF(E110&gt;$R$7,"High","Middle")))</x:f>
        <x:v>High</x:v>
      </x:c>
      <x:c r="M110" s="133" t="str">
        <x:f>IF(D110&lt;=0,"No EVM votes",IF(H110&lt;-20%,"Large deficit",IF(H110&lt;-5%,"Moderate deficit",IF(H110&lt;0,"Narrow deficit",IF(H110&lt;=5%,"Narrow lead/tie",IF(H110&lt;=20%,"Moderate lead","Large lead"))))))</x:f>
        <x:v>Large lead</x:v>
      </x:c>
    </x:row>
    <x:row r="111">
      <x:c r="A111" t="n">
        <x:v>52</x:v>
      </x:c>
      <x:c r="B111" t="str">
        <x:v>PRIMARY SCHOOL DAULARAJPURA ROOM NO 3</x:v>
      </x:c>
      <x:c r="C111" s="83" t="n">
        <x:f>'2022 Form20'!H60</x:f>
        <x:v>261</x:v>
      </x:c>
      <x:c r="D111" s="83" t="n">
        <x:f>'2022 Form20'!D60</x:f>
        <x:v>373</x:v>
      </x:c>
      <x:c r="E111" s="50" t="n">
        <x:f>'2022 Form20'!T60</x:f>
        <x:v>0.6997319034852547</x:v>
      </x:c>
      <x:c r="F111" t="n">
        <x:f>'2022 Form20'!U60</x:f>
        <x:v>65</x:v>
      </x:c>
      <x:c r="G111" t="n">
        <x:f>'2022 Form20'!V60</x:f>
        <x:v>196</x:v>
      </x:c>
      <x:c r="H111" s="52" t="n">
        <x:f>'2022 Form20'!W60</x:f>
        <x:v>0.5254691689008043</x:v>
      </x:c>
      <x:c r="I111" t="str">
        <x:v>AVTAR SINGH BHADANA</x:v>
      </x:c>
      <x:c r="J111" t="str">
        <x:v>Rashtriya Lok Dal</x:v>
      </x:c>
      <x:c r="K111" t="str">
        <x:v>EVM row</x:v>
      </x:c>
      <x:c r="L111" s="133" t="str">
        <x:f>IF(D111&lt;=0,"No EVM votes",IF(E111&lt;$N$7,"Low",IF(E111&gt;$R$7,"High","Middle")))</x:f>
        <x:v>High</x:v>
      </x:c>
      <x:c r="M111" s="133" t="str">
        <x:f>IF(D111&lt;=0,"No EVM votes",IF(H111&lt;-20%,"Large deficit",IF(H111&lt;-5%,"Moderate deficit",IF(H111&lt;0,"Narrow deficit",IF(H111&lt;=5%,"Narrow lead/tie",IF(H111&lt;=20%,"Moderate lead","Large lead"))))))</x:f>
        <x:v>Large lead</x:v>
      </x:c>
    </x:row>
    <x:row r="112">
      <x:c r="A112" t="n">
        <x:v>53</x:v>
      </x:c>
      <x:c r="B112" t="str">
        <x:v>PRIMARY SCHOOL SALEHPUR ROOM NO 1</x:v>
      </x:c>
      <x:c r="C112" s="83" t="n">
        <x:f>'2022 Form20'!H61</x:f>
        <x:v>61</x:v>
      </x:c>
      <x:c r="D112" s="83" t="n">
        <x:f>'2022 Form20'!D61</x:f>
        <x:v>660</x:v>
      </x:c>
      <x:c r="E112" s="50" t="n">
        <x:f>'2022 Form20'!T61</x:f>
        <x:v>0.09242424242424242</x:v>
      </x:c>
      <x:c r="F112" t="n">
        <x:f>'2022 Form20'!U61</x:f>
        <x:v>492</x:v>
      </x:c>
      <x:c r="G112" t="n">
        <x:f>'2022 Form20'!V61</x:f>
        <x:v>-431</x:v>
      </x:c>
      <x:c r="H112" s="52" t="n">
        <x:f>'2022 Form20'!W61</x:f>
        <x:v>-0.6530303030303031</x:v>
      </x:c>
      <x:c r="I112" t="str">
        <x:v>DHIRENDRA SINGH</x:v>
      </x:c>
      <x:c r="J112" t="str">
        <x:v>Bharatiya Janata Party</x:v>
      </x:c>
      <x:c r="K112" t="str">
        <x:v>EVM row</x:v>
      </x:c>
      <x:c r="L112" s="133" t="str">
        <x:f>IF(D112&lt;=0,"No EVM votes",IF(E112&lt;$N$7,"Low",IF(E112&gt;$R$7,"High","Middle")))</x:f>
        <x:v>Middle</x:v>
      </x:c>
      <x:c r="M112" s="133" t="str">
        <x:f>IF(D112&lt;=0,"No EVM votes",IF(H112&lt;-20%,"Large deficit",IF(H112&lt;-5%,"Moderate deficit",IF(H112&lt;0,"Narrow deficit",IF(H112&lt;=5%,"Narrow lead/tie",IF(H112&lt;=20%,"Moderate lead","Large lead"))))))</x:f>
        <x:v>Large deficit</x:v>
      </x:c>
    </x:row>
    <x:row r="113">
      <x:c r="A113" t="n">
        <x:v>54</x:v>
      </x:c>
      <x:c r="B113" t="str">
        <x:v>PRIMARY SCHOOL MANDPA ROOM NO 1</x:v>
      </x:c>
      <x:c r="C113" s="83" t="n">
        <x:f>'2022 Form20'!H62</x:f>
        <x:v>674</x:v>
      </x:c>
      <x:c r="D113" s="83" t="n">
        <x:f>'2022 Form20'!D62</x:f>
        <x:v>826</x:v>
      </x:c>
      <x:c r="E113" s="50" t="n">
        <x:f>'2022 Form20'!T62</x:f>
        <x:v>0.8159806295399515</x:v>
      </x:c>
      <x:c r="F113" t="n">
        <x:f>'2022 Form20'!U62</x:f>
        <x:v>86</x:v>
      </x:c>
      <x:c r="G113" t="n">
        <x:f>'2022 Form20'!V62</x:f>
        <x:v>588</x:v>
      </x:c>
      <x:c r="H113" s="52" t="n">
        <x:f>'2022 Form20'!W62</x:f>
        <x:v>0.711864406779661</x:v>
      </x:c>
      <x:c r="I113" t="str">
        <x:v>AVTAR SINGH BHADANA</x:v>
      </x:c>
      <x:c r="J113" t="str">
        <x:v>Rashtriya Lok Dal</x:v>
      </x:c>
      <x:c r="K113" t="str">
        <x:v>EVM row</x:v>
      </x:c>
      <x:c r="L113" s="133" t="str">
        <x:f>IF(D113&lt;=0,"No EVM votes",IF(E113&lt;$N$7,"Low",IF(E113&gt;$R$7,"High","Middle")))</x:f>
        <x:v>High</x:v>
      </x:c>
      <x:c r="M113" s="133" t="str">
        <x:f>IF(D113&lt;=0,"No EVM votes",IF(H113&lt;-20%,"Large deficit",IF(H113&lt;-5%,"Moderate deficit",IF(H113&lt;0,"Narrow deficit",IF(H113&lt;=5%,"Narrow lead/tie",IF(H113&lt;=20%,"Moderate lead","Large lead"))))))</x:f>
        <x:v>Large lead</x:v>
      </x:c>
    </x:row>
    <x:row r="114">
      <x:c r="A114" t="n">
        <x:v>55</x:v>
      </x:c>
      <x:c r="B114" t="str">
        <x:v>PRIMARY SCHOOL MANDPA ROOM NO 2</x:v>
      </x:c>
      <x:c r="C114" s="83" t="n">
        <x:f>'2022 Form20'!H63</x:f>
        <x:v>711</x:v>
      </x:c>
      <x:c r="D114" s="83" t="n">
        <x:f>'2022 Form20'!D63</x:f>
        <x:v>870</x:v>
      </x:c>
      <x:c r="E114" s="50" t="n">
        <x:f>'2022 Form20'!T63</x:f>
        <x:v>0.8172413793103448</x:v>
      </x:c>
      <x:c r="F114" t="n">
        <x:f>'2022 Form20'!U63</x:f>
        <x:v>121</x:v>
      </x:c>
      <x:c r="G114" t="n">
        <x:f>'2022 Form20'!V63</x:f>
        <x:v>590</x:v>
      </x:c>
      <x:c r="H114" s="52" t="n">
        <x:f>'2022 Form20'!W63</x:f>
        <x:v>0.6781609195402298</x:v>
      </x:c>
      <x:c r="I114" t="str">
        <x:v>AVTAR SINGH BHADANA</x:v>
      </x:c>
      <x:c r="J114" t="str">
        <x:v>Rashtriya Lok Dal</x:v>
      </x:c>
      <x:c r="K114" t="str">
        <x:v>EVM row</x:v>
      </x:c>
      <x:c r="L114" s="133" t="str">
        <x:f>IF(D114&lt;=0,"No EVM votes",IF(E114&lt;$N$7,"Low",IF(E114&gt;$R$7,"High","Middle")))</x:f>
        <x:v>High</x:v>
      </x:c>
      <x:c r="M114" s="133" t="str">
        <x:f>IF(D114&lt;=0,"No EVM votes",IF(H114&lt;-20%,"Large deficit",IF(H114&lt;-5%,"Moderate deficit",IF(H114&lt;0,"Narrow deficit",IF(H114&lt;=5%,"Narrow lead/tie",IF(H114&lt;=20%,"Moderate lead","Large lead"))))))</x:f>
        <x:v>Large lead</x:v>
      </x:c>
    </x:row>
    <x:row r="115">
      <x:c r="A115" t="n">
        <x:v>56</x:v>
      </x:c>
      <x:c r="B115" t="str">
        <x:v>PRIMARY SCHOOL NO 2 JAMALPUR ROOM NO 1</x:v>
      </x:c>
      <x:c r="C115" s="83" t="n">
        <x:f>'2022 Form20'!H64</x:f>
        <x:v>216</x:v>
      </x:c>
      <x:c r="D115" s="83" t="n">
        <x:f>'2022 Form20'!D64</x:f>
        <x:v>481</x:v>
      </x:c>
      <x:c r="E115" s="50" t="n">
        <x:f>'2022 Form20'!T64</x:f>
        <x:v>0.4490644490644491</x:v>
      </x:c>
      <x:c r="F115" t="n">
        <x:f>'2022 Form20'!U64</x:f>
        <x:v>182</x:v>
      </x:c>
      <x:c r="G115" t="n">
        <x:f>'2022 Form20'!V64</x:f>
        <x:v>34</x:v>
      </x:c>
      <x:c r="H115" s="52" t="n">
        <x:f>'2022 Form20'!W64</x:f>
        <x:v>0.07068607068607069</x:v>
      </x:c>
      <x:c r="I115" t="str">
        <x:v>AVTAR SINGH BHADANA</x:v>
      </x:c>
      <x:c r="J115" t="str">
        <x:v>Rashtriya Lok Dal</x:v>
      </x:c>
      <x:c r="K115" t="str">
        <x:v>EVM row</x:v>
      </x:c>
      <x:c r="L115" s="133" t="str">
        <x:f>IF(D115&lt;=0,"No EVM votes",IF(E115&lt;$N$7,"Low",IF(E115&gt;$R$7,"High","Middle")))</x:f>
        <x:v>High</x:v>
      </x:c>
      <x:c r="M115" s="133" t="str">
        <x:f>IF(D115&lt;=0,"No EVM votes",IF(H115&lt;-20%,"Large deficit",IF(H115&lt;-5%,"Moderate deficit",IF(H115&lt;0,"Narrow deficit",IF(H115&lt;=5%,"Narrow lead/tie",IF(H115&lt;=20%,"Moderate lead","Large lead"))))))</x:f>
        <x:v>Moderate lead</x:v>
      </x:c>
    </x:row>
    <x:row r="116">
      <x:c r="A116" t="n">
        <x:v>57</x:v>
      </x:c>
      <x:c r="B116" t="str">
        <x:v>PRIMARY SCHOOL NO 2 JAMALPUR ROOM NO 2</x:v>
      </x:c>
      <x:c r="C116" s="83" t="n">
        <x:f>'2022 Form20'!H65</x:f>
        <x:v>126</x:v>
      </x:c>
      <x:c r="D116" s="83" t="n">
        <x:f>'2022 Form20'!D65</x:f>
        <x:v>452</x:v>
      </x:c>
      <x:c r="E116" s="50" t="n">
        <x:f>'2022 Form20'!T65</x:f>
        <x:v>0.27876106194690264</x:v>
      </x:c>
      <x:c r="F116" t="n">
        <x:f>'2022 Form20'!U65</x:f>
        <x:v>176</x:v>
      </x:c>
      <x:c r="G116" t="n">
        <x:f>'2022 Form20'!V65</x:f>
        <x:v>-50</x:v>
      </x:c>
      <x:c r="H116" s="52" t="n">
        <x:f>'2022 Form20'!W65</x:f>
        <x:v>-0.11061946902654868</x:v>
      </x:c>
      <x:c r="I116" t="str">
        <x:v>NARENDER KUMAR</x:v>
      </x:c>
      <x:c r="J116" t="str">
        <x:v>Bahujan Samaj Party</x:v>
      </x:c>
      <x:c r="K116" t="str">
        <x:v>EVM row</x:v>
      </x:c>
      <x:c r="L116" s="133" t="str">
        <x:f>IF(D116&lt;=0,"No EVM votes",IF(E116&lt;$N$7,"Low",IF(E116&gt;$R$7,"High","Middle")))</x:f>
        <x:v>Middle</x:v>
      </x:c>
      <x:c r="M116" s="133" t="str">
        <x:f>IF(D116&lt;=0,"No EVM votes",IF(H116&lt;-20%,"Large deficit",IF(H116&lt;-5%,"Moderate deficit",IF(H116&lt;0,"Narrow deficit",IF(H116&lt;=5%,"Narrow lead/tie",IF(H116&lt;=20%,"Moderate lead","Large lead"))))))</x:f>
        <x:v>Moderate deficit</x:v>
      </x:c>
    </x:row>
    <x:row r="117">
      <x:c r="A117" t="n">
        <x:v>58</x:v>
      </x:c>
      <x:c r="B117" t="str">
        <x:v>JUNIOR HIGH SCHOOL RAJPUR KALA ROOM NO 1</x:v>
      </x:c>
      <x:c r="C117" s="83" t="n">
        <x:f>'2022 Form20'!H66</x:f>
        <x:v>182</x:v>
      </x:c>
      <x:c r="D117" s="83" t="n">
        <x:f>'2022 Form20'!D66</x:f>
        <x:v>405</x:v>
      </x:c>
      <x:c r="E117" s="50" t="n">
        <x:f>'2022 Form20'!T66</x:f>
        <x:v>0.44938271604938274</x:v>
      </x:c>
      <x:c r="F117" t="n">
        <x:f>'2022 Form20'!U66</x:f>
        <x:v>201</x:v>
      </x:c>
      <x:c r="G117" t="n">
        <x:f>'2022 Form20'!V66</x:f>
        <x:v>-19</x:v>
      </x:c>
      <x:c r="H117" s="52" t="n">
        <x:f>'2022 Form20'!W66</x:f>
        <x:v>-0.04691358024691358</x:v>
      </x:c>
      <x:c r="I117" t="str">
        <x:v>DHIRENDRA SINGH</x:v>
      </x:c>
      <x:c r="J117" t="str">
        <x:v>Bharatiya Janata Party</x:v>
      </x:c>
      <x:c r="K117" t="str">
        <x:v>EVM row</x:v>
      </x:c>
      <x:c r="L117" s="133" t="str">
        <x:f>IF(D117&lt;=0,"No EVM votes",IF(E117&lt;$N$7,"Low",IF(E117&gt;$R$7,"High","Middle")))</x:f>
        <x:v>High</x:v>
      </x:c>
      <x:c r="M117" s="133" t="str">
        <x:f>IF(D117&lt;=0,"No EVM votes",IF(H117&lt;-20%,"Large deficit",IF(H117&lt;-5%,"Moderate deficit",IF(H117&lt;0,"Narrow deficit",IF(H117&lt;=5%,"Narrow lead/tie",IF(H117&lt;=20%,"Moderate lead","Large lead"))))))</x:f>
        <x:v>Narrow deficit</x:v>
      </x:c>
    </x:row>
    <x:row r="118">
      <x:c r="A118" t="n">
        <x:v>59</x:v>
      </x:c>
      <x:c r="B118" t="str">
        <x:v>JUNIOR HIGH SCHOOL RAJPUR KALA ROOM NO 2</x:v>
      </x:c>
      <x:c r="C118" s="83" t="n">
        <x:f>'2022 Form20'!H67</x:f>
        <x:v>116</x:v>
      </x:c>
      <x:c r="D118" s="83" t="n">
        <x:f>'2022 Form20'!D67</x:f>
        <x:v>371</x:v>
      </x:c>
      <x:c r="E118" s="50" t="n">
        <x:f>'2022 Form20'!T67</x:f>
        <x:v>0.31266846361185985</x:v>
      </x:c>
      <x:c r="F118" t="n">
        <x:f>'2022 Form20'!U67</x:f>
        <x:v>193</x:v>
      </x:c>
      <x:c r="G118" t="n">
        <x:f>'2022 Form20'!V67</x:f>
        <x:v>-77</x:v>
      </x:c>
      <x:c r="H118" s="52" t="n">
        <x:f>'2022 Form20'!W67</x:f>
        <x:v>-0.20754716981132076</x:v>
      </x:c>
      <x:c r="I118" t="str">
        <x:v>DHIRENDRA SINGH</x:v>
      </x:c>
      <x:c r="J118" t="str">
        <x:v>Bharatiya Janata Party</x:v>
      </x:c>
      <x:c r="K118" t="str">
        <x:v>EVM row</x:v>
      </x:c>
      <x:c r="L118" s="133" t="str">
        <x:f>IF(D118&lt;=0,"No EVM votes",IF(E118&lt;$N$7,"Low",IF(E118&gt;$R$7,"High","Middle")))</x:f>
        <x:v>Middle</x:v>
      </x:c>
      <x:c r="M118" s="133" t="str">
        <x:f>IF(D118&lt;=0,"No EVM votes",IF(H118&lt;-20%,"Large deficit",IF(H118&lt;-5%,"Moderate deficit",IF(H118&lt;0,"Narrow deficit",IF(H118&lt;=5%,"Narrow lead/tie",IF(H118&lt;=20%,"Moderate lead","Large lead"))))))</x:f>
        <x:v>Large deficit</x:v>
      </x:c>
    </x:row>
    <x:row r="119">
      <x:c r="A119" t="n">
        <x:v>60</x:v>
      </x:c>
      <x:c r="B119" t="str">
        <x:v>PRIMARY SCHOOL CHITI ROOM NO 1</x:v>
      </x:c>
      <x:c r="C119" s="83" t="n">
        <x:f>'2022 Form20'!H68</x:f>
        <x:v>53</x:v>
      </x:c>
      <x:c r="D119" s="83" t="n">
        <x:f>'2022 Form20'!D68</x:f>
        <x:v>577</x:v>
      </x:c>
      <x:c r="E119" s="50" t="n">
        <x:f>'2022 Form20'!T68</x:f>
        <x:v>0.09185441941074524</x:v>
      </x:c>
      <x:c r="F119" t="n">
        <x:f>'2022 Form20'!U68</x:f>
        <x:v>254</x:v>
      </x:c>
      <x:c r="G119" t="n">
        <x:f>'2022 Form20'!V68</x:f>
        <x:v>-201</x:v>
      </x:c>
      <x:c r="H119" s="52" t="n">
        <x:f>'2022 Form20'!W68</x:f>
        <x:v>-0.3483535528596187</x:v>
      </x:c>
      <x:c r="I119" t="str">
        <x:v>NARENDER KUMAR</x:v>
      </x:c>
      <x:c r="J119" t="str">
        <x:v>Bahujan Samaj Party</x:v>
      </x:c>
      <x:c r="K119" t="str">
        <x:v>EVM row</x:v>
      </x:c>
      <x:c r="L119" s="133" t="str">
        <x:f>IF(D119&lt;=0,"No EVM votes",IF(E119&lt;$N$7,"Low",IF(E119&gt;$R$7,"High","Middle")))</x:f>
        <x:v>Middle</x:v>
      </x:c>
      <x:c r="M119" s="133" t="str">
        <x:f>IF(D119&lt;=0,"No EVM votes",IF(H119&lt;-20%,"Large deficit",IF(H119&lt;-5%,"Moderate deficit",IF(H119&lt;0,"Narrow deficit",IF(H119&lt;=5%,"Narrow lead/tie",IF(H119&lt;=20%,"Moderate lead","Large lead"))))))</x:f>
        <x:v>Large deficit</x:v>
      </x:c>
    </x:row>
    <x:row r="120">
      <x:c r="A120" t="n">
        <x:v>61</x:v>
      </x:c>
      <x:c r="B120" t="str">
        <x:v>PRIMARY SCHOOL CHITI ROOM NO 2</x:v>
      </x:c>
      <x:c r="C120" s="83" t="n">
        <x:f>'2022 Form20'!H69</x:f>
        <x:v>94</x:v>
      </x:c>
      <x:c r="D120" s="83" t="n">
        <x:f>'2022 Form20'!D69</x:f>
        <x:v>452</x:v>
      </x:c>
      <x:c r="E120" s="50" t="n">
        <x:f>'2022 Form20'!T69</x:f>
        <x:v>0.2079646017699115</x:v>
      </x:c>
      <x:c r="F120" t="n">
        <x:f>'2022 Form20'!U69</x:f>
        <x:v>289</x:v>
      </x:c>
      <x:c r="G120" t="n">
        <x:f>'2022 Form20'!V69</x:f>
        <x:v>-195</x:v>
      </x:c>
      <x:c r="H120" s="52" t="n">
        <x:f>'2022 Form20'!W69</x:f>
        <x:v>-0.4314159292035398</x:v>
      </x:c>
      <x:c r="I120" t="str">
        <x:v>DHIRENDRA SINGH</x:v>
      </x:c>
      <x:c r="J120" t="str">
        <x:v>Bharatiya Janata Party</x:v>
      </x:c>
      <x:c r="K120" t="str">
        <x:v>EVM row</x:v>
      </x:c>
      <x:c r="L120" s="133" t="str">
        <x:f>IF(D120&lt;=0,"No EVM votes",IF(E120&lt;$N$7,"Low",IF(E120&gt;$R$7,"High","Middle")))</x:f>
        <x:v>Middle</x:v>
      </x:c>
      <x:c r="M120" s="133" t="str">
        <x:f>IF(D120&lt;=0,"No EVM votes",IF(H120&lt;-20%,"Large deficit",IF(H120&lt;-5%,"Moderate deficit",IF(H120&lt;0,"Narrow deficit",IF(H120&lt;=5%,"Narrow lead/tie",IF(H120&lt;=20%,"Moderate lead","Large lead"))))))</x:f>
        <x:v>Large deficit</x:v>
      </x:c>
    </x:row>
    <x:row r="121">
      <x:c r="A121" t="n">
        <x:v>62</x:v>
      </x:c>
      <x:c r="B121" t="str">
        <x:v>PRIMARY SCHOOL CHITI ROOM NO 3</x:v>
      </x:c>
      <x:c r="C121" s="83" t="n">
        <x:f>'2022 Form20'!H70</x:f>
        <x:v>186</x:v>
      </x:c>
      <x:c r="D121" s="83" t="n">
        <x:f>'2022 Form20'!D70</x:f>
        <x:v>526</x:v>
      </x:c>
      <x:c r="E121" s="50" t="n">
        <x:f>'2022 Form20'!T70</x:f>
        <x:v>0.35361216730038025</x:v>
      </x:c>
      <x:c r="F121" t="n">
        <x:f>'2022 Form20'!U70</x:f>
        <x:v>282</x:v>
      </x:c>
      <x:c r="G121" t="n">
        <x:f>'2022 Form20'!V70</x:f>
        <x:v>-96</x:v>
      </x:c>
      <x:c r="H121" s="52" t="n">
        <x:f>'2022 Form20'!W70</x:f>
        <x:v>-0.18250950570342206</x:v>
      </x:c>
      <x:c r="I121" t="str">
        <x:v>DHIRENDRA SINGH</x:v>
      </x:c>
      <x:c r="J121" t="str">
        <x:v>Bharatiya Janata Party</x:v>
      </x:c>
      <x:c r="K121" t="str">
        <x:v>EVM row</x:v>
      </x:c>
      <x:c r="L121" s="133" t="str">
        <x:f>IF(D121&lt;=0,"No EVM votes",IF(E121&lt;$N$7,"Low",IF(E121&gt;$R$7,"High","Middle")))</x:f>
        <x:v>Middle</x:v>
      </x:c>
      <x:c r="M121" s="133" t="str">
        <x:f>IF(D121&lt;=0,"No EVM votes",IF(H121&lt;-20%,"Large deficit",IF(H121&lt;-5%,"Moderate deficit",IF(H121&lt;0,"Narrow deficit",IF(H121&lt;=5%,"Narrow lead/tie",IF(H121&lt;=20%,"Moderate lead","Large lead"))))))</x:f>
        <x:v>Moderate deficit</x:v>
      </x:c>
    </x:row>
    <x:row r="122">
      <x:c r="A122" t="n">
        <x:v>63</x:v>
      </x:c>
      <x:c r="B122" t="str">
        <x:v>PRIMARY SCHOOL NANGLA CHITI ROOM NO 1</x:v>
      </x:c>
      <x:c r="C122" s="83" t="n">
        <x:f>'2022 Form20'!H71</x:f>
        <x:v>49</x:v>
      </x:c>
      <x:c r="D122" s="83" t="n">
        <x:f>'2022 Form20'!D71</x:f>
        <x:v>324</x:v>
      </x:c>
      <x:c r="E122" s="50" t="n">
        <x:f>'2022 Form20'!T71</x:f>
        <x:v>0.15123456790123457</x:v>
      </x:c>
      <x:c r="F122" t="n">
        <x:f>'2022 Form20'!U71</x:f>
        <x:v>183</x:v>
      </x:c>
      <x:c r="G122" t="n">
        <x:f>'2022 Form20'!V71</x:f>
        <x:v>-134</x:v>
      </x:c>
      <x:c r="H122" s="52" t="n">
        <x:f>'2022 Form20'!W71</x:f>
        <x:v>-0.41358024691358025</x:v>
      </x:c>
      <x:c r="I122" t="str">
        <x:v>MANOJ</x:v>
      </x:c>
      <x:c r="J122" t="str">
        <x:v>Indian National Congress</x:v>
      </x:c>
      <x:c r="K122" t="str">
        <x:v>EVM row</x:v>
      </x:c>
      <x:c r="L122" s="133" t="str">
        <x:f>IF(D122&lt;=0,"No EVM votes",IF(E122&lt;$N$7,"Low",IF(E122&gt;$R$7,"High","Middle")))</x:f>
        <x:v>Middle</x:v>
      </x:c>
      <x:c r="M122" s="133" t="str">
        <x:f>IF(D122&lt;=0,"No EVM votes",IF(H122&lt;-20%,"Large deficit",IF(H122&lt;-5%,"Moderate deficit",IF(H122&lt;0,"Narrow deficit",IF(H122&lt;=5%,"Narrow lead/tie",IF(H122&lt;=20%,"Moderate lead","Large lead"))))))</x:f>
        <x:v>Large deficit</x:v>
      </x:c>
    </x:row>
    <x:row r="123">
      <x:c r="A123" t="n">
        <x:v>64</x:v>
      </x:c>
      <x:c r="B123" t="str">
        <x:v>PRIMARY SCHOOL DEVTA ROOM NO 1</x:v>
      </x:c>
      <x:c r="C123" s="83" t="n">
        <x:f>'2022 Form20'!H72</x:f>
        <x:v>279</x:v>
      </x:c>
      <x:c r="D123" s="83" t="n">
        <x:f>'2022 Form20'!D72</x:f>
        <x:v>590</x:v>
      </x:c>
      <x:c r="E123" s="50" t="n">
        <x:f>'2022 Form20'!T72</x:f>
        <x:v>0.4728813559322034</x:v>
      </x:c>
      <x:c r="F123" t="n">
        <x:f>'2022 Form20'!U72</x:f>
        <x:v>166</x:v>
      </x:c>
      <x:c r="G123" t="n">
        <x:f>'2022 Form20'!V72</x:f>
        <x:v>113</x:v>
      </x:c>
      <x:c r="H123" s="52" t="n">
        <x:f>'2022 Form20'!W72</x:f>
        <x:v>0.19152542372881357</x:v>
      </x:c>
      <x:c r="I123" t="str">
        <x:v>AVTAR SINGH BHADANA</x:v>
      </x:c>
      <x:c r="J123" t="str">
        <x:v>Rashtriya Lok Dal</x:v>
      </x:c>
      <x:c r="K123" t="str">
        <x:v>EVM row</x:v>
      </x:c>
      <x:c r="L123" s="133" t="str">
        <x:f>IF(D123&lt;=0,"No EVM votes",IF(E123&lt;$N$7,"Low",IF(E123&gt;$R$7,"High","Middle")))</x:f>
        <x:v>High</x:v>
      </x:c>
      <x:c r="M123" s="133" t="str">
        <x:f>IF(D123&lt;=0,"No EVM votes",IF(H123&lt;-20%,"Large deficit",IF(H123&lt;-5%,"Moderate deficit",IF(H123&lt;0,"Narrow deficit",IF(H123&lt;=5%,"Narrow lead/tie",IF(H123&lt;=20%,"Moderate lead","Large lead"))))))</x:f>
        <x:v>Moderate lead</x:v>
      </x:c>
    </x:row>
    <x:row r="124">
      <x:c r="A124" t="n">
        <x:v>65</x:v>
      </x:c>
      <x:c r="B124" t="str">
        <x:v>PRIMARY SCHOOL DEVTA ROOM NO 2</x:v>
      </x:c>
      <x:c r="C124" s="83" t="n">
        <x:f>'2022 Form20'!H73</x:f>
        <x:v>334</x:v>
      </x:c>
      <x:c r="D124" s="83" t="n">
        <x:f>'2022 Form20'!D73</x:f>
        <x:v>599</x:v>
      </x:c>
      <x:c r="E124" s="50" t="n">
        <x:f>'2022 Form20'!T73</x:f>
        <x:v>0.5575959933222037</x:v>
      </x:c>
      <x:c r="F124" t="n">
        <x:f>'2022 Form20'!U73</x:f>
        <x:v>180</x:v>
      </x:c>
      <x:c r="G124" t="n">
        <x:f>'2022 Form20'!V73</x:f>
        <x:v>154</x:v>
      </x:c>
      <x:c r="H124" s="52" t="n">
        <x:f>'2022 Form20'!W73</x:f>
        <x:v>0.2570951585976628</x:v>
      </x:c>
      <x:c r="I124" t="str">
        <x:v>AVTAR SINGH BHADANA</x:v>
      </x:c>
      <x:c r="J124" t="str">
        <x:v>Rashtriya Lok Dal</x:v>
      </x:c>
      <x:c r="K124" t="str">
        <x:v>EVM row</x:v>
      </x:c>
      <x:c r="L124" s="133" t="str">
        <x:f>IF(D124&lt;=0,"No EVM votes",IF(E124&lt;$N$7,"Low",IF(E124&gt;$R$7,"High","Middle")))</x:f>
        <x:v>High</x:v>
      </x:c>
      <x:c r="M124" s="133" t="str">
        <x:f>IF(D124&lt;=0,"No EVM votes",IF(H124&lt;-20%,"Large deficit",IF(H124&lt;-5%,"Moderate deficit",IF(H124&lt;0,"Narrow deficit",IF(H124&lt;=5%,"Narrow lead/tie",IF(H124&lt;=20%,"Moderate lead","Large lead"))))))</x:f>
        <x:v>Large lead</x:v>
      </x:c>
    </x:row>
    <x:row r="125">
      <x:c r="A125" t="n">
        <x:v>66</x:v>
      </x:c>
      <x:c r="B125" t="str">
        <x:v>PATEL INTER COLLEGE ASTAULI ROOM NO. 1</x:v>
      </x:c>
      <x:c r="C125" s="83" t="n">
        <x:f>'2022 Form20'!H74</x:f>
        <x:v>148</x:v>
      </x:c>
      <x:c r="D125" s="83" t="n">
        <x:f>'2022 Form20'!D74</x:f>
        <x:v>557</x:v>
      </x:c>
      <x:c r="E125" s="50" t="n">
        <x:f>'2022 Form20'!T74</x:f>
        <x:v>0.26570915619389585</x:v>
      </x:c>
      <x:c r="F125" t="n">
        <x:f>'2022 Form20'!U74</x:f>
        <x:v>263</x:v>
      </x:c>
      <x:c r="G125" t="n">
        <x:f>'2022 Form20'!V74</x:f>
        <x:v>-115</x:v>
      </x:c>
      <x:c r="H125" s="52" t="n">
        <x:f>'2022 Form20'!W74</x:f>
        <x:v>-0.20646319569120286</x:v>
      </x:c>
      <x:c r="I125" t="str">
        <x:v>NARENDER KUMAR</x:v>
      </x:c>
      <x:c r="J125" t="str">
        <x:v>Bahujan Samaj Party</x:v>
      </x:c>
      <x:c r="K125" t="str">
        <x:v>EVM row</x:v>
      </x:c>
      <x:c r="L125" s="133" t="str">
        <x:f>IF(D125&lt;=0,"No EVM votes",IF(E125&lt;$N$7,"Low",IF(E125&gt;$R$7,"High","Middle")))</x:f>
        <x:v>Middle</x:v>
      </x:c>
      <x:c r="M125" s="133" t="str">
        <x:f>IF(D125&lt;=0,"No EVM votes",IF(H125&lt;-20%,"Large deficit",IF(H125&lt;-5%,"Moderate deficit",IF(H125&lt;0,"Narrow deficit",IF(H125&lt;=5%,"Narrow lead/tie",IF(H125&lt;=20%,"Moderate lead","Large lead"))))))</x:f>
        <x:v>Large deficit</x:v>
      </x:c>
    </x:row>
    <x:row r="126">
      <x:c r="A126" t="n">
        <x:v>67</x:v>
      </x:c>
      <x:c r="B126" t="str">
        <x:v>PATEL INTER COLLEGE ASTAULI ROOM NO. 2</x:v>
      </x:c>
      <x:c r="C126" s="83" t="n">
        <x:f>'2022 Form20'!H75</x:f>
        <x:v>406</x:v>
      </x:c>
      <x:c r="D126" s="83" t="n">
        <x:f>'2022 Form20'!D75</x:f>
        <x:v>699</x:v>
      </x:c>
      <x:c r="E126" s="50" t="n">
        <x:f>'2022 Form20'!T75</x:f>
        <x:v>0.580829756795422</x:v>
      </x:c>
      <x:c r="F126" t="n">
        <x:f>'2022 Form20'!U75</x:f>
        <x:v>228</x:v>
      </x:c>
      <x:c r="G126" t="n">
        <x:f>'2022 Form20'!V75</x:f>
        <x:v>178</x:v>
      </x:c>
      <x:c r="H126" s="52" t="n">
        <x:f>'2022 Form20'!W75</x:f>
        <x:v>0.25464949928469244</x:v>
      </x:c>
      <x:c r="I126" t="str">
        <x:v>AVTAR SINGH BHADANA</x:v>
      </x:c>
      <x:c r="J126" t="str">
        <x:v>Rashtriya Lok Dal</x:v>
      </x:c>
      <x:c r="K126" t="str">
        <x:v>EVM row</x:v>
      </x:c>
      <x:c r="L126" s="133" t="str">
        <x:f>IF(D126&lt;=0,"No EVM votes",IF(E126&lt;$N$7,"Low",IF(E126&gt;$R$7,"High","Middle")))</x:f>
        <x:v>High</x:v>
      </x:c>
      <x:c r="M126" s="133" t="str">
        <x:f>IF(D126&lt;=0,"No EVM votes",IF(H126&lt;-20%,"Large deficit",IF(H126&lt;-5%,"Moderate deficit",IF(H126&lt;0,"Narrow deficit",IF(H126&lt;=5%,"Narrow lead/tie",IF(H126&lt;=20%,"Moderate lead","Large lead"))))))</x:f>
        <x:v>Large lead</x:v>
      </x:c>
    </x:row>
    <x:row r="127">
      <x:c r="A127" t="n">
        <x:v>68</x:v>
      </x:c>
      <x:c r="B127" t="str">
        <x:v>PATEL INTER COLLEGE ASTAULI ROOM NO. 3</x:v>
      </x:c>
      <x:c r="C127" s="83" t="n">
        <x:f>'2022 Form20'!H76</x:f>
        <x:v>208</x:v>
      </x:c>
      <x:c r="D127" s="83" t="n">
        <x:f>'2022 Form20'!D76</x:f>
        <x:v>451</x:v>
      </x:c>
      <x:c r="E127" s="50" t="n">
        <x:f>'2022 Form20'!T76</x:f>
        <x:v>0.4611973392461197</x:v>
      </x:c>
      <x:c r="F127" t="n">
        <x:f>'2022 Form20'!U76</x:f>
        <x:v>159</x:v>
      </x:c>
      <x:c r="G127" t="n">
        <x:f>'2022 Form20'!V76</x:f>
        <x:v>49</x:v>
      </x:c>
      <x:c r="H127" s="52" t="n">
        <x:f>'2022 Form20'!W76</x:f>
        <x:v>0.10864745011086474</x:v>
      </x:c>
      <x:c r="I127" t="str">
        <x:v>AVTAR SINGH BHADANA</x:v>
      </x:c>
      <x:c r="J127" t="str">
        <x:v>Rashtriya Lok Dal</x:v>
      </x:c>
      <x:c r="K127" t="str">
        <x:v>EVM row</x:v>
      </x:c>
      <x:c r="L127" s="133" t="str">
        <x:f>IF(D127&lt;=0,"No EVM votes",IF(E127&lt;$N$7,"Low",IF(E127&gt;$R$7,"High","Middle")))</x:f>
        <x:v>High</x:v>
      </x:c>
      <x:c r="M127" s="133" t="str">
        <x:f>IF(D127&lt;=0,"No EVM votes",IF(H127&lt;-20%,"Large deficit",IF(H127&lt;-5%,"Moderate deficit",IF(H127&lt;0,"Narrow deficit",IF(H127&lt;=5%,"Narrow lead/tie",IF(H127&lt;=20%,"Moderate lead","Large lead"))))))</x:f>
        <x:v>Moderate lead</x:v>
      </x:c>
    </x:row>
    <x:row r="128">
      <x:c r="A128" t="n">
        <x:v>69</x:v>
      </x:c>
      <x:c r="B128" t="str">
        <x:v>CHAUDHARY LAXMI NARAYAN INTER COLLEGE MANDI SHYAMNAGAR URF KHERLI HAFIZPUR ROOM NO. 1</x:v>
      </x:c>
      <x:c r="C128" s="83" t="n">
        <x:f>'2022 Form20'!H77</x:f>
        <x:v>119</x:v>
      </x:c>
      <x:c r="D128" s="83" t="n">
        <x:f>'2022 Form20'!D77</x:f>
        <x:v>492</x:v>
      </x:c>
      <x:c r="E128" s="50" t="n">
        <x:f>'2022 Form20'!T77</x:f>
        <x:v>0.241869918699187</x:v>
      </x:c>
      <x:c r="F128" t="n">
        <x:f>'2022 Form20'!U77</x:f>
        <x:v>200</x:v>
      </x:c>
      <x:c r="G128" t="n">
        <x:f>'2022 Form20'!V77</x:f>
        <x:v>-81</x:v>
      </x:c>
      <x:c r="H128" s="52" t="n">
        <x:f>'2022 Form20'!W77</x:f>
        <x:v>-0.16463414634146342</x:v>
      </x:c>
      <x:c r="I128" t="str">
        <x:v>DHIRENDRA SINGH</x:v>
      </x:c>
      <x:c r="J128" t="str">
        <x:v>Bharatiya Janata Party</x:v>
      </x:c>
      <x:c r="K128" t="str">
        <x:v>EVM row</x:v>
      </x:c>
      <x:c r="L128" s="133" t="str">
        <x:f>IF(D128&lt;=0,"No EVM votes",IF(E128&lt;$N$7,"Low",IF(E128&gt;$R$7,"High","Middle")))</x:f>
        <x:v>Middle</x:v>
      </x:c>
      <x:c r="M128" s="133" t="str">
        <x:f>IF(D128&lt;=0,"No EVM votes",IF(H128&lt;-20%,"Large deficit",IF(H128&lt;-5%,"Moderate deficit",IF(H128&lt;0,"Narrow deficit",IF(H128&lt;=5%,"Narrow lead/tie",IF(H128&lt;=20%,"Moderate lead","Large lead"))))))</x:f>
        <x:v>Moderate deficit</x:v>
      </x:c>
    </x:row>
    <x:row r="129">
      <x:c r="A129" t="n">
        <x:v>70</x:v>
      </x:c>
      <x:c r="B129" t="str">
        <x:v>CHAUDHARY LAXMI NARAYAN INTER COLLEGE MANDI SHYAMNAGAR URF KHERLI HAFIZPUR ROOM NO. 2</x:v>
      </x:c>
      <x:c r="C129" s="83" t="n">
        <x:f>'2022 Form20'!H78</x:f>
        <x:v>83</x:v>
      </x:c>
      <x:c r="D129" s="83" t="n">
        <x:f>'2022 Form20'!D78</x:f>
        <x:v>467</x:v>
      </x:c>
      <x:c r="E129" s="50" t="n">
        <x:f>'2022 Form20'!T78</x:f>
        <x:v>0.1777301927194861</x:v>
      </x:c>
      <x:c r="F129" t="n">
        <x:f>'2022 Form20'!U78</x:f>
        <x:v>320</x:v>
      </x:c>
      <x:c r="G129" t="n">
        <x:f>'2022 Form20'!V78</x:f>
        <x:v>-237</x:v>
      </x:c>
      <x:c r="H129" s="52" t="n">
        <x:f>'2022 Form20'!W78</x:f>
        <x:v>-0.5074946466809421</x:v>
      </x:c>
      <x:c r="I129" t="str">
        <x:v>DHIRENDRA SINGH</x:v>
      </x:c>
      <x:c r="J129" t="str">
        <x:v>Bharatiya Janata Party</x:v>
      </x:c>
      <x:c r="K129" t="str">
        <x:v>EVM row</x:v>
      </x:c>
      <x:c r="L129" s="133" t="str">
        <x:f>IF(D129&lt;=0,"No EVM votes",IF(E129&lt;$N$7,"Low",IF(E129&gt;$R$7,"High","Middle")))</x:f>
        <x:v>Middle</x:v>
      </x:c>
      <x:c r="M129" s="133" t="str">
        <x:f>IF(D129&lt;=0,"No EVM votes",IF(H129&lt;-20%,"Large deficit",IF(H129&lt;-5%,"Moderate deficit",IF(H129&lt;0,"Narrow deficit",IF(H129&lt;=5%,"Narrow lead/tie",IF(H129&lt;=20%,"Moderate lead","Large lead"))))))</x:f>
        <x:v>Large deficit</x:v>
      </x:c>
    </x:row>
    <x:row r="130">
      <x:c r="A130" t="n">
        <x:v>71</x:v>
      </x:c>
      <x:c r="B130" t="str">
        <x:v>CHAUDHARY LAXMI NARAYAN INTER COLLEGE MANDI SHYAMNAGAR URF KHERLI HAFIZPUR ROOM NO. 3</x:v>
      </x:c>
      <x:c r="C130" s="83" t="n">
        <x:f>'2022 Form20'!H79</x:f>
        <x:v>49</x:v>
      </x:c>
      <x:c r="D130" s="83" t="n">
        <x:f>'2022 Form20'!D79</x:f>
        <x:v>316</x:v>
      </x:c>
      <x:c r="E130" s="50" t="n">
        <x:f>'2022 Form20'!T79</x:f>
        <x:v>0.1550632911392405</x:v>
      </x:c>
      <x:c r="F130" t="n">
        <x:f>'2022 Form20'!U79</x:f>
        <x:v>221</x:v>
      </x:c>
      <x:c r="G130" t="n">
        <x:f>'2022 Form20'!V79</x:f>
        <x:v>-172</x:v>
      </x:c>
      <x:c r="H130" s="52" t="n">
        <x:f>'2022 Form20'!W79</x:f>
        <x:v>-0.5443037974683544</x:v>
      </x:c>
      <x:c r="I130" t="str">
        <x:v>DHIRENDRA SINGH</x:v>
      </x:c>
      <x:c r="J130" t="str">
        <x:v>Bharatiya Janata Party</x:v>
      </x:c>
      <x:c r="K130" t="str">
        <x:v>EVM row</x:v>
      </x:c>
      <x:c r="L130" s="133" t="str">
        <x:f>IF(D130&lt;=0,"No EVM votes",IF(E130&lt;$N$7,"Low",IF(E130&gt;$R$7,"High","Middle")))</x:f>
        <x:v>Middle</x:v>
      </x:c>
      <x:c r="M130" s="133" t="str">
        <x:f>IF(D130&lt;=0,"No EVM votes",IF(H130&lt;-20%,"Large deficit",IF(H130&lt;-5%,"Moderate deficit",IF(H130&lt;0,"Narrow deficit",IF(H130&lt;=5%,"Narrow lead/tie",IF(H130&lt;=20%,"Moderate lead","Large lead"))))))</x:f>
        <x:v>Large deficit</x:v>
      </x:c>
    </x:row>
    <x:row r="131">
      <x:c r="A131" t="n">
        <x:v>72</x:v>
      </x:c>
      <x:c r="B131" t="str">
        <x:v>CHAUDHARY LAXMI NARAYAN INTER COLLEGE MANDI SHYAMNAGAR URF KHERLI HAFIZPUR ROOM NO. 4</x:v>
      </x:c>
      <x:c r="C131" s="83" t="n">
        <x:f>'2022 Form20'!H80</x:f>
        <x:v>61</x:v>
      </x:c>
      <x:c r="D131" s="83" t="n">
        <x:f>'2022 Form20'!D80</x:f>
        <x:v>629</x:v>
      </x:c>
      <x:c r="E131" s="50" t="n">
        <x:f>'2022 Form20'!T80</x:f>
        <x:v>0.09697933227344992</x:v>
      </x:c>
      <x:c r="F131" t="n">
        <x:f>'2022 Form20'!U80</x:f>
        <x:v>496</x:v>
      </x:c>
      <x:c r="G131" t="n">
        <x:f>'2022 Form20'!V80</x:f>
        <x:v>-435</x:v>
      </x:c>
      <x:c r="H131" s="52" t="n">
        <x:f>'2022 Form20'!W80</x:f>
        <x:v>-0.6915739268680445</x:v>
      </x:c>
      <x:c r="I131" t="str">
        <x:v>DHIRENDRA SINGH</x:v>
      </x:c>
      <x:c r="J131" t="str">
        <x:v>Bharatiya Janata Party</x:v>
      </x:c>
      <x:c r="K131" t="str">
        <x:v>EVM row</x:v>
      </x:c>
      <x:c r="L131" s="133" t="str">
        <x:f>IF(D131&lt;=0,"No EVM votes",IF(E131&lt;$N$7,"Low",IF(E131&gt;$R$7,"High","Middle")))</x:f>
        <x:v>Middle</x:v>
      </x:c>
      <x:c r="M131" s="133" t="str">
        <x:f>IF(D131&lt;=0,"No EVM votes",IF(H131&lt;-20%,"Large deficit",IF(H131&lt;-5%,"Moderate deficit",IF(H131&lt;0,"Narrow deficit",IF(H131&lt;=5%,"Narrow lead/tie",IF(H131&lt;=20%,"Moderate lead","Large lead"))))))</x:f>
        <x:v>Large deficit</x:v>
      </x:c>
    </x:row>
    <x:row r="132">
      <x:c r="A132" t="n">
        <x:v>73</x:v>
      </x:c>
      <x:c r="B132" t="str">
        <x:v>CHAUDHARY LAXMI NARAYAN INTER COLLEGE MANDI SHYAMNAGAR URF KHERLI HAFIZPUR ROOM NO. 5</x:v>
      </x:c>
      <x:c r="C132" s="83" t="n">
        <x:f>'2022 Form20'!H81</x:f>
        <x:v>44</x:v>
      </x:c>
      <x:c r="D132" s="83" t="n">
        <x:f>'2022 Form20'!D81</x:f>
        <x:v>615</x:v>
      </x:c>
      <x:c r="E132" s="50" t="n">
        <x:f>'2022 Form20'!T81</x:f>
        <x:v>0.07154471544715447</x:v>
      </x:c>
      <x:c r="F132" t="n">
        <x:f>'2022 Form20'!U81</x:f>
        <x:v>509</x:v>
      </x:c>
      <x:c r="G132" t="n">
        <x:f>'2022 Form20'!V81</x:f>
        <x:v>-465</x:v>
      </x:c>
      <x:c r="H132" s="52" t="n">
        <x:f>'2022 Form20'!W81</x:f>
        <x:v>-0.7560975609756098</x:v>
      </x:c>
      <x:c r="I132" t="str">
        <x:v>DHIRENDRA SINGH</x:v>
      </x:c>
      <x:c r="J132" t="str">
        <x:v>Bharatiya Janata Party</x:v>
      </x:c>
      <x:c r="K132" t="str">
        <x:v>EVM row</x:v>
      </x:c>
      <x:c r="L132" s="133" t="str">
        <x:f>IF(D132&lt;=0,"No EVM votes",IF(E132&lt;$N$7,"Low",IF(E132&gt;$R$7,"High","Middle")))</x:f>
        <x:v>Low</x:v>
      </x:c>
      <x:c r="M132" s="133" t="str">
        <x:f>IF(D132&lt;=0,"No EVM votes",IF(H132&lt;-20%,"Large deficit",IF(H132&lt;-5%,"Moderate deficit",IF(H132&lt;0,"Narrow deficit",IF(H132&lt;=5%,"Narrow lead/tie",IF(H132&lt;=20%,"Moderate lead","Large lead"))))))</x:f>
        <x:v>Large deficit</x:v>
      </x:c>
    </x:row>
    <x:row r="133">
      <x:c r="A133" t="n">
        <x:v>74</x:v>
      </x:c>
      <x:c r="B133" t="str">
        <x:v>CHAUDHARY LAXMI NARAYAN INTER COLLEGE MANDI SHYAMNAGAR URF KHERLI HAFIZPUR ROOM NO. 6</x:v>
      </x:c>
      <x:c r="C133" s="83" t="n">
        <x:f>'2022 Form20'!H82</x:f>
        <x:v>74</x:v>
      </x:c>
      <x:c r="D133" s="83" t="n">
        <x:f>'2022 Form20'!D82</x:f>
        <x:v>297</x:v>
      </x:c>
      <x:c r="E133" s="50" t="n">
        <x:f>'2022 Form20'!T82</x:f>
        <x:v>0.24915824915824916</x:v>
      </x:c>
      <x:c r="F133" t="n">
        <x:f>'2022 Form20'!U82</x:f>
        <x:v>169</x:v>
      </x:c>
      <x:c r="G133" t="n">
        <x:f>'2022 Form20'!V82</x:f>
        <x:v>-95</x:v>
      </x:c>
      <x:c r="H133" s="52" t="n">
        <x:f>'2022 Form20'!W82</x:f>
        <x:v>-0.31986531986531985</x:v>
      </x:c>
      <x:c r="I133" t="str">
        <x:v>DHIRENDRA SINGH</x:v>
      </x:c>
      <x:c r="J133" t="str">
        <x:v>Bharatiya Janata Party</x:v>
      </x:c>
      <x:c r="K133" t="str">
        <x:v>EVM row</x:v>
      </x:c>
      <x:c r="L133" s="133" t="str">
        <x:f>IF(D133&lt;=0,"No EVM votes",IF(E133&lt;$N$7,"Low",IF(E133&gt;$R$7,"High","Middle")))</x:f>
        <x:v>Middle</x:v>
      </x:c>
      <x:c r="M133" s="133" t="str">
        <x:f>IF(D133&lt;=0,"No EVM votes",IF(H133&lt;-20%,"Large deficit",IF(H133&lt;-5%,"Moderate deficit",IF(H133&lt;0,"Narrow deficit",IF(H133&lt;=5%,"Narrow lead/tie",IF(H133&lt;=20%,"Moderate lead","Large lead"))))))</x:f>
        <x:v>Large deficit</x:v>
      </x:c>
    </x:row>
    <x:row r="134">
      <x:c r="A134" t="n">
        <x:v>75</x:v>
      </x:c>
      <x:c r="B134" t="str">
        <x:v>CHAUDHARY LAXMI NARAYAN INTER COLLEGE MANDI SHYAMNAGAR URF KHERLI HAFIZPUR ROOM NO. 7</x:v>
      </x:c>
      <x:c r="C134" s="83" t="n">
        <x:f>'2022 Form20'!H83</x:f>
        <x:v>52</x:v>
      </x:c>
      <x:c r="D134" s="83" t="n">
        <x:f>'2022 Form20'!D83</x:f>
        <x:v>328</x:v>
      </x:c>
      <x:c r="E134" s="50" t="n">
        <x:f>'2022 Form20'!T83</x:f>
        <x:v>0.15853658536585366</x:v>
      </x:c>
      <x:c r="F134" t="n">
        <x:f>'2022 Form20'!U83</x:f>
        <x:v>241</x:v>
      </x:c>
      <x:c r="G134" t="n">
        <x:f>'2022 Form20'!V83</x:f>
        <x:v>-189</x:v>
      </x:c>
      <x:c r="H134" s="52" t="n">
        <x:f>'2022 Form20'!W83</x:f>
        <x:v>-0.5762195121951219</x:v>
      </x:c>
      <x:c r="I134" t="str">
        <x:v>DHIRENDRA SINGH</x:v>
      </x:c>
      <x:c r="J134" t="str">
        <x:v>Bharatiya Janata Party</x:v>
      </x:c>
      <x:c r="K134" t="str">
        <x:v>EVM row</x:v>
      </x:c>
      <x:c r="L134" s="133" t="str">
        <x:f>IF(D134&lt;=0,"No EVM votes",IF(E134&lt;$N$7,"Low",IF(E134&gt;$R$7,"High","Middle")))</x:f>
        <x:v>Middle</x:v>
      </x:c>
      <x:c r="M134" s="133" t="str">
        <x:f>IF(D134&lt;=0,"No EVM votes",IF(H134&lt;-20%,"Large deficit",IF(H134&lt;-5%,"Moderate deficit",IF(H134&lt;0,"Narrow deficit",IF(H134&lt;=5%,"Narrow lead/tie",IF(H134&lt;=20%,"Moderate lead","Large lead"))))))</x:f>
        <x:v>Large deficit</x:v>
      </x:c>
    </x:row>
    <x:row r="135">
      <x:c r="A135" t="n">
        <x:v>76</x:v>
      </x:c>
      <x:c r="B135" t="str">
        <x:v>PRIMARY SCHOOL PANCHAYATAN INAYATPUR ROOM NO. 1</x:v>
      </x:c>
      <x:c r="C135" s="83" t="n">
        <x:f>'2022 Form20'!H84</x:f>
        <x:v>97</x:v>
      </x:c>
      <x:c r="D135" s="83" t="n">
        <x:f>'2022 Form20'!D84</x:f>
        <x:v>515</x:v>
      </x:c>
      <x:c r="E135" s="50" t="n">
        <x:f>'2022 Form20'!T84</x:f>
        <x:v>0.1883495145631068</x:v>
      </x:c>
      <x:c r="F135" t="n">
        <x:f>'2022 Form20'!U84</x:f>
        <x:v>246</x:v>
      </x:c>
      <x:c r="G135" t="n">
        <x:f>'2022 Form20'!V84</x:f>
        <x:v>-149</x:v>
      </x:c>
      <x:c r="H135" s="52" t="n">
        <x:f>'2022 Form20'!W84</x:f>
        <x:v>-0.28932038834951457</x:v>
      </x:c>
      <x:c r="I135" t="str">
        <x:v>NARENDER KUMAR</x:v>
      </x:c>
      <x:c r="J135" t="str">
        <x:v>Bahujan Samaj Party</x:v>
      </x:c>
      <x:c r="K135" t="str">
        <x:v>EVM row</x:v>
      </x:c>
      <x:c r="L135" s="133" t="str">
        <x:f>IF(D135&lt;=0,"No EVM votes",IF(E135&lt;$N$7,"Low",IF(E135&gt;$R$7,"High","Middle")))</x:f>
        <x:v>Middle</x:v>
      </x:c>
      <x:c r="M135" s="133" t="str">
        <x:f>IF(D135&lt;=0,"No EVM votes",IF(H135&lt;-20%,"Large deficit",IF(H135&lt;-5%,"Moderate deficit",IF(H135&lt;0,"Narrow deficit",IF(H135&lt;=5%,"Narrow lead/tie",IF(H135&lt;=20%,"Moderate lead","Large lead"))))))</x:f>
        <x:v>Large deficit</x:v>
      </x:c>
    </x:row>
    <x:row r="136">
      <x:c r="A136" t="n">
        <x:v>77</x:v>
      </x:c>
      <x:c r="B136" t="str">
        <x:v>PRIMARY SCHOOL PANCHAYATAN INAYATPUR ROOM NO. 2</x:v>
      </x:c>
      <x:c r="C136" s="83" t="n">
        <x:f>'2022 Form20'!H85</x:f>
        <x:v>97</x:v>
      </x:c>
      <x:c r="D136" s="83" t="n">
        <x:f>'2022 Form20'!D85</x:f>
        <x:v>457</x:v>
      </x:c>
      <x:c r="E136" s="50" t="n">
        <x:f>'2022 Form20'!T85</x:f>
        <x:v>0.212253829321663</x:v>
      </x:c>
      <x:c r="F136" t="n">
        <x:f>'2022 Form20'!U85</x:f>
        <x:v>235</x:v>
      </x:c>
      <x:c r="G136" t="n">
        <x:f>'2022 Form20'!V85</x:f>
        <x:v>-138</x:v>
      </x:c>
      <x:c r="H136" s="52" t="n">
        <x:f>'2022 Form20'!W85</x:f>
        <x:v>-0.30196936542669583</x:v>
      </x:c>
      <x:c r="I136" t="str">
        <x:v>DHIRENDRA SINGH</x:v>
      </x:c>
      <x:c r="J136" t="str">
        <x:v>Bharatiya Janata Party</x:v>
      </x:c>
      <x:c r="K136" t="str">
        <x:v>EVM row</x:v>
      </x:c>
      <x:c r="L136" s="133" t="str">
        <x:f>IF(D136&lt;=0,"No EVM votes",IF(E136&lt;$N$7,"Low",IF(E136&gt;$R$7,"High","Middle")))</x:f>
        <x:v>Middle</x:v>
      </x:c>
      <x:c r="M136" s="133" t="str">
        <x:f>IF(D136&lt;=0,"No EVM votes",IF(H136&lt;-20%,"Large deficit",IF(H136&lt;-5%,"Moderate deficit",IF(H136&lt;0,"Narrow deficit",IF(H136&lt;=5%,"Narrow lead/tie",IF(H136&lt;=20%,"Moderate lead","Large lead"))))))</x:f>
        <x:v>Large deficit</x:v>
      </x:c>
    </x:row>
    <x:row r="137">
      <x:c r="A137" t="n">
        <x:v>78</x:v>
      </x:c>
      <x:c r="B137" t="str">
        <x:v>UPPER PRIMARY SCHOOL GIRDHARPUR ROOM NO. 1</x:v>
      </x:c>
      <x:c r="C137" s="83" t="n">
        <x:f>'2022 Form20'!H86</x:f>
        <x:v>225</x:v>
      </x:c>
      <x:c r="D137" s="83" t="n">
        <x:f>'2022 Form20'!D86</x:f>
        <x:v>539</x:v>
      </x:c>
      <x:c r="E137" s="50" t="n">
        <x:f>'2022 Form20'!T86</x:f>
        <x:v>0.4174397031539889</x:v>
      </x:c>
      <x:c r="F137" t="n">
        <x:f>'2022 Form20'!U86</x:f>
        <x:v>166</x:v>
      </x:c>
      <x:c r="G137" t="n">
        <x:f>'2022 Form20'!V86</x:f>
        <x:v>59</x:v>
      </x:c>
      <x:c r="H137" s="52" t="n">
        <x:f>'2022 Form20'!W86</x:f>
        <x:v>0.10946196660482375</x:v>
      </x:c>
      <x:c r="I137" t="str">
        <x:v>AVTAR SINGH BHADANA</x:v>
      </x:c>
      <x:c r="J137" t="str">
        <x:v>Rashtriya Lok Dal</x:v>
      </x:c>
      <x:c r="K137" t="str">
        <x:v>EVM row</x:v>
      </x:c>
      <x:c r="L137" s="133" t="str">
        <x:f>IF(D137&lt;=0,"No EVM votes",IF(E137&lt;$N$7,"Low",IF(E137&gt;$R$7,"High","Middle")))</x:f>
        <x:v>High</x:v>
      </x:c>
      <x:c r="M137" s="133" t="str">
        <x:f>IF(D137&lt;=0,"No EVM votes",IF(H137&lt;-20%,"Large deficit",IF(H137&lt;-5%,"Moderate deficit",IF(H137&lt;0,"Narrow deficit",IF(H137&lt;=5%,"Narrow lead/tie",IF(H137&lt;=20%,"Moderate lead","Large lead"))))))</x:f>
        <x:v>Moderate lead</x:v>
      </x:c>
    </x:row>
    <x:row r="138">
      <x:c r="A138" t="n">
        <x:v>79</x:v>
      </x:c>
      <x:c r="B138" t="str">
        <x:v>UPPER PRIMARY SCHOOL GIRDHARPUR ROOM NO. 2</x:v>
      </x:c>
      <x:c r="C138" s="83" t="n">
        <x:f>'2022 Form20'!H87</x:f>
        <x:v>243</x:v>
      </x:c>
      <x:c r="D138" s="83" t="n">
        <x:f>'2022 Form20'!D87</x:f>
        <x:v>459</x:v>
      </x:c>
      <x:c r="E138" s="50" t="n">
        <x:f>'2022 Form20'!T87</x:f>
        <x:v>0.5294117647058824</x:v>
      </x:c>
      <x:c r="F138" t="n">
        <x:f>'2022 Form20'!U87</x:f>
        <x:v>121</x:v>
      </x:c>
      <x:c r="G138" t="n">
        <x:f>'2022 Form20'!V87</x:f>
        <x:v>122</x:v>
      </x:c>
      <x:c r="H138" s="52" t="n">
        <x:f>'2022 Form20'!W87</x:f>
        <x:v>0.2657952069716776</x:v>
      </x:c>
      <x:c r="I138" t="str">
        <x:v>AVTAR SINGH BHADANA</x:v>
      </x:c>
      <x:c r="J138" t="str">
        <x:v>Rashtriya Lok Dal</x:v>
      </x:c>
      <x:c r="K138" t="str">
        <x:v>EVM row</x:v>
      </x:c>
      <x:c r="L138" s="133" t="str">
        <x:f>IF(D138&lt;=0,"No EVM votes",IF(E138&lt;$N$7,"Low",IF(E138&gt;$R$7,"High","Middle")))</x:f>
        <x:v>High</x:v>
      </x:c>
      <x:c r="M138" s="133" t="str">
        <x:f>IF(D138&lt;=0,"No EVM votes",IF(H138&lt;-20%,"Large deficit",IF(H138&lt;-5%,"Moderate deficit",IF(H138&lt;0,"Narrow deficit",IF(H138&lt;=5%,"Narrow lead/tie",IF(H138&lt;=20%,"Moderate lead","Large lead"))))))</x:f>
        <x:v>Large lead</x:v>
      </x:c>
    </x:row>
    <x:row r="139">
      <x:c r="A139" t="n">
        <x:v>80</x:v>
      </x:c>
      <x:c r="B139" t="str">
        <x:v>PRIMARY SCHOOL RAUNI ROOM NO 1</x:v>
      </x:c>
      <x:c r="C139" s="83" t="n">
        <x:f>'2022 Form20'!H88</x:f>
        <x:v>111</x:v>
      </x:c>
      <x:c r="D139" s="83" t="n">
        <x:f>'2022 Form20'!D88</x:f>
        <x:v>524</x:v>
      </x:c>
      <x:c r="E139" s="50" t="n">
        <x:f>'2022 Form20'!T88</x:f>
        <x:v>0.21183206106870228</x:v>
      </x:c>
      <x:c r="F139" t="n">
        <x:f>'2022 Form20'!U88</x:f>
        <x:v>235</x:v>
      </x:c>
      <x:c r="G139" t="n">
        <x:f>'2022 Form20'!V88</x:f>
        <x:v>-124</x:v>
      </x:c>
      <x:c r="H139" s="52" t="n">
        <x:f>'2022 Form20'!W88</x:f>
        <x:v>-0.2366412213740458</x:v>
      </x:c>
      <x:c r="I139" t="str">
        <x:v>NARENDER KUMAR</x:v>
      </x:c>
      <x:c r="J139" t="str">
        <x:v>Bahujan Samaj Party</x:v>
      </x:c>
      <x:c r="K139" t="str">
        <x:v>EVM row</x:v>
      </x:c>
      <x:c r="L139" s="133" t="str">
        <x:f>IF(D139&lt;=0,"No EVM votes",IF(E139&lt;$N$7,"Low",IF(E139&gt;$R$7,"High","Middle")))</x:f>
        <x:v>Middle</x:v>
      </x:c>
      <x:c r="M139" s="133" t="str">
        <x:f>IF(D139&lt;=0,"No EVM votes",IF(H139&lt;-20%,"Large deficit",IF(H139&lt;-5%,"Moderate deficit",IF(H139&lt;0,"Narrow deficit",IF(H139&lt;=5%,"Narrow lead/tie",IF(H139&lt;=20%,"Moderate lead","Large lead"))))))</x:f>
        <x:v>Large deficit</x:v>
      </x:c>
    </x:row>
    <x:row r="140">
      <x:c r="A140" t="n">
        <x:v>81</x:v>
      </x:c>
      <x:c r="B140" t="str">
        <x:v>PRIMARY SCHOOL SALAMPUR GUJAR ROOM NO 1</x:v>
      </x:c>
      <x:c r="C140" s="83" t="n">
        <x:f>'2022 Form20'!H89</x:f>
        <x:v>200</x:v>
      </x:c>
      <x:c r="D140" s="83" t="n">
        <x:f>'2022 Form20'!D89</x:f>
        <x:v>396</x:v>
      </x:c>
      <x:c r="E140" s="50" t="n">
        <x:f>'2022 Form20'!T89</x:f>
        <x:v>0.5050505050505051</x:v>
      </x:c>
      <x:c r="F140" t="n">
        <x:f>'2022 Form20'!U89</x:f>
        <x:v>121</x:v>
      </x:c>
      <x:c r="G140" t="n">
        <x:f>'2022 Form20'!V89</x:f>
        <x:v>79</x:v>
      </x:c>
      <x:c r="H140" s="52" t="n">
        <x:f>'2022 Form20'!W89</x:f>
        <x:v>0.1994949494949495</x:v>
      </x:c>
      <x:c r="I140" t="str">
        <x:v>AVTAR SINGH BHADANA</x:v>
      </x:c>
      <x:c r="J140" t="str">
        <x:v>Rashtriya Lok Dal</x:v>
      </x:c>
      <x:c r="K140" t="str">
        <x:v>EVM row</x:v>
      </x:c>
      <x:c r="L140" s="133" t="str">
        <x:f>IF(D140&lt;=0,"No EVM votes",IF(E140&lt;$N$7,"Low",IF(E140&gt;$R$7,"High","Middle")))</x:f>
        <x:v>High</x:v>
      </x:c>
      <x:c r="M140" s="133" t="str">
        <x:f>IF(D140&lt;=0,"No EVM votes",IF(H140&lt;-20%,"Large deficit",IF(H140&lt;-5%,"Moderate deficit",IF(H140&lt;0,"Narrow deficit",IF(H140&lt;=5%,"Narrow lead/tie",IF(H140&lt;=20%,"Moderate lead","Large lead"))))))</x:f>
        <x:v>Moderate lead</x:v>
      </x:c>
    </x:row>
    <x:row r="141">
      <x:c r="A141" t="n">
        <x:v>82</x:v>
      </x:c>
      <x:c r="B141" t="str">
        <x:v>PRIMARY SCHOOL SALAMPUR GUJAR ROOM NO 2</x:v>
      </x:c>
      <x:c r="C141" s="83" t="n">
        <x:f>'2022 Form20'!H90</x:f>
        <x:v>88</x:v>
      </x:c>
      <x:c r="D141" s="83" t="n">
        <x:f>'2022 Form20'!D90</x:f>
        <x:v>358</x:v>
      </x:c>
      <x:c r="E141" s="50" t="n">
        <x:f>'2022 Form20'!T90</x:f>
        <x:v>0.24581005586592178</x:v>
      </x:c>
      <x:c r="F141" t="n">
        <x:f>'2022 Form20'!U90</x:f>
        <x:v>201</x:v>
      </x:c>
      <x:c r="G141" t="n">
        <x:f>'2022 Form20'!V90</x:f>
        <x:v>-113</x:v>
      </x:c>
      <x:c r="H141" s="52" t="n">
        <x:f>'2022 Form20'!W90</x:f>
        <x:v>-0.31564245810055863</x:v>
      </x:c>
      <x:c r="I141" t="str">
        <x:v>DHIRENDRA SINGH</x:v>
      </x:c>
      <x:c r="J141" t="str">
        <x:v>Bharatiya Janata Party</x:v>
      </x:c>
      <x:c r="K141" t="str">
        <x:v>EVM row</x:v>
      </x:c>
      <x:c r="L141" s="133" t="str">
        <x:f>IF(D141&lt;=0,"No EVM votes",IF(E141&lt;$N$7,"Low",IF(E141&gt;$R$7,"High","Middle")))</x:f>
        <x:v>Middle</x:v>
      </x:c>
      <x:c r="M141" s="133" t="str">
        <x:f>IF(D141&lt;=0,"No EVM votes",IF(H141&lt;-20%,"Large deficit",IF(H141&lt;-5%,"Moderate deficit",IF(H141&lt;0,"Narrow deficit",IF(H141&lt;=5%,"Narrow lead/tie",IF(H141&lt;=20%,"Moderate lead","Large lead"))))))</x:f>
        <x:v>Large deficit</x:v>
      </x:c>
    </x:row>
    <x:row r="142">
      <x:c r="A142" t="n">
        <x:v>83</x:v>
      </x:c>
      <x:c r="B142" t="str">
        <x:v>PRIMARY SCHOOL SALAMPUR GUJAR ROOM NO 3</x:v>
      </x:c>
      <x:c r="C142" s="83" t="n">
        <x:f>'2022 Form20'!H91</x:f>
        <x:v>236</x:v>
      </x:c>
      <x:c r="D142" s="83" t="n">
        <x:f>'2022 Form20'!D91</x:f>
        <x:v>522</x:v>
      </x:c>
      <x:c r="E142" s="50" t="n">
        <x:f>'2022 Form20'!T91</x:f>
        <x:v>0.4521072796934866</x:v>
      </x:c>
      <x:c r="F142" t="n">
        <x:f>'2022 Form20'!U91</x:f>
        <x:v>188</x:v>
      </x:c>
      <x:c r="G142" t="n">
        <x:f>'2022 Form20'!V91</x:f>
        <x:v>48</x:v>
      </x:c>
      <x:c r="H142" s="52" t="n">
        <x:f>'2022 Form20'!W91</x:f>
        <x:v>0.09195402298850575</x:v>
      </x:c>
      <x:c r="I142" t="str">
        <x:v>AVTAR SINGH BHADANA</x:v>
      </x:c>
      <x:c r="J142" t="str">
        <x:v>Rashtriya Lok Dal</x:v>
      </x:c>
      <x:c r="K142" t="str">
        <x:v>EVM row</x:v>
      </x:c>
      <x:c r="L142" s="133" t="str">
        <x:f>IF(D142&lt;=0,"No EVM votes",IF(E142&lt;$N$7,"Low",IF(E142&gt;$R$7,"High","Middle")))</x:f>
        <x:v>High</x:v>
      </x:c>
      <x:c r="M142" s="133" t="str">
        <x:f>IF(D142&lt;=0,"No EVM votes",IF(H142&lt;-20%,"Large deficit",IF(H142&lt;-5%,"Moderate deficit",IF(H142&lt;0,"Narrow deficit",IF(H142&lt;=5%,"Narrow lead/tie",IF(H142&lt;=20%,"Moderate lead","Large lead"))))))</x:f>
        <x:v>Moderate lead</x:v>
      </x:c>
    </x:row>
    <x:row r="143">
      <x:c r="A143" t="n">
        <x:v>84</x:v>
      </x:c>
      <x:c r="B143" t="str">
        <x:v>PRIMARY SCHOOL SALAMPUR GUJAR ROOM NO 4</x:v>
      </x:c>
      <x:c r="C143" s="83" t="n">
        <x:f>'2022 Form20'!H92</x:f>
        <x:v>161</x:v>
      </x:c>
      <x:c r="D143" s="83" t="n">
        <x:f>'2022 Form20'!D92</x:f>
        <x:v>645</x:v>
      </x:c>
      <x:c r="E143" s="50" t="n">
        <x:f>'2022 Form20'!T92</x:f>
        <x:v>0.2496124031007752</x:v>
      </x:c>
      <x:c r="F143" t="n">
        <x:f>'2022 Form20'!U92</x:f>
        <x:v>279</x:v>
      </x:c>
      <x:c r="G143" t="n">
        <x:f>'2022 Form20'!V92</x:f>
        <x:v>-118</x:v>
      </x:c>
      <x:c r="H143" s="52" t="n">
        <x:f>'2022 Form20'!W92</x:f>
        <x:v>-0.18294573643410852</x:v>
      </x:c>
      <x:c r="I143" t="str">
        <x:v>NARENDER KUMAR</x:v>
      </x:c>
      <x:c r="J143" t="str">
        <x:v>Bahujan Samaj Party</x:v>
      </x:c>
      <x:c r="K143" t="str">
        <x:v>EVM row</x:v>
      </x:c>
      <x:c r="L143" s="133" t="str">
        <x:f>IF(D143&lt;=0,"No EVM votes",IF(E143&lt;$N$7,"Low",IF(E143&gt;$R$7,"High","Middle")))</x:f>
        <x:v>Middle</x:v>
      </x:c>
      <x:c r="M143" s="133" t="str">
        <x:f>IF(D143&lt;=0,"No EVM votes",IF(H143&lt;-20%,"Large deficit",IF(H143&lt;-5%,"Moderate deficit",IF(H143&lt;0,"Narrow deficit",IF(H143&lt;=5%,"Narrow lead/tie",IF(H143&lt;=20%,"Moderate lead","Large lead"))))))</x:f>
        <x:v>Moderate deficit</x:v>
      </x:c>
    </x:row>
    <x:row r="144">
      <x:c r="A144" t="n">
        <x:v>85</x:v>
      </x:c>
      <x:c r="B144" t="str">
        <x:v>PRIMARY SCHOOL AMINABAD URF NYANA ROOM NO 1</x:v>
      </x:c>
      <x:c r="C144" s="83" t="n">
        <x:f>'2022 Form20'!H93</x:f>
        <x:v>90</x:v>
      </x:c>
      <x:c r="D144" s="83" t="n">
        <x:f>'2022 Form20'!D93</x:f>
        <x:v>454</x:v>
      </x:c>
      <x:c r="E144" s="50" t="n">
        <x:f>'2022 Form20'!T93</x:f>
        <x:v>0.19823788546255505</x:v>
      </x:c>
      <x:c r="F144" t="n">
        <x:f>'2022 Form20'!U93</x:f>
        <x:v>183</x:v>
      </x:c>
      <x:c r="G144" t="n">
        <x:f>'2022 Form20'!V93</x:f>
        <x:v>-93</x:v>
      </x:c>
      <x:c r="H144" s="52" t="n">
        <x:f>'2022 Form20'!W93</x:f>
        <x:v>-0.20484581497797358</x:v>
      </x:c>
      <x:c r="I144" t="str">
        <x:v>DHIRENDRA SINGH</x:v>
      </x:c>
      <x:c r="J144" t="str">
        <x:v>Bharatiya Janata Party</x:v>
      </x:c>
      <x:c r="K144" t="str">
        <x:v>EVM row</x:v>
      </x:c>
      <x:c r="L144" s="133" t="str">
        <x:f>IF(D144&lt;=0,"No EVM votes",IF(E144&lt;$N$7,"Low",IF(E144&gt;$R$7,"High","Middle")))</x:f>
        <x:v>Middle</x:v>
      </x:c>
      <x:c r="M144" s="133" t="str">
        <x:f>IF(D144&lt;=0,"No EVM votes",IF(H144&lt;-20%,"Large deficit",IF(H144&lt;-5%,"Moderate deficit",IF(H144&lt;0,"Narrow deficit",IF(H144&lt;=5%,"Narrow lead/tie",IF(H144&lt;=20%,"Moderate lead","Large lead"))))))</x:f>
        <x:v>Large deficit</x:v>
      </x:c>
    </x:row>
    <x:row r="145">
      <x:c r="A145" t="n">
        <x:v>86</x:v>
      </x:c>
      <x:c r="B145" t="str">
        <x:v>PRIMARY SCHOOL AMINABAD URF NYANA ROOM NO 2</x:v>
      </x:c>
      <x:c r="C145" s="83" t="n">
        <x:f>'2022 Form20'!H94</x:f>
        <x:v>61</x:v>
      </x:c>
      <x:c r="D145" s="83" t="n">
        <x:f>'2022 Form20'!D94</x:f>
        <x:v>381</x:v>
      </x:c>
      <x:c r="E145" s="50" t="n">
        <x:f>'2022 Form20'!T94</x:f>
        <x:v>0.16010498687664043</x:v>
      </x:c>
      <x:c r="F145" t="n">
        <x:f>'2022 Form20'!U94</x:f>
        <x:v>171</x:v>
      </x:c>
      <x:c r="G145" t="n">
        <x:f>'2022 Form20'!V94</x:f>
        <x:v>-110</x:v>
      </x:c>
      <x:c r="H145" s="52" t="n">
        <x:f>'2022 Form20'!W94</x:f>
        <x:v>-0.2887139107611549</x:v>
      </x:c>
      <x:c r="I145" t="str">
        <x:v>DHIRENDRA SINGH</x:v>
      </x:c>
      <x:c r="J145" t="str">
        <x:v>Bharatiya Janata Party</x:v>
      </x:c>
      <x:c r="K145" t="str">
        <x:v>EVM row</x:v>
      </x:c>
      <x:c r="L145" s="133" t="str">
        <x:f>IF(D145&lt;=0,"No EVM votes",IF(E145&lt;$N$7,"Low",IF(E145&gt;$R$7,"High","Middle")))</x:f>
        <x:v>Middle</x:v>
      </x:c>
      <x:c r="M145" s="133" t="str">
        <x:f>IF(D145&lt;=0,"No EVM votes",IF(H145&lt;-20%,"Large deficit",IF(H145&lt;-5%,"Moderate deficit",IF(H145&lt;0,"Narrow deficit",IF(H145&lt;=5%,"Narrow lead/tie",IF(H145&lt;=20%,"Moderate lead","Large lead"))))))</x:f>
        <x:v>Large deficit</x:v>
      </x:c>
    </x:row>
    <x:row r="146">
      <x:c r="A146" t="n">
        <x:v>87</x:v>
      </x:c>
      <x:c r="B146" t="str">
        <x:v>NEHA PUBLIC SCHOOL RAMPUR MAJRA ROOM NO 1</x:v>
      </x:c>
      <x:c r="C146" s="83" t="n">
        <x:f>'2022 Form20'!H95</x:f>
        <x:v>164</x:v>
      </x:c>
      <x:c r="D146" s="83" t="n">
        <x:f>'2022 Form20'!D95</x:f>
        <x:v>437</x:v>
      </x:c>
      <x:c r="E146" s="50" t="n">
        <x:f>'2022 Form20'!T95</x:f>
        <x:v>0.37528604118993136</x:v>
      </x:c>
      <x:c r="F146" t="n">
        <x:f>'2022 Form20'!U95</x:f>
        <x:v>144</x:v>
      </x:c>
      <x:c r="G146" t="n">
        <x:f>'2022 Form20'!V95</x:f>
        <x:v>20</x:v>
      </x:c>
      <x:c r="H146" s="52" t="n">
        <x:f>'2022 Form20'!W95</x:f>
        <x:v>0.04576659038901602</x:v>
      </x:c>
      <x:c r="I146" t="str">
        <x:v>AVTAR SINGH BHADANA</x:v>
      </x:c>
      <x:c r="J146" t="str">
        <x:v>Rashtriya Lok Dal</x:v>
      </x:c>
      <x:c r="K146" t="str">
        <x:v>EVM row</x:v>
      </x:c>
      <x:c r="L146" s="133" t="str">
        <x:f>IF(D146&lt;=0,"No EVM votes",IF(E146&lt;$N$7,"Low",IF(E146&gt;$R$7,"High","Middle")))</x:f>
        <x:v>High</x:v>
      </x:c>
      <x:c r="M146" s="133" t="str">
        <x:f>IF(D146&lt;=0,"No EVM votes",IF(H146&lt;-20%,"Large deficit",IF(H146&lt;-5%,"Moderate deficit",IF(H146&lt;0,"Narrow deficit",IF(H146&lt;=5%,"Narrow lead/tie",IF(H146&lt;=20%,"Moderate lead","Large lead"))))))</x:f>
        <x:v>Narrow lead/tie</x:v>
      </x:c>
    </x:row>
    <x:row r="147">
      <x:c r="A147" t="n">
        <x:v>88</x:v>
      </x:c>
      <x:c r="B147" t="str">
        <x:v>NEHA PUBLIC SCHOOL RAMPUR MAJRA ROOM NO 2</x:v>
      </x:c>
      <x:c r="C147" s="83" t="n">
        <x:f>'2022 Form20'!H96</x:f>
        <x:v>120</x:v>
      </x:c>
      <x:c r="D147" s="83" t="n">
        <x:f>'2022 Form20'!D96</x:f>
        <x:v>463</x:v>
      </x:c>
      <x:c r="E147" s="50" t="n">
        <x:f>'2022 Form20'!T96</x:f>
        <x:v>0.2591792656587473</x:v>
      </x:c>
      <x:c r="F147" t="n">
        <x:f>'2022 Form20'!U96</x:f>
        <x:v>168</x:v>
      </x:c>
      <x:c r="G147" t="n">
        <x:f>'2022 Form20'!V96</x:f>
        <x:v>-48</x:v>
      </x:c>
      <x:c r="H147" s="52" t="n">
        <x:f>'2022 Form20'!W96</x:f>
        <x:v>-0.10367170626349892</x:v>
      </x:c>
      <x:c r="I147" t="str">
        <x:v>DHIRENDRA SINGH</x:v>
      </x:c>
      <x:c r="J147" t="str">
        <x:v>Bharatiya Janata Party</x:v>
      </x:c>
      <x:c r="K147" t="str">
        <x:v>EVM row</x:v>
      </x:c>
      <x:c r="L147" s="133" t="str">
        <x:f>IF(D147&lt;=0,"No EVM votes",IF(E147&lt;$N$7,"Low",IF(E147&gt;$R$7,"High","Middle")))</x:f>
        <x:v>Middle</x:v>
      </x:c>
      <x:c r="M147" s="133" t="str">
        <x:f>IF(D147&lt;=0,"No EVM votes",IF(H147&lt;-20%,"Large deficit",IF(H147&lt;-5%,"Moderate deficit",IF(H147&lt;0,"Narrow deficit",IF(H147&lt;=5%,"Narrow lead/tie",IF(H147&lt;=20%,"Moderate lead","Large lead"))))))</x:f>
        <x:v>Moderate deficit</x:v>
      </x:c>
    </x:row>
    <x:row r="148">
      <x:c r="A148" t="n">
        <x:v>89</x:v>
      </x:c>
      <x:c r="B148" t="str">
        <x:v>PRIMARY SCHOOL KULIPURA ROOM NO 1</x:v>
      </x:c>
      <x:c r="C148" s="83" t="n">
        <x:f>'2022 Form20'!H97</x:f>
        <x:v>198</x:v>
      </x:c>
      <x:c r="D148" s="83" t="n">
        <x:f>'2022 Form20'!D97</x:f>
        <x:v>565</x:v>
      </x:c>
      <x:c r="E148" s="50" t="n">
        <x:f>'2022 Form20'!T97</x:f>
        <x:v>0.3504424778761062</x:v>
      </x:c>
      <x:c r="F148" t="n">
        <x:f>'2022 Form20'!U97</x:f>
        <x:v>189</x:v>
      </x:c>
      <x:c r="G148" t="n">
        <x:f>'2022 Form20'!V97</x:f>
        <x:v>9</x:v>
      </x:c>
      <x:c r="H148" s="52" t="n">
        <x:f>'2022 Form20'!W97</x:f>
        <x:v>0.01592920353982301</x:v>
      </x:c>
      <x:c r="I148" t="str">
        <x:v>AVTAR SINGH BHADANA</x:v>
      </x:c>
      <x:c r="J148" t="str">
        <x:v>Rashtriya Lok Dal</x:v>
      </x:c>
      <x:c r="K148" t="str">
        <x:v>EVM row</x:v>
      </x:c>
      <x:c r="L148" s="133" t="str">
        <x:f>IF(D148&lt;=0,"No EVM votes",IF(E148&lt;$N$7,"Low",IF(E148&gt;$R$7,"High","Middle")))</x:f>
        <x:v>Middle</x:v>
      </x:c>
      <x:c r="M148" s="133" t="str">
        <x:f>IF(D148&lt;=0,"No EVM votes",IF(H148&lt;-20%,"Large deficit",IF(H148&lt;-5%,"Moderate deficit",IF(H148&lt;0,"Narrow deficit",IF(H148&lt;=5%,"Narrow lead/tie",IF(H148&lt;=20%,"Moderate lead","Large lead"))))))</x:f>
        <x:v>Narrow lead/tie</x:v>
      </x:c>
    </x:row>
    <x:row r="149">
      <x:c r="A149" t="n">
        <x:v>90</x:v>
      </x:c>
      <x:c r="B149" t="str">
        <x:v>RAJENDRA INTER COLLEGE BILASPUR ROOM NO 1</x:v>
      </x:c>
      <x:c r="C149" s="83" t="n">
        <x:f>'2022 Form20'!H98</x:f>
        <x:v>156</x:v>
      </x:c>
      <x:c r="D149" s="83" t="n">
        <x:f>'2022 Form20'!D98</x:f>
        <x:v>600</x:v>
      </x:c>
      <x:c r="E149" s="50" t="n">
        <x:f>'2022 Form20'!T98</x:f>
        <x:v>0.26</x:v>
      </x:c>
      <x:c r="F149" t="n">
        <x:f>'2022 Form20'!U98</x:f>
        <x:v>236</x:v>
      </x:c>
      <x:c r="G149" t="n">
        <x:f>'2022 Form20'!V98</x:f>
        <x:v>-80</x:v>
      </x:c>
      <x:c r="H149" s="52" t="n">
        <x:f>'2022 Form20'!W98</x:f>
        <x:v>-0.13333333333333333</x:v>
      </x:c>
      <x:c r="I149" t="str">
        <x:v>DHIRENDRA SINGH</x:v>
      </x:c>
      <x:c r="J149" t="str">
        <x:v>Bharatiya Janata Party</x:v>
      </x:c>
      <x:c r="K149" t="str">
        <x:v>EVM row</x:v>
      </x:c>
      <x:c r="L149" s="133" t="str">
        <x:f>IF(D149&lt;=0,"No EVM votes",IF(E149&lt;$N$7,"Low",IF(E149&gt;$R$7,"High","Middle")))</x:f>
        <x:v>Middle</x:v>
      </x:c>
      <x:c r="M149" s="133" t="str">
        <x:f>IF(D149&lt;=0,"No EVM votes",IF(H149&lt;-20%,"Large deficit",IF(H149&lt;-5%,"Moderate deficit",IF(H149&lt;0,"Narrow deficit",IF(H149&lt;=5%,"Narrow lead/tie",IF(H149&lt;=20%,"Moderate lead","Large lead"))))))</x:f>
        <x:v>Moderate deficit</x:v>
      </x:c>
    </x:row>
    <x:row r="150">
      <x:c r="A150" t="n">
        <x:v>91</x:v>
      </x:c>
      <x:c r="B150" t="str">
        <x:v>RAJENDRA INTER COLLEGE BILASPUR ROOM NO 2</x:v>
      </x:c>
      <x:c r="C150" s="83" t="n">
        <x:f>'2022 Form20'!H99</x:f>
        <x:v>117</x:v>
      </x:c>
      <x:c r="D150" s="83" t="n">
        <x:f>'2022 Form20'!D99</x:f>
        <x:v>437</x:v>
      </x:c>
      <x:c r="E150" s="50" t="n">
        <x:f>'2022 Form20'!T99</x:f>
        <x:v>0.26773455377574373</x:v>
      </x:c>
      <x:c r="F150" t="n">
        <x:f>'2022 Form20'!U99</x:f>
        <x:v>258</x:v>
      </x:c>
      <x:c r="G150" t="n">
        <x:f>'2022 Form20'!V99</x:f>
        <x:v>-141</x:v>
      </x:c>
      <x:c r="H150" s="52" t="n">
        <x:f>'2022 Form20'!W99</x:f>
        <x:v>-0.32265446224256294</x:v>
      </x:c>
      <x:c r="I150" t="str">
        <x:v>DHIRENDRA SINGH</x:v>
      </x:c>
      <x:c r="J150" t="str">
        <x:v>Bharatiya Janata Party</x:v>
      </x:c>
      <x:c r="K150" t="str">
        <x:v>EVM row</x:v>
      </x:c>
      <x:c r="L150" s="133" t="str">
        <x:f>IF(D150&lt;=0,"No EVM votes",IF(E150&lt;$N$7,"Low",IF(E150&gt;$R$7,"High","Middle")))</x:f>
        <x:v>Middle</x:v>
      </x:c>
      <x:c r="M150" s="133" t="str">
        <x:f>IF(D150&lt;=0,"No EVM votes",IF(H150&lt;-20%,"Large deficit",IF(H150&lt;-5%,"Moderate deficit",IF(H150&lt;0,"Narrow deficit",IF(H150&lt;=5%,"Narrow lead/tie",IF(H150&lt;=20%,"Moderate lead","Large lead"))))))</x:f>
        <x:v>Large deficit</x:v>
      </x:c>
    </x:row>
    <x:row r="151">
      <x:c r="A151" t="n">
        <x:v>92</x:v>
      </x:c>
      <x:c r="B151" t="str">
        <x:v>RAJENDRA INTER COLLEGE BILASPUR ROOM NO 3</x:v>
      </x:c>
      <x:c r="C151" s="83" t="n">
        <x:f>'2022 Form20'!H100</x:f>
        <x:v>248</x:v>
      </x:c>
      <x:c r="D151" s="83" t="n">
        <x:f>'2022 Form20'!D100</x:f>
        <x:v>500</x:v>
      </x:c>
      <x:c r="E151" s="50" t="n">
        <x:f>'2022 Form20'!T100</x:f>
        <x:v>0.496</x:v>
      </x:c>
      <x:c r="F151" t="n">
        <x:f>'2022 Form20'!U100</x:f>
        <x:v>208</x:v>
      </x:c>
      <x:c r="G151" t="n">
        <x:f>'2022 Form20'!V100</x:f>
        <x:v>40</x:v>
      </x:c>
      <x:c r="H151" s="52" t="n">
        <x:f>'2022 Form20'!W100</x:f>
        <x:v>0.08</x:v>
      </x:c>
      <x:c r="I151" t="str">
        <x:v>AVTAR SINGH BHADANA</x:v>
      </x:c>
      <x:c r="J151" t="str">
        <x:v>Rashtriya Lok Dal</x:v>
      </x:c>
      <x:c r="K151" t="str">
        <x:v>EVM row</x:v>
      </x:c>
      <x:c r="L151" s="133" t="str">
        <x:f>IF(D151&lt;=0,"No EVM votes",IF(E151&lt;$N$7,"Low",IF(E151&gt;$R$7,"High","Middle")))</x:f>
        <x:v>High</x:v>
      </x:c>
      <x:c r="M151" s="133" t="str">
        <x:f>IF(D151&lt;=0,"No EVM votes",IF(H151&lt;-20%,"Large deficit",IF(H151&lt;-5%,"Moderate deficit",IF(H151&lt;0,"Narrow deficit",IF(H151&lt;=5%,"Narrow lead/tie",IF(H151&lt;=20%,"Moderate lead","Large lead"))))))</x:f>
        <x:v>Moderate lead</x:v>
      </x:c>
    </x:row>
    <x:row r="152">
      <x:c r="A152" t="n">
        <x:v>93</x:v>
      </x:c>
      <x:c r="B152" t="str">
        <x:v>RAJENDRA INTER COLLEGE BILASPUR ROOM NO 4</x:v>
      </x:c>
      <x:c r="C152" s="83" t="n">
        <x:f>'2022 Form20'!H101</x:f>
        <x:v>245</x:v>
      </x:c>
      <x:c r="D152" s="83" t="n">
        <x:f>'2022 Form20'!D101</x:f>
        <x:v>509</x:v>
      </x:c>
      <x:c r="E152" s="50" t="n">
        <x:f>'2022 Form20'!T101</x:f>
        <x:v>0.481335952848723</x:v>
      </x:c>
      <x:c r="F152" t="n">
        <x:f>'2022 Form20'!U101</x:f>
        <x:v>174</x:v>
      </x:c>
      <x:c r="G152" t="n">
        <x:f>'2022 Form20'!V101</x:f>
        <x:v>71</x:v>
      </x:c>
      <x:c r="H152" s="52" t="n">
        <x:f>'2022 Form20'!W101</x:f>
        <x:v>0.13948919449901767</x:v>
      </x:c>
      <x:c r="I152" t="str">
        <x:v>AVTAR SINGH BHADANA</x:v>
      </x:c>
      <x:c r="J152" t="str">
        <x:v>Rashtriya Lok Dal</x:v>
      </x:c>
      <x:c r="K152" t="str">
        <x:v>EVM row</x:v>
      </x:c>
      <x:c r="L152" s="133" t="str">
        <x:f>IF(D152&lt;=0,"No EVM votes",IF(E152&lt;$N$7,"Low",IF(E152&gt;$R$7,"High","Middle")))</x:f>
        <x:v>High</x:v>
      </x:c>
      <x:c r="M152" s="133" t="str">
        <x:f>IF(D152&lt;=0,"No EVM votes",IF(H152&lt;-20%,"Large deficit",IF(H152&lt;-5%,"Moderate deficit",IF(H152&lt;0,"Narrow deficit",IF(H152&lt;=5%,"Narrow lead/tie",IF(H152&lt;=20%,"Moderate lead","Large lead"))))))</x:f>
        <x:v>Moderate lead</x:v>
      </x:c>
    </x:row>
    <x:row r="153">
      <x:c r="A153" t="n">
        <x:v>94</x:v>
      </x:c>
      <x:c r="B153" t="str">
        <x:v>RAJENDRA INTER COLLEGE BILASPUR ROOM NO 5</x:v>
      </x:c>
      <x:c r="C153" s="83" t="n">
        <x:f>'2022 Form20'!H102</x:f>
        <x:v>151</x:v>
      </x:c>
      <x:c r="D153" s="83" t="n">
        <x:f>'2022 Form20'!D102</x:f>
        <x:v>304</x:v>
      </x:c>
      <x:c r="E153" s="50" t="n">
        <x:f>'2022 Form20'!T102</x:f>
        <x:v>0.4967105263157895</x:v>
      </x:c>
      <x:c r="F153" t="n">
        <x:f>'2022 Form20'!U102</x:f>
        <x:v>110</x:v>
      </x:c>
      <x:c r="G153" t="n">
        <x:f>'2022 Form20'!V102</x:f>
        <x:v>41</x:v>
      </x:c>
      <x:c r="H153" s="52" t="n">
        <x:f>'2022 Form20'!W102</x:f>
        <x:v>0.13486842105263158</x:v>
      </x:c>
      <x:c r="I153" t="str">
        <x:v>AVTAR SINGH BHADANA</x:v>
      </x:c>
      <x:c r="J153" t="str">
        <x:v>Rashtriya Lok Dal</x:v>
      </x:c>
      <x:c r="K153" t="str">
        <x:v>EVM row</x:v>
      </x:c>
      <x:c r="L153" s="133" t="str">
        <x:f>IF(D153&lt;=0,"No EVM votes",IF(E153&lt;$N$7,"Low",IF(E153&gt;$R$7,"High","Middle")))</x:f>
        <x:v>High</x:v>
      </x:c>
      <x:c r="M153" s="133" t="str">
        <x:f>IF(D153&lt;=0,"No EVM votes",IF(H153&lt;-20%,"Large deficit",IF(H153&lt;-5%,"Moderate deficit",IF(H153&lt;0,"Narrow deficit",IF(H153&lt;=5%,"Narrow lead/tie",IF(H153&lt;=20%,"Moderate lead","Large lead"))))))</x:f>
        <x:v>Moderate lead</x:v>
      </x:c>
    </x:row>
    <x:row r="154">
      <x:c r="A154" t="n">
        <x:v>95</x:v>
      </x:c>
      <x:c r="B154" t="str">
        <x:v>RAJENDRA INTER COLLEGE BILASPUR ROOM NO 6</x:v>
      </x:c>
      <x:c r="C154" s="83" t="n">
        <x:f>'2022 Form20'!H103</x:f>
        <x:v>139</x:v>
      </x:c>
      <x:c r="D154" s="83" t="n">
        <x:f>'2022 Form20'!D103</x:f>
        <x:v>607</x:v>
      </x:c>
      <x:c r="E154" s="50" t="n">
        <x:f>'2022 Form20'!T103</x:f>
        <x:v>0.22899505766062603</x:v>
      </x:c>
      <x:c r="F154" t="n">
        <x:f>'2022 Form20'!U103</x:f>
        <x:v>432</x:v>
      </x:c>
      <x:c r="G154" t="n">
        <x:f>'2022 Form20'!V103</x:f>
        <x:v>-293</x:v>
      </x:c>
      <x:c r="H154" s="52" t="n">
        <x:f>'2022 Form20'!W103</x:f>
        <x:v>-0.4827018121911038</x:v>
      </x:c>
      <x:c r="I154" t="str">
        <x:v>DHIRENDRA SINGH</x:v>
      </x:c>
      <x:c r="J154" t="str">
        <x:v>Bharatiya Janata Party</x:v>
      </x:c>
      <x:c r="K154" t="str">
        <x:v>EVM row</x:v>
      </x:c>
      <x:c r="L154" s="133" t="str">
        <x:f>IF(D154&lt;=0,"No EVM votes",IF(E154&lt;$N$7,"Low",IF(E154&gt;$R$7,"High","Middle")))</x:f>
        <x:v>Middle</x:v>
      </x:c>
      <x:c r="M154" s="133" t="str">
        <x:f>IF(D154&lt;=0,"No EVM votes",IF(H154&lt;-20%,"Large deficit",IF(H154&lt;-5%,"Moderate deficit",IF(H154&lt;0,"Narrow deficit",IF(H154&lt;=5%,"Narrow lead/tie",IF(H154&lt;=20%,"Moderate lead","Large lead"))))))</x:f>
        <x:v>Large deficit</x:v>
      </x:c>
    </x:row>
    <x:row r="155">
      <x:c r="A155" t="n">
        <x:v>96</x:v>
      </x:c>
      <x:c r="B155" t="str">
        <x:v>RAJENDRA INTER COLLEGE BILASPUR ROOM NO 7</x:v>
      </x:c>
      <x:c r="C155" s="83" t="n">
        <x:f>'2022 Form20'!H104</x:f>
        <x:v>100</x:v>
      </x:c>
      <x:c r="D155" s="83" t="n">
        <x:f>'2022 Form20'!D104</x:f>
        <x:v>394</x:v>
      </x:c>
      <x:c r="E155" s="50" t="n">
        <x:f>'2022 Form20'!T104</x:f>
        <x:v>0.25380710659898476</x:v>
      </x:c>
      <x:c r="F155" t="n">
        <x:f>'2022 Form20'!U104</x:f>
        <x:v>240</x:v>
      </x:c>
      <x:c r="G155" t="n">
        <x:f>'2022 Form20'!V104</x:f>
        <x:v>-140</x:v>
      </x:c>
      <x:c r="H155" s="52" t="n">
        <x:f>'2022 Form20'!W104</x:f>
        <x:v>-0.3553299492385787</x:v>
      </x:c>
      <x:c r="I155" t="str">
        <x:v>DHIRENDRA SINGH</x:v>
      </x:c>
      <x:c r="J155" t="str">
        <x:v>Bharatiya Janata Party</x:v>
      </x:c>
      <x:c r="K155" t="str">
        <x:v>EVM row</x:v>
      </x:c>
      <x:c r="L155" s="133" t="str">
        <x:f>IF(D155&lt;=0,"No EVM votes",IF(E155&lt;$N$7,"Low",IF(E155&gt;$R$7,"High","Middle")))</x:f>
        <x:v>Middle</x:v>
      </x:c>
      <x:c r="M155" s="133" t="str">
        <x:f>IF(D155&lt;=0,"No EVM votes",IF(H155&lt;-20%,"Large deficit",IF(H155&lt;-5%,"Moderate deficit",IF(H155&lt;0,"Narrow deficit",IF(H155&lt;=5%,"Narrow lead/tie",IF(H155&lt;=20%,"Moderate lead","Large lead"))))))</x:f>
        <x:v>Large deficit</x:v>
      </x:c>
    </x:row>
    <x:row r="156">
      <x:c r="A156" t="n">
        <x:v>97</x:v>
      </x:c>
      <x:c r="B156" t="str">
        <x:v>SHIVRAJ SHARMA INTER COLLEGE BILASPUR ROOM NO 1</x:v>
      </x:c>
      <x:c r="C156" s="83" t="n">
        <x:f>'2022 Form20'!H105</x:f>
        <x:v>228</x:v>
      </x:c>
      <x:c r="D156" s="83" t="n">
        <x:f>'2022 Form20'!D105</x:f>
        <x:v>499</x:v>
      </x:c>
      <x:c r="E156" s="50" t="n">
        <x:f>'2022 Form20'!T105</x:f>
        <x:v>0.45691382765531063</x:v>
      </x:c>
      <x:c r="F156" t="n">
        <x:f>'2022 Form20'!U105</x:f>
        <x:v>136</x:v>
      </x:c>
      <x:c r="G156" t="n">
        <x:f>'2022 Form20'!V105</x:f>
        <x:v>92</x:v>
      </x:c>
      <x:c r="H156" s="52" t="n">
        <x:f>'2022 Form20'!W105</x:f>
        <x:v>0.1843687374749499</x:v>
      </x:c>
      <x:c r="I156" t="str">
        <x:v>AVTAR SINGH BHADANA</x:v>
      </x:c>
      <x:c r="J156" t="str">
        <x:v>Rashtriya Lok Dal</x:v>
      </x:c>
      <x:c r="K156" t="str">
        <x:v>EVM row</x:v>
      </x:c>
      <x:c r="L156" s="133" t="str">
        <x:f>IF(D156&lt;=0,"No EVM votes",IF(E156&lt;$N$7,"Low",IF(E156&gt;$R$7,"High","Middle")))</x:f>
        <x:v>High</x:v>
      </x:c>
      <x:c r="M156" s="133" t="str">
        <x:f>IF(D156&lt;=0,"No EVM votes",IF(H156&lt;-20%,"Large deficit",IF(H156&lt;-5%,"Moderate deficit",IF(H156&lt;0,"Narrow deficit",IF(H156&lt;=5%,"Narrow lead/tie",IF(H156&lt;=20%,"Moderate lead","Large lead"))))))</x:f>
        <x:v>Moderate lead</x:v>
      </x:c>
    </x:row>
    <x:row r="157">
      <x:c r="A157" t="n">
        <x:v>98</x:v>
      </x:c>
      <x:c r="B157" t="str">
        <x:v>SHIVRAJ SHARMA INTER COLLEGE BILASPUR ROOM NO 2</x:v>
      </x:c>
      <x:c r="C157" s="83" t="n">
        <x:f>'2022 Form20'!H106</x:f>
        <x:v>428</x:v>
      </x:c>
      <x:c r="D157" s="83" t="n">
        <x:f>'2022 Form20'!D106</x:f>
        <x:v>622</x:v>
      </x:c>
      <x:c r="E157" s="50" t="n">
        <x:f>'2022 Form20'!T106</x:f>
        <x:v>0.6881028938906752</x:v>
      </x:c>
      <x:c r="F157" t="n">
        <x:f>'2022 Form20'!U106</x:f>
        <x:v>161</x:v>
      </x:c>
      <x:c r="G157" t="n">
        <x:f>'2022 Form20'!V106</x:f>
        <x:v>267</x:v>
      </x:c>
      <x:c r="H157" s="52" t="n">
        <x:f>'2022 Form20'!W106</x:f>
        <x:v>0.4292604501607717</x:v>
      </x:c>
      <x:c r="I157" t="str">
        <x:v>AVTAR SINGH BHADANA</x:v>
      </x:c>
      <x:c r="J157" t="str">
        <x:v>Rashtriya Lok Dal</x:v>
      </x:c>
      <x:c r="K157" t="str">
        <x:v>EVM row</x:v>
      </x:c>
      <x:c r="L157" s="133" t="str">
        <x:f>IF(D157&lt;=0,"No EVM votes",IF(E157&lt;$N$7,"Low",IF(E157&gt;$R$7,"High","Middle")))</x:f>
        <x:v>High</x:v>
      </x:c>
      <x:c r="M157" s="133" t="str">
        <x:f>IF(D157&lt;=0,"No EVM votes",IF(H157&lt;-20%,"Large deficit",IF(H157&lt;-5%,"Moderate deficit",IF(H157&lt;0,"Narrow deficit",IF(H157&lt;=5%,"Narrow lead/tie",IF(H157&lt;=20%,"Moderate lead","Large lead"))))))</x:f>
        <x:v>Large lead</x:v>
      </x:c>
    </x:row>
    <x:row r="158">
      <x:c r="A158" t="n">
        <x:v>99</x:v>
      </x:c>
      <x:c r="B158" t="str">
        <x:v>SHIVRAJ SHARMA INTER COLLEGE BILASPUR ROOM NO 3</x:v>
      </x:c>
      <x:c r="C158" s="83" t="n">
        <x:f>'2022 Form20'!H107</x:f>
        <x:v>205</x:v>
      </x:c>
      <x:c r="D158" s="83" t="n">
        <x:f>'2022 Form20'!D107</x:f>
        <x:v>572</x:v>
      </x:c>
      <x:c r="E158" s="50" t="n">
        <x:f>'2022 Form20'!T107</x:f>
        <x:v>0.3583916083916084</x:v>
      </x:c>
      <x:c r="F158" t="n">
        <x:f>'2022 Form20'!U107</x:f>
        <x:v>286</x:v>
      </x:c>
      <x:c r="G158" t="n">
        <x:f>'2022 Form20'!V107</x:f>
        <x:v>-81</x:v>
      </x:c>
      <x:c r="H158" s="52" t="n">
        <x:f>'2022 Form20'!W107</x:f>
        <x:v>-0.14160839160839161</x:v>
      </x:c>
      <x:c r="I158" t="str">
        <x:v>NARENDER KUMAR</x:v>
      </x:c>
      <x:c r="J158" t="str">
        <x:v>Bahujan Samaj Party</x:v>
      </x:c>
      <x:c r="K158" t="str">
        <x:v>EVM row</x:v>
      </x:c>
      <x:c r="L158" s="133" t="str">
        <x:f>IF(D158&lt;=0,"No EVM votes",IF(E158&lt;$N$7,"Low",IF(E158&gt;$R$7,"High","Middle")))</x:f>
        <x:v>Middle</x:v>
      </x:c>
      <x:c r="M158" s="133" t="str">
        <x:f>IF(D158&lt;=0,"No EVM votes",IF(H158&lt;-20%,"Large deficit",IF(H158&lt;-5%,"Moderate deficit",IF(H158&lt;0,"Narrow deficit",IF(H158&lt;=5%,"Narrow lead/tie",IF(H158&lt;=20%,"Moderate lead","Large lead"))))))</x:f>
        <x:v>Moderate deficit</x:v>
      </x:c>
    </x:row>
    <x:row r="159">
      <x:c r="A159" t="n">
        <x:v>100</x:v>
      </x:c>
      <x:c r="B159" t="str">
        <x:v>SHIVRAJ SHARMA INTER COLLEGE BILASPUR ROOM NO 4</x:v>
      </x:c>
      <x:c r="C159" s="83" t="n">
        <x:f>'2022 Form20'!H108</x:f>
        <x:v>133</x:v>
      </x:c>
      <x:c r="D159" s="83" t="n">
        <x:f>'2022 Form20'!D108</x:f>
        <x:v>395</x:v>
      </x:c>
      <x:c r="E159" s="50" t="n">
        <x:f>'2022 Form20'!T108</x:f>
        <x:v>0.3367088607594937</x:v>
      </x:c>
      <x:c r="F159" t="n">
        <x:f>'2022 Form20'!U108</x:f>
        <x:v>212</x:v>
      </x:c>
      <x:c r="G159" t="n">
        <x:f>'2022 Form20'!V108</x:f>
        <x:v>-79</x:v>
      </x:c>
      <x:c r="H159" s="52" t="n">
        <x:f>'2022 Form20'!W108</x:f>
        <x:v>-0.2</x:v>
      </x:c>
      <x:c r="I159" t="str">
        <x:v>NARENDER KUMAR</x:v>
      </x:c>
      <x:c r="J159" t="str">
        <x:v>Bahujan Samaj Party</x:v>
      </x:c>
      <x:c r="K159" t="str">
        <x:v>EVM row</x:v>
      </x:c>
      <x:c r="L159" s="133" t="str">
        <x:f>IF(D159&lt;=0,"No EVM votes",IF(E159&lt;$N$7,"Low",IF(E159&gt;$R$7,"High","Middle")))</x:f>
        <x:v>Middle</x:v>
      </x:c>
      <x:c r="M159" s="133" t="str">
        <x:f>IF(D159&lt;=0,"No EVM votes",IF(H159&lt;-20%,"Large deficit",IF(H159&lt;-5%,"Moderate deficit",IF(H159&lt;0,"Narrow deficit",IF(H159&lt;=5%,"Narrow lead/tie",IF(H159&lt;=20%,"Moderate lead","Large lead"))))))</x:f>
        <x:v>Moderate deficit</x:v>
      </x:c>
    </x:row>
    <x:row r="160">
      <x:c r="A160" t="n">
        <x:v>101</x:v>
      </x:c>
      <x:c r="B160" t="str">
        <x:v>PRIMARY SCHOOL AZAMPUR GARHI ROOM NO 1</x:v>
      </x:c>
      <x:c r="C160" s="83" t="n">
        <x:f>'2022 Form20'!H109</x:f>
        <x:v>248</x:v>
      </x:c>
      <x:c r="D160" s="83" t="n">
        <x:f>'2022 Form20'!D109</x:f>
        <x:v>738</x:v>
      </x:c>
      <x:c r="E160" s="50" t="n">
        <x:f>'2022 Form20'!T109</x:f>
        <x:v>0.33604336043360433</x:v>
      </x:c>
      <x:c r="F160" t="n">
        <x:f>'2022 Form20'!U109</x:f>
        <x:v>366</x:v>
      </x:c>
      <x:c r="G160" t="n">
        <x:f>'2022 Form20'!V109</x:f>
        <x:v>-118</x:v>
      </x:c>
      <x:c r="H160" s="52" t="n">
        <x:f>'2022 Form20'!W109</x:f>
        <x:v>-0.15989159891598917</x:v>
      </x:c>
      <x:c r="I160" t="str">
        <x:v>DHIRENDRA SINGH</x:v>
      </x:c>
      <x:c r="J160" t="str">
        <x:v>Bharatiya Janata Party</x:v>
      </x:c>
      <x:c r="K160" t="str">
        <x:v>EVM row</x:v>
      </x:c>
      <x:c r="L160" s="133" t="str">
        <x:f>IF(D160&lt;=0,"No EVM votes",IF(E160&lt;$N$7,"Low",IF(E160&gt;$R$7,"High","Middle")))</x:f>
        <x:v>Middle</x:v>
      </x:c>
      <x:c r="M160" s="133" t="str">
        <x:f>IF(D160&lt;=0,"No EVM votes",IF(H160&lt;-20%,"Large deficit",IF(H160&lt;-5%,"Moderate deficit",IF(H160&lt;0,"Narrow deficit",IF(H160&lt;=5%,"Narrow lead/tie",IF(H160&lt;=20%,"Moderate lead","Large lead"))))))</x:f>
        <x:v>Moderate deficit</x:v>
      </x:c>
    </x:row>
    <x:row r="161">
      <x:c r="A161" t="n">
        <x:v>102</x:v>
      </x:c>
      <x:c r="B161" t="str">
        <x:v>PRIMARY SCHOOL BAZARPUR ROOM NO 1</x:v>
      </x:c>
      <x:c r="C161" s="83" t="n">
        <x:f>'2022 Form20'!H110</x:f>
        <x:v>280</x:v>
      </x:c>
      <x:c r="D161" s="83" t="n">
        <x:f>'2022 Form20'!D110</x:f>
        <x:v>565</x:v>
      </x:c>
      <x:c r="E161" s="50" t="n">
        <x:f>'2022 Form20'!T110</x:f>
        <x:v>0.49557522123893805</x:v>
      </x:c>
      <x:c r="F161" t="n">
        <x:f>'2022 Form20'!U110</x:f>
        <x:v>141</x:v>
      </x:c>
      <x:c r="G161" t="n">
        <x:f>'2022 Form20'!V110</x:f>
        <x:v>139</x:v>
      </x:c>
      <x:c r="H161" s="52" t="n">
        <x:f>'2022 Form20'!W110</x:f>
        <x:v>0.24601769911504426</x:v>
      </x:c>
      <x:c r="I161" t="str">
        <x:v>AVTAR SINGH BHADANA</x:v>
      </x:c>
      <x:c r="J161" t="str">
        <x:v>Rashtriya Lok Dal</x:v>
      </x:c>
      <x:c r="K161" t="str">
        <x:v>EVM row</x:v>
      </x:c>
      <x:c r="L161" s="133" t="str">
        <x:f>IF(D161&lt;=0,"No EVM votes",IF(E161&lt;$N$7,"Low",IF(E161&gt;$R$7,"High","Middle")))</x:f>
        <x:v>High</x:v>
      </x:c>
      <x:c r="M161" s="133" t="str">
        <x:f>IF(D161&lt;=0,"No EVM votes",IF(H161&lt;-20%,"Large deficit",IF(H161&lt;-5%,"Moderate deficit",IF(H161&lt;0,"Narrow deficit",IF(H161&lt;=5%,"Narrow lead/tie",IF(H161&lt;=20%,"Moderate lead","Large lead"))))))</x:f>
        <x:v>Large lead</x:v>
      </x:c>
    </x:row>
    <x:row r="162">
      <x:c r="A162" t="n">
        <x:v>103</x:v>
      </x:c>
      <x:c r="B162" t="str">
        <x:v>PRIMARY SCHOOL BAZARPUR ROOM NO 2</x:v>
      </x:c>
      <x:c r="C162" s="83" t="n">
        <x:f>'2022 Form20'!H111</x:f>
        <x:v>156</x:v>
      </x:c>
      <x:c r="D162" s="83" t="n">
        <x:f>'2022 Form20'!D111</x:f>
        <x:v>539</x:v>
      </x:c>
      <x:c r="E162" s="50" t="n">
        <x:f>'2022 Form20'!T111</x:f>
        <x:v>0.2894248608534323</x:v>
      </x:c>
      <x:c r="F162" t="n">
        <x:f>'2022 Form20'!U111</x:f>
        <x:v>302</x:v>
      </x:c>
      <x:c r="G162" t="n">
        <x:f>'2022 Form20'!V111</x:f>
        <x:v>-146</x:v>
      </x:c>
      <x:c r="H162" s="52" t="n">
        <x:f>'2022 Form20'!W111</x:f>
        <x:v>-0.27087198515769945</x:v>
      </x:c>
      <x:c r="I162" t="str">
        <x:v>NARENDER KUMAR</x:v>
      </x:c>
      <x:c r="J162" t="str">
        <x:v>Bahujan Samaj Party</x:v>
      </x:c>
      <x:c r="K162" t="str">
        <x:v>EVM row</x:v>
      </x:c>
      <x:c r="L162" s="133" t="str">
        <x:f>IF(D162&lt;=0,"No EVM votes",IF(E162&lt;$N$7,"Low",IF(E162&gt;$R$7,"High","Middle")))</x:f>
        <x:v>Middle</x:v>
      </x:c>
      <x:c r="M162" s="133" t="str">
        <x:f>IF(D162&lt;=0,"No EVM votes",IF(H162&lt;-20%,"Large deficit",IF(H162&lt;-5%,"Moderate deficit",IF(H162&lt;0,"Narrow deficit",IF(H162&lt;=5%,"Narrow lead/tie",IF(H162&lt;=20%,"Moderate lead","Large lead"))))))</x:f>
        <x:v>Large deficit</x:v>
      </x:c>
    </x:row>
    <x:row r="163">
      <x:c r="A163" t="n">
        <x:v>104</x:v>
      </x:c>
      <x:c r="B163" t="str">
        <x:v>PRIMARY SCHOOL SARAKPUR ROOM NO 1</x:v>
      </x:c>
      <x:c r="C163" s="83" t="n">
        <x:f>'2022 Form20'!H112</x:f>
        <x:v>128</x:v>
      </x:c>
      <x:c r="D163" s="83" t="n">
        <x:f>'2022 Form20'!D112</x:f>
        <x:v>478</x:v>
      </x:c>
      <x:c r="E163" s="50" t="n">
        <x:f>'2022 Form20'!T112</x:f>
        <x:v>0.26778242677824265</x:v>
      </x:c>
      <x:c r="F163" t="n">
        <x:f>'2022 Form20'!U112</x:f>
        <x:v>213</x:v>
      </x:c>
      <x:c r="G163" t="n">
        <x:f>'2022 Form20'!V112</x:f>
        <x:v>-85</x:v>
      </x:c>
      <x:c r="H163" s="52" t="n">
        <x:f>'2022 Form20'!W112</x:f>
        <x:v>-0.17782426778242677</x:v>
      </x:c>
      <x:c r="I163" t="str">
        <x:v>DHIRENDRA SINGH</x:v>
      </x:c>
      <x:c r="J163" t="str">
        <x:v>Bharatiya Janata Party</x:v>
      </x:c>
      <x:c r="K163" t="str">
        <x:v>EVM row</x:v>
      </x:c>
      <x:c r="L163" s="133" t="str">
        <x:f>IF(D163&lt;=0,"No EVM votes",IF(E163&lt;$N$7,"Low",IF(E163&gt;$R$7,"High","Middle")))</x:f>
        <x:v>Middle</x:v>
      </x:c>
      <x:c r="M163" s="133" t="str">
        <x:f>IF(D163&lt;=0,"No EVM votes",IF(H163&lt;-20%,"Large deficit",IF(H163&lt;-5%,"Moderate deficit",IF(H163&lt;0,"Narrow deficit",IF(H163&lt;=5%,"Narrow lead/tie",IF(H163&lt;=20%,"Moderate lead","Large lead"))))))</x:f>
        <x:v>Moderate deficit</x:v>
      </x:c>
    </x:row>
    <x:row r="164">
      <x:c r="A164" t="n">
        <x:v>105</x:v>
      </x:c>
      <x:c r="B164" t="str">
        <x:v>PRIMARY SCHOOL BHATTA ROOM NO. 1</x:v>
      </x:c>
      <x:c r="C164" s="83" t="n">
        <x:f>'2022 Form20'!H113</x:f>
        <x:v>203</x:v>
      </x:c>
      <x:c r="D164" s="83" t="n">
        <x:f>'2022 Form20'!D113</x:f>
        <x:v>532</x:v>
      </x:c>
      <x:c r="E164" s="50" t="n">
        <x:f>'2022 Form20'!T113</x:f>
        <x:v>0.3815789473684211</x:v>
      </x:c>
      <x:c r="F164" t="n">
        <x:f>'2022 Form20'!U113</x:f>
        <x:v>240</x:v>
      </x:c>
      <x:c r="G164" t="n">
        <x:f>'2022 Form20'!V113</x:f>
        <x:v>-37</x:v>
      </x:c>
      <x:c r="H164" s="52" t="n">
        <x:f>'2022 Form20'!W113</x:f>
        <x:v>-0.06954887218045112</x:v>
      </x:c>
      <x:c r="I164" t="str">
        <x:v>DHIRENDRA SINGH</x:v>
      </x:c>
      <x:c r="J164" t="str">
        <x:v>Bharatiya Janata Party</x:v>
      </x:c>
      <x:c r="K164" t="str">
        <x:v>EVM row</x:v>
      </x:c>
      <x:c r="L164" s="133" t="str">
        <x:f>IF(D164&lt;=0,"No EVM votes",IF(E164&lt;$N$7,"Low",IF(E164&gt;$R$7,"High","Middle")))</x:f>
        <x:v>High</x:v>
      </x:c>
      <x:c r="M164" s="133" t="str">
        <x:f>IF(D164&lt;=0,"No EVM votes",IF(H164&lt;-20%,"Large deficit",IF(H164&lt;-5%,"Moderate deficit",IF(H164&lt;0,"Narrow deficit",IF(H164&lt;=5%,"Narrow lead/tie",IF(H164&lt;=20%,"Moderate lead","Large lead"))))))</x:f>
        <x:v>Moderate deficit</x:v>
      </x:c>
    </x:row>
    <x:row r="165">
      <x:c r="A165" t="n">
        <x:v>106</x:v>
      </x:c>
      <x:c r="B165" t="str">
        <x:v>PRIMARY SCHOOL BHATTA ROOM NO. 2</x:v>
      </x:c>
      <x:c r="C165" s="83" t="n">
        <x:f>'2022 Form20'!H114</x:f>
        <x:v>255</x:v>
      </x:c>
      <x:c r="D165" s="83" t="n">
        <x:f>'2022 Form20'!D114</x:f>
        <x:v>683</x:v>
      </x:c>
      <x:c r="E165" s="50" t="n">
        <x:f>'2022 Form20'!T114</x:f>
        <x:v>0.3733528550512445</x:v>
      </x:c>
      <x:c r="F165" t="n">
        <x:f>'2022 Form20'!U114</x:f>
        <x:v>379</x:v>
      </x:c>
      <x:c r="G165" t="n">
        <x:f>'2022 Form20'!V114</x:f>
        <x:v>-124</x:v>
      </x:c>
      <x:c r="H165" s="52" t="n">
        <x:f>'2022 Form20'!W114</x:f>
        <x:v>-0.1815519765739385</x:v>
      </x:c>
      <x:c r="I165" t="str">
        <x:v>DHIRENDRA SINGH</x:v>
      </x:c>
      <x:c r="J165" t="str">
        <x:v>Bharatiya Janata Party</x:v>
      </x:c>
      <x:c r="K165" t="str">
        <x:v>EVM row</x:v>
      </x:c>
      <x:c r="L165" s="133" t="str">
        <x:f>IF(D165&lt;=0,"No EVM votes",IF(E165&lt;$N$7,"Low",IF(E165&gt;$R$7,"High","Middle")))</x:f>
        <x:v>High</x:v>
      </x:c>
      <x:c r="M165" s="133" t="str">
        <x:f>IF(D165&lt;=0,"No EVM votes",IF(H165&lt;-20%,"Large deficit",IF(H165&lt;-5%,"Moderate deficit",IF(H165&lt;0,"Narrow deficit",IF(H165&lt;=5%,"Narrow lead/tie",IF(H165&lt;=20%,"Moderate lead","Large lead"))))))</x:f>
        <x:v>Moderate deficit</x:v>
      </x:c>
    </x:row>
    <x:row r="166">
      <x:c r="A166" t="n">
        <x:v>107</x:v>
      </x:c>
      <x:c r="B166" t="str">
        <x:v>PRIMARY SCHOOL BHATTA ROOM NO. 3</x:v>
      </x:c>
      <x:c r="C166" s="83" t="n">
        <x:f>'2022 Form20'!H115</x:f>
        <x:v>217</x:v>
      </x:c>
      <x:c r="D166" s="83" t="n">
        <x:f>'2022 Form20'!D115</x:f>
        <x:v>642</x:v>
      </x:c>
      <x:c r="E166" s="50" t="n">
        <x:f>'2022 Form20'!T115</x:f>
        <x:v>0.338006230529595</x:v>
      </x:c>
      <x:c r="F166" t="n">
        <x:f>'2022 Form20'!U115</x:f>
        <x:v>231</x:v>
      </x:c>
      <x:c r="G166" t="n">
        <x:f>'2022 Form20'!V115</x:f>
        <x:v>-14</x:v>
      </x:c>
      <x:c r="H166" s="52" t="n">
        <x:f>'2022 Form20'!W115</x:f>
        <x:v>-0.021806853582554516</x:v>
      </x:c>
      <x:c r="I166" t="str">
        <x:v>DHIRENDRA SINGH</x:v>
      </x:c>
      <x:c r="J166" t="str">
        <x:v>Bharatiya Janata Party</x:v>
      </x:c>
      <x:c r="K166" t="str">
        <x:v>EVM row</x:v>
      </x:c>
      <x:c r="L166" s="133" t="str">
        <x:f>IF(D166&lt;=0,"No EVM votes",IF(E166&lt;$N$7,"Low",IF(E166&gt;$R$7,"High","Middle")))</x:f>
        <x:v>Middle</x:v>
      </x:c>
      <x:c r="M166" s="133" t="str">
        <x:f>IF(D166&lt;=0,"No EVM votes",IF(H166&lt;-20%,"Large deficit",IF(H166&lt;-5%,"Moderate deficit",IF(H166&lt;0,"Narrow deficit",IF(H166&lt;=5%,"Narrow lead/tie",IF(H166&lt;=20%,"Moderate lead","Large lead"))))))</x:f>
        <x:v>Narrow deficit</x:v>
      </x:c>
    </x:row>
    <x:row r="167">
      <x:c r="A167" t="n">
        <x:v>108</x:v>
      </x:c>
      <x:c r="B167" t="str">
        <x:v>PRIMARY SCHOOL CHUHADPUR BANGAR ROOM NO 1</x:v>
      </x:c>
      <x:c r="C167" s="83" t="n">
        <x:f>'2022 Form20'!H116</x:f>
        <x:v>506</x:v>
      </x:c>
      <x:c r="D167" s="83" t="n">
        <x:f>'2022 Form20'!D116</x:f>
        <x:v>733</x:v>
      </x:c>
      <x:c r="E167" s="50" t="n">
        <x:f>'2022 Form20'!T116</x:f>
        <x:v>0.6903137789904502</x:v>
      </x:c>
      <x:c r="F167" t="n">
        <x:f>'2022 Form20'!U116</x:f>
        <x:v>102</x:v>
      </x:c>
      <x:c r="G167" t="n">
        <x:f>'2022 Form20'!V116</x:f>
        <x:v>404</x:v>
      </x:c>
      <x:c r="H167" s="52" t="n">
        <x:f>'2022 Form20'!W116</x:f>
        <x:v>0.5511596180081856</x:v>
      </x:c>
      <x:c r="I167" t="str">
        <x:v>AVTAR SINGH BHADANA</x:v>
      </x:c>
      <x:c r="J167" t="str">
        <x:v>Rashtriya Lok Dal</x:v>
      </x:c>
      <x:c r="K167" t="str">
        <x:v>EVM row</x:v>
      </x:c>
      <x:c r="L167" s="133" t="str">
        <x:f>IF(D167&lt;=0,"No EVM votes",IF(E167&lt;$N$7,"Low",IF(E167&gt;$R$7,"High","Middle")))</x:f>
        <x:v>High</x:v>
      </x:c>
      <x:c r="M167" s="133" t="str">
        <x:f>IF(D167&lt;=0,"No EVM votes",IF(H167&lt;-20%,"Large deficit",IF(H167&lt;-5%,"Moderate deficit",IF(H167&lt;0,"Narrow deficit",IF(H167&lt;=5%,"Narrow lead/tie",IF(H167&lt;=20%,"Moderate lead","Large lead"))))))</x:f>
        <x:v>Large lead</x:v>
      </x:c>
    </x:row>
    <x:row r="168">
      <x:c r="A168" t="n">
        <x:v>109</x:v>
      </x:c>
      <x:c r="B168" t="str">
        <x:v>PRIMARY PATHSHALA TALDA ROOM NO 1</x:v>
      </x:c>
      <x:c r="C168" s="83" t="n">
        <x:f>'2022 Form20'!H117</x:f>
        <x:v>176</x:v>
      </x:c>
      <x:c r="D168" s="83" t="n">
        <x:f>'2022 Form20'!D117</x:f>
        <x:v>510</x:v>
      </x:c>
      <x:c r="E168" s="50" t="n">
        <x:f>'2022 Form20'!T117</x:f>
        <x:v>0.34509803921568627</x:v>
      </x:c>
      <x:c r="F168" t="n">
        <x:f>'2022 Form20'!U117</x:f>
        <x:v>244</x:v>
      </x:c>
      <x:c r="G168" t="n">
        <x:f>'2022 Form20'!V117</x:f>
        <x:v>-68</x:v>
      </x:c>
      <x:c r="H168" s="52" t="n">
        <x:f>'2022 Form20'!W117</x:f>
        <x:v>-0.13333333333333333</x:v>
      </x:c>
      <x:c r="I168" t="str">
        <x:v>NARENDER KUMAR</x:v>
      </x:c>
      <x:c r="J168" t="str">
        <x:v>Bahujan Samaj Party</x:v>
      </x:c>
      <x:c r="K168" t="str">
        <x:v>EVM row</x:v>
      </x:c>
      <x:c r="L168" s="133" t="str">
        <x:f>IF(D168&lt;=0,"No EVM votes",IF(E168&lt;$N$7,"Low",IF(E168&gt;$R$7,"High","Middle")))</x:f>
        <x:v>Middle</x:v>
      </x:c>
      <x:c r="M168" s="133" t="str">
        <x:f>IF(D168&lt;=0,"No EVM votes",IF(H168&lt;-20%,"Large deficit",IF(H168&lt;-5%,"Moderate deficit",IF(H168&lt;0,"Narrow deficit",IF(H168&lt;=5%,"Narrow lead/tie",IF(H168&lt;=20%,"Moderate lead","Large lead"))))))</x:f>
        <x:v>Moderate deficit</x:v>
      </x:c>
    </x:row>
    <x:row r="169">
      <x:c r="A169" t="n">
        <x:v>110</x:v>
      </x:c>
      <x:c r="B169" t="str">
        <x:v>PRIMARY PATHSHALA TALDA ROOM NO 2</x:v>
      </x:c>
      <x:c r="C169" s="83" t="n">
        <x:f>'2022 Form20'!H118</x:f>
        <x:v>128</x:v>
      </x:c>
      <x:c r="D169" s="83" t="n">
        <x:f>'2022 Form20'!D118</x:f>
        <x:v>474</x:v>
      </x:c>
      <x:c r="E169" s="50" t="n">
        <x:f>'2022 Form20'!T118</x:f>
        <x:v>0.270042194092827</x:v>
      </x:c>
      <x:c r="F169" t="n">
        <x:f>'2022 Form20'!U118</x:f>
        <x:v>246</x:v>
      </x:c>
      <x:c r="G169" t="n">
        <x:f>'2022 Form20'!V118</x:f>
        <x:v>-118</x:v>
      </x:c>
      <x:c r="H169" s="52" t="n">
        <x:f>'2022 Form20'!W118</x:f>
        <x:v>-0.2489451476793249</x:v>
      </x:c>
      <x:c r="I169" t="str">
        <x:v>NARENDER KUMAR</x:v>
      </x:c>
      <x:c r="J169" t="str">
        <x:v>Bahujan Samaj Party</x:v>
      </x:c>
      <x:c r="K169" t="str">
        <x:v>EVM row</x:v>
      </x:c>
      <x:c r="L169" s="133" t="str">
        <x:f>IF(D169&lt;=0,"No EVM votes",IF(E169&lt;$N$7,"Low",IF(E169&gt;$R$7,"High","Middle")))</x:f>
        <x:v>Middle</x:v>
      </x:c>
      <x:c r="M169" s="133" t="str">
        <x:f>IF(D169&lt;=0,"No EVM votes",IF(H169&lt;-20%,"Large deficit",IF(H169&lt;-5%,"Moderate deficit",IF(H169&lt;0,"Narrow deficit",IF(H169&lt;=5%,"Narrow lead/tie",IF(H169&lt;=20%,"Moderate lead","Large lead"))))))</x:f>
        <x:v>Large deficit</x:v>
      </x:c>
    </x:row>
    <x:row r="170">
      <x:c r="A170" t="n">
        <x:v>111</x:v>
      </x:c>
      <x:c r="B170" t="str">
        <x:v>PRIMARY SCHOOL HATEWA ROOM NO. 1</x:v>
      </x:c>
      <x:c r="C170" s="83" t="n">
        <x:f>'2022 Form20'!H119</x:f>
        <x:v>57</x:v>
      </x:c>
      <x:c r="D170" s="83" t="n">
        <x:f>'2022 Form20'!D119</x:f>
        <x:v>504</x:v>
      </x:c>
      <x:c r="E170" s="50" t="n">
        <x:f>'2022 Form20'!T119</x:f>
        <x:v>0.1130952380952381</x:v>
      </x:c>
      <x:c r="F170" t="n">
        <x:f>'2022 Form20'!U119</x:f>
        <x:v>371</x:v>
      </x:c>
      <x:c r="G170" t="n">
        <x:f>'2022 Form20'!V119</x:f>
        <x:v>-314</x:v>
      </x:c>
      <x:c r="H170" s="52" t="n">
        <x:f>'2022 Form20'!W119</x:f>
        <x:v>-0.623015873015873</x:v>
      </x:c>
      <x:c r="I170" t="str">
        <x:v>DHIRENDRA SINGH</x:v>
      </x:c>
      <x:c r="J170" t="str">
        <x:v>Bharatiya Janata Party</x:v>
      </x:c>
      <x:c r="K170" t="str">
        <x:v>EVM row</x:v>
      </x:c>
      <x:c r="L170" s="133" t="str">
        <x:f>IF(D170&lt;=0,"No EVM votes",IF(E170&lt;$N$7,"Low",IF(E170&gt;$R$7,"High","Middle")))</x:f>
        <x:v>Middle</x:v>
      </x:c>
      <x:c r="M170" s="133" t="str">
        <x:f>IF(D170&lt;=0,"No EVM votes",IF(H170&lt;-20%,"Large deficit",IF(H170&lt;-5%,"Moderate deficit",IF(H170&lt;0,"Narrow deficit",IF(H170&lt;=5%,"Narrow lead/tie",IF(H170&lt;=20%,"Moderate lead","Large lead"))))))</x:f>
        <x:v>Large deficit</x:v>
      </x:c>
    </x:row>
    <x:row r="171">
      <x:c r="A171" t="n">
        <x:v>112</x:v>
      </x:c>
      <x:c r="B171" t="str">
        <x:v>PRIMARY SCHOOL HATEWA ROOM NO. 2</x:v>
      </x:c>
      <x:c r="C171" s="83" t="n">
        <x:f>'2022 Form20'!H120</x:f>
        <x:v>27</x:v>
      </x:c>
      <x:c r="D171" s="83" t="n">
        <x:f>'2022 Form20'!D120</x:f>
        <x:v>488</x:v>
      </x:c>
      <x:c r="E171" s="50" t="n">
        <x:f>'2022 Form20'!T120</x:f>
        <x:v>0.055327868852459015</x:v>
      </x:c>
      <x:c r="F171" t="n">
        <x:f>'2022 Form20'!U120</x:f>
        <x:v>338</x:v>
      </x:c>
      <x:c r="G171" t="n">
        <x:f>'2022 Form20'!V120</x:f>
        <x:v>-311</x:v>
      </x:c>
      <x:c r="H171" s="52" t="n">
        <x:f>'2022 Form20'!W120</x:f>
        <x:v>-0.6372950819672131</x:v>
      </x:c>
      <x:c r="I171" t="str">
        <x:v>NARENDER KUMAR</x:v>
      </x:c>
      <x:c r="J171" t="str">
        <x:v>Bahujan Samaj Party</x:v>
      </x:c>
      <x:c r="K171" t="str">
        <x:v>EVM row</x:v>
      </x:c>
      <x:c r="L171" s="133" t="str">
        <x:f>IF(D171&lt;=0,"No EVM votes",IF(E171&lt;$N$7,"Low",IF(E171&gt;$R$7,"High","Middle")))</x:f>
        <x:v>Low</x:v>
      </x:c>
      <x:c r="M171" s="133" t="str">
        <x:f>IF(D171&lt;=0,"No EVM votes",IF(H171&lt;-20%,"Large deficit",IF(H171&lt;-5%,"Moderate deficit",IF(H171&lt;0,"Narrow deficit",IF(H171&lt;=5%,"Narrow lead/tie",IF(H171&lt;=20%,"Moderate lead","Large lead"))))))</x:f>
        <x:v>Large deficit</x:v>
      </x:c>
    </x:row>
    <x:row r="172">
      <x:c r="A172" t="n">
        <x:v>113</x:v>
      </x:c>
      <x:c r="B172" t="str">
        <x:v>PRIMARY SCHOOL DALELGARH ROOM NO 1</x:v>
      </x:c>
      <x:c r="C172" s="83" t="n">
        <x:f>'2022 Form20'!H121</x:f>
        <x:v>51</x:v>
      </x:c>
      <x:c r="D172" s="83" t="n">
        <x:f>'2022 Form20'!D121</x:f>
        <x:v>459</x:v>
      </x:c>
      <x:c r="E172" s="50" t="n">
        <x:f>'2022 Form20'!T121</x:f>
        <x:v>0.1111111111111111</x:v>
      </x:c>
      <x:c r="F172" t="n">
        <x:f>'2022 Form20'!U121</x:f>
        <x:v>221</x:v>
      </x:c>
      <x:c r="G172" t="n">
        <x:f>'2022 Form20'!V121</x:f>
        <x:v>-170</x:v>
      </x:c>
      <x:c r="H172" s="52" t="n">
        <x:f>'2022 Form20'!W121</x:f>
        <x:v>-0.37037037037037035</x:v>
      </x:c>
      <x:c r="I172" t="str">
        <x:v>NARENDER KUMAR</x:v>
      </x:c>
      <x:c r="J172" t="str">
        <x:v>Bahujan Samaj Party</x:v>
      </x:c>
      <x:c r="K172" t="str">
        <x:v>EVM row</x:v>
      </x:c>
      <x:c r="L172" s="133" t="str">
        <x:f>IF(D172&lt;=0,"No EVM votes",IF(E172&lt;$N$7,"Low",IF(E172&gt;$R$7,"High","Middle")))</x:f>
        <x:v>Middle</x:v>
      </x:c>
      <x:c r="M172" s="133" t="str">
        <x:f>IF(D172&lt;=0,"No EVM votes",IF(H172&lt;-20%,"Large deficit",IF(H172&lt;-5%,"Moderate deficit",IF(H172&lt;0,"Narrow deficit",IF(H172&lt;=5%,"Narrow lead/tie",IF(H172&lt;=20%,"Moderate lead","Large lead"))))))</x:f>
        <x:v>Large deficit</x:v>
      </x:c>
    </x:row>
    <x:row r="173">
      <x:c r="A173" t="n">
        <x:v>114</x:v>
      </x:c>
      <x:c r="B173" t="str">
        <x:v>PRIMARY SCHOOL DALELGARH ROOM NO 2</x:v>
      </x:c>
      <x:c r="C173" s="83" t="n">
        <x:f>'2022 Form20'!H122</x:f>
        <x:v>149</x:v>
      </x:c>
      <x:c r="D173" s="83" t="n">
        <x:f>'2022 Form20'!D122</x:f>
        <x:v>477</x:v>
      </x:c>
      <x:c r="E173" s="50" t="n">
        <x:f>'2022 Form20'!T122</x:f>
        <x:v>0.31236897274633124</x:v>
      </x:c>
      <x:c r="F173" t="n">
        <x:f>'2022 Form20'!U122</x:f>
        <x:v>145</x:v>
      </x:c>
      <x:c r="G173" t="n">
        <x:f>'2022 Form20'!V122</x:f>
        <x:v>4</x:v>
      </x:c>
      <x:c r="H173" s="52" t="n">
        <x:f>'2022 Form20'!W122</x:f>
        <x:v>0.008385744234800839</x:v>
      </x:c>
      <x:c r="I173" t="str">
        <x:v>AVTAR SINGH BHADANA</x:v>
      </x:c>
      <x:c r="J173" t="str">
        <x:v>Rashtriya Lok Dal</x:v>
      </x:c>
      <x:c r="K173" t="str">
        <x:v>EVM row</x:v>
      </x:c>
      <x:c r="L173" s="133" t="str">
        <x:f>IF(D173&lt;=0,"No EVM votes",IF(E173&lt;$N$7,"Low",IF(E173&gt;$R$7,"High","Middle")))</x:f>
        <x:v>Middle</x:v>
      </x:c>
      <x:c r="M173" s="133" t="str">
        <x:f>IF(D173&lt;=0,"No EVM votes",IF(H173&lt;-20%,"Large deficit",IF(H173&lt;-5%,"Moderate deficit",IF(H173&lt;0,"Narrow deficit",IF(H173&lt;=5%,"Narrow lead/tie",IF(H173&lt;=20%,"Moderate lead","Large lead"))))))</x:f>
        <x:v>Narrow lead/tie</x:v>
      </x:c>
    </x:row>
    <x:row r="174">
      <x:c r="A174" t="n">
        <x:v>115</x:v>
      </x:c>
      <x:c r="B174" t="str">
        <x:v>PRIMARY SCHOOL BAGPUR ROOM NO 1</x:v>
      </x:c>
      <x:c r="C174" s="83" t="n">
        <x:f>'2022 Form20'!H123</x:f>
        <x:v>117</x:v>
      </x:c>
      <x:c r="D174" s="83" t="n">
        <x:f>'2022 Form20'!D123</x:f>
        <x:v>683</x:v>
      </x:c>
      <x:c r="E174" s="50" t="n">
        <x:f>'2022 Form20'!T123</x:f>
        <x:v>0.17130307467057102</x:v>
      </x:c>
      <x:c r="F174" t="n">
        <x:f>'2022 Form20'!U123</x:f>
        <x:v>356</x:v>
      </x:c>
      <x:c r="G174" t="n">
        <x:f>'2022 Form20'!V123</x:f>
        <x:v>-239</x:v>
      </x:c>
      <x:c r="H174" s="52" t="n">
        <x:f>'2022 Form20'!W123</x:f>
        <x:v>-0.34992679355783307</x:v>
      </x:c>
      <x:c r="I174" t="str">
        <x:v>DHIRENDRA SINGH</x:v>
      </x:c>
      <x:c r="J174" t="str">
        <x:v>Bharatiya Janata Party</x:v>
      </x:c>
      <x:c r="K174" t="str">
        <x:v>EVM row</x:v>
      </x:c>
      <x:c r="L174" s="133" t="str">
        <x:f>IF(D174&lt;=0,"No EVM votes",IF(E174&lt;$N$7,"Low",IF(E174&gt;$R$7,"High","Middle")))</x:f>
        <x:v>Middle</x:v>
      </x:c>
      <x:c r="M174" s="133" t="str">
        <x:f>IF(D174&lt;=0,"No EVM votes",IF(H174&lt;-20%,"Large deficit",IF(H174&lt;-5%,"Moderate deficit",IF(H174&lt;0,"Narrow deficit",IF(H174&lt;=5%,"Narrow lead/tie",IF(H174&lt;=20%,"Moderate lead","Large lead"))))))</x:f>
        <x:v>Large deficit</x:v>
      </x:c>
    </x:row>
    <x:row r="175">
      <x:c r="A175" t="n">
        <x:v>116</x:v>
      </x:c>
      <x:c r="B175" t="str">
        <x:v>PRIMARY SCHOOL PEEPALKA SURATPUR ROOM NO 1</x:v>
      </x:c>
      <x:c r="C175" s="83" t="n">
        <x:f>'2022 Form20'!H124</x:f>
        <x:v>178</x:v>
      </x:c>
      <x:c r="D175" s="83" t="n">
        <x:f>'2022 Form20'!D124</x:f>
        <x:v>555</x:v>
      </x:c>
      <x:c r="E175" s="50" t="n">
        <x:f>'2022 Form20'!T124</x:f>
        <x:v>0.3207207207207207</x:v>
      </x:c>
      <x:c r="F175" t="n">
        <x:f>'2022 Form20'!U124</x:f>
        <x:v>178</x:v>
      </x:c>
      <x:c r="G175" t="n">
        <x:f>'2022 Form20'!V124</x:f>
        <x:v>0</x:v>
      </x:c>
      <x:c r="H175" s="52" t="n">
        <x:f>'2022 Form20'!W124</x:f>
        <x:v>0</x:v>
      </x:c>
      <x:c r="I175" t="str">
        <x:v>AVTAR SINGH BHADANA</x:v>
      </x:c>
      <x:c r="J175" t="str">
        <x:v>Rashtriya Lok Dal</x:v>
      </x:c>
      <x:c r="K175" t="str">
        <x:v>EVM row</x:v>
      </x:c>
      <x:c r="L175" s="133" t="str">
        <x:f>IF(D175&lt;=0,"No EVM votes",IF(E175&lt;$N$7,"Low",IF(E175&gt;$R$7,"High","Middle")))</x:f>
        <x:v>Middle</x:v>
      </x:c>
      <x:c r="M175" s="133" t="str">
        <x:f>IF(D175&lt;=0,"No EVM votes",IF(H175&lt;-20%,"Large deficit",IF(H175&lt;-5%,"Moderate deficit",IF(H175&lt;0,"Narrow deficit",IF(H175&lt;=5%,"Narrow lead/tie",IF(H175&lt;=20%,"Moderate lead","Large lead"))))))</x:f>
        <x:v>Narrow lead/tie</x:v>
      </x:c>
    </x:row>
    <x:row r="176">
      <x:c r="A176" t="n">
        <x:v>117</x:v>
      </x:c>
      <x:c r="B176" t="str">
        <x:v>PRIMARY SCHOOL PEEPALKA SURATPUR ROOM NO 2</x:v>
      </x:c>
      <x:c r="C176" s="83" t="n">
        <x:f>'2022 Form20'!H125</x:f>
        <x:v>173</x:v>
      </x:c>
      <x:c r="D176" s="83" t="n">
        <x:f>'2022 Form20'!D125</x:f>
        <x:v>589</x:v>
      </x:c>
      <x:c r="E176" s="50" t="n">
        <x:f>'2022 Form20'!T125</x:f>
        <x:v>0.2937181663837012</x:v>
      </x:c>
      <x:c r="F176" t="n">
        <x:f>'2022 Form20'!U125</x:f>
        <x:v>250</x:v>
      </x:c>
      <x:c r="G176" t="n">
        <x:f>'2022 Form20'!V125</x:f>
        <x:v>-77</x:v>
      </x:c>
      <x:c r="H176" s="52" t="n">
        <x:f>'2022 Form20'!W125</x:f>
        <x:v>-0.1307300509337861</x:v>
      </x:c>
      <x:c r="I176" t="str">
        <x:v>DHIRENDRA SINGH</x:v>
      </x:c>
      <x:c r="J176" t="str">
        <x:v>Bharatiya Janata Party</x:v>
      </x:c>
      <x:c r="K176" t="str">
        <x:v>EVM row</x:v>
      </x:c>
      <x:c r="L176" s="133" t="str">
        <x:f>IF(D176&lt;=0,"No EVM votes",IF(E176&lt;$N$7,"Low",IF(E176&gt;$R$7,"High","Middle")))</x:f>
        <x:v>Middle</x:v>
      </x:c>
      <x:c r="M176" s="133" t="str">
        <x:f>IF(D176&lt;=0,"No EVM votes",IF(H176&lt;-20%,"Large deficit",IF(H176&lt;-5%,"Moderate deficit",IF(H176&lt;0,"Narrow deficit",IF(H176&lt;=5%,"Narrow lead/tie",IF(H176&lt;=20%,"Moderate lead","Large lead"))))))</x:f>
        <x:v>Moderate deficit</x:v>
      </x:c>
    </x:row>
    <x:row r="177">
      <x:c r="A177" t="n">
        <x:v>118</x:v>
      </x:c>
      <x:c r="B177" t="str">
        <x:v>PRIMARY SCHOOL BISICH ROOM NO. 1</x:v>
      </x:c>
      <x:c r="C177" s="83" t="n">
        <x:f>'2022 Form20'!H126</x:f>
        <x:v>167</x:v>
      </x:c>
      <x:c r="D177" s="83" t="n">
        <x:f>'2022 Form20'!D126</x:f>
        <x:v>391</x:v>
      </x:c>
      <x:c r="E177" s="50" t="n">
        <x:f>'2022 Form20'!T126</x:f>
        <x:v>0.42710997442455245</x:v>
      </x:c>
      <x:c r="F177" t="n">
        <x:f>'2022 Form20'!U126</x:f>
        <x:v>157</x:v>
      </x:c>
      <x:c r="G177" t="n">
        <x:f>'2022 Form20'!V126</x:f>
        <x:v>10</x:v>
      </x:c>
      <x:c r="H177" s="52" t="n">
        <x:f>'2022 Form20'!W126</x:f>
        <x:v>0.02557544757033248</x:v>
      </x:c>
      <x:c r="I177" t="str">
        <x:v>AVTAR SINGH BHADANA</x:v>
      </x:c>
      <x:c r="J177" t="str">
        <x:v>Rashtriya Lok Dal</x:v>
      </x:c>
      <x:c r="K177" t="str">
        <x:v>EVM row</x:v>
      </x:c>
      <x:c r="L177" s="133" t="str">
        <x:f>IF(D177&lt;=0,"No EVM votes",IF(E177&lt;$N$7,"Low",IF(E177&gt;$R$7,"High","Middle")))</x:f>
        <x:v>High</x:v>
      </x:c>
      <x:c r="M177" s="133" t="str">
        <x:f>IF(D177&lt;=0,"No EVM votes",IF(H177&lt;-20%,"Large deficit",IF(H177&lt;-5%,"Moderate deficit",IF(H177&lt;0,"Narrow deficit",IF(H177&lt;=5%,"Narrow lead/tie",IF(H177&lt;=20%,"Moderate lead","Large lead"))))))</x:f>
        <x:v>Narrow lead/tie</x:v>
      </x:c>
    </x:row>
    <x:row r="178">
      <x:c r="A178" t="n">
        <x:v>119</x:v>
      </x:c>
      <x:c r="B178" t="str">
        <x:v>PRIMARY SCHOOL DADUPUR DANKOUR ROOM NO 1</x:v>
      </x:c>
      <x:c r="C178" s="83" t="n">
        <x:f>'2022 Form20'!H127</x:f>
        <x:v>110</x:v>
      </x:c>
      <x:c r="D178" s="83" t="n">
        <x:f>'2022 Form20'!D127</x:f>
        <x:v>645</x:v>
      </x:c>
      <x:c r="E178" s="50" t="n">
        <x:f>'2022 Form20'!T127</x:f>
        <x:v>0.17054263565891473</x:v>
      </x:c>
      <x:c r="F178" t="n">
        <x:f>'2022 Form20'!U127</x:f>
        <x:v>331</x:v>
      </x:c>
      <x:c r="G178" t="n">
        <x:f>'2022 Form20'!V127</x:f>
        <x:v>-221</x:v>
      </x:c>
      <x:c r="H178" s="52" t="n">
        <x:f>'2022 Form20'!W127</x:f>
        <x:v>-0.3426356589147287</x:v>
      </x:c>
      <x:c r="I178" t="str">
        <x:v>NARENDER KUMAR</x:v>
      </x:c>
      <x:c r="J178" t="str">
        <x:v>Bahujan Samaj Party</x:v>
      </x:c>
      <x:c r="K178" t="str">
        <x:v>EVM row</x:v>
      </x:c>
      <x:c r="L178" s="133" t="str">
        <x:f>IF(D178&lt;=0,"No EVM votes",IF(E178&lt;$N$7,"Low",IF(E178&gt;$R$7,"High","Middle")))</x:f>
        <x:v>Middle</x:v>
      </x:c>
      <x:c r="M178" s="133" t="str">
        <x:f>IF(D178&lt;=0,"No EVM votes",IF(H178&lt;-20%,"Large deficit",IF(H178&lt;-5%,"Moderate deficit",IF(H178&lt;0,"Narrow deficit",IF(H178&lt;=5%,"Narrow lead/tie",IF(H178&lt;=20%,"Moderate lead","Large lead"))))))</x:f>
        <x:v>Large deficit</x:v>
      </x:c>
    </x:row>
    <x:row r="179">
      <x:c r="A179" t="n">
        <x:v>120</x:v>
      </x:c>
      <x:c r="B179" t="str">
        <x:v>PRIMARY SCHOOL DADUPUR DANKOUR ROOM NO 2</x:v>
      </x:c>
      <x:c r="C179" s="83" t="n">
        <x:f>'2022 Form20'!H128</x:f>
        <x:v>230</x:v>
      </x:c>
      <x:c r="D179" s="83" t="n">
        <x:f>'2022 Form20'!D128</x:f>
        <x:v>596</x:v>
      </x:c>
      <x:c r="E179" s="50" t="n">
        <x:f>'2022 Form20'!T128</x:f>
        <x:v>0.3859060402684564</x:v>
      </x:c>
      <x:c r="F179" t="n">
        <x:f>'2022 Form20'!U128</x:f>
        <x:v>246</x:v>
      </x:c>
      <x:c r="G179" t="n">
        <x:f>'2022 Form20'!V128</x:f>
        <x:v>-16</x:v>
      </x:c>
      <x:c r="H179" s="52" t="n">
        <x:f>'2022 Form20'!W128</x:f>
        <x:v>-0.026845637583892617</x:v>
      </x:c>
      <x:c r="I179" t="str">
        <x:v>DHIRENDRA SINGH</x:v>
      </x:c>
      <x:c r="J179" t="str">
        <x:v>Bharatiya Janata Party</x:v>
      </x:c>
      <x:c r="K179" t="str">
        <x:v>EVM row</x:v>
      </x:c>
      <x:c r="L179" s="133" t="str">
        <x:f>IF(D179&lt;=0,"No EVM votes",IF(E179&lt;$N$7,"Low",IF(E179&gt;$R$7,"High","Middle")))</x:f>
        <x:v>High</x:v>
      </x:c>
      <x:c r="M179" s="133" t="str">
        <x:f>IF(D179&lt;=0,"No EVM votes",IF(H179&lt;-20%,"Large deficit",IF(H179&lt;-5%,"Moderate deficit",IF(H179&lt;0,"Narrow deficit",IF(H179&lt;=5%,"Narrow lead/tie",IF(H179&lt;=20%,"Moderate lead","Large lead"))))))</x:f>
        <x:v>Narrow deficit</x:v>
      </x:c>
    </x:row>
    <x:row r="180">
      <x:c r="A180" t="n">
        <x:v>121</x:v>
      </x:c>
      <x:c r="B180" t="str">
        <x:v>PRIMARY SCHOOL DADUPUR DANKOUR ROOM NO 3</x:v>
      </x:c>
      <x:c r="C180" s="83" t="n">
        <x:f>'2022 Form20'!H129</x:f>
        <x:v>250</x:v>
      </x:c>
      <x:c r="D180" s="83" t="n">
        <x:f>'2022 Form20'!D129</x:f>
        <x:v>571</x:v>
      </x:c>
      <x:c r="E180" s="50" t="n">
        <x:f>'2022 Form20'!T129</x:f>
        <x:v>0.43782837127845886</x:v>
      </x:c>
      <x:c r="F180" t="n">
        <x:f>'2022 Form20'!U129</x:f>
        <x:v>191</x:v>
      </x:c>
      <x:c r="G180" t="n">
        <x:f>'2022 Form20'!V129</x:f>
        <x:v>59</x:v>
      </x:c>
      <x:c r="H180" s="52" t="n">
        <x:f>'2022 Form20'!W129</x:f>
        <x:v>0.10332749562171628</x:v>
      </x:c>
      <x:c r="I180" t="str">
        <x:v>AVTAR SINGH BHADANA</x:v>
      </x:c>
      <x:c r="J180" t="str">
        <x:v>Rashtriya Lok Dal</x:v>
      </x:c>
      <x:c r="K180" t="str">
        <x:v>EVM row</x:v>
      </x:c>
      <x:c r="L180" s="133" t="str">
        <x:f>IF(D180&lt;=0,"No EVM votes",IF(E180&lt;$N$7,"Low",IF(E180&gt;$R$7,"High","Middle")))</x:f>
        <x:v>High</x:v>
      </x:c>
      <x:c r="M180" s="133" t="str">
        <x:f>IF(D180&lt;=0,"No EVM votes",IF(H180&lt;-20%,"Large deficit",IF(H180&lt;-5%,"Moderate deficit",IF(H180&lt;0,"Narrow deficit",IF(H180&lt;=5%,"Narrow lead/tie",IF(H180&lt;=20%,"Moderate lead","Large lead"))))))</x:f>
        <x:v>Moderate lead</x:v>
      </x:c>
    </x:row>
    <x:row r="181">
      <x:c r="A181" t="n">
        <x:v>122</x:v>
      </x:c>
      <x:c r="B181" t="str">
        <x:v>PRIMARY SCHOOL AMARPUR ROOM NO 1</x:v>
      </x:c>
      <x:c r="C181" s="83" t="n">
        <x:f>'2022 Form20'!H130</x:f>
        <x:v>288</x:v>
      </x:c>
      <x:c r="D181" s="83" t="n">
        <x:f>'2022 Form20'!D130</x:f>
        <x:v>518</x:v>
      </x:c>
      <x:c r="E181" s="50" t="n">
        <x:f>'2022 Form20'!T130</x:f>
        <x:v>0.555984555984556</x:v>
      </x:c>
      <x:c r="F181" t="n">
        <x:f>'2022 Form20'!U130</x:f>
        <x:v>113</x:v>
      </x:c>
      <x:c r="G181" t="n">
        <x:f>'2022 Form20'!V130</x:f>
        <x:v>175</x:v>
      </x:c>
      <x:c r="H181" s="52" t="n">
        <x:f>'2022 Form20'!W130</x:f>
        <x:v>0.33783783783783783</x:v>
      </x:c>
      <x:c r="I181" t="str">
        <x:v>AVTAR SINGH BHADANA</x:v>
      </x:c>
      <x:c r="J181" t="str">
        <x:v>Rashtriya Lok Dal</x:v>
      </x:c>
      <x:c r="K181" t="str">
        <x:v>EVM row</x:v>
      </x:c>
      <x:c r="L181" s="133" t="str">
        <x:f>IF(D181&lt;=0,"No EVM votes",IF(E181&lt;$N$7,"Low",IF(E181&gt;$R$7,"High","Middle")))</x:f>
        <x:v>High</x:v>
      </x:c>
      <x:c r="M181" s="133" t="str">
        <x:f>IF(D181&lt;=0,"No EVM votes",IF(H181&lt;-20%,"Large deficit",IF(H181&lt;-5%,"Moderate deficit",IF(H181&lt;0,"Narrow deficit",IF(H181&lt;=5%,"Narrow lead/tie",IF(H181&lt;=20%,"Moderate lead","Large lead"))))))</x:f>
        <x:v>Large lead</x:v>
      </x:c>
    </x:row>
    <x:row r="182">
      <x:c r="A182" t="n">
        <x:v>123</x:v>
      </x:c>
      <x:c r="B182" t="str">
        <x:v>PRIMARY SCHOOL AMARPUR ROOM NO 2</x:v>
      </x:c>
      <x:c r="C182" s="83" t="n">
        <x:f>'2022 Form20'!H131</x:f>
        <x:v>136</x:v>
      </x:c>
      <x:c r="D182" s="83" t="n">
        <x:f>'2022 Form20'!D131</x:f>
        <x:v>435</x:v>
      </x:c>
      <x:c r="E182" s="50" t="n">
        <x:f>'2022 Form20'!T131</x:f>
        <x:v>0.31264367816091954</x:v>
      </x:c>
      <x:c r="F182" t="n">
        <x:f>'2022 Form20'!U131</x:f>
        <x:v>111</x:v>
      </x:c>
      <x:c r="G182" t="n">
        <x:f>'2022 Form20'!V131</x:f>
        <x:v>25</x:v>
      </x:c>
      <x:c r="H182" s="52" t="n">
        <x:f>'2022 Form20'!W131</x:f>
        <x:v>0.05747126436781609</x:v>
      </x:c>
      <x:c r="I182" t="str">
        <x:v>AVTAR SINGH BHADANA</x:v>
      </x:c>
      <x:c r="J182" t="str">
        <x:v>Rashtriya Lok Dal</x:v>
      </x:c>
      <x:c r="K182" t="str">
        <x:v>EVM row</x:v>
      </x:c>
      <x:c r="L182" s="133" t="str">
        <x:f>IF(D182&lt;=0,"No EVM votes",IF(E182&lt;$N$7,"Low",IF(E182&gt;$R$7,"High","Middle")))</x:f>
        <x:v>Middle</x:v>
      </x:c>
      <x:c r="M182" s="133" t="str">
        <x:f>IF(D182&lt;=0,"No EVM votes",IF(H182&lt;-20%,"Large deficit",IF(H182&lt;-5%,"Moderate deficit",IF(H182&lt;0,"Narrow deficit",IF(H182&lt;=5%,"Narrow lead/tie",IF(H182&lt;=20%,"Moderate lead","Large lead"))))))</x:f>
        <x:v>Moderate lead</x:v>
      </x:c>
    </x:row>
    <x:row r="183">
      <x:c r="A183" t="n">
        <x:v>124</x:v>
      </x:c>
      <x:c r="B183" t="str">
        <x:v>PRIMARY SCHOOL NANUA KA RAJPUR ROOM NO 1</x:v>
      </x:c>
      <x:c r="C183" s="83" t="n">
        <x:f>'2022 Form20'!H132</x:f>
        <x:v>308</x:v>
      </x:c>
      <x:c r="D183" s="83" t="n">
        <x:f>'2022 Form20'!D132</x:f>
        <x:v>476</x:v>
      </x:c>
      <x:c r="E183" s="50" t="n">
        <x:f>'2022 Form20'!T132</x:f>
        <x:v>0.6470588235294118</x:v>
      </x:c>
      <x:c r="F183" t="n">
        <x:f>'2022 Form20'!U132</x:f>
        <x:v>135</x:v>
      </x:c>
      <x:c r="G183" t="n">
        <x:f>'2022 Form20'!V132</x:f>
        <x:v>173</x:v>
      </x:c>
      <x:c r="H183" s="52" t="n">
        <x:f>'2022 Form20'!W132</x:f>
        <x:v>0.3634453781512605</x:v>
      </x:c>
      <x:c r="I183" t="str">
        <x:v>AVTAR SINGH BHADANA</x:v>
      </x:c>
      <x:c r="J183" t="str">
        <x:v>Rashtriya Lok Dal</x:v>
      </x:c>
      <x:c r="K183" t="str">
        <x:v>EVM row</x:v>
      </x:c>
      <x:c r="L183" s="133" t="str">
        <x:f>IF(D183&lt;=0,"No EVM votes",IF(E183&lt;$N$7,"Low",IF(E183&gt;$R$7,"High","Middle")))</x:f>
        <x:v>High</x:v>
      </x:c>
      <x:c r="M183" s="133" t="str">
        <x:f>IF(D183&lt;=0,"No EVM votes",IF(H183&lt;-20%,"Large deficit",IF(H183&lt;-5%,"Moderate deficit",IF(H183&lt;0,"Narrow deficit",IF(H183&lt;=5%,"Narrow lead/tie",IF(H183&lt;=20%,"Moderate lead","Large lead"))))))</x:f>
        <x:v>Large lead</x:v>
      </x:c>
    </x:row>
    <x:row r="184">
      <x:c r="A184" t="n">
        <x:v>125</x:v>
      </x:c>
      <x:c r="B184" t="str">
        <x:v>PRIMARY SCHOOL NAWADA ROOM NO 1</x:v>
      </x:c>
      <x:c r="C184" s="83" t="n">
        <x:f>'2022 Form20'!H133</x:f>
        <x:v>265</x:v>
      </x:c>
      <x:c r="D184" s="83" t="n">
        <x:f>'2022 Form20'!D133</x:f>
        <x:v>639</x:v>
      </x:c>
      <x:c r="E184" s="50" t="n">
        <x:f>'2022 Form20'!T133</x:f>
        <x:v>0.41471048513302033</x:v>
      </x:c>
      <x:c r="F184" t="n">
        <x:f>'2022 Form20'!U133</x:f>
        <x:v>236</x:v>
      </x:c>
      <x:c r="G184" t="n">
        <x:f>'2022 Form20'!V133</x:f>
        <x:v>29</x:v>
      </x:c>
      <x:c r="H184" s="52" t="n">
        <x:f>'2022 Form20'!W133</x:f>
        <x:v>0.04538341158059468</x:v>
      </x:c>
      <x:c r="I184" t="str">
        <x:v>AVTAR SINGH BHADANA</x:v>
      </x:c>
      <x:c r="J184" t="str">
        <x:v>Rashtriya Lok Dal</x:v>
      </x:c>
      <x:c r="K184" t="str">
        <x:v>EVM row</x:v>
      </x:c>
      <x:c r="L184" s="133" t="str">
        <x:f>IF(D184&lt;=0,"No EVM votes",IF(E184&lt;$N$7,"Low",IF(E184&gt;$R$7,"High","Middle")))</x:f>
        <x:v>High</x:v>
      </x:c>
      <x:c r="M184" s="133" t="str">
        <x:f>IF(D184&lt;=0,"No EVM votes",IF(H184&lt;-20%,"Large deficit",IF(H184&lt;-5%,"Moderate deficit",IF(H184&lt;0,"Narrow deficit",IF(H184&lt;=5%,"Narrow lead/tie",IF(H184&lt;=20%,"Moderate lead","Large lead"))))))</x:f>
        <x:v>Narrow lead/tie</x:v>
      </x:c>
    </x:row>
    <x:row r="185">
      <x:c r="A185" t="n">
        <x:v>126</x:v>
      </x:c>
      <x:c r="B185" t="str">
        <x:v>PRIMARY SCHOOL NAWADA ROOM NO 2</x:v>
      </x:c>
      <x:c r="C185" s="83" t="n">
        <x:f>'2022 Form20'!H134</x:f>
        <x:v>93</x:v>
      </x:c>
      <x:c r="D185" s="83" t="n">
        <x:f>'2022 Form20'!D134</x:f>
        <x:v>488</x:v>
      </x:c>
      <x:c r="E185" s="50" t="n">
        <x:f>'2022 Form20'!T134</x:f>
        <x:v>0.19057377049180327</x:v>
      </x:c>
      <x:c r="F185" t="n">
        <x:f>'2022 Form20'!U134</x:f>
        <x:v>206</x:v>
      </x:c>
      <x:c r="G185" t="n">
        <x:f>'2022 Form20'!V134</x:f>
        <x:v>-113</x:v>
      </x:c>
      <x:c r="H185" s="52" t="n">
        <x:f>'2022 Form20'!W134</x:f>
        <x:v>-0.23155737704918034</x:v>
      </x:c>
      <x:c r="I185" t="str">
        <x:v>NARENDER KUMAR</x:v>
      </x:c>
      <x:c r="J185" t="str">
        <x:v>Bahujan Samaj Party</x:v>
      </x:c>
      <x:c r="K185" t="str">
        <x:v>EVM row</x:v>
      </x:c>
      <x:c r="L185" s="133" t="str">
        <x:f>IF(D185&lt;=0,"No EVM votes",IF(E185&lt;$N$7,"Low",IF(E185&gt;$R$7,"High","Middle")))</x:f>
        <x:v>Middle</x:v>
      </x:c>
      <x:c r="M185" s="133" t="str">
        <x:f>IF(D185&lt;=0,"No EVM votes",IF(H185&lt;-20%,"Large deficit",IF(H185&lt;-5%,"Moderate deficit",IF(H185&lt;0,"Narrow deficit",IF(H185&lt;=5%,"Narrow lead/tie",IF(H185&lt;=20%,"Moderate lead","Large lead"))))))</x:f>
        <x:v>Large deficit</x:v>
      </x:c>
    </x:row>
    <x:row r="186">
      <x:c r="A186" t="n">
        <x:v>127</x:v>
      </x:c>
      <x:c r="B186" t="str">
        <x:v>PRIMARY SCHOOL NAWADA ROOM NO 3</x:v>
      </x:c>
      <x:c r="C186" s="83" t="n">
        <x:f>'2022 Form20'!H135</x:f>
        <x:v>210</x:v>
      </x:c>
      <x:c r="D186" s="83" t="n">
        <x:f>'2022 Form20'!D135</x:f>
        <x:v>619</x:v>
      </x:c>
      <x:c r="E186" s="50" t="n">
        <x:f>'2022 Form20'!T135</x:f>
        <x:v>0.3392568659127625</x:v>
      </x:c>
      <x:c r="F186" t="n">
        <x:f>'2022 Form20'!U135</x:f>
        <x:v>248</x:v>
      </x:c>
      <x:c r="G186" t="n">
        <x:f>'2022 Form20'!V135</x:f>
        <x:v>-38</x:v>
      </x:c>
      <x:c r="H186" s="52" t="n">
        <x:f>'2022 Form20'!W135</x:f>
        <x:v>-0.061389337641357025</x:v>
      </x:c>
      <x:c r="I186" t="str">
        <x:v>NARENDER KUMAR</x:v>
      </x:c>
      <x:c r="J186" t="str">
        <x:v>Bahujan Samaj Party</x:v>
      </x:c>
      <x:c r="K186" t="str">
        <x:v>EVM row</x:v>
      </x:c>
      <x:c r="L186" s="133" t="str">
        <x:f>IF(D186&lt;=0,"No EVM votes",IF(E186&lt;$N$7,"Low",IF(E186&gt;$R$7,"High","Middle")))</x:f>
        <x:v>Middle</x:v>
      </x:c>
      <x:c r="M186" s="133" t="str">
        <x:f>IF(D186&lt;=0,"No EVM votes",IF(H186&lt;-20%,"Large deficit",IF(H186&lt;-5%,"Moderate deficit",IF(H186&lt;0,"Narrow deficit",IF(H186&lt;=5%,"Narrow lead/tie",IF(H186&lt;=20%,"Moderate lead","Large lead"))))))</x:f>
        <x:v>Moderate deficit</x:v>
      </x:c>
    </x:row>
    <x:row r="187">
      <x:c r="A187" t="n">
        <x:v>128</x:v>
      </x:c>
      <x:c r="B187" t="str">
        <x:v>PRIMARY SCHOOL KANARSA MAJRA KANARSI ROOM NO 1</x:v>
      </x:c>
      <x:c r="C187" s="83" t="n">
        <x:f>'2022 Form20'!H136</x:f>
        <x:v>98</x:v>
      </x:c>
      <x:c r="D187" s="83" t="n">
        <x:f>'2022 Form20'!D136</x:f>
        <x:v>753</x:v>
      </x:c>
      <x:c r="E187" s="50" t="n">
        <x:f>'2022 Form20'!T136</x:f>
        <x:v>0.1301460823373174</x:v>
      </x:c>
      <x:c r="F187" t="n">
        <x:f>'2022 Form20'!U136</x:f>
        <x:v>477</x:v>
      </x:c>
      <x:c r="G187" t="n">
        <x:f>'2022 Form20'!V136</x:f>
        <x:v>-379</x:v>
      </x:c>
      <x:c r="H187" s="52" t="n">
        <x:f>'2022 Form20'!W136</x:f>
        <x:v>-0.5033200531208499</x:v>
      </x:c>
      <x:c r="I187" t="str">
        <x:v>NARENDER KUMAR</x:v>
      </x:c>
      <x:c r="J187" t="str">
        <x:v>Bahujan Samaj Party</x:v>
      </x:c>
      <x:c r="K187" t="str">
        <x:v>EVM row</x:v>
      </x:c>
      <x:c r="L187" s="133" t="str">
        <x:f>IF(D187&lt;=0,"No EVM votes",IF(E187&lt;$N$7,"Low",IF(E187&gt;$R$7,"High","Middle")))</x:f>
        <x:v>Middle</x:v>
      </x:c>
      <x:c r="M187" s="133" t="str">
        <x:f>IF(D187&lt;=0,"No EVM votes",IF(H187&lt;-20%,"Large deficit",IF(H187&lt;-5%,"Moderate deficit",IF(H187&lt;0,"Narrow deficit",IF(H187&lt;=5%,"Narrow lead/tie",IF(H187&lt;=20%,"Moderate lead","Large lead"))))))</x:f>
        <x:v>Large deficit</x:v>
      </x:c>
    </x:row>
    <x:row r="188">
      <x:c r="A188" t="n">
        <x:v>129</x:v>
      </x:c>
      <x:c r="B188" t="str">
        <x:v>PRIMARY SCHOOL KANARASI ROOM NO 1</x:v>
      </x:c>
      <x:c r="C188" s="83" t="n">
        <x:f>'2022 Form20'!H137</x:f>
        <x:v>196</x:v>
      </x:c>
      <x:c r="D188" s="83" t="n">
        <x:f>'2022 Form20'!D137</x:f>
        <x:v>671</x:v>
      </x:c>
      <x:c r="E188" s="50" t="n">
        <x:f>'2022 Form20'!T137</x:f>
        <x:v>0.29210134128166915</x:v>
      </x:c>
      <x:c r="F188" t="n">
        <x:f>'2022 Form20'!U137</x:f>
        <x:v>267</x:v>
      </x:c>
      <x:c r="G188" t="n">
        <x:f>'2022 Form20'!V137</x:f>
        <x:v>-71</x:v>
      </x:c>
      <x:c r="H188" s="52" t="n">
        <x:f>'2022 Form20'!W137</x:f>
        <x:v>-0.10581222056631892</x:v>
      </x:c>
      <x:c r="I188" t="str">
        <x:v>DHIRENDRA SINGH</x:v>
      </x:c>
      <x:c r="J188" t="str">
        <x:v>Bharatiya Janata Party</x:v>
      </x:c>
      <x:c r="K188" t="str">
        <x:v>EVM row</x:v>
      </x:c>
      <x:c r="L188" s="133" t="str">
        <x:f>IF(D188&lt;=0,"No EVM votes",IF(E188&lt;$N$7,"Low",IF(E188&gt;$R$7,"High","Middle")))</x:f>
        <x:v>Middle</x:v>
      </x:c>
      <x:c r="M188" s="133" t="str">
        <x:f>IF(D188&lt;=0,"No EVM votes",IF(H188&lt;-20%,"Large deficit",IF(H188&lt;-5%,"Moderate deficit",IF(H188&lt;0,"Narrow deficit",IF(H188&lt;=5%,"Narrow lead/tie",IF(H188&lt;=20%,"Moderate lead","Large lead"))))))</x:f>
        <x:v>Moderate deficit</x:v>
      </x:c>
    </x:row>
    <x:row r="189">
      <x:c r="A189" t="n">
        <x:v>130</x:v>
      </x:c>
      <x:c r="B189" t="str">
        <x:v>PRIMARY SCHOOL KANARASI ROOM NO 2</x:v>
      </x:c>
      <x:c r="C189" s="83" t="n">
        <x:f>'2022 Form20'!H138</x:f>
        <x:v>153</x:v>
      </x:c>
      <x:c r="D189" s="83" t="n">
        <x:f>'2022 Form20'!D138</x:f>
        <x:v>647</x:v>
      </x:c>
      <x:c r="E189" s="50" t="n">
        <x:f>'2022 Form20'!T138</x:f>
        <x:v>0.23647604327666152</x:v>
      </x:c>
      <x:c r="F189" t="n">
        <x:f>'2022 Form20'!U138</x:f>
        <x:v>288</x:v>
      </x:c>
      <x:c r="G189" t="n">
        <x:f>'2022 Form20'!V138</x:f>
        <x:v>-135</x:v>
      </x:c>
      <x:c r="H189" s="52" t="n">
        <x:f>'2022 Form20'!W138</x:f>
        <x:v>-0.20865533230293662</x:v>
      </x:c>
      <x:c r="I189" t="str">
        <x:v>DHIRENDRA SINGH</x:v>
      </x:c>
      <x:c r="J189" t="str">
        <x:v>Bharatiya Janata Party</x:v>
      </x:c>
      <x:c r="K189" t="str">
        <x:v>EVM row</x:v>
      </x:c>
      <x:c r="L189" s="133" t="str">
        <x:f>IF(D189&lt;=0,"No EVM votes",IF(E189&lt;$N$7,"Low",IF(E189&gt;$R$7,"High","Middle")))</x:f>
        <x:v>Middle</x:v>
      </x:c>
      <x:c r="M189" s="133" t="str">
        <x:f>IF(D189&lt;=0,"No EVM votes",IF(H189&lt;-20%,"Large deficit",IF(H189&lt;-5%,"Moderate deficit",IF(H189&lt;0,"Narrow deficit",IF(H189&lt;=5%,"Narrow lead/tie",IF(H189&lt;=20%,"Moderate lead","Large lead"))))))</x:f>
        <x:v>Large deficit</x:v>
      </x:c>
    </x:row>
    <x:row r="190">
      <x:c r="A190" t="n">
        <x:v>131</x:v>
      </x:c>
      <x:c r="B190" t="str">
        <x:v>PRIMARY SCHOOL JUNAIDPUR ROOM NO 1</x:v>
      </x:c>
      <x:c r="C190" s="83" t="n">
        <x:f>'2022 Form20'!H139</x:f>
        <x:v>253</x:v>
      </x:c>
      <x:c r="D190" s="83" t="n">
        <x:f>'2022 Form20'!D139</x:f>
        <x:v>560</x:v>
      </x:c>
      <x:c r="E190" s="50" t="n">
        <x:f>'2022 Form20'!T139</x:f>
        <x:v>0.4517857142857143</x:v>
      </x:c>
      <x:c r="F190" t="n">
        <x:f>'2022 Form20'!U139</x:f>
        <x:v>151</x:v>
      </x:c>
      <x:c r="G190" t="n">
        <x:f>'2022 Form20'!V139</x:f>
        <x:v>102</x:v>
      </x:c>
      <x:c r="H190" s="52" t="n">
        <x:f>'2022 Form20'!W139</x:f>
        <x:v>0.18214285714285713</x:v>
      </x:c>
      <x:c r="I190" t="str">
        <x:v>AVTAR SINGH BHADANA</x:v>
      </x:c>
      <x:c r="J190" t="str">
        <x:v>Rashtriya Lok Dal</x:v>
      </x:c>
      <x:c r="K190" t="str">
        <x:v>EVM row</x:v>
      </x:c>
      <x:c r="L190" s="133" t="str">
        <x:f>IF(D190&lt;=0,"No EVM votes",IF(E190&lt;$N$7,"Low",IF(E190&gt;$R$7,"High","Middle")))</x:f>
        <x:v>High</x:v>
      </x:c>
      <x:c r="M190" s="133" t="str">
        <x:f>IF(D190&lt;=0,"No EVM votes",IF(H190&lt;-20%,"Large deficit",IF(H190&lt;-5%,"Moderate deficit",IF(H190&lt;0,"Narrow deficit",IF(H190&lt;=5%,"Narrow lead/tie",IF(H190&lt;=20%,"Moderate lead","Large lead"))))))</x:f>
        <x:v>Moderate lead</x:v>
      </x:c>
    </x:row>
    <x:row r="191">
      <x:c r="A191" t="n">
        <x:v>132</x:v>
      </x:c>
      <x:c r="B191" t="str">
        <x:v>PRIMARY SCHOOL JUNAIDPUR ROOM NO 2</x:v>
      </x:c>
      <x:c r="C191" s="83" t="n">
        <x:f>'2022 Form20'!H140</x:f>
        <x:v>306</x:v>
      </x:c>
      <x:c r="D191" s="83" t="n">
        <x:f>'2022 Form20'!D140</x:f>
        <x:v>483</x:v>
      </x:c>
      <x:c r="E191" s="50" t="n">
        <x:f>'2022 Form20'!T140</x:f>
        <x:v>0.6335403726708074</x:v>
      </x:c>
      <x:c r="F191" t="n">
        <x:f>'2022 Form20'!U140</x:f>
        <x:v>103</x:v>
      </x:c>
      <x:c r="G191" t="n">
        <x:f>'2022 Form20'!V140</x:f>
        <x:v>203</x:v>
      </x:c>
      <x:c r="H191" s="52" t="n">
        <x:f>'2022 Form20'!W140</x:f>
        <x:v>0.42028985507246375</x:v>
      </x:c>
      <x:c r="I191" t="str">
        <x:v>AVTAR SINGH BHADANA</x:v>
      </x:c>
      <x:c r="J191" t="str">
        <x:v>Rashtriya Lok Dal</x:v>
      </x:c>
      <x:c r="K191" t="str">
        <x:v>EVM row</x:v>
      </x:c>
      <x:c r="L191" s="133" t="str">
        <x:f>IF(D191&lt;=0,"No EVM votes",IF(E191&lt;$N$7,"Low",IF(E191&gt;$R$7,"High","Middle")))</x:f>
        <x:v>High</x:v>
      </x:c>
      <x:c r="M191" s="133" t="str">
        <x:f>IF(D191&lt;=0,"No EVM votes",IF(H191&lt;-20%,"Large deficit",IF(H191&lt;-5%,"Moderate deficit",IF(H191&lt;0,"Narrow deficit",IF(H191&lt;=5%,"Narrow lead/tie",IF(H191&lt;=20%,"Moderate lead","Large lead"))))))</x:f>
        <x:v>Large lead</x:v>
      </x:c>
    </x:row>
    <x:row r="192">
      <x:c r="A192" t="n">
        <x:v>133</x:v>
      </x:c>
      <x:c r="B192" t="str">
        <x:v>PRIMARY SCHOOL CHACHULA ROOM NO 1</x:v>
      </x:c>
      <x:c r="C192" s="83" t="n">
        <x:f>'2022 Form20'!H141</x:f>
        <x:v>160</x:v>
      </x:c>
      <x:c r="D192" s="83" t="n">
        <x:f>'2022 Form20'!D141</x:f>
        <x:v>706</x:v>
      </x:c>
      <x:c r="E192" s="50" t="n">
        <x:f>'2022 Form20'!T141</x:f>
        <x:v>0.22662889518413598</x:v>
      </x:c>
      <x:c r="F192" t="n">
        <x:f>'2022 Form20'!U141</x:f>
        <x:v>393</x:v>
      </x:c>
      <x:c r="G192" t="n">
        <x:f>'2022 Form20'!V141</x:f>
        <x:v>-233</x:v>
      </x:c>
      <x:c r="H192" s="52" t="n">
        <x:f>'2022 Form20'!W141</x:f>
        <x:v>-0.330028328611898</x:v>
      </x:c>
      <x:c r="I192" t="str">
        <x:v>DHIRENDRA SINGH</x:v>
      </x:c>
      <x:c r="J192" t="str">
        <x:v>Bharatiya Janata Party</x:v>
      </x:c>
      <x:c r="K192" t="str">
        <x:v>EVM row</x:v>
      </x:c>
      <x:c r="L192" s="133" t="str">
        <x:f>IF(D192&lt;=0,"No EVM votes",IF(E192&lt;$N$7,"Low",IF(E192&gt;$R$7,"High","Middle")))</x:f>
        <x:v>Middle</x:v>
      </x:c>
      <x:c r="M192" s="133" t="str">
        <x:f>IF(D192&lt;=0,"No EVM votes",IF(H192&lt;-20%,"Large deficit",IF(H192&lt;-5%,"Moderate deficit",IF(H192&lt;0,"Narrow deficit",IF(H192&lt;=5%,"Narrow lead/tie",IF(H192&lt;=20%,"Moderate lead","Large lead"))))))</x:f>
        <x:v>Large deficit</x:v>
      </x:c>
    </x:row>
    <x:row r="193">
      <x:c r="A193" t="n">
        <x:v>134</x:v>
      </x:c>
      <x:c r="B193" t="str">
        <x:v>PRIMARY SCHOOL CHACHULA ROOM NO 2</x:v>
      </x:c>
      <x:c r="C193" s="83" t="n">
        <x:f>'2022 Form20'!H142</x:f>
        <x:v>161</x:v>
      </x:c>
      <x:c r="D193" s="83" t="n">
        <x:f>'2022 Form20'!D142</x:f>
        <x:v>520</x:v>
      </x:c>
      <x:c r="E193" s="50" t="n">
        <x:f>'2022 Form20'!T142</x:f>
        <x:v>0.3096153846153846</x:v>
      </x:c>
      <x:c r="F193" t="n">
        <x:f>'2022 Form20'!U142</x:f>
        <x:v>257</x:v>
      </x:c>
      <x:c r="G193" t="n">
        <x:f>'2022 Form20'!V142</x:f>
        <x:v>-96</x:v>
      </x:c>
      <x:c r="H193" s="52" t="n">
        <x:f>'2022 Form20'!W142</x:f>
        <x:v>-0.18461538461538463</x:v>
      </x:c>
      <x:c r="I193" t="str">
        <x:v>DHIRENDRA SINGH</x:v>
      </x:c>
      <x:c r="J193" t="str">
        <x:v>Bharatiya Janata Party</x:v>
      </x:c>
      <x:c r="K193" t="str">
        <x:v>EVM row</x:v>
      </x:c>
      <x:c r="L193" s="133" t="str">
        <x:f>IF(D193&lt;=0,"No EVM votes",IF(E193&lt;$N$7,"Low",IF(E193&gt;$R$7,"High","Middle")))</x:f>
        <x:v>Middle</x:v>
      </x:c>
      <x:c r="M193" s="133" t="str">
        <x:f>IF(D193&lt;=0,"No EVM votes",IF(H193&lt;-20%,"Large deficit",IF(H193&lt;-5%,"Moderate deficit",IF(H193&lt;0,"Narrow deficit",IF(H193&lt;=5%,"Narrow lead/tie",IF(H193&lt;=20%,"Moderate lead","Large lead"))))))</x:f>
        <x:v>Moderate deficit</x:v>
      </x:c>
    </x:row>
    <x:row r="194">
      <x:c r="A194" t="n">
        <x:v>135</x:v>
      </x:c>
      <x:c r="B194" t="str">
        <x:v>PRIMARY SCHOOL ROSHANPUR ROOM NO 1</x:v>
      </x:c>
      <x:c r="C194" s="83" t="n">
        <x:f>'2022 Form20'!H143</x:f>
        <x:v>32</x:v>
      </x:c>
      <x:c r="D194" s="83" t="n">
        <x:f>'2022 Form20'!D143</x:f>
        <x:v>567</x:v>
      </x:c>
      <x:c r="E194" s="50" t="n">
        <x:f>'2022 Form20'!T143</x:f>
        <x:v>0.0564373897707231</x:v>
      </x:c>
      <x:c r="F194" t="n">
        <x:f>'2022 Form20'!U143</x:f>
        <x:v>264</x:v>
      </x:c>
      <x:c r="G194" t="n">
        <x:f>'2022 Form20'!V143</x:f>
        <x:v>-232</x:v>
      </x:c>
      <x:c r="H194" s="52" t="n">
        <x:f>'2022 Form20'!W143</x:f>
        <x:v>-0.4091710758377425</x:v>
      </x:c>
      <x:c r="I194" t="str">
        <x:v>NARENDER KUMAR</x:v>
      </x:c>
      <x:c r="J194" t="str">
        <x:v>Bahujan Samaj Party</x:v>
      </x:c>
      <x:c r="K194" t="str">
        <x:v>EVM row</x:v>
      </x:c>
      <x:c r="L194" s="133" t="str">
        <x:f>IF(D194&lt;=0,"No EVM votes",IF(E194&lt;$N$7,"Low",IF(E194&gt;$R$7,"High","Middle")))</x:f>
        <x:v>Low</x:v>
      </x:c>
      <x:c r="M194" s="133" t="str">
        <x:f>IF(D194&lt;=0,"No EVM votes",IF(H194&lt;-20%,"Large deficit",IF(H194&lt;-5%,"Moderate deficit",IF(H194&lt;0,"Narrow deficit",IF(H194&lt;=5%,"Narrow lead/tie",IF(H194&lt;=20%,"Moderate lead","Large lead"))))))</x:f>
        <x:v>Large deficit</x:v>
      </x:c>
    </x:row>
    <x:row r="195">
      <x:c r="A195" t="n">
        <x:v>136</x:v>
      </x:c>
      <x:c r="B195" t="str">
        <x:v>PRIMARY SCHOOL DHANAURI ROOM NO 1</x:v>
      </x:c>
      <x:c r="C195" s="83" t="n">
        <x:f>'2022 Form20'!H144</x:f>
        <x:v>42</x:v>
      </x:c>
      <x:c r="D195" s="83" t="n">
        <x:f>'2022 Form20'!D144</x:f>
        <x:v>762</x:v>
      </x:c>
      <x:c r="E195" s="50" t="n">
        <x:f>'2022 Form20'!T144</x:f>
        <x:v>0.05511811023622047</x:v>
      </x:c>
      <x:c r="F195" t="n">
        <x:f>'2022 Form20'!U144</x:f>
        <x:v>490</x:v>
      </x:c>
      <x:c r="G195" t="n">
        <x:f>'2022 Form20'!V144</x:f>
        <x:v>-448</x:v>
      </x:c>
      <x:c r="H195" s="52" t="n">
        <x:f>'2022 Form20'!W144</x:f>
        <x:v>-0.5879265091863517</x:v>
      </x:c>
      <x:c r="I195" t="str">
        <x:v>DHIRENDRA SINGH</x:v>
      </x:c>
      <x:c r="J195" t="str">
        <x:v>Bharatiya Janata Party</x:v>
      </x:c>
      <x:c r="K195" t="str">
        <x:v>EVM row</x:v>
      </x:c>
      <x:c r="L195" s="133" t="str">
        <x:f>IF(D195&lt;=0,"No EVM votes",IF(E195&lt;$N$7,"Low",IF(E195&gt;$R$7,"High","Middle")))</x:f>
        <x:v>Low</x:v>
      </x:c>
      <x:c r="M195" s="133" t="str">
        <x:f>IF(D195&lt;=0,"No EVM votes",IF(H195&lt;-20%,"Large deficit",IF(H195&lt;-5%,"Moderate deficit",IF(H195&lt;0,"Narrow deficit",IF(H195&lt;=5%,"Narrow lead/tie",IF(H195&lt;=20%,"Moderate lead","Large lead"))))))</x:f>
        <x:v>Large deficit</x:v>
      </x:c>
    </x:row>
    <x:row r="196">
      <x:c r="A196" t="n">
        <x:v>137</x:v>
      </x:c>
      <x:c r="B196" t="str">
        <x:v>PRIMARY SCHOOL DHANAURI ROOM NO 2</x:v>
      </x:c>
      <x:c r="C196" s="83" t="n">
        <x:f>'2022 Form20'!H145</x:f>
        <x:v>46</x:v>
      </x:c>
      <x:c r="D196" s="83" t="n">
        <x:f>'2022 Form20'!D145</x:f>
        <x:v>516</x:v>
      </x:c>
      <x:c r="E196" s="50" t="n">
        <x:f>'2022 Form20'!T145</x:f>
        <x:v>0.08914728682170543</x:v>
      </x:c>
      <x:c r="F196" t="n">
        <x:f>'2022 Form20'!U145</x:f>
        <x:v>393</x:v>
      </x:c>
      <x:c r="G196" t="n">
        <x:f>'2022 Form20'!V145</x:f>
        <x:v>-347</x:v>
      </x:c>
      <x:c r="H196" s="52" t="n">
        <x:f>'2022 Form20'!W145</x:f>
        <x:v>-0.6724806201550387</x:v>
      </x:c>
      <x:c r="I196" t="str">
        <x:v>DHIRENDRA SINGH</x:v>
      </x:c>
      <x:c r="J196" t="str">
        <x:v>Bharatiya Janata Party</x:v>
      </x:c>
      <x:c r="K196" t="str">
        <x:v>EVM row</x:v>
      </x:c>
      <x:c r="L196" s="133" t="str">
        <x:f>IF(D196&lt;=0,"No EVM votes",IF(E196&lt;$N$7,"Low",IF(E196&gt;$R$7,"High","Middle")))</x:f>
        <x:v>Low</x:v>
      </x:c>
      <x:c r="M196" s="133" t="str">
        <x:f>IF(D196&lt;=0,"No EVM votes",IF(H196&lt;-20%,"Large deficit",IF(H196&lt;-5%,"Moderate deficit",IF(H196&lt;0,"Narrow deficit",IF(H196&lt;=5%,"Narrow lead/tie",IF(H196&lt;=20%,"Moderate lead","Large lead"))))))</x:f>
        <x:v>Large deficit</x:v>
      </x:c>
    </x:row>
    <x:row r="197">
      <x:c r="A197" t="n">
        <x:v>138</x:v>
      </x:c>
      <x:c r="B197" t="str">
        <x:v>SUNHARI LAL BALMUKUND INTER COLLEGE DHANAURI ROOM NO. 1</x:v>
      </x:c>
      <x:c r="C197" s="83" t="n">
        <x:f>'2022 Form20'!H146</x:f>
        <x:v>171</x:v>
      </x:c>
      <x:c r="D197" s="83" t="n">
        <x:f>'2022 Form20'!D146</x:f>
        <x:v>617</x:v>
      </x:c>
      <x:c r="E197" s="50" t="n">
        <x:f>'2022 Form20'!T146</x:f>
        <x:v>0.2771474878444084</x:v>
      </x:c>
      <x:c r="F197" t="n">
        <x:f>'2022 Form20'!U146</x:f>
        <x:v>244</x:v>
      </x:c>
      <x:c r="G197" t="n">
        <x:f>'2022 Form20'!V146</x:f>
        <x:v>-73</x:v>
      </x:c>
      <x:c r="H197" s="52" t="n">
        <x:f>'2022 Form20'!W146</x:f>
        <x:v>-0.11831442463533225</x:v>
      </x:c>
      <x:c r="I197" t="str">
        <x:v>DHIRENDRA SINGH</x:v>
      </x:c>
      <x:c r="J197" t="str">
        <x:v>Bharatiya Janata Party</x:v>
      </x:c>
      <x:c r="K197" t="str">
        <x:v>EVM row</x:v>
      </x:c>
      <x:c r="L197" s="133" t="str">
        <x:f>IF(D197&lt;=0,"No EVM votes",IF(E197&lt;$N$7,"Low",IF(E197&gt;$R$7,"High","Middle")))</x:f>
        <x:v>Middle</x:v>
      </x:c>
      <x:c r="M197" s="133" t="str">
        <x:f>IF(D197&lt;=0,"No EVM votes",IF(H197&lt;-20%,"Large deficit",IF(H197&lt;-5%,"Moderate deficit",IF(H197&lt;0,"Narrow deficit",IF(H197&lt;=5%,"Narrow lead/tie",IF(H197&lt;=20%,"Moderate lead","Large lead"))))))</x:f>
        <x:v>Moderate deficit</x:v>
      </x:c>
    </x:row>
    <x:row r="198">
      <x:c r="A198" t="n">
        <x:v>139</x:v>
      </x:c>
      <x:c r="B198" t="str">
        <x:v>SUNHARI LAL BALMUKUND INTER COLLEGE DHANAURI ROOM NO. 2</x:v>
      </x:c>
      <x:c r="C198" s="83" t="n">
        <x:f>'2022 Form20'!H147</x:f>
        <x:v>162</x:v>
      </x:c>
      <x:c r="D198" s="83" t="n">
        <x:f>'2022 Form20'!D147</x:f>
        <x:v>588</x:v>
      </x:c>
      <x:c r="E198" s="50" t="n">
        <x:f>'2022 Form20'!T147</x:f>
        <x:v>0.2755102040816326</x:v>
      </x:c>
      <x:c r="F198" t="n">
        <x:f>'2022 Form20'!U147</x:f>
        <x:v>334</x:v>
      </x:c>
      <x:c r="G198" t="n">
        <x:f>'2022 Form20'!V147</x:f>
        <x:v>-172</x:v>
      </x:c>
      <x:c r="H198" s="52" t="n">
        <x:f>'2022 Form20'!W147</x:f>
        <x:v>-0.2925170068027211</x:v>
      </x:c>
      <x:c r="I198" t="str">
        <x:v>DHIRENDRA SINGH</x:v>
      </x:c>
      <x:c r="J198" t="str">
        <x:v>Bharatiya Janata Party</x:v>
      </x:c>
      <x:c r="K198" t="str">
        <x:v>EVM row</x:v>
      </x:c>
      <x:c r="L198" s="133" t="str">
        <x:f>IF(D198&lt;=0,"No EVM votes",IF(E198&lt;$N$7,"Low",IF(E198&gt;$R$7,"High","Middle")))</x:f>
        <x:v>Middle</x:v>
      </x:c>
      <x:c r="M198" s="133" t="str">
        <x:f>IF(D198&lt;=0,"No EVM votes",IF(H198&lt;-20%,"Large deficit",IF(H198&lt;-5%,"Moderate deficit",IF(H198&lt;0,"Narrow deficit",IF(H198&lt;=5%,"Narrow lead/tie",IF(H198&lt;=20%,"Moderate lead","Large lead"))))))</x:f>
        <x:v>Large deficit</x:v>
      </x:c>
    </x:row>
    <x:row r="199">
      <x:c r="A199" t="n">
        <x:v>140</x:v>
      </x:c>
      <x:c r="B199" t="str">
        <x:v>PRIMARY SCHOOL, THASRANA ROOM NO. 1</x:v>
      </x:c>
      <x:c r="C199" s="83" t="n">
        <x:f>'2022 Form20'!H148</x:f>
        <x:v>47</x:v>
      </x:c>
      <x:c r="D199" s="83" t="n">
        <x:f>'2022 Form20'!D148</x:f>
        <x:v>800</x:v>
      </x:c>
      <x:c r="E199" s="50" t="n">
        <x:f>'2022 Form20'!T148</x:f>
        <x:v>0.05875</x:v>
      </x:c>
      <x:c r="F199" t="n">
        <x:f>'2022 Form20'!U148</x:f>
        <x:v>507</x:v>
      </x:c>
      <x:c r="G199" t="n">
        <x:f>'2022 Form20'!V148</x:f>
        <x:v>-460</x:v>
      </x:c>
      <x:c r="H199" s="52" t="n">
        <x:f>'2022 Form20'!W148</x:f>
        <x:v>-0.575</x:v>
      </x:c>
      <x:c r="I199" t="str">
        <x:v>DHIRENDRA SINGH</x:v>
      </x:c>
      <x:c r="J199" t="str">
        <x:v>Bharatiya Janata Party</x:v>
      </x:c>
      <x:c r="K199" t="str">
        <x:v>EVM row</x:v>
      </x:c>
      <x:c r="L199" s="133" t="str">
        <x:f>IF(D199&lt;=0,"No EVM votes",IF(E199&lt;$N$7,"Low",IF(E199&gt;$R$7,"High","Middle")))</x:f>
        <x:v>Low</x:v>
      </x:c>
      <x:c r="M199" s="133" t="str">
        <x:f>IF(D199&lt;=0,"No EVM votes",IF(H199&lt;-20%,"Large deficit",IF(H199&lt;-5%,"Moderate deficit",IF(H199&lt;0,"Narrow deficit",IF(H199&lt;=5%,"Narrow lead/tie",IF(H199&lt;=20%,"Moderate lead","Large lead"))))))</x:f>
        <x:v>Large deficit</x:v>
      </x:c>
    </x:row>
    <x:row r="200">
      <x:c r="A200" t="n">
        <x:v>141</x:v>
      </x:c>
      <x:c r="B200" t="str">
        <x:v>PRIMARY SCHOOL CHANGULI ROOM NO 1</x:v>
      </x:c>
      <x:c r="C200" s="83" t="n">
        <x:f>'2022 Form20'!H149</x:f>
        <x:v>73</x:v>
      </x:c>
      <x:c r="D200" s="83" t="n">
        <x:f>'2022 Form20'!D149</x:f>
        <x:v>534</x:v>
      </x:c>
      <x:c r="E200" s="50" t="n">
        <x:f>'2022 Form20'!T149</x:f>
        <x:v>0.13670411985018727</x:v>
      </x:c>
      <x:c r="F200" t="n">
        <x:f>'2022 Form20'!U149</x:f>
        <x:v>411</x:v>
      </x:c>
      <x:c r="G200" t="n">
        <x:f>'2022 Form20'!V149</x:f>
        <x:v>-338</x:v>
      </x:c>
      <x:c r="H200" s="52" t="n">
        <x:f>'2022 Form20'!W149</x:f>
        <x:v>-0.6329588014981273</x:v>
      </x:c>
      <x:c r="I200" t="str">
        <x:v>DHIRENDRA SINGH</x:v>
      </x:c>
      <x:c r="J200" t="str">
        <x:v>Bharatiya Janata Party</x:v>
      </x:c>
      <x:c r="K200" t="str">
        <x:v>EVM row</x:v>
      </x:c>
      <x:c r="L200" s="133" t="str">
        <x:f>IF(D200&lt;=0,"No EVM votes",IF(E200&lt;$N$7,"Low",IF(E200&gt;$R$7,"High","Middle")))</x:f>
        <x:v>Middle</x:v>
      </x:c>
      <x:c r="M200" s="133" t="str">
        <x:f>IF(D200&lt;=0,"No EVM votes",IF(H200&lt;-20%,"Large deficit",IF(H200&lt;-5%,"Moderate deficit",IF(H200&lt;0,"Narrow deficit",IF(H200&lt;=5%,"Narrow lead/tie",IF(H200&lt;=20%,"Moderate lead","Large lead"))))))</x:f>
        <x:v>Large deficit</x:v>
      </x:c>
    </x:row>
    <x:row r="201">
      <x:c r="A201" t="n">
        <x:v>142</x:v>
      </x:c>
      <x:c r="B201" t="str">
        <x:v>PRIMARY SCHOOL USMANPUR ROOM NO 1</x:v>
      </x:c>
      <x:c r="C201" s="83" t="n">
        <x:f>'2022 Form20'!H150</x:f>
        <x:v>304</x:v>
      </x:c>
      <x:c r="D201" s="83" t="n">
        <x:f>'2022 Form20'!D150</x:f>
        <x:v>707</x:v>
      </x:c>
      <x:c r="E201" s="50" t="n">
        <x:f>'2022 Form20'!T150</x:f>
        <x:v>0.42998585572843</x:v>
      </x:c>
      <x:c r="F201" t="n">
        <x:f>'2022 Form20'!U150</x:f>
        <x:v>294</x:v>
      </x:c>
      <x:c r="G201" t="n">
        <x:f>'2022 Form20'!V150</x:f>
        <x:v>10</x:v>
      </x:c>
      <x:c r="H201" s="52" t="n">
        <x:f>'2022 Form20'!W150</x:f>
        <x:v>0.014144271570014143</x:v>
      </x:c>
      <x:c r="I201" t="str">
        <x:v>AVTAR SINGH BHADANA</x:v>
      </x:c>
      <x:c r="J201" t="str">
        <x:v>Rashtriya Lok Dal</x:v>
      </x:c>
      <x:c r="K201" t="str">
        <x:v>EVM row</x:v>
      </x:c>
      <x:c r="L201" s="133" t="str">
        <x:f>IF(D201&lt;=0,"No EVM votes",IF(E201&lt;$N$7,"Low",IF(E201&gt;$R$7,"High","Middle")))</x:f>
        <x:v>High</x:v>
      </x:c>
      <x:c r="M201" s="133" t="str">
        <x:f>IF(D201&lt;=0,"No EVM votes",IF(H201&lt;-20%,"Large deficit",IF(H201&lt;-5%,"Moderate deficit",IF(H201&lt;0,"Narrow deficit",IF(H201&lt;=5%,"Narrow lead/tie",IF(H201&lt;=20%,"Moderate lead","Large lead"))))))</x:f>
        <x:v>Narrow lead/tie</x:v>
      </x:c>
    </x:row>
    <x:row r="202">
      <x:c r="A202" t="n">
        <x:v>143</x:v>
      </x:c>
      <x:c r="B202" t="str">
        <x:v>PRIMARY SCHOOL USMANPUR ROOM NO 2</x:v>
      </x:c>
      <x:c r="C202" s="83" t="n">
        <x:f>'2022 Form20'!H151</x:f>
        <x:v>616</x:v>
      </x:c>
      <x:c r="D202" s="83" t="n">
        <x:f>'2022 Form20'!D151</x:f>
        <x:v>914</x:v>
      </x:c>
      <x:c r="E202" s="50" t="n">
        <x:f>'2022 Form20'!T151</x:f>
        <x:v>0.6739606126914661</x:v>
      </x:c>
      <x:c r="F202" t="n">
        <x:f>'2022 Form20'!U151</x:f>
        <x:v>180</x:v>
      </x:c>
      <x:c r="G202" t="n">
        <x:f>'2022 Form20'!V151</x:f>
        <x:v>436</x:v>
      </x:c>
      <x:c r="H202" s="52" t="n">
        <x:f>'2022 Form20'!W151</x:f>
        <x:v>0.47702407002188185</x:v>
      </x:c>
      <x:c r="I202" t="str">
        <x:v>AVTAR SINGH BHADANA</x:v>
      </x:c>
      <x:c r="J202" t="str">
        <x:v>Rashtriya Lok Dal</x:v>
      </x:c>
      <x:c r="K202" t="str">
        <x:v>EVM row</x:v>
      </x:c>
      <x:c r="L202" s="133" t="str">
        <x:f>IF(D202&lt;=0,"No EVM votes",IF(E202&lt;$N$7,"Low",IF(E202&gt;$R$7,"High","Middle")))</x:f>
        <x:v>High</x:v>
      </x:c>
      <x:c r="M202" s="133" t="str">
        <x:f>IF(D202&lt;=0,"No EVM votes",IF(H202&lt;-20%,"Large deficit",IF(H202&lt;-5%,"Moderate deficit",IF(H202&lt;0,"Narrow deficit",IF(H202&lt;=5%,"Narrow lead/tie",IF(H202&lt;=20%,"Moderate lead","Large lead"))))))</x:f>
        <x:v>Large lead</x:v>
      </x:c>
    </x:row>
    <x:row r="203">
      <x:c r="A203" t="n">
        <x:v>144</x:v>
      </x:c>
      <x:c r="B203" t="str">
        <x:v>PRIMARY SCHOOL MUTAINA ROOM NO 1</x:v>
      </x:c>
      <x:c r="C203" s="83" t="n">
        <x:f>'2022 Form20'!H152</x:f>
        <x:v>139</x:v>
      </x:c>
      <x:c r="D203" s="83" t="n">
        <x:f>'2022 Form20'!D152</x:f>
        <x:v>688</x:v>
      </x:c>
      <x:c r="E203" s="50" t="n">
        <x:f>'2022 Form20'!T152</x:f>
        <x:v>0.20203488372093023</x:v>
      </x:c>
      <x:c r="F203" t="n">
        <x:f>'2022 Form20'!U152</x:f>
        <x:v>432</x:v>
      </x:c>
      <x:c r="G203" t="n">
        <x:f>'2022 Form20'!V152</x:f>
        <x:v>-293</x:v>
      </x:c>
      <x:c r="H203" s="52" t="n">
        <x:f>'2022 Form20'!W152</x:f>
        <x:v>-0.4258720930232558</x:v>
      </x:c>
      <x:c r="I203" t="str">
        <x:v>DHIRENDRA SINGH</x:v>
      </x:c>
      <x:c r="J203" t="str">
        <x:v>Bharatiya Janata Party</x:v>
      </x:c>
      <x:c r="K203" t="str">
        <x:v>EVM row</x:v>
      </x:c>
      <x:c r="L203" s="133" t="str">
        <x:f>IF(D203&lt;=0,"No EVM votes",IF(E203&lt;$N$7,"Low",IF(E203&gt;$R$7,"High","Middle")))</x:f>
        <x:v>Middle</x:v>
      </x:c>
      <x:c r="M203" s="133" t="str">
        <x:f>IF(D203&lt;=0,"No EVM votes",IF(H203&lt;-20%,"Large deficit",IF(H203&lt;-5%,"Moderate deficit",IF(H203&lt;0,"Narrow deficit",IF(H203&lt;=5%,"Narrow lead/tie",IF(H203&lt;=20%,"Moderate lead","Large lead"))))))</x:f>
        <x:v>Large deficit</x:v>
      </x:c>
    </x:row>
    <x:row r="204">
      <x:c r="A204" t="n">
        <x:v>145</x:v>
      </x:c>
      <x:c r="B204" t="str">
        <x:v>KISAN INTER COLLEGE PARSAUL ROOM NO 1</x:v>
      </x:c>
      <x:c r="C204" s="83" t="n">
        <x:f>'2022 Form20'!H153</x:f>
        <x:v>206</x:v>
      </x:c>
      <x:c r="D204" s="83" t="n">
        <x:f>'2022 Form20'!D153</x:f>
        <x:v>609</x:v>
      </x:c>
      <x:c r="E204" s="50" t="n">
        <x:f>'2022 Form20'!T153</x:f>
        <x:v>0.33825944170771755</x:v>
      </x:c>
      <x:c r="F204" t="n">
        <x:f>'2022 Form20'!U153</x:f>
        <x:v>382</x:v>
      </x:c>
      <x:c r="G204" t="n">
        <x:f>'2022 Form20'!V153</x:f>
        <x:v>-176</x:v>
      </x:c>
      <x:c r="H204" s="52" t="n">
        <x:f>'2022 Form20'!W153</x:f>
        <x:v>-0.2889983579638752</x:v>
      </x:c>
      <x:c r="I204" t="str">
        <x:v>DHIRENDRA SINGH</x:v>
      </x:c>
      <x:c r="J204" t="str">
        <x:v>Bharatiya Janata Party</x:v>
      </x:c>
      <x:c r="K204" t="str">
        <x:v>EVM row</x:v>
      </x:c>
      <x:c r="L204" s="133" t="str">
        <x:f>IF(D204&lt;=0,"No EVM votes",IF(E204&lt;$N$7,"Low",IF(E204&gt;$R$7,"High","Middle")))</x:f>
        <x:v>Middle</x:v>
      </x:c>
      <x:c r="M204" s="133" t="str">
        <x:f>IF(D204&lt;=0,"No EVM votes",IF(H204&lt;-20%,"Large deficit",IF(H204&lt;-5%,"Moderate deficit",IF(H204&lt;0,"Narrow deficit",IF(H204&lt;=5%,"Narrow lead/tie",IF(H204&lt;=20%,"Moderate lead","Large lead"))))))</x:f>
        <x:v>Large deficit</x:v>
      </x:c>
    </x:row>
    <x:row r="205">
      <x:c r="A205" t="n">
        <x:v>146</x:v>
      </x:c>
      <x:c r="B205" t="str">
        <x:v>KISAN INTER COLLEGE PARSAUL ROOM NO 2</x:v>
      </x:c>
      <x:c r="C205" s="83" t="n">
        <x:f>'2022 Form20'!H154</x:f>
        <x:v>204</x:v>
      </x:c>
      <x:c r="D205" s="83" t="n">
        <x:f>'2022 Form20'!D154</x:f>
        <x:v>619</x:v>
      </x:c>
      <x:c r="E205" s="50" t="n">
        <x:f>'2022 Form20'!T154</x:f>
        <x:v>0.3295638126009693</x:v>
      </x:c>
      <x:c r="F205" t="n">
        <x:f>'2022 Form20'!U154</x:f>
        <x:v>310</x:v>
      </x:c>
      <x:c r="G205" t="n">
        <x:f>'2022 Form20'!V154</x:f>
        <x:v>-106</x:v>
      </x:c>
      <x:c r="H205" s="52" t="n">
        <x:f>'2022 Form20'!W154</x:f>
        <x:v>-0.17124394184168013</x:v>
      </x:c>
      <x:c r="I205" t="str">
        <x:v>DHIRENDRA SINGH</x:v>
      </x:c>
      <x:c r="J205" t="str">
        <x:v>Bharatiya Janata Party</x:v>
      </x:c>
      <x:c r="K205" t="str">
        <x:v>EVM row</x:v>
      </x:c>
      <x:c r="L205" s="133" t="str">
        <x:f>IF(D205&lt;=0,"No EVM votes",IF(E205&lt;$N$7,"Low",IF(E205&gt;$R$7,"High","Middle")))</x:f>
        <x:v>Middle</x:v>
      </x:c>
      <x:c r="M205" s="133" t="str">
        <x:f>IF(D205&lt;=0,"No EVM votes",IF(H205&lt;-20%,"Large deficit",IF(H205&lt;-5%,"Moderate deficit",IF(H205&lt;0,"Narrow deficit",IF(H205&lt;=5%,"Narrow lead/tie",IF(H205&lt;=20%,"Moderate lead","Large lead"))))))</x:f>
        <x:v>Moderate deficit</x:v>
      </x:c>
    </x:row>
    <x:row r="206">
      <x:c r="A206" t="n">
        <x:v>147</x:v>
      </x:c>
      <x:c r="B206" t="str">
        <x:v>KISAN INTER COLLEGE PARSAUL ROOM NO 3</x:v>
      </x:c>
      <x:c r="C206" s="83" t="n">
        <x:f>'2022 Form20'!H155</x:f>
        <x:v>148</x:v>
      </x:c>
      <x:c r="D206" s="83" t="n">
        <x:f>'2022 Form20'!D155</x:f>
        <x:v>491</x:v>
      </x:c>
      <x:c r="E206" s="50" t="n">
        <x:f>'2022 Form20'!T155</x:f>
        <x:v>0.3014256619144603</x:v>
      </x:c>
      <x:c r="F206" t="n">
        <x:f>'2022 Form20'!U155</x:f>
        <x:v>247</x:v>
      </x:c>
      <x:c r="G206" t="n">
        <x:f>'2022 Form20'!V155</x:f>
        <x:v>-99</x:v>
      </x:c>
      <x:c r="H206" s="52" t="n">
        <x:f>'2022 Form20'!W155</x:f>
        <x:v>-0.20162932790224034</x:v>
      </x:c>
      <x:c r="I206" t="str">
        <x:v>DHIRENDRA SINGH</x:v>
      </x:c>
      <x:c r="J206" t="str">
        <x:v>Bharatiya Janata Party</x:v>
      </x:c>
      <x:c r="K206" t="str">
        <x:v>EVM row</x:v>
      </x:c>
      <x:c r="L206" s="133" t="str">
        <x:f>IF(D206&lt;=0,"No EVM votes",IF(E206&lt;$N$7,"Low",IF(E206&gt;$R$7,"High","Middle")))</x:f>
        <x:v>Middle</x:v>
      </x:c>
      <x:c r="M206" s="133" t="str">
        <x:f>IF(D206&lt;=0,"No EVM votes",IF(H206&lt;-20%,"Large deficit",IF(H206&lt;-5%,"Moderate deficit",IF(H206&lt;0,"Narrow deficit",IF(H206&lt;=5%,"Narrow lead/tie",IF(H206&lt;=20%,"Moderate lead","Large lead"))))))</x:f>
        <x:v>Large deficit</x:v>
      </x:c>
    </x:row>
    <x:row r="207">
      <x:c r="A207" t="n">
        <x:v>148</x:v>
      </x:c>
      <x:c r="B207" t="str">
        <x:v>KISAN INTER COLLEGE PARSAUL ROOM NO 4</x:v>
      </x:c>
      <x:c r="C207" s="83" t="n">
        <x:f>'2022 Form20'!H156</x:f>
        <x:v>130</x:v>
      </x:c>
      <x:c r="D207" s="83" t="n">
        <x:f>'2022 Form20'!D156</x:f>
        <x:v>461</x:v>
      </x:c>
      <x:c r="E207" s="50" t="n">
        <x:f>'2022 Form20'!T156</x:f>
        <x:v>0.28199566160520606</x:v>
      </x:c>
      <x:c r="F207" t="n">
        <x:f>'2022 Form20'!U156</x:f>
        <x:v>224</x:v>
      </x:c>
      <x:c r="G207" t="n">
        <x:f>'2022 Form20'!V156</x:f>
        <x:v>-94</x:v>
      </x:c>
      <x:c r="H207" s="52" t="n">
        <x:f>'2022 Form20'!W156</x:f>
        <x:v>-0.2039045553145336</x:v>
      </x:c>
      <x:c r="I207" t="str">
        <x:v>DHIRENDRA SINGH</x:v>
      </x:c>
      <x:c r="J207" t="str">
        <x:v>Bharatiya Janata Party</x:v>
      </x:c>
      <x:c r="K207" t="str">
        <x:v>EVM row</x:v>
      </x:c>
      <x:c r="L207" s="133" t="str">
        <x:f>IF(D207&lt;=0,"No EVM votes",IF(E207&lt;$N$7,"Low",IF(E207&gt;$R$7,"High","Middle")))</x:f>
        <x:v>Middle</x:v>
      </x:c>
      <x:c r="M207" s="133" t="str">
        <x:f>IF(D207&lt;=0,"No EVM votes",IF(H207&lt;-20%,"Large deficit",IF(H207&lt;-5%,"Moderate deficit",IF(H207&lt;0,"Narrow deficit",IF(H207&lt;=5%,"Narrow lead/tie",IF(H207&lt;=20%,"Moderate lead","Large lead"))))))</x:f>
        <x:v>Large deficit</x:v>
      </x:c>
    </x:row>
    <x:row r="208">
      <x:c r="A208" t="n">
        <x:v>149</x:v>
      </x:c>
      <x:c r="B208" t="str">
        <x:v>PRIMARY SCHOOL AACHEPUR R. NO 1</x:v>
      </x:c>
      <x:c r="C208" s="83" t="n">
        <x:f>'2022 Form20'!H157</x:f>
        <x:v>19</x:v>
      </x:c>
      <x:c r="D208" s="83" t="n">
        <x:f>'2022 Form20'!D157</x:f>
        <x:v>578</x:v>
      </x:c>
      <x:c r="E208" s="50" t="n">
        <x:f>'2022 Form20'!T157</x:f>
        <x:v>0.0328719723183391</x:v>
      </x:c>
      <x:c r="F208" t="n">
        <x:f>'2022 Form20'!U157</x:f>
        <x:v>528</x:v>
      </x:c>
      <x:c r="G208" t="n">
        <x:f>'2022 Form20'!V157</x:f>
        <x:v>-509</x:v>
      </x:c>
      <x:c r="H208" s="52" t="n">
        <x:f>'2022 Form20'!W157</x:f>
        <x:v>-0.8806228373702422</x:v>
      </x:c>
      <x:c r="I208" t="str">
        <x:v>DHIRENDRA SINGH</x:v>
      </x:c>
      <x:c r="J208" t="str">
        <x:v>Bharatiya Janata Party</x:v>
      </x:c>
      <x:c r="K208" t="str">
        <x:v>EVM row</x:v>
      </x:c>
      <x:c r="L208" s="133" t="str">
        <x:f>IF(D208&lt;=0,"No EVM votes",IF(E208&lt;$N$7,"Low",IF(E208&gt;$R$7,"High","Middle")))</x:f>
        <x:v>Low</x:v>
      </x:c>
      <x:c r="M208" s="133" t="str">
        <x:f>IF(D208&lt;=0,"No EVM votes",IF(H208&lt;-20%,"Large deficit",IF(H208&lt;-5%,"Moderate deficit",IF(H208&lt;0,"Narrow deficit",IF(H208&lt;=5%,"Narrow lead/tie",IF(H208&lt;=20%,"Moderate lead","Large lead"))))))</x:f>
        <x:v>Large deficit</x:v>
      </x:c>
    </x:row>
    <x:row r="209">
      <x:c r="A209" t="n">
        <x:v>150</x:v>
      </x:c>
      <x:c r="B209" t="str">
        <x:v>PRIMARY SCHOOL AACHEPUR R. NO 2</x:v>
      </x:c>
      <x:c r="C209" s="83" t="n">
        <x:f>'2022 Form20'!H158</x:f>
        <x:v>28</x:v>
      </x:c>
      <x:c r="D209" s="83" t="n">
        <x:f>'2022 Form20'!D158</x:f>
        <x:v>552</x:v>
      </x:c>
      <x:c r="E209" s="50" t="n">
        <x:f>'2022 Form20'!T158</x:f>
        <x:v>0.050724637681159424</x:v>
      </x:c>
      <x:c r="F209" t="n">
        <x:f>'2022 Form20'!U158</x:f>
        <x:v>483</x:v>
      </x:c>
      <x:c r="G209" t="n">
        <x:f>'2022 Form20'!V158</x:f>
        <x:v>-455</x:v>
      </x:c>
      <x:c r="H209" s="52" t="n">
        <x:f>'2022 Form20'!W158</x:f>
        <x:v>-0.8242753623188406</x:v>
      </x:c>
      <x:c r="I209" t="str">
        <x:v>DHIRENDRA SINGH</x:v>
      </x:c>
      <x:c r="J209" t="str">
        <x:v>Bharatiya Janata Party</x:v>
      </x:c>
      <x:c r="K209" t="str">
        <x:v>EVM row</x:v>
      </x:c>
      <x:c r="L209" s="133" t="str">
        <x:f>IF(D209&lt;=0,"No EVM votes",IF(E209&lt;$N$7,"Low",IF(E209&gt;$R$7,"High","Middle")))</x:f>
        <x:v>Low</x:v>
      </x:c>
      <x:c r="M209" s="133" t="str">
        <x:f>IF(D209&lt;=0,"No EVM votes",IF(H209&lt;-20%,"Large deficit",IF(H209&lt;-5%,"Moderate deficit",IF(H209&lt;0,"Narrow deficit",IF(H209&lt;=5%,"Narrow lead/tie",IF(H209&lt;=20%,"Moderate lead","Large lead"))))))</x:f>
        <x:v>Large deficit</x:v>
      </x:c>
    </x:row>
    <x:row r="210">
      <x:c r="A210" t="n">
        <x:v>151</x:v>
      </x:c>
      <x:c r="B210" t="str">
        <x:v>PRIMARY SCHOOL CHANDPUR ROOM NO 1</x:v>
      </x:c>
      <x:c r="C210" s="83" t="n">
        <x:f>'2022 Form20'!H159</x:f>
        <x:v>17</x:v>
      </x:c>
      <x:c r="D210" s="83" t="n">
        <x:f>'2022 Form20'!D159</x:f>
        <x:v>599</x:v>
      </x:c>
      <x:c r="E210" s="50" t="n">
        <x:f>'2022 Form20'!T159</x:f>
        <x:v>0.028380634390651086</x:v>
      </x:c>
      <x:c r="F210" t="n">
        <x:f>'2022 Form20'!U159</x:f>
        <x:v>493</x:v>
      </x:c>
      <x:c r="G210" t="n">
        <x:f>'2022 Form20'!V159</x:f>
        <x:v>-476</x:v>
      </x:c>
      <x:c r="H210" s="52" t="n">
        <x:f>'2022 Form20'!W159</x:f>
        <x:v>-0.7946577629382304</x:v>
      </x:c>
      <x:c r="I210" t="str">
        <x:v>DHIRENDRA SINGH</x:v>
      </x:c>
      <x:c r="J210" t="str">
        <x:v>Bharatiya Janata Party</x:v>
      </x:c>
      <x:c r="K210" t="str">
        <x:v>EVM row</x:v>
      </x:c>
      <x:c r="L210" s="133" t="str">
        <x:f>IF(D210&lt;=0,"No EVM votes",IF(E210&lt;$N$7,"Low",IF(E210&gt;$R$7,"High","Middle")))</x:f>
        <x:v>Low</x:v>
      </x:c>
      <x:c r="M210" s="133" t="str">
        <x:f>IF(D210&lt;=0,"No EVM votes",IF(H210&lt;-20%,"Large deficit",IF(H210&lt;-5%,"Moderate deficit",IF(H210&lt;0,"Narrow deficit",IF(H210&lt;=5%,"Narrow lead/tie",IF(H210&lt;=20%,"Moderate lead","Large lead"))))))</x:f>
        <x:v>Large deficit</x:v>
      </x:c>
    </x:row>
    <x:row r="211">
      <x:c r="A211" t="n">
        <x:v>152</x:v>
      </x:c>
      <x:c r="B211" t="str">
        <x:v>PRIMARY SCHOOL NILAUNI ROOM NO. 1</x:v>
      </x:c>
      <x:c r="C211" s="83" t="n">
        <x:f>'2022 Form20'!H160</x:f>
        <x:v>126</x:v>
      </x:c>
      <x:c r="D211" s="83" t="n">
        <x:f>'2022 Form20'!D160</x:f>
        <x:v>633</x:v>
      </x:c>
      <x:c r="E211" s="50" t="n">
        <x:f>'2022 Form20'!T160</x:f>
        <x:v>0.1990521327014218</x:v>
      </x:c>
      <x:c r="F211" t="n">
        <x:f>'2022 Form20'!U160</x:f>
        <x:v>304</x:v>
      </x:c>
      <x:c r="G211" t="n">
        <x:f>'2022 Form20'!V160</x:f>
        <x:v>-178</x:v>
      </x:c>
      <x:c r="H211" s="52" t="n">
        <x:f>'2022 Form20'!W160</x:f>
        <x:v>-0.2812006319115324</x:v>
      </x:c>
      <x:c r="I211" t="str">
        <x:v>DHIRENDRA SINGH</x:v>
      </x:c>
      <x:c r="J211" t="str">
        <x:v>Bharatiya Janata Party</x:v>
      </x:c>
      <x:c r="K211" t="str">
        <x:v>EVM row</x:v>
      </x:c>
      <x:c r="L211" s="133" t="str">
        <x:f>IF(D211&lt;=0,"No EVM votes",IF(E211&lt;$N$7,"Low",IF(E211&gt;$R$7,"High","Middle")))</x:f>
        <x:v>Middle</x:v>
      </x:c>
      <x:c r="M211" s="133" t="str">
        <x:f>IF(D211&lt;=0,"No EVM votes",IF(H211&lt;-20%,"Large deficit",IF(H211&lt;-5%,"Moderate deficit",IF(H211&lt;0,"Narrow deficit",IF(H211&lt;=5%,"Narrow lead/tie",IF(H211&lt;=20%,"Moderate lead","Large lead"))))))</x:f>
        <x:v>Large deficit</x:v>
      </x:c>
    </x:row>
    <x:row r="212">
      <x:c r="A212" t="n">
        <x:v>153</x:v>
      </x:c>
      <x:c r="B212" t="str">
        <x:v>PRIMARY SCHOOL NILAUNI ROOM NO. 2</x:v>
      </x:c>
      <x:c r="C212" s="83" t="n">
        <x:f>'2022 Form20'!H161</x:f>
        <x:v>112</x:v>
      </x:c>
      <x:c r="D212" s="83" t="n">
        <x:f>'2022 Form20'!D161</x:f>
        <x:v>624</x:v>
      </x:c>
      <x:c r="E212" s="50" t="n">
        <x:f>'2022 Form20'!T161</x:f>
        <x:v>0.1794871794871795</x:v>
      </x:c>
      <x:c r="F212" t="n">
        <x:f>'2022 Form20'!U161</x:f>
        <x:v>383</x:v>
      </x:c>
      <x:c r="G212" t="n">
        <x:f>'2022 Form20'!V161</x:f>
        <x:v>-271</x:v>
      </x:c>
      <x:c r="H212" s="52" t="n">
        <x:f>'2022 Form20'!W161</x:f>
        <x:v>-0.4342948717948718</x:v>
      </x:c>
      <x:c r="I212" t="str">
        <x:v>DHIRENDRA SINGH</x:v>
      </x:c>
      <x:c r="J212" t="str">
        <x:v>Bharatiya Janata Party</x:v>
      </x:c>
      <x:c r="K212" t="str">
        <x:v>EVM row</x:v>
      </x:c>
      <x:c r="L212" s="133" t="str">
        <x:f>IF(D212&lt;=0,"No EVM votes",IF(E212&lt;$N$7,"Low",IF(E212&gt;$R$7,"High","Middle")))</x:f>
        <x:v>Middle</x:v>
      </x:c>
      <x:c r="M212" s="133" t="str">
        <x:f>IF(D212&lt;=0,"No EVM votes",IF(H212&lt;-20%,"Large deficit",IF(H212&lt;-5%,"Moderate deficit",IF(H212&lt;0,"Narrow deficit",IF(H212&lt;=5%,"Narrow lead/tie",IF(H212&lt;=20%,"Moderate lead","Large lead"))))))</x:f>
        <x:v>Large deficit</x:v>
      </x:c>
    </x:row>
    <x:row r="213">
      <x:c r="A213" t="n">
        <x:v>154</x:v>
      </x:c>
      <x:c r="B213" t="str">
        <x:v>PRIMARY SCHOOL SHAHPUR ROOM NO 1</x:v>
      </x:c>
      <x:c r="C213" s="83" t="n">
        <x:f>'2022 Form20'!H162</x:f>
        <x:v>44</x:v>
      </x:c>
      <x:c r="D213" s="83" t="n">
        <x:f>'2022 Form20'!D162</x:f>
        <x:v>429</x:v>
      </x:c>
      <x:c r="E213" s="50" t="n">
        <x:f>'2022 Form20'!T162</x:f>
        <x:v>0.10256410256410256</x:v>
      </x:c>
      <x:c r="F213" t="n">
        <x:f>'2022 Form20'!U162</x:f>
        <x:v>198</x:v>
      </x:c>
      <x:c r="G213" t="n">
        <x:f>'2022 Form20'!V162</x:f>
        <x:v>-154</x:v>
      </x:c>
      <x:c r="H213" s="52" t="n">
        <x:f>'2022 Form20'!W162</x:f>
        <x:v>-0.358974358974359</x:v>
      </x:c>
      <x:c r="I213" t="str">
        <x:v>DHIRENDRA SINGH</x:v>
      </x:c>
      <x:c r="J213" t="str">
        <x:v>Bharatiya Janata Party</x:v>
      </x:c>
      <x:c r="K213" t="str">
        <x:v>EVM row</x:v>
      </x:c>
      <x:c r="L213" s="133" t="str">
        <x:f>IF(D213&lt;=0,"No EVM votes",IF(E213&lt;$N$7,"Low",IF(E213&gt;$R$7,"High","Middle")))</x:f>
        <x:v>Middle</x:v>
      </x:c>
      <x:c r="M213" s="133" t="str">
        <x:f>IF(D213&lt;=0,"No EVM votes",IF(H213&lt;-20%,"Large deficit",IF(H213&lt;-5%,"Moderate deficit",IF(H213&lt;0,"Narrow deficit",IF(H213&lt;=5%,"Narrow lead/tie",IF(H213&lt;=20%,"Moderate lead","Large lead"))))))</x:f>
        <x:v>Large deficit</x:v>
      </x:c>
    </x:row>
    <x:row r="214">
      <x:c r="A214" t="n">
        <x:v>155</x:v>
      </x:c>
      <x:c r="B214" t="str">
        <x:v>PRIMARY SCHOOL MIRZAPUR ROOM NO 1</x:v>
      </x:c>
      <x:c r="C214" s="83" t="n">
        <x:f>'2022 Form20'!H163</x:f>
        <x:v>71</x:v>
      </x:c>
      <x:c r="D214" s="83" t="n">
        <x:f>'2022 Form20'!D163</x:f>
        <x:v>576</x:v>
      </x:c>
      <x:c r="E214" s="50" t="n">
        <x:f>'2022 Form20'!T163</x:f>
        <x:v>0.1232638888888889</x:v>
      </x:c>
      <x:c r="F214" t="n">
        <x:f>'2022 Form20'!U163</x:f>
        <x:v>408</x:v>
      </x:c>
      <x:c r="G214" t="n">
        <x:f>'2022 Form20'!V163</x:f>
        <x:v>-337</x:v>
      </x:c>
      <x:c r="H214" s="52" t="n">
        <x:f>'2022 Form20'!W163</x:f>
        <x:v>-0.5850694444444444</x:v>
      </x:c>
      <x:c r="I214" t="str">
        <x:v>DHIRENDRA SINGH</x:v>
      </x:c>
      <x:c r="J214" t="str">
        <x:v>Bharatiya Janata Party</x:v>
      </x:c>
      <x:c r="K214" t="str">
        <x:v>EVM row</x:v>
      </x:c>
      <x:c r="L214" s="133" t="str">
        <x:f>IF(D214&lt;=0,"No EVM votes",IF(E214&lt;$N$7,"Low",IF(E214&gt;$R$7,"High","Middle")))</x:f>
        <x:v>Middle</x:v>
      </x:c>
      <x:c r="M214" s="133" t="str">
        <x:f>IF(D214&lt;=0,"No EVM votes",IF(H214&lt;-20%,"Large deficit",IF(H214&lt;-5%,"Moderate deficit",IF(H214&lt;0,"Narrow deficit",IF(H214&lt;=5%,"Narrow lead/tie",IF(H214&lt;=20%,"Moderate lead","Large lead"))))))</x:f>
        <x:v>Large deficit</x:v>
      </x:c>
    </x:row>
    <x:row r="215">
      <x:c r="A215" t="n">
        <x:v>156</x:v>
      </x:c>
      <x:c r="B215" t="str">
        <x:v>PRIMARY SCHOOL MIRZAPUR ROOM NO 2</x:v>
      </x:c>
      <x:c r="C215" s="83" t="n">
        <x:f>'2022 Form20'!H164</x:f>
        <x:v>57</x:v>
      </x:c>
      <x:c r="D215" s="83" t="n">
        <x:f>'2022 Form20'!D164</x:f>
        <x:v>510</x:v>
      </x:c>
      <x:c r="E215" s="50" t="n">
        <x:f>'2022 Form20'!T164</x:f>
        <x:v>0.11176470588235295</x:v>
      </x:c>
      <x:c r="F215" t="n">
        <x:f>'2022 Form20'!U164</x:f>
        <x:v>412</x:v>
      </x:c>
      <x:c r="G215" t="n">
        <x:f>'2022 Form20'!V164</x:f>
        <x:v>-355</x:v>
      </x:c>
      <x:c r="H215" s="52" t="n">
        <x:f>'2022 Form20'!W164</x:f>
        <x:v>-0.696078431372549</x:v>
      </x:c>
      <x:c r="I215" t="str">
        <x:v>DHIRENDRA SINGH</x:v>
      </x:c>
      <x:c r="J215" t="str">
        <x:v>Bharatiya Janata Party</x:v>
      </x:c>
      <x:c r="K215" t="str">
        <x:v>EVM row</x:v>
      </x:c>
      <x:c r="L215" s="133" t="str">
        <x:f>IF(D215&lt;=0,"No EVM votes",IF(E215&lt;$N$7,"Low",IF(E215&gt;$R$7,"High","Middle")))</x:f>
        <x:v>Middle</x:v>
      </x:c>
      <x:c r="M215" s="133" t="str">
        <x:f>IF(D215&lt;=0,"No EVM votes",IF(H215&lt;-20%,"Large deficit",IF(H215&lt;-5%,"Moderate deficit",IF(H215&lt;0,"Narrow deficit",IF(H215&lt;=5%,"Narrow lead/tie",IF(H215&lt;=20%,"Moderate lead","Large lead"))))))</x:f>
        <x:v>Large deficit</x:v>
      </x:c>
    </x:row>
    <x:row r="216">
      <x:c r="A216" t="n">
        <x:v>157</x:v>
      </x:c>
      <x:c r="B216" t="str">
        <x:v>SHRI HARDWARI LAL JANHIT HIGHER SECONDARY SCHOOL, MIRZAPUR ROOM NO. 1</x:v>
      </x:c>
      <x:c r="C216" s="83" t="n">
        <x:f>'2022 Form20'!H165</x:f>
        <x:v>38</x:v>
      </x:c>
      <x:c r="D216" s="83" t="n">
        <x:f>'2022 Form20'!D165</x:f>
        <x:v>801</x:v>
      </x:c>
      <x:c r="E216" s="50" t="n">
        <x:f>'2022 Form20'!T165</x:f>
        <x:v>0.04744069912609238</x:v>
      </x:c>
      <x:c r="F216" t="n">
        <x:f>'2022 Form20'!U165</x:f>
        <x:v>586</x:v>
      </x:c>
      <x:c r="G216" t="n">
        <x:f>'2022 Form20'!V165</x:f>
        <x:v>-548</x:v>
      </x:c>
      <x:c r="H216" s="52" t="n">
        <x:f>'2022 Form20'!W165</x:f>
        <x:v>-0.6841448189762797</x:v>
      </x:c>
      <x:c r="I216" t="str">
        <x:v>DHIRENDRA SINGH</x:v>
      </x:c>
      <x:c r="J216" t="str">
        <x:v>Bharatiya Janata Party</x:v>
      </x:c>
      <x:c r="K216" t="str">
        <x:v>EVM row</x:v>
      </x:c>
      <x:c r="L216" s="133" t="str">
        <x:f>IF(D216&lt;=0,"No EVM votes",IF(E216&lt;$N$7,"Low",IF(E216&gt;$R$7,"High","Middle")))</x:f>
        <x:v>Low</x:v>
      </x:c>
      <x:c r="M216" s="133" t="str">
        <x:f>IF(D216&lt;=0,"No EVM votes",IF(H216&lt;-20%,"Large deficit",IF(H216&lt;-5%,"Moderate deficit",IF(H216&lt;0,"Narrow deficit",IF(H216&lt;=5%,"Narrow lead/tie",IF(H216&lt;=20%,"Moderate lead","Large lead"))))))</x:f>
        <x:v>Large deficit</x:v>
      </x:c>
    </x:row>
    <x:row r="217">
      <x:c r="A217" t="n">
        <x:v>158</x:v>
      </x:c>
      <x:c r="B217" t="str">
        <x:v>SHRI HARDWARI LAL JANHIT HIGHER SECONDARY SCHOOL, MIRZAPUR ROOM NO. 2</x:v>
      </x:c>
      <x:c r="C217" s="83" t="n">
        <x:f>'2022 Form20'!H166</x:f>
        <x:v>23</x:v>
      </x:c>
      <x:c r="D217" s="83" t="n">
        <x:f>'2022 Form20'!D166</x:f>
        <x:v>578</x:v>
      </x:c>
      <x:c r="E217" s="50" t="n">
        <x:f>'2022 Form20'!T166</x:f>
        <x:v>0.039792387543252594</x:v>
      </x:c>
      <x:c r="F217" t="n">
        <x:f>'2022 Form20'!U166</x:f>
        <x:v>394</x:v>
      </x:c>
      <x:c r="G217" t="n">
        <x:f>'2022 Form20'!V166</x:f>
        <x:v>-371</x:v>
      </x:c>
      <x:c r="H217" s="52" t="n">
        <x:f>'2022 Form20'!W166</x:f>
        <x:v>-0.6418685121107266</x:v>
      </x:c>
      <x:c r="I217" t="str">
        <x:v>DHIRENDRA SINGH</x:v>
      </x:c>
      <x:c r="J217" t="str">
        <x:v>Bharatiya Janata Party</x:v>
      </x:c>
      <x:c r="K217" t="str">
        <x:v>EVM row</x:v>
      </x:c>
      <x:c r="L217" s="133" t="str">
        <x:f>IF(D217&lt;=0,"No EVM votes",IF(E217&lt;$N$7,"Low",IF(E217&gt;$R$7,"High","Middle")))</x:f>
        <x:v>Low</x:v>
      </x:c>
      <x:c r="M217" s="133" t="str">
        <x:f>IF(D217&lt;=0,"No EVM votes",IF(H217&lt;-20%,"Large deficit",IF(H217&lt;-5%,"Moderate deficit",IF(H217&lt;0,"Narrow deficit",IF(H217&lt;=5%,"Narrow lead/tie",IF(H217&lt;=20%,"Moderate lead","Large lead"))))))</x:f>
        <x:v>Large deficit</x:v>
      </x:c>
    </x:row>
    <x:row r="218">
      <x:c r="A218" t="n">
        <x:v>159</x:v>
      </x:c>
      <x:c r="B218" t="str">
        <x:v>SHRI HARDWARI LAL JANHIT HIGHER SECONDARY SCHOOL, MIRZAPUR ROOM NO. 3</x:v>
      </x:c>
      <x:c r="C218" s="83" t="n">
        <x:f>'2022 Form20'!H167</x:f>
        <x:v>53</x:v>
      </x:c>
      <x:c r="D218" s="83" t="n">
        <x:f>'2022 Form20'!D167</x:f>
        <x:v>605</x:v>
      </x:c>
      <x:c r="E218" s="50" t="n">
        <x:f>'2022 Form20'!T167</x:f>
        <x:v>0.08760330578512397</x:v>
      </x:c>
      <x:c r="F218" t="n">
        <x:f>'2022 Form20'!U167</x:f>
        <x:v>481</x:v>
      </x:c>
      <x:c r="G218" t="n">
        <x:f>'2022 Form20'!V167</x:f>
        <x:v>-428</x:v>
      </x:c>
      <x:c r="H218" s="52" t="n">
        <x:f>'2022 Form20'!W167</x:f>
        <x:v>-0.7074380165289256</x:v>
      </x:c>
      <x:c r="I218" t="str">
        <x:v>DHIRENDRA SINGH</x:v>
      </x:c>
      <x:c r="J218" t="str">
        <x:v>Bharatiya Janata Party</x:v>
      </x:c>
      <x:c r="K218" t="str">
        <x:v>EVM row</x:v>
      </x:c>
      <x:c r="L218" s="133" t="str">
        <x:f>IF(D218&lt;=0,"No EVM votes",IF(E218&lt;$N$7,"Low",IF(E218&gt;$R$7,"High","Middle")))</x:f>
        <x:v>Low</x:v>
      </x:c>
      <x:c r="M218" s="133" t="str">
        <x:f>IF(D218&lt;=0,"No EVM votes",IF(H218&lt;-20%,"Large deficit",IF(H218&lt;-5%,"Moderate deficit",IF(H218&lt;0,"Narrow deficit",IF(H218&lt;=5%,"Narrow lead/tie",IF(H218&lt;=20%,"Moderate lead","Large lead"))))))</x:f>
        <x:v>Large deficit</x:v>
      </x:c>
    </x:row>
    <x:row r="219">
      <x:c r="A219" t="n">
        <x:v>160</x:v>
      </x:c>
      <x:c r="B219" t="str">
        <x:v>PRIMARY SCHOOL CHAPARGARH ROOM NO 1</x:v>
      </x:c>
      <x:c r="C219" s="83" t="n">
        <x:f>'2022 Form20'!H168</x:f>
        <x:v>398</x:v>
      </x:c>
      <x:c r="D219" s="83" t="n">
        <x:f>'2022 Form20'!D168</x:f>
        <x:v>527</x:v>
      </x:c>
      <x:c r="E219" s="50" t="n">
        <x:f>'2022 Form20'!T168</x:f>
        <x:v>0.7552182163187856</x:v>
      </x:c>
      <x:c r="F219" t="n">
        <x:f>'2022 Form20'!U168</x:f>
        <x:v>79</x:v>
      </x:c>
      <x:c r="G219" t="n">
        <x:f>'2022 Form20'!V168</x:f>
        <x:v>319</x:v>
      </x:c>
      <x:c r="H219" s="52" t="n">
        <x:f>'2022 Form20'!W168</x:f>
        <x:v>0.6053130929791272</x:v>
      </x:c>
      <x:c r="I219" t="str">
        <x:v>AVTAR SINGH BHADANA</x:v>
      </x:c>
      <x:c r="J219" t="str">
        <x:v>Rashtriya Lok Dal</x:v>
      </x:c>
      <x:c r="K219" t="str">
        <x:v>EVM row</x:v>
      </x:c>
      <x:c r="L219" s="133" t="str">
        <x:f>IF(D219&lt;=0,"No EVM votes",IF(E219&lt;$N$7,"Low",IF(E219&gt;$R$7,"High","Middle")))</x:f>
        <x:v>High</x:v>
      </x:c>
      <x:c r="M219" s="133" t="str">
        <x:f>IF(D219&lt;=0,"No EVM votes",IF(H219&lt;-20%,"Large deficit",IF(H219&lt;-5%,"Moderate deficit",IF(H219&lt;0,"Narrow deficit",IF(H219&lt;=5%,"Narrow lead/tie",IF(H219&lt;=20%,"Moderate lead","Large lead"))))))</x:f>
        <x:v>Large lead</x:v>
      </x:c>
    </x:row>
    <x:row r="220">
      <x:c r="A220" t="n">
        <x:v>161</x:v>
      </x:c>
      <x:c r="B220" t="str">
        <x:v>PRIMARY SCHOOL RAMPUR BANGAR ROOM NO 1</x:v>
      </x:c>
      <x:c r="C220" s="83" t="n">
        <x:f>'2022 Form20'!H169</x:f>
        <x:v>115</x:v>
      </x:c>
      <x:c r="D220" s="83" t="n">
        <x:f>'2022 Form20'!D169</x:f>
        <x:v>689</x:v>
      </x:c>
      <x:c r="E220" s="50" t="n">
        <x:f>'2022 Form20'!T169</x:f>
        <x:v>0.16690856313497823</x:v>
      </x:c>
      <x:c r="F220" t="n">
        <x:f>'2022 Form20'!U169</x:f>
        <x:v>558</x:v>
      </x:c>
      <x:c r="G220" t="n">
        <x:f>'2022 Form20'!V169</x:f>
        <x:v>-443</x:v>
      </x:c>
      <x:c r="H220" s="52" t="n">
        <x:f>'2022 Form20'!W169</x:f>
        <x:v>-0.6429608127721336</x:v>
      </x:c>
      <x:c r="I220" t="str">
        <x:v>DHIRENDRA SINGH</x:v>
      </x:c>
      <x:c r="J220" t="str">
        <x:v>Bharatiya Janata Party</x:v>
      </x:c>
      <x:c r="K220" t="str">
        <x:v>EVM row</x:v>
      </x:c>
      <x:c r="L220" s="133" t="str">
        <x:f>IF(D220&lt;=0,"No EVM votes",IF(E220&lt;$N$7,"Low",IF(E220&gt;$R$7,"High","Middle")))</x:f>
        <x:v>Middle</x:v>
      </x:c>
      <x:c r="M220" s="133" t="str">
        <x:f>IF(D220&lt;=0,"No EVM votes",IF(H220&lt;-20%,"Large deficit",IF(H220&lt;-5%,"Moderate deficit",IF(H220&lt;0,"Narrow deficit",IF(H220&lt;=5%,"Narrow lead/tie",IF(H220&lt;=20%,"Moderate lead","Large lead"))))))</x:f>
        <x:v>Large deficit</x:v>
      </x:c>
    </x:row>
    <x:row r="221">
      <x:c r="A221" t="n">
        <x:v>162</x:v>
      </x:c>
      <x:c r="B221" t="str">
        <x:v>PRIMARY SCHOOL ACHHEJA BUJURG ROOM NO. 1</x:v>
      </x:c>
      <x:c r="C221" s="83" t="n">
        <x:f>'2022 Form20'!H170</x:f>
        <x:v>270</x:v>
      </x:c>
      <x:c r="D221" s="83" t="n">
        <x:f>'2022 Form20'!D170</x:f>
        <x:v>523</x:v>
      </x:c>
      <x:c r="E221" s="50" t="n">
        <x:f>'2022 Form20'!T170</x:f>
        <x:v>0.5162523900573613</x:v>
      </x:c>
      <x:c r="F221" t="n">
        <x:f>'2022 Form20'!U170</x:f>
        <x:v>195</x:v>
      </x:c>
      <x:c r="G221" t="n">
        <x:f>'2022 Form20'!V170</x:f>
        <x:v>75</x:v>
      </x:c>
      <x:c r="H221" s="52" t="n">
        <x:f>'2022 Form20'!W170</x:f>
        <x:v>0.14340344168260039</x:v>
      </x:c>
      <x:c r="I221" t="str">
        <x:v>AVTAR SINGH BHADANA</x:v>
      </x:c>
      <x:c r="J221" t="str">
        <x:v>Rashtriya Lok Dal</x:v>
      </x:c>
      <x:c r="K221" t="str">
        <x:v>EVM row</x:v>
      </x:c>
      <x:c r="L221" s="133" t="str">
        <x:f>IF(D221&lt;=0,"No EVM votes",IF(E221&lt;$N$7,"Low",IF(E221&gt;$R$7,"High","Middle")))</x:f>
        <x:v>High</x:v>
      </x:c>
      <x:c r="M221" s="133" t="str">
        <x:f>IF(D221&lt;=0,"No EVM votes",IF(H221&lt;-20%,"Large deficit",IF(H221&lt;-5%,"Moderate deficit",IF(H221&lt;0,"Narrow deficit",IF(H221&lt;=5%,"Narrow lead/tie",IF(H221&lt;=20%,"Moderate lead","Large lead"))))))</x:f>
        <x:v>Moderate lead</x:v>
      </x:c>
    </x:row>
    <x:row r="222">
      <x:c r="A222" t="n">
        <x:v>163</x:v>
      </x:c>
      <x:c r="B222" t="str">
        <x:v>PRIMARY SCHOOL ACHHEJA BUJURG ROOM NO. 2</x:v>
      </x:c>
      <x:c r="C222" s="83" t="n">
        <x:f>'2022 Form20'!H171</x:f>
        <x:v>242</x:v>
      </x:c>
      <x:c r="D222" s="83" t="n">
        <x:f>'2022 Form20'!D171</x:f>
        <x:v>553</x:v>
      </x:c>
      <x:c r="E222" s="50" t="n">
        <x:f>'2022 Form20'!T171</x:f>
        <x:v>0.4376130198915009</x:v>
      </x:c>
      <x:c r="F222" t="n">
        <x:f>'2022 Form20'!U171</x:f>
        <x:v>198</x:v>
      </x:c>
      <x:c r="G222" t="n">
        <x:f>'2022 Form20'!V171</x:f>
        <x:v>44</x:v>
      </x:c>
      <x:c r="H222" s="52" t="n">
        <x:f>'2022 Form20'!W171</x:f>
        <x:v>0.07956600361663653</x:v>
      </x:c>
      <x:c r="I222" t="str">
        <x:v>AVTAR SINGH BHADANA</x:v>
      </x:c>
      <x:c r="J222" t="str">
        <x:v>Rashtriya Lok Dal</x:v>
      </x:c>
      <x:c r="K222" t="str">
        <x:v>EVM row</x:v>
      </x:c>
      <x:c r="L222" s="133" t="str">
        <x:f>IF(D222&lt;=0,"No EVM votes",IF(E222&lt;$N$7,"Low",IF(E222&gt;$R$7,"High","Middle")))</x:f>
        <x:v>High</x:v>
      </x:c>
      <x:c r="M222" s="133" t="str">
        <x:f>IF(D222&lt;=0,"No EVM votes",IF(H222&lt;-20%,"Large deficit",IF(H222&lt;-5%,"Moderate deficit",IF(H222&lt;0,"Narrow deficit",IF(H222&lt;=5%,"Narrow lead/tie",IF(H222&lt;=20%,"Moderate lead","Large lead"))))))</x:f>
        <x:v>Moderate lead</x:v>
      </x:c>
    </x:row>
    <x:row r="223">
      <x:c r="A223" t="n">
        <x:v>164</x:v>
      </x:c>
      <x:c r="B223" t="str">
        <x:v>PRIMARY SCHOOL DUGARPUR RILKA ROOM NO 1</x:v>
      </x:c>
      <x:c r="C223" s="83" t="n">
        <x:f>'2022 Form20'!H172</x:f>
        <x:v>427</x:v>
      </x:c>
      <x:c r="D223" s="83" t="n">
        <x:f>'2022 Form20'!D172</x:f>
        <x:v>592</x:v>
      </x:c>
      <x:c r="E223" s="50" t="n">
        <x:f>'2022 Form20'!T172</x:f>
        <x:v>0.7212837837837838</x:v>
      </x:c>
      <x:c r="F223" t="n">
        <x:f>'2022 Form20'!U172</x:f>
        <x:v>123</x:v>
      </x:c>
      <x:c r="G223" t="n">
        <x:f>'2022 Form20'!V172</x:f>
        <x:v>304</x:v>
      </x:c>
      <x:c r="H223" s="52" t="n">
        <x:f>'2022 Form20'!W172</x:f>
        <x:v>0.5135135135135135</x:v>
      </x:c>
      <x:c r="I223" t="str">
        <x:v>AVTAR SINGH BHADANA</x:v>
      </x:c>
      <x:c r="J223" t="str">
        <x:v>Rashtriya Lok Dal</x:v>
      </x:c>
      <x:c r="K223" t="str">
        <x:v>EVM row</x:v>
      </x:c>
      <x:c r="L223" s="133" t="str">
        <x:f>IF(D223&lt;=0,"No EVM votes",IF(E223&lt;$N$7,"Low",IF(E223&gt;$R$7,"High","Middle")))</x:f>
        <x:v>High</x:v>
      </x:c>
      <x:c r="M223" s="133" t="str">
        <x:f>IF(D223&lt;=0,"No EVM votes",IF(H223&lt;-20%,"Large deficit",IF(H223&lt;-5%,"Moderate deficit",IF(H223&lt;0,"Narrow deficit",IF(H223&lt;=5%,"Narrow lead/tie",IF(H223&lt;=20%,"Moderate lead","Large lead"))))))</x:f>
        <x:v>Large lead</x:v>
      </x:c>
    </x:row>
    <x:row r="224">
      <x:c r="A224" t="n">
        <x:v>165</x:v>
      </x:c>
      <x:c r="B224" t="str">
        <x:v>PRIMARY SCHOOL DUGARPUR RILKA ROOM NO 2</x:v>
      </x:c>
      <x:c r="C224" s="83" t="n">
        <x:f>'2022 Form20'!H173</x:f>
        <x:v>281</x:v>
      </x:c>
      <x:c r="D224" s="83" t="n">
        <x:f>'2022 Form20'!D173</x:f>
        <x:v>680</x:v>
      </x:c>
      <x:c r="E224" s="50" t="n">
        <x:f>'2022 Form20'!T173</x:f>
        <x:v>0.41323529411764703</x:v>
      </x:c>
      <x:c r="F224" t="n">
        <x:f>'2022 Form20'!U173</x:f>
        <x:v>238</x:v>
      </x:c>
      <x:c r="G224" t="n">
        <x:f>'2022 Form20'!V173</x:f>
        <x:v>43</x:v>
      </x:c>
      <x:c r="H224" s="52" t="n">
        <x:f>'2022 Form20'!W173</x:f>
        <x:v>0.06323529411764706</x:v>
      </x:c>
      <x:c r="I224" t="str">
        <x:v>AVTAR SINGH BHADANA</x:v>
      </x:c>
      <x:c r="J224" t="str">
        <x:v>Rashtriya Lok Dal</x:v>
      </x:c>
      <x:c r="K224" t="str">
        <x:v>EVM row</x:v>
      </x:c>
      <x:c r="L224" s="133" t="str">
        <x:f>IF(D224&lt;=0,"No EVM votes",IF(E224&lt;$N$7,"Low",IF(E224&gt;$R$7,"High","Middle")))</x:f>
        <x:v>High</x:v>
      </x:c>
      <x:c r="M224" s="133" t="str">
        <x:f>IF(D224&lt;=0,"No EVM votes",IF(H224&lt;-20%,"Large deficit",IF(H224&lt;-5%,"Moderate deficit",IF(H224&lt;0,"Narrow deficit",IF(H224&lt;=5%,"Narrow lead/tie",IF(H224&lt;=20%,"Moderate lead","Large lead"))))))</x:f>
        <x:v>Moderate lead</x:v>
      </x:c>
    </x:row>
    <x:row r="225">
      <x:c r="A225" t="n">
        <x:v>166</x:v>
      </x:c>
      <x:c r="B225" t="str">
        <x:v>PRIMARY SCHOOL MOHAMMADPUR GUJAR ROOM NO.1</x:v>
      </x:c>
      <x:c r="C225" s="83" t="n">
        <x:f>'2022 Form20'!H174</x:f>
        <x:v>350</x:v>
      </x:c>
      <x:c r="D225" s="83" t="n">
        <x:f>'2022 Form20'!D174</x:f>
        <x:v>564</x:v>
      </x:c>
      <x:c r="E225" s="50" t="n">
        <x:f>'2022 Form20'!T174</x:f>
        <x:v>0.6205673758865248</x:v>
      </x:c>
      <x:c r="F225" t="n">
        <x:f>'2022 Form20'!U174</x:f>
        <x:v>126</x:v>
      </x:c>
      <x:c r="G225" t="n">
        <x:f>'2022 Form20'!V174</x:f>
        <x:v>224</x:v>
      </x:c>
      <x:c r="H225" s="52" t="n">
        <x:f>'2022 Form20'!W174</x:f>
        <x:v>0.3971631205673759</x:v>
      </x:c>
      <x:c r="I225" t="str">
        <x:v>AVTAR SINGH BHADANA</x:v>
      </x:c>
      <x:c r="J225" t="str">
        <x:v>Rashtriya Lok Dal</x:v>
      </x:c>
      <x:c r="K225" t="str">
        <x:v>EVM row</x:v>
      </x:c>
      <x:c r="L225" s="133" t="str">
        <x:f>IF(D225&lt;=0,"No EVM votes",IF(E225&lt;$N$7,"Low",IF(E225&gt;$R$7,"High","Middle")))</x:f>
        <x:v>High</x:v>
      </x:c>
      <x:c r="M225" s="133" t="str">
        <x:f>IF(D225&lt;=0,"No EVM votes",IF(H225&lt;-20%,"Large deficit",IF(H225&lt;-5%,"Moderate deficit",IF(H225&lt;0,"Narrow deficit",IF(H225&lt;=5%,"Narrow lead/tie",IF(H225&lt;=20%,"Moderate lead","Large lead"))))))</x:f>
        <x:v>Large lead</x:v>
      </x:c>
    </x:row>
    <x:row r="226">
      <x:c r="A226" t="n">
        <x:v>167</x:v>
      </x:c>
      <x:c r="B226" t="str">
        <x:v>BIHARI LAL INTER COLLEGE DANKAUR ROOM NO. 1</x:v>
      </x:c>
      <x:c r="C226" s="83" t="n">
        <x:f>'2022 Form20'!H175</x:f>
        <x:v>120</x:v>
      </x:c>
      <x:c r="D226" s="83" t="n">
        <x:f>'2022 Form20'!D175</x:f>
        <x:v>392</x:v>
      </x:c>
      <x:c r="E226" s="50" t="n">
        <x:f>'2022 Form20'!T175</x:f>
        <x:v>0.30612244897959184</x:v>
      </x:c>
      <x:c r="F226" t="n">
        <x:f>'2022 Form20'!U175</x:f>
        <x:v>245</x:v>
      </x:c>
      <x:c r="G226" t="n">
        <x:f>'2022 Form20'!V175</x:f>
        <x:v>-125</x:v>
      </x:c>
      <x:c r="H226" s="52" t="n">
        <x:f>'2022 Form20'!W175</x:f>
        <x:v>-0.31887755102040816</x:v>
      </x:c>
      <x:c r="I226" t="str">
        <x:v>DHIRENDRA SINGH</x:v>
      </x:c>
      <x:c r="J226" t="str">
        <x:v>Bharatiya Janata Party</x:v>
      </x:c>
      <x:c r="K226" t="str">
        <x:v>EVM row</x:v>
      </x:c>
      <x:c r="L226" s="133" t="str">
        <x:f>IF(D226&lt;=0,"No EVM votes",IF(E226&lt;$N$7,"Low",IF(E226&gt;$R$7,"High","Middle")))</x:f>
        <x:v>Middle</x:v>
      </x:c>
      <x:c r="M226" s="133" t="str">
        <x:f>IF(D226&lt;=0,"No EVM votes",IF(H226&lt;-20%,"Large deficit",IF(H226&lt;-5%,"Moderate deficit",IF(H226&lt;0,"Narrow deficit",IF(H226&lt;=5%,"Narrow lead/tie",IF(H226&lt;=20%,"Moderate lead","Large lead"))))))</x:f>
        <x:v>Large deficit</x:v>
      </x:c>
    </x:row>
    <x:row r="227">
      <x:c r="A227" t="n">
        <x:v>168</x:v>
      </x:c>
      <x:c r="B227" t="str">
        <x:v>BIHARI LAL INTER COLLEGE DANKAUR ROOM NO. 2</x:v>
      </x:c>
      <x:c r="C227" s="83" t="n">
        <x:f>'2022 Form20'!H176</x:f>
        <x:v>116</x:v>
      </x:c>
      <x:c r="D227" s="83" t="n">
        <x:f>'2022 Form20'!D176</x:f>
        <x:v>507</x:v>
      </x:c>
      <x:c r="E227" s="50" t="n">
        <x:f>'2022 Form20'!T176</x:f>
        <x:v>0.22879684418145957</x:v>
      </x:c>
      <x:c r="F227" t="n">
        <x:f>'2022 Form20'!U176</x:f>
        <x:v>354</x:v>
      </x:c>
      <x:c r="G227" t="n">
        <x:f>'2022 Form20'!V176</x:f>
        <x:v>-238</x:v>
      </x:c>
      <x:c r="H227" s="52" t="n">
        <x:f>'2022 Form20'!W176</x:f>
        <x:v>-0.46942800788954636</x:v>
      </x:c>
      <x:c r="I227" t="str">
        <x:v>DHIRENDRA SINGH</x:v>
      </x:c>
      <x:c r="J227" t="str">
        <x:v>Bharatiya Janata Party</x:v>
      </x:c>
      <x:c r="K227" t="str">
        <x:v>EVM row</x:v>
      </x:c>
      <x:c r="L227" s="133" t="str">
        <x:f>IF(D227&lt;=0,"No EVM votes",IF(E227&lt;$N$7,"Low",IF(E227&gt;$R$7,"High","Middle")))</x:f>
        <x:v>Middle</x:v>
      </x:c>
      <x:c r="M227" s="133" t="str">
        <x:f>IF(D227&lt;=0,"No EVM votes",IF(H227&lt;-20%,"Large deficit",IF(H227&lt;-5%,"Moderate deficit",IF(H227&lt;0,"Narrow deficit",IF(H227&lt;=5%,"Narrow lead/tie",IF(H227&lt;=20%,"Moderate lead","Large lead"))))))</x:f>
        <x:v>Large deficit</x:v>
      </x:c>
    </x:row>
    <x:row r="228">
      <x:c r="A228" t="n">
        <x:v>169</x:v>
      </x:c>
      <x:c r="B228" t="str">
        <x:v>BIHARI LAL INTER COLLEGE DANKAUR ROOM NO. 3</x:v>
      </x:c>
      <x:c r="C228" s="83" t="n">
        <x:f>'2022 Form20'!H177</x:f>
        <x:v>172</x:v>
      </x:c>
      <x:c r="D228" s="83" t="n">
        <x:f>'2022 Form20'!D177</x:f>
        <x:v>593</x:v>
      </x:c>
      <x:c r="E228" s="50" t="n">
        <x:f>'2022 Form20'!T177</x:f>
        <x:v>0.2900505902192243</x:v>
      </x:c>
      <x:c r="F228" t="n">
        <x:f>'2022 Form20'!U177</x:f>
        <x:v>321</x:v>
      </x:c>
      <x:c r="G228" t="n">
        <x:f>'2022 Form20'!V177</x:f>
        <x:v>-149</x:v>
      </x:c>
      <x:c r="H228" s="52" t="n">
        <x:f>'2022 Form20'!W177</x:f>
        <x:v>-0.25126475548060706</x:v>
      </x:c>
      <x:c r="I228" t="str">
        <x:v>DHIRENDRA SINGH</x:v>
      </x:c>
      <x:c r="J228" t="str">
        <x:v>Bharatiya Janata Party</x:v>
      </x:c>
      <x:c r="K228" t="str">
        <x:v>EVM row</x:v>
      </x:c>
      <x:c r="L228" s="133" t="str">
        <x:f>IF(D228&lt;=0,"No EVM votes",IF(E228&lt;$N$7,"Low",IF(E228&gt;$R$7,"High","Middle")))</x:f>
        <x:v>Middle</x:v>
      </x:c>
      <x:c r="M228" s="133" t="str">
        <x:f>IF(D228&lt;=0,"No EVM votes",IF(H228&lt;-20%,"Large deficit",IF(H228&lt;-5%,"Moderate deficit",IF(H228&lt;0,"Narrow deficit",IF(H228&lt;=5%,"Narrow lead/tie",IF(H228&lt;=20%,"Moderate lead","Large lead"))))))</x:f>
        <x:v>Large deficit</x:v>
      </x:c>
    </x:row>
    <x:row r="229">
      <x:c r="A229" t="n">
        <x:v>170</x:v>
      </x:c>
      <x:c r="B229" t="str">
        <x:v>BIHARI LAL INTER COLLEGE DANKAUR ROOM NO. 4</x:v>
      </x:c>
      <x:c r="C229" s="83" t="n">
        <x:f>'2022 Form20'!H178</x:f>
        <x:v>150</x:v>
      </x:c>
      <x:c r="D229" s="83" t="n">
        <x:f>'2022 Form20'!D178</x:f>
        <x:v>601</x:v>
      </x:c>
      <x:c r="E229" s="50" t="n">
        <x:f>'2022 Form20'!T178</x:f>
        <x:v>0.24958402662229617</x:v>
      </x:c>
      <x:c r="F229" t="n">
        <x:f>'2022 Form20'!U178</x:f>
        <x:v>333</x:v>
      </x:c>
      <x:c r="G229" t="n">
        <x:f>'2022 Form20'!V178</x:f>
        <x:v>-183</x:v>
      </x:c>
      <x:c r="H229" s="52" t="n">
        <x:f>'2022 Form20'!W178</x:f>
        <x:v>-0.30449251247920134</x:v>
      </x:c>
      <x:c r="I229" t="str">
        <x:v>DHIRENDRA SINGH</x:v>
      </x:c>
      <x:c r="J229" t="str">
        <x:v>Bharatiya Janata Party</x:v>
      </x:c>
      <x:c r="K229" t="str">
        <x:v>EVM row</x:v>
      </x:c>
      <x:c r="L229" s="133" t="str">
        <x:f>IF(D229&lt;=0,"No EVM votes",IF(E229&lt;$N$7,"Low",IF(E229&gt;$R$7,"High","Middle")))</x:f>
        <x:v>Middle</x:v>
      </x:c>
      <x:c r="M229" s="133" t="str">
        <x:f>IF(D229&lt;=0,"No EVM votes",IF(H229&lt;-20%,"Large deficit",IF(H229&lt;-5%,"Moderate deficit",IF(H229&lt;0,"Narrow deficit",IF(H229&lt;=5%,"Narrow lead/tie",IF(H229&lt;=20%,"Moderate lead","Large lead"))))))</x:f>
        <x:v>Large deficit</x:v>
      </x:c>
    </x:row>
    <x:row r="230">
      <x:c r="A230" t="n">
        <x:v>171</x:v>
      </x:c>
      <x:c r="B230" t="str">
        <x:v>BIHARI LAL INTER COLLEGE DANKAUR ROOM NO. 5</x:v>
      </x:c>
      <x:c r="C230" s="83" t="n">
        <x:f>'2022 Form20'!H179</x:f>
        <x:v>113</x:v>
      </x:c>
      <x:c r="D230" s="83" t="n">
        <x:f>'2022 Form20'!D179</x:f>
        <x:v>474</x:v>
      </x:c>
      <x:c r="E230" s="50" t="n">
        <x:f>'2022 Form20'!T179</x:f>
        <x:v>0.23839662447257384</x:v>
      </x:c>
      <x:c r="F230" t="n">
        <x:f>'2022 Form20'!U179</x:f>
        <x:v>203</x:v>
      </x:c>
      <x:c r="G230" t="n">
        <x:f>'2022 Form20'!V179</x:f>
        <x:v>-90</x:v>
      </x:c>
      <x:c r="H230" s="52" t="n">
        <x:f>'2022 Form20'!W179</x:f>
        <x:v>-0.189873417721519</x:v>
      </x:c>
      <x:c r="I230" t="str">
        <x:v>DHIRENDRA SINGH</x:v>
      </x:c>
      <x:c r="J230" t="str">
        <x:v>Bharatiya Janata Party</x:v>
      </x:c>
      <x:c r="K230" t="str">
        <x:v>EVM row</x:v>
      </x:c>
      <x:c r="L230" s="133" t="str">
        <x:f>IF(D230&lt;=0,"No EVM votes",IF(E230&lt;$N$7,"Low",IF(E230&gt;$R$7,"High","Middle")))</x:f>
        <x:v>Middle</x:v>
      </x:c>
      <x:c r="M230" s="133" t="str">
        <x:f>IF(D230&lt;=0,"No EVM votes",IF(H230&lt;-20%,"Large deficit",IF(H230&lt;-5%,"Moderate deficit",IF(H230&lt;0,"Narrow deficit",IF(H230&lt;=5%,"Narrow lead/tie",IF(H230&lt;=20%,"Moderate lead","Large lead"))))))</x:f>
        <x:v>Moderate deficit</x:v>
      </x:c>
    </x:row>
    <x:row r="231">
      <x:c r="A231" t="n">
        <x:v>172</x:v>
      </x:c>
      <x:c r="B231" t="str">
        <x:v>BIHARI LAL INTER COLLEGE DANKAUR ROOM NO. 6</x:v>
      </x:c>
      <x:c r="C231" s="83" t="n">
        <x:f>'2022 Form20'!H180</x:f>
        <x:v>159</x:v>
      </x:c>
      <x:c r="D231" s="83" t="n">
        <x:f>'2022 Form20'!D180</x:f>
        <x:v>665</x:v>
      </x:c>
      <x:c r="E231" s="50" t="n">
        <x:f>'2022 Form20'!T180</x:f>
        <x:v>0.23909774436090225</x:v>
      </x:c>
      <x:c r="F231" t="n">
        <x:f>'2022 Form20'!U180</x:f>
        <x:v>446</x:v>
      </x:c>
      <x:c r="G231" t="n">
        <x:f>'2022 Form20'!V180</x:f>
        <x:v>-287</x:v>
      </x:c>
      <x:c r="H231" s="52" t="n">
        <x:f>'2022 Form20'!W180</x:f>
        <x:v>-0.43157894736842106</x:v>
      </x:c>
      <x:c r="I231" t="str">
        <x:v>DHIRENDRA SINGH</x:v>
      </x:c>
      <x:c r="J231" t="str">
        <x:v>Bharatiya Janata Party</x:v>
      </x:c>
      <x:c r="K231" t="str">
        <x:v>EVM row</x:v>
      </x:c>
      <x:c r="L231" s="133" t="str">
        <x:f>IF(D231&lt;=0,"No EVM votes",IF(E231&lt;$N$7,"Low",IF(E231&gt;$R$7,"High","Middle")))</x:f>
        <x:v>Middle</x:v>
      </x:c>
      <x:c r="M231" s="133" t="str">
        <x:f>IF(D231&lt;=0,"No EVM votes",IF(H231&lt;-20%,"Large deficit",IF(H231&lt;-5%,"Moderate deficit",IF(H231&lt;0,"Narrow deficit",IF(H231&lt;=5%,"Narrow lead/tie",IF(H231&lt;=20%,"Moderate lead","Large lead"))))))</x:f>
        <x:v>Large deficit</x:v>
      </x:c>
    </x:row>
    <x:row r="232">
      <x:c r="A232" t="n">
        <x:v>173</x:v>
      </x:c>
      <x:c r="B232" t="str">
        <x:v>BIHARI LAL INTER COLLEGE DANKAUR ROOM NO. 7</x:v>
      </x:c>
      <x:c r="C232" s="83" t="n">
        <x:f>'2022 Form20'!H181</x:f>
        <x:v>279</x:v>
      </x:c>
      <x:c r="D232" s="83" t="n">
        <x:f>'2022 Form20'!D181</x:f>
        <x:v>659</x:v>
      </x:c>
      <x:c r="E232" s="50" t="n">
        <x:f>'2022 Form20'!T181</x:f>
        <x:v>0.4233687405159332</x:v>
      </x:c>
      <x:c r="F232" t="n">
        <x:f>'2022 Form20'!U181</x:f>
        <x:v>225</x:v>
      </x:c>
      <x:c r="G232" t="n">
        <x:f>'2022 Form20'!V181</x:f>
        <x:v>54</x:v>
      </x:c>
      <x:c r="H232" s="52" t="n">
        <x:f>'2022 Form20'!W181</x:f>
        <x:v>0.0819423368740516</x:v>
      </x:c>
      <x:c r="I232" t="str">
        <x:v>AVTAR SINGH BHADANA</x:v>
      </x:c>
      <x:c r="J232" t="str">
        <x:v>Rashtriya Lok Dal</x:v>
      </x:c>
      <x:c r="K232" t="str">
        <x:v>EVM row</x:v>
      </x:c>
      <x:c r="L232" s="133" t="str">
        <x:f>IF(D232&lt;=0,"No EVM votes",IF(E232&lt;$N$7,"Low",IF(E232&gt;$R$7,"High","Middle")))</x:f>
        <x:v>High</x:v>
      </x:c>
      <x:c r="M232" s="133" t="str">
        <x:f>IF(D232&lt;=0,"No EVM votes",IF(H232&lt;-20%,"Large deficit",IF(H232&lt;-5%,"Moderate deficit",IF(H232&lt;0,"Narrow deficit",IF(H232&lt;=5%,"Narrow lead/tie",IF(H232&lt;=20%,"Moderate lead","Large lead"))))))</x:f>
        <x:v>Moderate lead</x:v>
      </x:c>
    </x:row>
    <x:row r="233">
      <x:c r="A233" t="n">
        <x:v>174</x:v>
      </x:c>
      <x:c r="B233" t="str">
        <x:v>BIHARI LAL INTER COLLEGE DANKAUR ROOM NO. 8</x:v>
      </x:c>
      <x:c r="C233" s="83" t="n">
        <x:f>'2022 Form20'!H182</x:f>
        <x:v>273</x:v>
      </x:c>
      <x:c r="D233" s="83" t="n">
        <x:f>'2022 Form20'!D182</x:f>
        <x:v>629</x:v>
      </x:c>
      <x:c r="E233" s="50" t="n">
        <x:f>'2022 Form20'!T182</x:f>
        <x:v>0.43402225755166934</x:v>
      </x:c>
      <x:c r="F233" t="n">
        <x:f>'2022 Form20'!U182</x:f>
        <x:v>267</x:v>
      </x:c>
      <x:c r="G233" t="n">
        <x:f>'2022 Form20'!V182</x:f>
        <x:v>6</x:v>
      </x:c>
      <x:c r="H233" s="52" t="n">
        <x:f>'2022 Form20'!W182</x:f>
        <x:v>0.009538950715421303</x:v>
      </x:c>
      <x:c r="I233" t="str">
        <x:v>AVTAR SINGH BHADANA</x:v>
      </x:c>
      <x:c r="J233" t="str">
        <x:v>Rashtriya Lok Dal</x:v>
      </x:c>
      <x:c r="K233" t="str">
        <x:v>EVM row</x:v>
      </x:c>
      <x:c r="L233" s="133" t="str">
        <x:f>IF(D233&lt;=0,"No EVM votes",IF(E233&lt;$N$7,"Low",IF(E233&gt;$R$7,"High","Middle")))</x:f>
        <x:v>High</x:v>
      </x:c>
      <x:c r="M233" s="133" t="str">
        <x:f>IF(D233&lt;=0,"No EVM votes",IF(H233&lt;-20%,"Large deficit",IF(H233&lt;-5%,"Moderate deficit",IF(H233&lt;0,"Narrow deficit",IF(H233&lt;=5%,"Narrow lead/tie",IF(H233&lt;=20%,"Moderate lead","Large lead"))))))</x:f>
        <x:v>Narrow lead/tie</x:v>
      </x:c>
    </x:row>
    <x:row r="234">
      <x:c r="A234" t="n">
        <x:v>175</x:v>
      </x:c>
      <x:c r="B234" t="str">
        <x:v>PRE SECONDARY SCHOOL TOWN AREA DANKAUR ROOM NO 1</x:v>
      </x:c>
      <x:c r="C234" s="83" t="n">
        <x:f>'2022 Form20'!H183</x:f>
        <x:v>57</x:v>
      </x:c>
      <x:c r="D234" s="83" t="n">
        <x:f>'2022 Form20'!D183</x:f>
        <x:v>622</x:v>
      </x:c>
      <x:c r="E234" s="50" t="n">
        <x:f>'2022 Form20'!T183</x:f>
        <x:v>0.09163987138263666</x:v>
      </x:c>
      <x:c r="F234" t="n">
        <x:f>'2022 Form20'!U183</x:f>
        <x:v>445</x:v>
      </x:c>
      <x:c r="G234" t="n">
        <x:f>'2022 Form20'!V183</x:f>
        <x:v>-388</x:v>
      </x:c>
      <x:c r="H234" s="52" t="n">
        <x:f>'2022 Form20'!W183</x:f>
        <x:v>-0.6237942122186495</x:v>
      </x:c>
      <x:c r="I234" t="str">
        <x:v>NARENDER KUMAR</x:v>
      </x:c>
      <x:c r="J234" t="str">
        <x:v>Bahujan Samaj Party</x:v>
      </x:c>
      <x:c r="K234" t="str">
        <x:v>EVM row</x:v>
      </x:c>
      <x:c r="L234" s="133" t="str">
        <x:f>IF(D234&lt;=0,"No EVM votes",IF(E234&lt;$N$7,"Low",IF(E234&gt;$R$7,"High","Middle")))</x:f>
        <x:v>Middle</x:v>
      </x:c>
      <x:c r="M234" s="133" t="str">
        <x:f>IF(D234&lt;=0,"No EVM votes",IF(H234&lt;-20%,"Large deficit",IF(H234&lt;-5%,"Moderate deficit",IF(H234&lt;0,"Narrow deficit",IF(H234&lt;=5%,"Narrow lead/tie",IF(H234&lt;=20%,"Moderate lead","Large lead"))))))</x:f>
        <x:v>Large deficit</x:v>
      </x:c>
    </x:row>
    <x:row r="235">
      <x:c r="A235" t="n">
        <x:v>176</x:v>
      </x:c>
      <x:c r="B235" t="str">
        <x:v>PRE SECONDARY SCHOOL TOWN AREA DANKAUR ROOM NO 2</x:v>
      </x:c>
      <x:c r="C235" s="83" t="n">
        <x:f>'2022 Form20'!H184</x:f>
        <x:v>60</x:v>
      </x:c>
      <x:c r="D235" s="83" t="n">
        <x:f>'2022 Form20'!D184</x:f>
        <x:v>266</x:v>
      </x:c>
      <x:c r="E235" s="50" t="n">
        <x:f>'2022 Form20'!T184</x:f>
        <x:v>0.22556390977443608</x:v>
      </x:c>
      <x:c r="F235" t="n">
        <x:f>'2022 Form20'!U184</x:f>
        <x:v>179</x:v>
      </x:c>
      <x:c r="G235" t="n">
        <x:f>'2022 Form20'!V184</x:f>
        <x:v>-119</x:v>
      </x:c>
      <x:c r="H235" s="52" t="n">
        <x:f>'2022 Form20'!W184</x:f>
        <x:v>-0.4473684210526316</x:v>
      </x:c>
      <x:c r="I235" t="str">
        <x:v>DHIRENDRA SINGH</x:v>
      </x:c>
      <x:c r="J235" t="str">
        <x:v>Bharatiya Janata Party</x:v>
      </x:c>
      <x:c r="K235" t="str">
        <x:v>EVM row</x:v>
      </x:c>
      <x:c r="L235" s="133" t="str">
        <x:f>IF(D235&lt;=0,"No EVM votes",IF(E235&lt;$N$7,"Low",IF(E235&gt;$R$7,"High","Middle")))</x:f>
        <x:v>Middle</x:v>
      </x:c>
      <x:c r="M235" s="133" t="str">
        <x:f>IF(D235&lt;=0,"No EVM votes",IF(H235&lt;-20%,"Large deficit",IF(H235&lt;-5%,"Moderate deficit",IF(H235&lt;0,"Narrow deficit",IF(H235&lt;=5%,"Narrow lead/tie",IF(H235&lt;=20%,"Moderate lead","Large lead"))))))</x:f>
        <x:v>Large deficit</x:v>
      </x:c>
    </x:row>
    <x:row r="236">
      <x:c r="A236" t="n">
        <x:v>177</x:v>
      </x:c>
      <x:c r="B236" t="str">
        <x:v>PRE SECONDARY SCHOOL TOWN AREA DANKAUR ROOM NO 3</x:v>
      </x:c>
      <x:c r="C236" s="83" t="n">
        <x:f>'2022 Form20'!H185</x:f>
        <x:v>109</x:v>
      </x:c>
      <x:c r="D236" s="83" t="n">
        <x:f>'2022 Form20'!D185</x:f>
        <x:v>494</x:v>
      </x:c>
      <x:c r="E236" s="50" t="n">
        <x:f>'2022 Form20'!T185</x:f>
        <x:v>0.22064777327935223</x:v>
      </x:c>
      <x:c r="F236" t="n">
        <x:f>'2022 Form20'!U185</x:f>
        <x:v>258</x:v>
      </x:c>
      <x:c r="G236" t="n">
        <x:f>'2022 Form20'!V185</x:f>
        <x:v>-149</x:v>
      </x:c>
      <x:c r="H236" s="52" t="n">
        <x:f>'2022 Form20'!W185</x:f>
        <x:v>-0.3016194331983806</x:v>
      </x:c>
      <x:c r="I236" t="str">
        <x:v>DHIRENDRA SINGH</x:v>
      </x:c>
      <x:c r="J236" t="str">
        <x:v>Bharatiya Janata Party</x:v>
      </x:c>
      <x:c r="K236" t="str">
        <x:v>EVM row</x:v>
      </x:c>
      <x:c r="L236" s="133" t="str">
        <x:f>IF(D236&lt;=0,"No EVM votes",IF(E236&lt;$N$7,"Low",IF(E236&gt;$R$7,"High","Middle")))</x:f>
        <x:v>Middle</x:v>
      </x:c>
      <x:c r="M236" s="133" t="str">
        <x:f>IF(D236&lt;=0,"No EVM votes",IF(H236&lt;-20%,"Large deficit",IF(H236&lt;-5%,"Moderate deficit",IF(H236&lt;0,"Narrow deficit",IF(H236&lt;=5%,"Narrow lead/tie",IF(H236&lt;=20%,"Moderate lead","Large lead"))))))</x:f>
        <x:v>Large deficit</x:v>
      </x:c>
    </x:row>
    <x:row r="237">
      <x:c r="A237" t="n">
        <x:v>178</x:v>
      </x:c>
      <x:c r="B237" t="str">
        <x:v>PRE SECONDARY SCHOOL TOWN AREA DANKAUR ROOM NO 4</x:v>
      </x:c>
      <x:c r="C237" s="83" t="n">
        <x:f>'2022 Form20'!H186</x:f>
        <x:v>264</x:v>
      </x:c>
      <x:c r="D237" s="83" t="n">
        <x:f>'2022 Form20'!D186</x:f>
        <x:v>668</x:v>
      </x:c>
      <x:c r="E237" s="50" t="n">
        <x:f>'2022 Form20'!T186</x:f>
        <x:v>0.39520958083832336</x:v>
      </x:c>
      <x:c r="F237" t="n">
        <x:f>'2022 Form20'!U186</x:f>
        <x:v>374</x:v>
      </x:c>
      <x:c r="G237" t="n">
        <x:f>'2022 Form20'!V186</x:f>
        <x:v>-110</x:v>
      </x:c>
      <x:c r="H237" s="52" t="n">
        <x:f>'2022 Form20'!W186</x:f>
        <x:v>-0.16467065868263472</x:v>
      </x:c>
      <x:c r="I237" t="str">
        <x:v>DHIRENDRA SINGH</x:v>
      </x:c>
      <x:c r="J237" t="str">
        <x:v>Bharatiya Janata Party</x:v>
      </x:c>
      <x:c r="K237" t="str">
        <x:v>EVM row</x:v>
      </x:c>
      <x:c r="L237" s="133" t="str">
        <x:f>IF(D237&lt;=0,"No EVM votes",IF(E237&lt;$N$7,"Low",IF(E237&gt;$R$7,"High","Middle")))</x:f>
        <x:v>High</x:v>
      </x:c>
      <x:c r="M237" s="133" t="str">
        <x:f>IF(D237&lt;=0,"No EVM votes",IF(H237&lt;-20%,"Large deficit",IF(H237&lt;-5%,"Moderate deficit",IF(H237&lt;0,"Narrow deficit",IF(H237&lt;=5%,"Narrow lead/tie",IF(H237&lt;=20%,"Moderate lead","Large lead"))))))</x:f>
        <x:v>Moderate deficit</x:v>
      </x:c>
    </x:row>
    <x:row r="238">
      <x:c r="A238" t="n">
        <x:v>179</x:v>
      </x:c>
      <x:c r="B238" t="str">
        <x:v>PRIMARY SCHOOL NO 1 TOWN AREA DANKAUR ROOM NO 1</x:v>
      </x:c>
      <x:c r="C238" s="83" t="n">
        <x:f>'2022 Form20'!H187</x:f>
        <x:v>295</x:v>
      </x:c>
      <x:c r="D238" s="83" t="n">
        <x:f>'2022 Form20'!D187</x:f>
        <x:v>631</x:v>
      </x:c>
      <x:c r="E238" s="50" t="n">
        <x:f>'2022 Form20'!T187</x:f>
        <x:v>0.4675118858954041</x:v>
      </x:c>
      <x:c r="F238" t="n">
        <x:f>'2022 Form20'!U187</x:f>
        <x:v>296</x:v>
      </x:c>
      <x:c r="G238" t="n">
        <x:f>'2022 Form20'!V187</x:f>
        <x:v>-1</x:v>
      </x:c>
      <x:c r="H238" s="52" t="n">
        <x:f>'2022 Form20'!W187</x:f>
        <x:v>-0.001584786053882726</x:v>
      </x:c>
      <x:c r="I238" t="str">
        <x:v>DHIRENDRA SINGH</x:v>
      </x:c>
      <x:c r="J238" t="str">
        <x:v>Bharatiya Janata Party</x:v>
      </x:c>
      <x:c r="K238" t="str">
        <x:v>EVM row</x:v>
      </x:c>
      <x:c r="L238" s="133" t="str">
        <x:f>IF(D238&lt;=0,"No EVM votes",IF(E238&lt;$N$7,"Low",IF(E238&gt;$R$7,"High","Middle")))</x:f>
        <x:v>High</x:v>
      </x:c>
      <x:c r="M238" s="133" t="str">
        <x:f>IF(D238&lt;=0,"No EVM votes",IF(H238&lt;-20%,"Large deficit",IF(H238&lt;-5%,"Moderate deficit",IF(H238&lt;0,"Narrow deficit",IF(H238&lt;=5%,"Narrow lead/tie",IF(H238&lt;=20%,"Moderate lead","Large lead"))))))</x:f>
        <x:v>Narrow deficit</x:v>
      </x:c>
    </x:row>
    <x:row r="239">
      <x:c r="A239" t="n">
        <x:v>180</x:v>
      </x:c>
      <x:c r="B239" t="str">
        <x:v>PRIMARY SCHOOL NO 1 TOWN AREA DANKAUR ROOM NO 2</x:v>
      </x:c>
      <x:c r="C239" s="83" t="n">
        <x:f>'2022 Form20'!H188</x:f>
        <x:v>79</x:v>
      </x:c>
      <x:c r="D239" s="83" t="n">
        <x:f>'2022 Form20'!D188</x:f>
        <x:v>444</x:v>
      </x:c>
      <x:c r="E239" s="50" t="n">
        <x:f>'2022 Form20'!T188</x:f>
        <x:v>0.17792792792792791</x:v>
      </x:c>
      <x:c r="F239" t="n">
        <x:f>'2022 Form20'!U188</x:f>
        <x:v>344</x:v>
      </x:c>
      <x:c r="G239" t="n">
        <x:f>'2022 Form20'!V188</x:f>
        <x:v>-265</x:v>
      </x:c>
      <x:c r="H239" s="52" t="n">
        <x:f>'2022 Form20'!W188</x:f>
        <x:v>-0.5968468468468469</x:v>
      </x:c>
      <x:c r="I239" t="str">
        <x:v>DHIRENDRA SINGH</x:v>
      </x:c>
      <x:c r="J239" t="str">
        <x:v>Bharatiya Janata Party</x:v>
      </x:c>
      <x:c r="K239" t="str">
        <x:v>EVM row</x:v>
      </x:c>
      <x:c r="L239" s="133" t="str">
        <x:f>IF(D239&lt;=0,"No EVM votes",IF(E239&lt;$N$7,"Low",IF(E239&gt;$R$7,"High","Middle")))</x:f>
        <x:v>Middle</x:v>
      </x:c>
      <x:c r="M239" s="133" t="str">
        <x:f>IF(D239&lt;=0,"No EVM votes",IF(H239&lt;-20%,"Large deficit",IF(H239&lt;-5%,"Moderate deficit",IF(H239&lt;0,"Narrow deficit",IF(H239&lt;=5%,"Narrow lead/tie",IF(H239&lt;=20%,"Moderate lead","Large lead"))))))</x:f>
        <x:v>Large deficit</x:v>
      </x:c>
    </x:row>
    <x:row r="240">
      <x:c r="A240" t="n">
        <x:v>181</x:v>
      </x:c>
      <x:c r="B240" t="str">
        <x:v>PRIMARY SCHOOL NO 1 TOWN AREA DANKAUR ROOM NO 3</x:v>
      </x:c>
      <x:c r="C240" s="83" t="n">
        <x:f>'2022 Form20'!H189</x:f>
        <x:v>70</x:v>
      </x:c>
      <x:c r="D240" s="83" t="n">
        <x:f>'2022 Form20'!D189</x:f>
        <x:v>363</x:v>
      </x:c>
      <x:c r="E240" s="50" t="n">
        <x:f>'2022 Form20'!T189</x:f>
        <x:v>0.1928374655647383</x:v>
      </x:c>
      <x:c r="F240" t="n">
        <x:f>'2022 Form20'!U189</x:f>
        <x:v>271</x:v>
      </x:c>
      <x:c r="G240" t="n">
        <x:f>'2022 Form20'!V189</x:f>
        <x:v>-201</x:v>
      </x:c>
      <x:c r="H240" s="52" t="n">
        <x:f>'2022 Form20'!W189</x:f>
        <x:v>-0.5537190082644629</x:v>
      </x:c>
      <x:c r="I240" t="str">
        <x:v>DHIRENDRA SINGH</x:v>
      </x:c>
      <x:c r="J240" t="str">
        <x:v>Bharatiya Janata Party</x:v>
      </x:c>
      <x:c r="K240" t="str">
        <x:v>EVM row</x:v>
      </x:c>
      <x:c r="L240" s="133" t="str">
        <x:f>IF(D240&lt;=0,"No EVM votes",IF(E240&lt;$N$7,"Low",IF(E240&gt;$R$7,"High","Middle")))</x:f>
        <x:v>Middle</x:v>
      </x:c>
      <x:c r="M240" s="133" t="str">
        <x:f>IF(D240&lt;=0,"No EVM votes",IF(H240&lt;-20%,"Large deficit",IF(H240&lt;-5%,"Moderate deficit",IF(H240&lt;0,"Narrow deficit",IF(H240&lt;=5%,"Narrow lead/tie",IF(H240&lt;=20%,"Moderate lead","Large lead"))))))</x:f>
        <x:v>Large deficit</x:v>
      </x:c>
    </x:row>
    <x:row r="241">
      <x:c r="A241" t="n">
        <x:v>182</x:v>
      </x:c>
      <x:c r="B241" t="str">
        <x:v>KISAN ADHYATMIK INTER COLLEGE DANKAUR ROOM NO. 1</x:v>
      </x:c>
      <x:c r="C241" s="83" t="n">
        <x:f>'2022 Form20'!H190</x:f>
        <x:v>169</x:v>
      </x:c>
      <x:c r="D241" s="83" t="n">
        <x:f>'2022 Form20'!D190</x:f>
        <x:v>371</x:v>
      </x:c>
      <x:c r="E241" s="50" t="n">
        <x:f>'2022 Form20'!T190</x:f>
        <x:v>0.4555256064690027</x:v>
      </x:c>
      <x:c r="F241" t="n">
        <x:f>'2022 Form20'!U190</x:f>
        <x:v>120</x:v>
      </x:c>
      <x:c r="G241" t="n">
        <x:f>'2022 Form20'!V190</x:f>
        <x:v>49</x:v>
      </x:c>
      <x:c r="H241" s="52" t="n">
        <x:f>'2022 Form20'!W190</x:f>
        <x:v>0.1320754716981132</x:v>
      </x:c>
      <x:c r="I241" t="str">
        <x:v>AVTAR SINGH BHADANA</x:v>
      </x:c>
      <x:c r="J241" t="str">
        <x:v>Rashtriya Lok Dal</x:v>
      </x:c>
      <x:c r="K241" t="str">
        <x:v>EVM row</x:v>
      </x:c>
      <x:c r="L241" s="133" t="str">
        <x:f>IF(D241&lt;=0,"No EVM votes",IF(E241&lt;$N$7,"Low",IF(E241&gt;$R$7,"High","Middle")))</x:f>
        <x:v>High</x:v>
      </x:c>
      <x:c r="M241" s="133" t="str">
        <x:f>IF(D241&lt;=0,"No EVM votes",IF(H241&lt;-20%,"Large deficit",IF(H241&lt;-5%,"Moderate deficit",IF(H241&lt;0,"Narrow deficit",IF(H241&lt;=5%,"Narrow lead/tie",IF(H241&lt;=20%,"Moderate lead","Large lead"))))))</x:f>
        <x:v>Moderate lead</x:v>
      </x:c>
    </x:row>
    <x:row r="242">
      <x:c r="A242" t="n">
        <x:v>183</x:v>
      </x:c>
      <x:c r="B242" t="str">
        <x:v>KISAN ADHYATMIK INTER COLLEGE DANKAUR ROOM NO. 2</x:v>
      </x:c>
      <x:c r="C242" s="83" t="n">
        <x:f>'2022 Form20'!H191</x:f>
        <x:v>221</x:v>
      </x:c>
      <x:c r="D242" s="83" t="n">
        <x:f>'2022 Form20'!D191</x:f>
        <x:v>380</x:v>
      </x:c>
      <x:c r="E242" s="50" t="n">
        <x:f>'2022 Form20'!T191</x:f>
        <x:v>0.5815789473684211</x:v>
      </x:c>
      <x:c r="F242" t="n">
        <x:f>'2022 Form20'!U191</x:f>
        <x:v>116</x:v>
      </x:c>
      <x:c r="G242" t="n">
        <x:f>'2022 Form20'!V191</x:f>
        <x:v>105</x:v>
      </x:c>
      <x:c r="H242" s="52" t="n">
        <x:f>'2022 Form20'!W191</x:f>
        <x:v>0.27631578947368424</x:v>
      </x:c>
      <x:c r="I242" t="str">
        <x:v>AVTAR SINGH BHADANA</x:v>
      </x:c>
      <x:c r="J242" t="str">
        <x:v>Rashtriya Lok Dal</x:v>
      </x:c>
      <x:c r="K242" t="str">
        <x:v>EVM row</x:v>
      </x:c>
      <x:c r="L242" s="133" t="str">
        <x:f>IF(D242&lt;=0,"No EVM votes",IF(E242&lt;$N$7,"Low",IF(E242&gt;$R$7,"High","Middle")))</x:f>
        <x:v>High</x:v>
      </x:c>
      <x:c r="M242" s="133" t="str">
        <x:f>IF(D242&lt;=0,"No EVM votes",IF(H242&lt;-20%,"Large deficit",IF(H242&lt;-5%,"Moderate deficit",IF(H242&lt;0,"Narrow deficit",IF(H242&lt;=5%,"Narrow lead/tie",IF(H242&lt;=20%,"Moderate lead","Large lead"))))))</x:f>
        <x:v>Large lead</x:v>
      </x:c>
    </x:row>
    <x:row r="243">
      <x:c r="A243" t="n">
        <x:v>184</x:v>
      </x:c>
      <x:c r="B243" t="str">
        <x:v>KISAN ADHYATMIK INTER COLLEGE DANKAUR ROOM NO. 3</x:v>
      </x:c>
      <x:c r="C243" s="83" t="n">
        <x:f>'2022 Form20'!H192</x:f>
        <x:v>245</x:v>
      </x:c>
      <x:c r="D243" s="83" t="n">
        <x:f>'2022 Form20'!D192</x:f>
        <x:v>347</x:v>
      </x:c>
      <x:c r="E243" s="50" t="n">
        <x:f>'2022 Form20'!T192</x:f>
        <x:v>0.7060518731988472</x:v>
      </x:c>
      <x:c r="F243" t="n">
        <x:f>'2022 Form20'!U192</x:f>
        <x:v>68</x:v>
      </x:c>
      <x:c r="G243" t="n">
        <x:f>'2022 Form20'!V192</x:f>
        <x:v>177</x:v>
      </x:c>
      <x:c r="H243" s="52" t="n">
        <x:f>'2022 Form20'!W192</x:f>
        <x:v>0.5100864553314121</x:v>
      </x:c>
      <x:c r="I243" t="str">
        <x:v>AVTAR SINGH BHADANA</x:v>
      </x:c>
      <x:c r="J243" t="str">
        <x:v>Rashtriya Lok Dal</x:v>
      </x:c>
      <x:c r="K243" t="str">
        <x:v>EVM row</x:v>
      </x:c>
      <x:c r="L243" s="133" t="str">
        <x:f>IF(D243&lt;=0,"No EVM votes",IF(E243&lt;$N$7,"Low",IF(E243&gt;$R$7,"High","Middle")))</x:f>
        <x:v>High</x:v>
      </x:c>
      <x:c r="M243" s="133" t="str">
        <x:f>IF(D243&lt;=0,"No EVM votes",IF(H243&lt;-20%,"Large deficit",IF(H243&lt;-5%,"Moderate deficit",IF(H243&lt;0,"Narrow deficit",IF(H243&lt;=5%,"Narrow lead/tie",IF(H243&lt;=20%,"Moderate lead","Large lead"))))))</x:f>
        <x:v>Large lead</x:v>
      </x:c>
    </x:row>
    <x:row r="244">
      <x:c r="A244" t="n">
        <x:v>185</x:v>
      </x:c>
      <x:c r="B244" t="str">
        <x:v>PRIMARY SCHOOL GUNPURA ROOM NO 1</x:v>
      </x:c>
      <x:c r="C244" s="83" t="n">
        <x:f>'2022 Form20'!H193</x:f>
        <x:v>176</x:v>
      </x:c>
      <x:c r="D244" s="83" t="n">
        <x:f>'2022 Form20'!D193</x:f>
        <x:v>298</x:v>
      </x:c>
      <x:c r="E244" s="50" t="n">
        <x:f>'2022 Form20'!T193</x:f>
        <x:v>0.5906040268456376</x:v>
      </x:c>
      <x:c r="F244" t="n">
        <x:f>'2022 Form20'!U193</x:f>
        <x:v>71</x:v>
      </x:c>
      <x:c r="G244" t="n">
        <x:f>'2022 Form20'!V193</x:f>
        <x:v>105</x:v>
      </x:c>
      <x:c r="H244" s="52" t="n">
        <x:f>'2022 Form20'!W193</x:f>
        <x:v>0.3523489932885906</x:v>
      </x:c>
      <x:c r="I244" t="str">
        <x:v>AVTAR SINGH BHADANA</x:v>
      </x:c>
      <x:c r="J244" t="str">
        <x:v>Rashtriya Lok Dal</x:v>
      </x:c>
      <x:c r="K244" t="str">
        <x:v>EVM row</x:v>
      </x:c>
      <x:c r="L244" s="133" t="str">
        <x:f>IF(D244&lt;=0,"No EVM votes",IF(E244&lt;$N$7,"Low",IF(E244&gt;$R$7,"High","Middle")))</x:f>
        <x:v>High</x:v>
      </x:c>
      <x:c r="M244" s="133" t="str">
        <x:f>IF(D244&lt;=0,"No EVM votes",IF(H244&lt;-20%,"Large deficit",IF(H244&lt;-5%,"Moderate deficit",IF(H244&lt;0,"Narrow deficit",IF(H244&lt;=5%,"Narrow lead/tie",IF(H244&lt;=20%,"Moderate lead","Large lead"))))))</x:f>
        <x:v>Large lead</x:v>
      </x:c>
    </x:row>
    <x:row r="245">
      <x:c r="A245" t="n">
        <x:v>186</x:v>
      </x:c>
      <x:c r="B245" t="str">
        <x:v>PRIMARY SCHOOL ATTA GUJRAN ROOM NO. 1</x:v>
      </x:c>
      <x:c r="C245" s="83" t="n">
        <x:f>'2022 Form20'!H194</x:f>
        <x:v>410</x:v>
      </x:c>
      <x:c r="D245" s="83" t="n">
        <x:f>'2022 Form20'!D194</x:f>
        <x:v>627</x:v>
      </x:c>
      <x:c r="E245" s="50" t="n">
        <x:f>'2022 Form20'!T194</x:f>
        <x:v>0.6539074960127592</x:v>
      </x:c>
      <x:c r="F245" t="n">
        <x:f>'2022 Form20'!U194</x:f>
        <x:v>160</x:v>
      </x:c>
      <x:c r="G245" t="n">
        <x:f>'2022 Form20'!V194</x:f>
        <x:v>250</x:v>
      </x:c>
      <x:c r="H245" s="52" t="n">
        <x:f>'2022 Form20'!W194</x:f>
        <x:v>0.39872408293460926</x:v>
      </x:c>
      <x:c r="I245" t="str">
        <x:v>AVTAR SINGH BHADANA</x:v>
      </x:c>
      <x:c r="J245" t="str">
        <x:v>Rashtriya Lok Dal</x:v>
      </x:c>
      <x:c r="K245" t="str">
        <x:v>EVM row</x:v>
      </x:c>
      <x:c r="L245" s="133" t="str">
        <x:f>IF(D245&lt;=0,"No EVM votes",IF(E245&lt;$N$7,"Low",IF(E245&gt;$R$7,"High","Middle")))</x:f>
        <x:v>High</x:v>
      </x:c>
      <x:c r="M245" s="133" t="str">
        <x:f>IF(D245&lt;=0,"No EVM votes",IF(H245&lt;-20%,"Large deficit",IF(H245&lt;-5%,"Moderate deficit",IF(H245&lt;0,"Narrow deficit",IF(H245&lt;=5%,"Narrow lead/tie",IF(H245&lt;=20%,"Moderate lead","Large lead"))))))</x:f>
        <x:v>Large lead</x:v>
      </x:c>
    </x:row>
    <x:row r="246">
      <x:c r="A246" t="n">
        <x:v>187</x:v>
      </x:c>
      <x:c r="B246" t="str">
        <x:v>PRIMARY SCHOOL ATTA GUJRAN ROOM NO. 2</x:v>
      </x:c>
      <x:c r="C246" s="83" t="n">
        <x:f>'2022 Form20'!H195</x:f>
        <x:v>154</x:v>
      </x:c>
      <x:c r="D246" s="83" t="n">
        <x:f>'2022 Form20'!D195</x:f>
        <x:v>524</x:v>
      </x:c>
      <x:c r="E246" s="50" t="n">
        <x:f>'2022 Form20'!T195</x:f>
        <x:v>0.29389312977099236</x:v>
      </x:c>
      <x:c r="F246" t="n">
        <x:f>'2022 Form20'!U195</x:f>
        <x:v>301</x:v>
      </x:c>
      <x:c r="G246" t="n">
        <x:f>'2022 Form20'!V195</x:f>
        <x:v>-147</x:v>
      </x:c>
      <x:c r="H246" s="52" t="n">
        <x:f>'2022 Form20'!W195</x:f>
        <x:v>-0.28053435114503816</x:v>
      </x:c>
      <x:c r="I246" t="str">
        <x:v>NARENDER KUMAR</x:v>
      </x:c>
      <x:c r="J246" t="str">
        <x:v>Bahujan Samaj Party</x:v>
      </x:c>
      <x:c r="K246" t="str">
        <x:v>EVM row</x:v>
      </x:c>
      <x:c r="L246" s="133" t="str">
        <x:f>IF(D246&lt;=0,"No EVM votes",IF(E246&lt;$N$7,"Low",IF(E246&gt;$R$7,"High","Middle")))</x:f>
        <x:v>Middle</x:v>
      </x:c>
      <x:c r="M246" s="133" t="str">
        <x:f>IF(D246&lt;=0,"No EVM votes",IF(H246&lt;-20%,"Large deficit",IF(H246&lt;-5%,"Moderate deficit",IF(H246&lt;0,"Narrow deficit",IF(H246&lt;=5%,"Narrow lead/tie",IF(H246&lt;=20%,"Moderate lead","Large lead"))))))</x:f>
        <x:v>Large deficit</x:v>
      </x:c>
    </x:row>
    <x:row r="247">
      <x:c r="A247" t="n">
        <x:v>188</x:v>
      </x:c>
      <x:c r="B247" t="str">
        <x:v>PRIMARY SCHOOL ATTA GUJRAN ROOM NO. 3</x:v>
      </x:c>
      <x:c r="C247" s="83" t="n">
        <x:f>'2022 Form20'!H196</x:f>
        <x:v>112</x:v>
      </x:c>
      <x:c r="D247" s="83" t="n">
        <x:f>'2022 Form20'!D196</x:f>
        <x:v>501</x:v>
      </x:c>
      <x:c r="E247" s="50" t="n">
        <x:f>'2022 Form20'!T196</x:f>
        <x:v>0.22355289421157684</x:v>
      </x:c>
      <x:c r="F247" t="n">
        <x:f>'2022 Form20'!U196</x:f>
        <x:v>311</x:v>
      </x:c>
      <x:c r="G247" t="n">
        <x:f>'2022 Form20'!V196</x:f>
        <x:v>-199</x:v>
      </x:c>
      <x:c r="H247" s="52" t="n">
        <x:f>'2022 Form20'!W196</x:f>
        <x:v>-0.3972055888223553</x:v>
      </x:c>
      <x:c r="I247" t="str">
        <x:v>NARENDER KUMAR</x:v>
      </x:c>
      <x:c r="J247" t="str">
        <x:v>Bahujan Samaj Party</x:v>
      </x:c>
      <x:c r="K247" t="str">
        <x:v>EVM row</x:v>
      </x:c>
      <x:c r="L247" s="133" t="str">
        <x:f>IF(D247&lt;=0,"No EVM votes",IF(E247&lt;$N$7,"Low",IF(E247&gt;$R$7,"High","Middle")))</x:f>
        <x:v>Middle</x:v>
      </x:c>
      <x:c r="M247" s="133" t="str">
        <x:f>IF(D247&lt;=0,"No EVM votes",IF(H247&lt;-20%,"Large deficit",IF(H247&lt;-5%,"Moderate deficit",IF(H247&lt;0,"Narrow deficit",IF(H247&lt;=5%,"Narrow lead/tie",IF(H247&lt;=20%,"Moderate lead","Large lead"))))))</x:f>
        <x:v>Large deficit</x:v>
      </x:c>
    </x:row>
    <x:row r="248">
      <x:c r="A248" t="n">
        <x:v>189</x:v>
      </x:c>
      <x:c r="B248" t="str">
        <x:v>PRIMARY SCHOOL JAGANPUR AFZALPUR ROOM NO 1</x:v>
      </x:c>
      <x:c r="C248" s="83" t="n">
        <x:f>'2022 Form20'!H197</x:f>
        <x:v>221</x:v>
      </x:c>
      <x:c r="D248" s="83" t="n">
        <x:f>'2022 Form20'!D197</x:f>
        <x:v>470</x:v>
      </x:c>
      <x:c r="E248" s="50" t="n">
        <x:f>'2022 Form20'!T197</x:f>
        <x:v>0.4702127659574468</x:v>
      </x:c>
      <x:c r="F248" t="n">
        <x:f>'2022 Form20'!U197</x:f>
        <x:v>132</x:v>
      </x:c>
      <x:c r="G248" t="n">
        <x:f>'2022 Form20'!V197</x:f>
        <x:v>89</x:v>
      </x:c>
      <x:c r="H248" s="52" t="n">
        <x:f>'2022 Form20'!W197</x:f>
        <x:v>0.18936170212765957</x:v>
      </x:c>
      <x:c r="I248" t="str">
        <x:v>AVTAR SINGH BHADANA</x:v>
      </x:c>
      <x:c r="J248" t="str">
        <x:v>Rashtriya Lok Dal</x:v>
      </x:c>
      <x:c r="K248" t="str">
        <x:v>EVM row</x:v>
      </x:c>
      <x:c r="L248" s="133" t="str">
        <x:f>IF(D248&lt;=0,"No EVM votes",IF(E248&lt;$N$7,"Low",IF(E248&gt;$R$7,"High","Middle")))</x:f>
        <x:v>High</x:v>
      </x:c>
      <x:c r="M248" s="133" t="str">
        <x:f>IF(D248&lt;=0,"No EVM votes",IF(H248&lt;-20%,"Large deficit",IF(H248&lt;-5%,"Moderate deficit",IF(H248&lt;0,"Narrow deficit",IF(H248&lt;=5%,"Narrow lead/tie",IF(H248&lt;=20%,"Moderate lead","Large lead"))))))</x:f>
        <x:v>Moderate lead</x:v>
      </x:c>
    </x:row>
    <x:row r="249">
      <x:c r="A249" t="n">
        <x:v>190</x:v>
      </x:c>
      <x:c r="B249" t="str">
        <x:v>PRIMARY SCHOOL AURANGPUR ROOM NO 1</x:v>
      </x:c>
      <x:c r="C249" s="83" t="n">
        <x:f>'2022 Form20'!H198</x:f>
        <x:v>365</x:v>
      </x:c>
      <x:c r="D249" s="83" t="n">
        <x:f>'2022 Form20'!D198</x:f>
        <x:v>652</x:v>
      </x:c>
      <x:c r="E249" s="50" t="n">
        <x:f>'2022 Form20'!T198</x:f>
        <x:v>0.5598159509202454</x:v>
      </x:c>
      <x:c r="F249" t="n">
        <x:f>'2022 Form20'!U198</x:f>
        <x:v>119</x:v>
      </x:c>
      <x:c r="G249" t="n">
        <x:f>'2022 Form20'!V198</x:f>
        <x:v>246</x:v>
      </x:c>
      <x:c r="H249" s="52" t="n">
        <x:f>'2022 Form20'!W198</x:f>
        <x:v>0.3773006134969325</x:v>
      </x:c>
      <x:c r="I249" t="str">
        <x:v>AVTAR SINGH BHADANA</x:v>
      </x:c>
      <x:c r="J249" t="str">
        <x:v>Rashtriya Lok Dal</x:v>
      </x:c>
      <x:c r="K249" t="str">
        <x:v>EVM row</x:v>
      </x:c>
      <x:c r="L249" s="133" t="str">
        <x:f>IF(D249&lt;=0,"No EVM votes",IF(E249&lt;$N$7,"Low",IF(E249&gt;$R$7,"High","Middle")))</x:f>
        <x:v>High</x:v>
      </x:c>
      <x:c r="M249" s="133" t="str">
        <x:f>IF(D249&lt;=0,"No EVM votes",IF(H249&lt;-20%,"Large deficit",IF(H249&lt;-5%,"Moderate deficit",IF(H249&lt;0,"Narrow deficit",IF(H249&lt;=5%,"Narrow lead/tie",IF(H249&lt;=20%,"Moderate lead","Large lead"))))))</x:f>
        <x:v>Large lead</x:v>
      </x:c>
    </x:row>
    <x:row r="250">
      <x:c r="A250" t="n">
        <x:v>191</x:v>
      </x:c>
      <x:c r="B250" t="str">
        <x:v>PRIMARY SCHOOL FATEHPUR ATTA ROOM NO. 1</x:v>
      </x:c>
      <x:c r="C250" s="83" t="n">
        <x:f>'2022 Form20'!H199</x:f>
        <x:v>274</x:v>
      </x:c>
      <x:c r="D250" s="83" t="n">
        <x:f>'2022 Form20'!D199</x:f>
        <x:v>586</x:v>
      </x:c>
      <x:c r="E250" s="50" t="n">
        <x:f>'2022 Form20'!T199</x:f>
        <x:v>0.46757679180887374</x:v>
      </x:c>
      <x:c r="F250" t="n">
        <x:f>'2022 Form20'!U199</x:f>
        <x:v>254</x:v>
      </x:c>
      <x:c r="G250" t="n">
        <x:f>'2022 Form20'!V199</x:f>
        <x:v>20</x:v>
      </x:c>
      <x:c r="H250" s="52" t="n">
        <x:f>'2022 Form20'!W199</x:f>
        <x:v>0.034129692832764506</x:v>
      </x:c>
      <x:c r="I250" t="str">
        <x:v>AVTAR SINGH BHADANA</x:v>
      </x:c>
      <x:c r="J250" t="str">
        <x:v>Rashtriya Lok Dal</x:v>
      </x:c>
      <x:c r="K250" t="str">
        <x:v>EVM row</x:v>
      </x:c>
      <x:c r="L250" s="133" t="str">
        <x:f>IF(D250&lt;=0,"No EVM votes",IF(E250&lt;$N$7,"Low",IF(E250&gt;$R$7,"High","Middle")))</x:f>
        <x:v>High</x:v>
      </x:c>
      <x:c r="M250" s="133" t="str">
        <x:f>IF(D250&lt;=0,"No EVM votes",IF(H250&lt;-20%,"Large deficit",IF(H250&lt;-5%,"Moderate deficit",IF(H250&lt;0,"Narrow deficit",IF(H250&lt;=5%,"Narrow lead/tie",IF(H250&lt;=20%,"Moderate lead","Large lead"))))))</x:f>
        <x:v>Narrow lead/tie</x:v>
      </x:c>
    </x:row>
    <x:row r="251">
      <x:c r="A251" t="n">
        <x:v>192</x:v>
      </x:c>
      <x:c r="B251" t="str">
        <x:v>PRIMARY SCHOOL FATEHPUR ATTA ROOM NO. 2</x:v>
      </x:c>
      <x:c r="C251" s="83" t="n">
        <x:f>'2022 Form20'!H200</x:f>
        <x:v>462</x:v>
      </x:c>
      <x:c r="D251" s="83" t="n">
        <x:f>'2022 Form20'!D200</x:f>
        <x:v>645</x:v>
      </x:c>
      <x:c r="E251" s="50" t="n">
        <x:f>'2022 Form20'!T200</x:f>
        <x:v>0.7162790697674418</x:v>
      </x:c>
      <x:c r="F251" t="n">
        <x:f>'2022 Form20'!U200</x:f>
        <x:v>141</x:v>
      </x:c>
      <x:c r="G251" t="n">
        <x:f>'2022 Form20'!V200</x:f>
        <x:v>321</x:v>
      </x:c>
      <x:c r="H251" s="52" t="n">
        <x:f>'2022 Form20'!W200</x:f>
        <x:v>0.49767441860465117</x:v>
      </x:c>
      <x:c r="I251" t="str">
        <x:v>AVTAR SINGH BHADANA</x:v>
      </x:c>
      <x:c r="J251" t="str">
        <x:v>Rashtriya Lok Dal</x:v>
      </x:c>
      <x:c r="K251" t="str">
        <x:v>EVM row</x:v>
      </x:c>
      <x:c r="L251" s="133" t="str">
        <x:f>IF(D251&lt;=0,"No EVM votes",IF(E251&lt;$N$7,"Low",IF(E251&gt;$R$7,"High","Middle")))</x:f>
        <x:v>High</x:v>
      </x:c>
      <x:c r="M251" s="133" t="str">
        <x:f>IF(D251&lt;=0,"No EVM votes",IF(H251&lt;-20%,"Large deficit",IF(H251&lt;-5%,"Moderate deficit",IF(H251&lt;0,"Narrow deficit",IF(H251&lt;=5%,"Narrow lead/tie",IF(H251&lt;=20%,"Moderate lead","Large lead"))))))</x:f>
        <x:v>Large lead</x:v>
      </x:c>
    </x:row>
    <x:row r="252">
      <x:c r="A252" t="n">
        <x:v>193</x:v>
      </x:c>
      <x:c r="B252" t="str">
        <x:v>PRIMARY SCHOOL FATEHPUR ATTA ROOM NO. 3</x:v>
      </x:c>
      <x:c r="C252" s="83" t="n">
        <x:f>'2022 Form20'!H201</x:f>
        <x:v>261</x:v>
      </x:c>
      <x:c r="D252" s="83" t="n">
        <x:f>'2022 Form20'!D201</x:f>
        <x:v>431</x:v>
      </x:c>
      <x:c r="E252" s="50" t="n">
        <x:f>'2022 Form20'!T201</x:f>
        <x:v>0.605568445475638</x:v>
      </x:c>
      <x:c r="F252" t="n">
        <x:f>'2022 Form20'!U201</x:f>
        <x:v>103</x:v>
      </x:c>
      <x:c r="G252" t="n">
        <x:f>'2022 Form20'!V201</x:f>
        <x:v>158</x:v>
      </x:c>
      <x:c r="H252" s="52" t="n">
        <x:f>'2022 Form20'!W201</x:f>
        <x:v>0.3665893271461717</x:v>
      </x:c>
      <x:c r="I252" t="str">
        <x:v>AVTAR SINGH BHADANA</x:v>
      </x:c>
      <x:c r="J252" t="str">
        <x:v>Rashtriya Lok Dal</x:v>
      </x:c>
      <x:c r="K252" t="str">
        <x:v>EVM row</x:v>
      </x:c>
      <x:c r="L252" s="133" t="str">
        <x:f>IF(D252&lt;=0,"No EVM votes",IF(E252&lt;$N$7,"Low",IF(E252&gt;$R$7,"High","Middle")))</x:f>
        <x:v>High</x:v>
      </x:c>
      <x:c r="M252" s="133" t="str">
        <x:f>IF(D252&lt;=0,"No EVM votes",IF(H252&lt;-20%,"Large deficit",IF(H252&lt;-5%,"Moderate deficit",IF(H252&lt;0,"Narrow deficit",IF(H252&lt;=5%,"Narrow lead/tie",IF(H252&lt;=20%,"Moderate lead","Large lead"))))))</x:f>
        <x:v>Large lead</x:v>
      </x:c>
    </x:row>
    <x:row r="253">
      <x:c r="A253" t="n">
        <x:v>194</x:v>
      </x:c>
      <x:c r="B253" t="str">
        <x:v>PRIMARY SCHOOL SALARPUR ROOM NO 1</x:v>
      </x:c>
      <x:c r="C253" s="83" t="n">
        <x:f>'2022 Form20'!H202</x:f>
        <x:v>135</x:v>
      </x:c>
      <x:c r="D253" s="83" t="n">
        <x:f>'2022 Form20'!D202</x:f>
        <x:v>558</x:v>
      </x:c>
      <x:c r="E253" s="50" t="n">
        <x:f>'2022 Form20'!T202</x:f>
        <x:v>0.24193548387096775</x:v>
      </x:c>
      <x:c r="F253" t="n">
        <x:f>'2022 Form20'!U202</x:f>
        <x:v>231</x:v>
      </x:c>
      <x:c r="G253" t="n">
        <x:f>'2022 Form20'!V202</x:f>
        <x:v>-96</x:v>
      </x:c>
      <x:c r="H253" s="52" t="n">
        <x:f>'2022 Form20'!W202</x:f>
        <x:v>-0.17204301075268819</x:v>
      </x:c>
      <x:c r="I253" t="str">
        <x:v>DHIRENDRA SINGH</x:v>
      </x:c>
      <x:c r="J253" t="str">
        <x:v>Bharatiya Janata Party</x:v>
      </x:c>
      <x:c r="K253" t="str">
        <x:v>EVM row</x:v>
      </x:c>
      <x:c r="L253" s="133" t="str">
        <x:f>IF(D253&lt;=0,"No EVM votes",IF(E253&lt;$N$7,"Low",IF(E253&gt;$R$7,"High","Middle")))</x:f>
        <x:v>Middle</x:v>
      </x:c>
      <x:c r="M253" s="133" t="str">
        <x:f>IF(D253&lt;=0,"No EVM votes",IF(H253&lt;-20%,"Large deficit",IF(H253&lt;-5%,"Moderate deficit",IF(H253&lt;0,"Narrow deficit",IF(H253&lt;=5%,"Narrow lead/tie",IF(H253&lt;=20%,"Moderate lead","Large lead"))))))</x:f>
        <x:v>Moderate deficit</x:v>
      </x:c>
    </x:row>
    <x:row r="254">
      <x:c r="A254" t="n">
        <x:v>195</x:v>
      </x:c>
      <x:c r="B254" t="str">
        <x:v>PRIMARY SCHOOL SALARPUR ROOM NO 2</x:v>
      </x:c>
      <x:c r="C254" s="83" t="n">
        <x:f>'2022 Form20'!H203</x:f>
        <x:v>263</x:v>
      </x:c>
      <x:c r="D254" s="83" t="n">
        <x:f>'2022 Form20'!D203</x:f>
        <x:v>467</x:v>
      </x:c>
      <x:c r="E254" s="50" t="n">
        <x:f>'2022 Form20'!T203</x:f>
        <x:v>0.563169164882227</x:v>
      </x:c>
      <x:c r="F254" t="n">
        <x:f>'2022 Form20'!U203</x:f>
        <x:v>117</x:v>
      </x:c>
      <x:c r="G254" t="n">
        <x:f>'2022 Form20'!V203</x:f>
        <x:v>146</x:v>
      </x:c>
      <x:c r="H254" s="52" t="n">
        <x:f>'2022 Form20'!W203</x:f>
        <x:v>0.31263383297644537</x:v>
      </x:c>
      <x:c r="I254" t="str">
        <x:v>AVTAR SINGH BHADANA</x:v>
      </x:c>
      <x:c r="J254" t="str">
        <x:v>Rashtriya Lok Dal</x:v>
      </x:c>
      <x:c r="K254" t="str">
        <x:v>EVM row</x:v>
      </x:c>
      <x:c r="L254" s="133" t="str">
        <x:f>IF(D254&lt;=0,"No EVM votes",IF(E254&lt;$N$7,"Low",IF(E254&gt;$R$7,"High","Middle")))</x:f>
        <x:v>High</x:v>
      </x:c>
      <x:c r="M254" s="133" t="str">
        <x:f>IF(D254&lt;=0,"No EVM votes",IF(H254&lt;-20%,"Large deficit",IF(H254&lt;-5%,"Moderate deficit",IF(H254&lt;0,"Narrow deficit",IF(H254&lt;=5%,"Narrow lead/tie",IF(H254&lt;=20%,"Moderate lead","Large lead"))))))</x:f>
        <x:v>Large lead</x:v>
      </x:c>
    </x:row>
    <x:row r="255">
      <x:c r="A255" t="n">
        <x:v>196</x:v>
      </x:c>
      <x:c r="B255" t="str">
        <x:v>PRIMARY SCHOOL MOOJKHEDA ROOM NO. 1</x:v>
      </x:c>
      <x:c r="C255" s="83" t="n">
        <x:f>'2022 Form20'!H204</x:f>
        <x:v>252</x:v>
      </x:c>
      <x:c r="D255" s="83" t="n">
        <x:f>'2022 Form20'!D204</x:f>
        <x:v>672</x:v>
      </x:c>
      <x:c r="E255" s="50" t="n">
        <x:f>'2022 Form20'!T204</x:f>
        <x:v>0.375</x:v>
      </x:c>
      <x:c r="F255" t="n">
        <x:f>'2022 Form20'!U204</x:f>
        <x:v>372</x:v>
      </x:c>
      <x:c r="G255" t="n">
        <x:f>'2022 Form20'!V204</x:f>
        <x:v>-120</x:v>
      </x:c>
      <x:c r="H255" s="52" t="n">
        <x:f>'2022 Form20'!W204</x:f>
        <x:v>-0.17857142857142858</x:v>
      </x:c>
      <x:c r="I255" t="str">
        <x:v>DHIRENDRA SINGH</x:v>
      </x:c>
      <x:c r="J255" t="str">
        <x:v>Bharatiya Janata Party</x:v>
      </x:c>
      <x:c r="K255" t="str">
        <x:v>EVM row</x:v>
      </x:c>
      <x:c r="L255" s="133" t="str">
        <x:f>IF(D255&lt;=0,"No EVM votes",IF(E255&lt;$N$7,"Low",IF(E255&gt;$R$7,"High","Middle")))</x:f>
        <x:v>High</x:v>
      </x:c>
      <x:c r="M255" s="133" t="str">
        <x:f>IF(D255&lt;=0,"No EVM votes",IF(H255&lt;-20%,"Large deficit",IF(H255&lt;-5%,"Moderate deficit",IF(H255&lt;0,"Narrow deficit",IF(H255&lt;=5%,"Narrow lead/tie",IF(H255&lt;=20%,"Moderate lead","Large lead"))))))</x:f>
        <x:v>Moderate deficit</x:v>
      </x:c>
    </x:row>
    <x:row r="256">
      <x:c r="A256" t="n">
        <x:v>197</x:v>
      </x:c>
      <x:c r="B256" t="str">
        <x:v>PRIMARY SCHOOL BALLUKHERA MAJRA MOONJKHERA ROOM NO. 1</x:v>
      </x:c>
      <x:c r="C256" s="83" t="n">
        <x:f>'2022 Form20'!H205</x:f>
        <x:v>32</x:v>
      </x:c>
      <x:c r="D256" s="83" t="n">
        <x:f>'2022 Form20'!D205</x:f>
        <x:v>738</x:v>
      </x:c>
      <x:c r="E256" s="50" t="n">
        <x:f>'2022 Form20'!T205</x:f>
        <x:v>0.04336043360433604</x:v>
      </x:c>
      <x:c r="F256" t="n">
        <x:f>'2022 Form20'!U205</x:f>
        <x:v>661</x:v>
      </x:c>
      <x:c r="G256" t="n">
        <x:f>'2022 Form20'!V205</x:f>
        <x:v>-629</x:v>
      </x:c>
      <x:c r="H256" s="52" t="n">
        <x:f>'2022 Form20'!W205</x:f>
        <x:v>-0.8523035230352304</x:v>
      </x:c>
      <x:c r="I256" t="str">
        <x:v>NARENDER KUMAR</x:v>
      </x:c>
      <x:c r="J256" t="str">
        <x:v>Bahujan Samaj Party</x:v>
      </x:c>
      <x:c r="K256" t="str">
        <x:v>EVM row</x:v>
      </x:c>
      <x:c r="L256" s="133" t="str">
        <x:f>IF(D256&lt;=0,"No EVM votes",IF(E256&lt;$N$7,"Low",IF(E256&gt;$R$7,"High","Middle")))</x:f>
        <x:v>Low</x:v>
      </x:c>
      <x:c r="M256" s="133" t="str">
        <x:f>IF(D256&lt;=0,"No EVM votes",IF(H256&lt;-20%,"Large deficit",IF(H256&lt;-5%,"Moderate deficit",IF(H256&lt;0,"Narrow deficit",IF(H256&lt;=5%,"Narrow lead/tie",IF(H256&lt;=20%,"Moderate lead","Large lead"))))))</x:f>
        <x:v>Large deficit</x:v>
      </x:c>
    </x:row>
    <x:row r="257">
      <x:c r="A257" t="n">
        <x:v>198</x:v>
      </x:c>
      <x:c r="B257" t="str">
        <x:v>PRIMARY SCHOOL DERIN KHUBAN MAJRA MOONJKHERA ROOM NO 1</x:v>
      </x:c>
      <x:c r="C257" s="83" t="n">
        <x:f>'2022 Form20'!H206</x:f>
        <x:v>289</x:v>
      </x:c>
      <x:c r="D257" s="83" t="n">
        <x:f>'2022 Form20'!D206</x:f>
        <x:v>502</x:v>
      </x:c>
      <x:c r="E257" s="50" t="n">
        <x:f>'2022 Form20'!T206</x:f>
        <x:v>0.5756972111553785</x:v>
      </x:c>
      <x:c r="F257" t="n">
        <x:f>'2022 Form20'!U206</x:f>
        <x:v>151</x:v>
      </x:c>
      <x:c r="G257" t="n">
        <x:f>'2022 Form20'!V206</x:f>
        <x:v>138</x:v>
      </x:c>
      <x:c r="H257" s="52" t="n">
        <x:f>'2022 Form20'!W206</x:f>
        <x:v>0.2749003984063745</x:v>
      </x:c>
      <x:c r="I257" t="str">
        <x:v>AVTAR SINGH BHADANA</x:v>
      </x:c>
      <x:c r="J257" t="str">
        <x:v>Rashtriya Lok Dal</x:v>
      </x:c>
      <x:c r="K257" t="str">
        <x:v>EVM row</x:v>
      </x:c>
      <x:c r="L257" s="133" t="str">
        <x:f>IF(D257&lt;=0,"No EVM votes",IF(E257&lt;$N$7,"Low",IF(E257&gt;$R$7,"High","Middle")))</x:f>
        <x:v>High</x:v>
      </x:c>
      <x:c r="M257" s="133" t="str">
        <x:f>IF(D257&lt;=0,"No EVM votes",IF(H257&lt;-20%,"Large deficit",IF(H257&lt;-5%,"Moderate deficit",IF(H257&lt;0,"Narrow deficit",IF(H257&lt;=5%,"Narrow lead/tie",IF(H257&lt;=20%,"Moderate lead","Large lead"))))))</x:f>
        <x:v>Large lead</x:v>
      </x:c>
    </x:row>
    <x:row r="258">
      <x:c r="A258" t="n">
        <x:v>199</x:v>
      </x:c>
      <x:c r="B258" t="str">
        <x:v>PRIMARY SCHOOL KHERLI BHAV ROOM NO 1</x:v>
      </x:c>
      <x:c r="C258" s="83" t="n">
        <x:f>'2022 Form20'!H207</x:f>
        <x:v>213</x:v>
      </x:c>
      <x:c r="D258" s="83" t="n">
        <x:f>'2022 Form20'!D207</x:f>
        <x:v>805</x:v>
      </x:c>
      <x:c r="E258" s="50" t="n">
        <x:f>'2022 Form20'!T207</x:f>
        <x:v>0.2645962732919255</x:v>
      </x:c>
      <x:c r="F258" t="n">
        <x:f>'2022 Form20'!U207</x:f>
        <x:v>347</x:v>
      </x:c>
      <x:c r="G258" t="n">
        <x:f>'2022 Form20'!V207</x:f>
        <x:v>-134</x:v>
      </x:c>
      <x:c r="H258" s="52" t="n">
        <x:f>'2022 Form20'!W207</x:f>
        <x:v>-0.16645962732919253</x:v>
      </x:c>
      <x:c r="I258" t="str">
        <x:v>DHIRENDRA SINGH</x:v>
      </x:c>
      <x:c r="J258" t="str">
        <x:v>Bharatiya Janata Party</x:v>
      </x:c>
      <x:c r="K258" t="str">
        <x:v>EVM row</x:v>
      </x:c>
      <x:c r="L258" s="133" t="str">
        <x:f>IF(D258&lt;=0,"No EVM votes",IF(E258&lt;$N$7,"Low",IF(E258&gt;$R$7,"High","Middle")))</x:f>
        <x:v>Middle</x:v>
      </x:c>
      <x:c r="M258" s="133" t="str">
        <x:f>IF(D258&lt;=0,"No EVM votes",IF(H258&lt;-20%,"Large deficit",IF(H258&lt;-5%,"Moderate deficit",IF(H258&lt;0,"Narrow deficit",IF(H258&lt;=5%,"Narrow lead/tie",IF(H258&lt;=20%,"Moderate lead","Large lead"))))))</x:f>
        <x:v>Moderate deficit</x:v>
      </x:c>
    </x:row>
    <x:row r="259">
      <x:c r="A259" t="n">
        <x:v>200</x:v>
      </x:c>
      <x:c r="B259" t="str">
        <x:v>PRIMARY SCHOOL KHERLI BHAV ROOM NO 2</x:v>
      </x:c>
      <x:c r="C259" s="83" t="n">
        <x:f>'2022 Form20'!H208</x:f>
        <x:v>189</x:v>
      </x:c>
      <x:c r="D259" s="83" t="n">
        <x:f>'2022 Form20'!D208</x:f>
        <x:v>692</x:v>
      </x:c>
      <x:c r="E259" s="50" t="n">
        <x:f>'2022 Form20'!T208</x:f>
        <x:v>0.273121387283237</x:v>
      </x:c>
      <x:c r="F259" t="n">
        <x:f>'2022 Form20'!U208</x:f>
        <x:v>412</x:v>
      </x:c>
      <x:c r="G259" t="n">
        <x:f>'2022 Form20'!V208</x:f>
        <x:v>-223</x:v>
      </x:c>
      <x:c r="H259" s="52" t="n">
        <x:f>'2022 Form20'!W208</x:f>
        <x:v>-0.3222543352601156</x:v>
      </x:c>
      <x:c r="I259" t="str">
        <x:v>DHIRENDRA SINGH</x:v>
      </x:c>
      <x:c r="J259" t="str">
        <x:v>Bharatiya Janata Party</x:v>
      </x:c>
      <x:c r="K259" t="str">
        <x:v>EVM row</x:v>
      </x:c>
      <x:c r="L259" s="133" t="str">
        <x:f>IF(D259&lt;=0,"No EVM votes",IF(E259&lt;$N$7,"Low",IF(E259&gt;$R$7,"High","Middle")))</x:f>
        <x:v>Middle</x:v>
      </x:c>
      <x:c r="M259" s="133" t="str">
        <x:f>IF(D259&lt;=0,"No EVM votes",IF(H259&lt;-20%,"Large deficit",IF(H259&lt;-5%,"Moderate deficit",IF(H259&lt;0,"Narrow deficit",IF(H259&lt;=5%,"Narrow lead/tie",IF(H259&lt;=20%,"Moderate lead","Large lead"))))))</x:f>
        <x:v>Large deficit</x:v>
      </x:c>
    </x:row>
    <x:row r="260">
      <x:c r="A260" t="n">
        <x:v>201</x:v>
      </x:c>
      <x:c r="B260" t="str">
        <x:v>PRIMARY SCHOOL LATIFPUR ROOM NO 1</x:v>
      </x:c>
      <x:c r="C260" s="83" t="n">
        <x:f>'2022 Form20'!H209</x:f>
        <x:v>62</x:v>
      </x:c>
      <x:c r="D260" s="83" t="n">
        <x:f>'2022 Form20'!D209</x:f>
        <x:v>788</x:v>
      </x:c>
      <x:c r="E260" s="50" t="n">
        <x:f>'2022 Form20'!T209</x:f>
        <x:v>0.07868020304568528</x:v>
      </x:c>
      <x:c r="F260" t="n">
        <x:f>'2022 Form20'!U209</x:f>
        <x:v>490</x:v>
      </x:c>
      <x:c r="G260" t="n">
        <x:f>'2022 Form20'!V209</x:f>
        <x:v>-428</x:v>
      </x:c>
      <x:c r="H260" s="52" t="n">
        <x:f>'2022 Form20'!W209</x:f>
        <x:v>-0.5431472081218274</x:v>
      </x:c>
      <x:c r="I260" t="str">
        <x:v>DHIRENDRA SINGH</x:v>
      </x:c>
      <x:c r="J260" t="str">
        <x:v>Bharatiya Janata Party</x:v>
      </x:c>
      <x:c r="K260" t="str">
        <x:v>EVM row</x:v>
      </x:c>
      <x:c r="L260" s="133" t="str">
        <x:f>IF(D260&lt;=0,"No EVM votes",IF(E260&lt;$N$7,"Low",IF(E260&gt;$R$7,"High","Middle")))</x:f>
        <x:v>Low</x:v>
      </x:c>
      <x:c r="M260" s="133" t="str">
        <x:f>IF(D260&lt;=0,"No EVM votes",IF(H260&lt;-20%,"Large deficit",IF(H260&lt;-5%,"Moderate deficit",IF(H260&lt;0,"Narrow deficit",IF(H260&lt;=5%,"Narrow lead/tie",IF(H260&lt;=20%,"Moderate lead","Large lead"))))))</x:f>
        <x:v>Large deficit</x:v>
      </x:c>
    </x:row>
    <x:row r="261">
      <x:c r="A261" t="n">
        <x:v>202</x:v>
      </x:c>
      <x:c r="B261" t="str">
        <x:v>PRIMARY SCHOOL KADALPUR ROOM NO 1</x:v>
      </x:c>
      <x:c r="C261" s="83" t="n">
        <x:f>'2022 Form20'!H210</x:f>
        <x:v>369</x:v>
      </x:c>
      <x:c r="D261" s="83" t="n">
        <x:f>'2022 Form20'!D210</x:f>
        <x:v>766</x:v>
      </x:c>
      <x:c r="E261" s="50" t="n">
        <x:f>'2022 Form20'!T210</x:f>
        <x:v>0.48172323759791125</x:v>
      </x:c>
      <x:c r="F261" t="n">
        <x:f>'2022 Form20'!U210</x:f>
        <x:v>308</x:v>
      </x:c>
      <x:c r="G261" t="n">
        <x:f>'2022 Form20'!V210</x:f>
        <x:v>61</x:v>
      </x:c>
      <x:c r="H261" s="52" t="n">
        <x:f>'2022 Form20'!W210</x:f>
        <x:v>0.07963446475195822</x:v>
      </x:c>
      <x:c r="I261" t="str">
        <x:v>AVTAR SINGH BHADANA</x:v>
      </x:c>
      <x:c r="J261" t="str">
        <x:v>Rashtriya Lok Dal</x:v>
      </x:c>
      <x:c r="K261" t="str">
        <x:v>EVM row</x:v>
      </x:c>
      <x:c r="L261" s="133" t="str">
        <x:f>IF(D261&lt;=0,"No EVM votes",IF(E261&lt;$N$7,"Low",IF(E261&gt;$R$7,"High","Middle")))</x:f>
        <x:v>High</x:v>
      </x:c>
      <x:c r="M261" s="133" t="str">
        <x:f>IF(D261&lt;=0,"No EVM votes",IF(H261&lt;-20%,"Large deficit",IF(H261&lt;-5%,"Moderate deficit",IF(H261&lt;0,"Narrow deficit",IF(H261&lt;=5%,"Narrow lead/tie",IF(H261&lt;=20%,"Moderate lead","Large lead"))))))</x:f>
        <x:v>Moderate lead</x:v>
      </x:c>
    </x:row>
    <x:row r="262">
      <x:c r="A262" t="n">
        <x:v>203</x:v>
      </x:c>
      <x:c r="B262" t="str">
        <x:v>PRIMARY SCHOOL KADALPUR ROOM NO 2</x:v>
      </x:c>
      <x:c r="C262" s="83" t="n">
        <x:f>'2022 Form20'!H211</x:f>
        <x:v>343</x:v>
      </x:c>
      <x:c r="D262" s="83" t="n">
        <x:f>'2022 Form20'!D211</x:f>
        <x:v>657</x:v>
      </x:c>
      <x:c r="E262" s="50" t="n">
        <x:f>'2022 Form20'!T211</x:f>
        <x:v>0.5220700152207002</x:v>
      </x:c>
      <x:c r="F262" t="n">
        <x:f>'2022 Form20'!U211</x:f>
        <x:v>249</x:v>
      </x:c>
      <x:c r="G262" t="n">
        <x:f>'2022 Form20'!V211</x:f>
        <x:v>94</x:v>
      </x:c>
      <x:c r="H262" s="52" t="n">
        <x:f>'2022 Form20'!W211</x:f>
        <x:v>0.1430745814307458</x:v>
      </x:c>
      <x:c r="I262" t="str">
        <x:v>AVTAR SINGH BHADANA</x:v>
      </x:c>
      <x:c r="J262" t="str">
        <x:v>Rashtriya Lok Dal</x:v>
      </x:c>
      <x:c r="K262" t="str">
        <x:v>EVM row</x:v>
      </x:c>
      <x:c r="L262" s="133" t="str">
        <x:f>IF(D262&lt;=0,"No EVM votes",IF(E262&lt;$N$7,"Low",IF(E262&gt;$R$7,"High","Middle")))</x:f>
        <x:v>High</x:v>
      </x:c>
      <x:c r="M262" s="133" t="str">
        <x:f>IF(D262&lt;=0,"No EVM votes",IF(H262&lt;-20%,"Large deficit",IF(H262&lt;-5%,"Moderate deficit",IF(H262&lt;0,"Narrow deficit",IF(H262&lt;=5%,"Narrow lead/tie",IF(H262&lt;=20%,"Moderate lead","Large lead"))))))</x:f>
        <x:v>Moderate lead</x:v>
      </x:c>
    </x:row>
    <x:row r="263">
      <x:c r="A263" t="n">
        <x:v>204</x:v>
      </x:c>
      <x:c r="B263" t="str">
        <x:v>PRIMARY SCHOOL MAKANPUR BANGAR ROOM NO 1</x:v>
      </x:c>
      <x:c r="C263" s="83" t="n">
        <x:f>'2022 Form20'!H212</x:f>
        <x:v>28</x:v>
      </x:c>
      <x:c r="D263" s="83" t="n">
        <x:f>'2022 Form20'!D212</x:f>
        <x:v>759</x:v>
      </x:c>
      <x:c r="E263" s="50" t="n">
        <x:f>'2022 Form20'!T212</x:f>
        <x:v>0.03689064558629776</x:v>
      </x:c>
      <x:c r="F263" t="n">
        <x:f>'2022 Form20'!U212</x:f>
        <x:v>483</x:v>
      </x:c>
      <x:c r="G263" t="n">
        <x:f>'2022 Form20'!V212</x:f>
        <x:v>-455</x:v>
      </x:c>
      <x:c r="H263" s="52" t="n">
        <x:f>'2022 Form20'!W212</x:f>
        <x:v>-0.5994729907773386</x:v>
      </x:c>
      <x:c r="I263" t="str">
        <x:v>DHIRENDRA SINGH</x:v>
      </x:c>
      <x:c r="J263" t="str">
        <x:v>Bharatiya Janata Party</x:v>
      </x:c>
      <x:c r="K263" t="str">
        <x:v>EVM row</x:v>
      </x:c>
      <x:c r="L263" s="133" t="str">
        <x:f>IF(D263&lt;=0,"No EVM votes",IF(E263&lt;$N$7,"Low",IF(E263&gt;$R$7,"High","Middle")))</x:f>
        <x:v>Low</x:v>
      </x:c>
      <x:c r="M263" s="133" t="str">
        <x:f>IF(D263&lt;=0,"No EVM votes",IF(H263&lt;-20%,"Large deficit",IF(H263&lt;-5%,"Moderate deficit",IF(H263&lt;0,"Narrow deficit",IF(H263&lt;=5%,"Narrow lead/tie",IF(H263&lt;=20%,"Moderate lead","Large lead"))))))</x:f>
        <x:v>Large deficit</x:v>
      </x:c>
    </x:row>
    <x:row r="264">
      <x:c r="A264" t="n">
        <x:v>205</x:v>
      </x:c>
      <x:c r="B264" t="str">
        <x:v>PRIMARY SCHOOL MAKANPUR KHADAR ROOM NO 1</x:v>
      </x:c>
      <x:c r="C264" s="83" t="n">
        <x:f>'2022 Form20'!H213</x:f>
        <x:v>121</x:v>
      </x:c>
      <x:c r="D264" s="83" t="n">
        <x:f>'2022 Form20'!D213</x:f>
        <x:v>894</x:v>
      </x:c>
      <x:c r="E264" s="50" t="n">
        <x:f>'2022 Form20'!T213</x:f>
        <x:v>0.13534675615212527</x:v>
      </x:c>
      <x:c r="F264" t="n">
        <x:f>'2022 Form20'!U213</x:f>
        <x:v>747</x:v>
      </x:c>
      <x:c r="G264" t="n">
        <x:f>'2022 Form20'!V213</x:f>
        <x:v>-626</x:v>
      </x:c>
      <x:c r="H264" s="52" t="n">
        <x:f>'2022 Form20'!W213</x:f>
        <x:v>-0.7002237136465325</x:v>
      </x:c>
      <x:c r="I264" t="str">
        <x:v>DHIRENDRA SINGH</x:v>
      </x:c>
      <x:c r="J264" t="str">
        <x:v>Bharatiya Janata Party</x:v>
      </x:c>
      <x:c r="K264" t="str">
        <x:v>EVM row</x:v>
      </x:c>
      <x:c r="L264" s="133" t="str">
        <x:f>IF(D264&lt;=0,"No EVM votes",IF(E264&lt;$N$7,"Low",IF(E264&gt;$R$7,"High","Middle")))</x:f>
        <x:v>Middle</x:v>
      </x:c>
      <x:c r="M264" s="133" t="str">
        <x:f>IF(D264&lt;=0,"No EVM votes",IF(H264&lt;-20%,"Large deficit",IF(H264&lt;-5%,"Moderate deficit",IF(H264&lt;0,"Narrow deficit",IF(H264&lt;=5%,"Narrow lead/tie",IF(H264&lt;=20%,"Moderate lead","Large lead"))))))</x:f>
        <x:v>Large deficit</x:v>
      </x:c>
    </x:row>
    <x:row r="265">
      <x:c r="A265" t="n">
        <x:v>206</x:v>
      </x:c>
      <x:c r="B265" t="str">
        <x:v>PRIMARY SCHOOL RAMPUR KHADAR ROOM NO 1</x:v>
      </x:c>
      <x:c r="C265" s="83" t="n">
        <x:f>'2022 Form20'!H214</x:f>
        <x:v>11</x:v>
      </x:c>
      <x:c r="D265" s="83" t="n">
        <x:f>'2022 Form20'!D214</x:f>
        <x:v>645</x:v>
      </x:c>
      <x:c r="E265" s="50" t="n">
        <x:f>'2022 Form20'!T214</x:f>
        <x:v>0.017054263565891473</x:v>
      </x:c>
      <x:c r="F265" t="n">
        <x:f>'2022 Form20'!U214</x:f>
        <x:v>622</x:v>
      </x:c>
      <x:c r="G265" t="n">
        <x:f>'2022 Form20'!V214</x:f>
        <x:v>-611</x:v>
      </x:c>
      <x:c r="H265" s="52" t="n">
        <x:f>'2022 Form20'!W214</x:f>
        <x:v>-0.9472868217054263</x:v>
      </x:c>
      <x:c r="I265" t="str">
        <x:v>DHIRENDRA SINGH</x:v>
      </x:c>
      <x:c r="J265" t="str">
        <x:v>Bharatiya Janata Party</x:v>
      </x:c>
      <x:c r="K265" t="str">
        <x:v>EVM row</x:v>
      </x:c>
      <x:c r="L265" s="133" t="str">
        <x:f>IF(D265&lt;=0,"No EVM votes",IF(E265&lt;$N$7,"Low",IF(E265&gt;$R$7,"High","Middle")))</x:f>
        <x:v>Low</x:v>
      </x:c>
      <x:c r="M265" s="133" t="str">
        <x:f>IF(D265&lt;=0,"No EVM votes",IF(H265&lt;-20%,"Large deficit",IF(H265&lt;-5%,"Moderate deficit",IF(H265&lt;0,"Narrow deficit",IF(H265&lt;=5%,"Narrow lead/tie",IF(H265&lt;=20%,"Moderate lead","Large lead"))))))</x:f>
        <x:v>Large deficit</x:v>
      </x:c>
    </x:row>
    <x:row r="266">
      <x:c r="A266" t="n">
        <x:v>207</x:v>
      </x:c>
      <x:c r="B266" t="str">
        <x:v>PRIMARY SCHOOL MOHAMMADPUR KHEDA ROOM NO 1</x:v>
      </x:c>
      <x:c r="C266" s="83" t="n">
        <x:f>'2022 Form20'!H215</x:f>
        <x:v>34</x:v>
      </x:c>
      <x:c r="D266" s="83" t="n">
        <x:f>'2022 Form20'!D215</x:f>
        <x:v>853</x:v>
      </x:c>
      <x:c r="E266" s="50" t="n">
        <x:f>'2022 Form20'!T215</x:f>
        <x:v>0.03985932004689332</x:v>
      </x:c>
      <x:c r="F266" t="n">
        <x:f>'2022 Form20'!U215</x:f>
        <x:v>801</x:v>
      </x:c>
      <x:c r="G266" t="n">
        <x:f>'2022 Form20'!V215</x:f>
        <x:v>-767</x:v>
      </x:c>
      <x:c r="H266" s="52" t="n">
        <x:f>'2022 Form20'!W215</x:f>
        <x:v>-0.8991793669402111</x:v>
      </x:c>
      <x:c r="I266" t="str">
        <x:v>DHIRENDRA SINGH</x:v>
      </x:c>
      <x:c r="J266" t="str">
        <x:v>Bharatiya Janata Party</x:v>
      </x:c>
      <x:c r="K266" t="str">
        <x:v>EVM row</x:v>
      </x:c>
      <x:c r="L266" s="133" t="str">
        <x:f>IF(D266&lt;=0,"No EVM votes",IF(E266&lt;$N$7,"Low",IF(E266&gt;$R$7,"High","Middle")))</x:f>
        <x:v>Low</x:v>
      </x:c>
      <x:c r="M266" s="133" t="str">
        <x:f>IF(D266&lt;=0,"No EVM votes",IF(H266&lt;-20%,"Large deficit",IF(H266&lt;-5%,"Moderate deficit",IF(H266&lt;0,"Narrow deficit",IF(H266&lt;=5%,"Narrow lead/tie",IF(H266&lt;=20%,"Moderate lead","Large lead"))))))</x:f>
        <x:v>Large deficit</x:v>
      </x:c>
    </x:row>
    <x:row r="267">
      <x:c r="A267" t="n">
        <x:v>208</x:v>
      </x:c>
      <x:c r="B267" t="str">
        <x:v>PRIMARY SCHOOL MOHAMMADPUR KHEDA ROOM NO 2</x:v>
      </x:c>
      <x:c r="C267" s="83" t="n">
        <x:f>'2022 Form20'!H216</x:f>
        <x:v>43</x:v>
      </x:c>
      <x:c r="D267" s="83" t="n">
        <x:f>'2022 Form20'!D216</x:f>
        <x:v>644</x:v>
      </x:c>
      <x:c r="E267" s="50" t="n">
        <x:f>'2022 Form20'!T216</x:f>
        <x:v>0.06677018633540373</x:v>
      </x:c>
      <x:c r="F267" t="n">
        <x:f>'2022 Form20'!U216</x:f>
        <x:v>473</x:v>
      </x:c>
      <x:c r="G267" t="n">
        <x:f>'2022 Form20'!V216</x:f>
        <x:v>-430</x:v>
      </x:c>
      <x:c r="H267" s="52" t="n">
        <x:f>'2022 Form20'!W216</x:f>
        <x:v>-0.6677018633540373</x:v>
      </x:c>
      <x:c r="I267" t="str">
        <x:v>DHIRENDRA SINGH</x:v>
      </x:c>
      <x:c r="J267" t="str">
        <x:v>Bharatiya Janata Party</x:v>
      </x:c>
      <x:c r="K267" t="str">
        <x:v>EVM row</x:v>
      </x:c>
      <x:c r="L267" s="133" t="str">
        <x:f>IF(D267&lt;=0,"No EVM votes",IF(E267&lt;$N$7,"Low",IF(E267&gt;$R$7,"High","Middle")))</x:f>
        <x:v>Low</x:v>
      </x:c>
      <x:c r="M267" s="133" t="str">
        <x:f>IF(D267&lt;=0,"No EVM votes",IF(H267&lt;-20%,"Large deficit",IF(H267&lt;-5%,"Moderate deficit",IF(H267&lt;0,"Narrow deficit",IF(H267&lt;=5%,"Narrow lead/tie",IF(H267&lt;=20%,"Moderate lead","Large lead"))))))</x:f>
        <x:v>Large deficit</x:v>
      </x:c>
    </x:row>
    <x:row r="268">
      <x:c r="A268" t="n">
        <x:v>209</x:v>
      </x:c>
      <x:c r="B268" t="str">
        <x:v>PRIMARY SCHOOL TAKIPUR BANGAR ROOM NO 1</x:v>
      </x:c>
      <x:c r="C268" s="83" t="n">
        <x:f>'2022 Form20'!H217</x:f>
        <x:v>6</x:v>
      </x:c>
      <x:c r="D268" s="83" t="n">
        <x:f>'2022 Form20'!D217</x:f>
        <x:v>241</x:v>
      </x:c>
      <x:c r="E268" s="50" t="n">
        <x:f>'2022 Form20'!T217</x:f>
        <x:v>0.024896265560165973</x:v>
      </x:c>
      <x:c r="F268" t="n">
        <x:f>'2022 Form20'!U217</x:f>
        <x:v>224</x:v>
      </x:c>
      <x:c r="G268" t="n">
        <x:f>'2022 Form20'!V217</x:f>
        <x:v>-218</x:v>
      </x:c>
      <x:c r="H268" s="52" t="n">
        <x:f>'2022 Form20'!W217</x:f>
        <x:v>-0.9045643153526971</x:v>
      </x:c>
      <x:c r="I268" t="str">
        <x:v>DHIRENDRA SINGH</x:v>
      </x:c>
      <x:c r="J268" t="str">
        <x:v>Bharatiya Janata Party</x:v>
      </x:c>
      <x:c r="K268" t="str">
        <x:v>EVM row</x:v>
      </x:c>
      <x:c r="L268" s="133" t="str">
        <x:f>IF(D268&lt;=0,"No EVM votes",IF(E268&lt;$N$7,"Low",IF(E268&gt;$R$7,"High","Middle")))</x:f>
        <x:v>Low</x:v>
      </x:c>
      <x:c r="M268" s="133" t="str">
        <x:f>IF(D268&lt;=0,"No EVM votes",IF(H268&lt;-20%,"Large deficit",IF(H268&lt;-5%,"Moderate deficit",IF(H268&lt;0,"Narrow deficit",IF(H268&lt;=5%,"Narrow lead/tie",IF(H268&lt;=20%,"Moderate lead","Large lead"))))))</x:f>
        <x:v>Large deficit</x:v>
      </x:c>
    </x:row>
    <x:row r="269">
      <x:c r="A269" t="n">
        <x:v>210</x:v>
      </x:c>
      <x:c r="B269" t="str">
        <x:v>PRIMARY SCHOOL ANWARGARH BANGAR ROOM NO 1</x:v>
      </x:c>
      <x:c r="C269" s="83" t="n">
        <x:f>'2022 Form20'!H218</x:f>
        <x:v>196</x:v>
      </x:c>
      <x:c r="D269" s="83" t="n">
        <x:f>'2022 Form20'!D218</x:f>
        <x:v>682</x:v>
      </x:c>
      <x:c r="E269" s="50" t="n">
        <x:f>'2022 Form20'!T218</x:f>
        <x:v>0.2873900293255132</x:v>
      </x:c>
      <x:c r="F269" t="n">
        <x:f>'2022 Form20'!U218</x:f>
        <x:v>461</x:v>
      </x:c>
      <x:c r="G269" t="n">
        <x:f>'2022 Form20'!V218</x:f>
        <x:v>-265</x:v>
      </x:c>
      <x:c r="H269" s="52" t="n">
        <x:f>'2022 Form20'!W218</x:f>
        <x:v>-0.3885630498533724</x:v>
      </x:c>
      <x:c r="I269" t="str">
        <x:v>DHIRENDRA SINGH</x:v>
      </x:c>
      <x:c r="J269" t="str">
        <x:v>Bharatiya Janata Party</x:v>
      </x:c>
      <x:c r="K269" t="str">
        <x:v>EVM row</x:v>
      </x:c>
      <x:c r="L269" s="133" t="str">
        <x:f>IF(D269&lt;=0,"No EVM votes",IF(E269&lt;$N$7,"Low",IF(E269&gt;$R$7,"High","Middle")))</x:f>
        <x:v>Middle</x:v>
      </x:c>
      <x:c r="M269" s="133" t="str">
        <x:f>IF(D269&lt;=0,"No EVM votes",IF(H269&lt;-20%,"Large deficit",IF(H269&lt;-5%,"Moderate deficit",IF(H269&lt;0,"Narrow deficit",IF(H269&lt;=5%,"Narrow lead/tie",IF(H269&lt;=20%,"Moderate lead","Large lead"))))))</x:f>
        <x:v>Large deficit</x:v>
      </x:c>
    </x:row>
    <x:row r="270">
      <x:c r="A270" t="n">
        <x:v>211</x:v>
      </x:c>
      <x:c r="B270" t="str">
        <x:v>JUNIOR HIGH SCHOOL RAUNIJA ROOM NO 1</x:v>
      </x:c>
      <x:c r="C270" s="83" t="n">
        <x:f>'2022 Form20'!H219</x:f>
        <x:v>36</x:v>
      </x:c>
      <x:c r="D270" s="83" t="n">
        <x:f>'2022 Form20'!D219</x:f>
        <x:v>775</x:v>
      </x:c>
      <x:c r="E270" s="50" t="n">
        <x:f>'2022 Form20'!T219</x:f>
        <x:v>0.04645161290322581</x:v>
      </x:c>
      <x:c r="F270" t="n">
        <x:f>'2022 Form20'!U219</x:f>
        <x:v>692</x:v>
      </x:c>
      <x:c r="G270" t="n">
        <x:f>'2022 Form20'!V219</x:f>
        <x:v>-656</x:v>
      </x:c>
      <x:c r="H270" s="52" t="n">
        <x:f>'2022 Form20'!W219</x:f>
        <x:v>-0.8464516129032258</x:v>
      </x:c>
      <x:c r="I270" t="str">
        <x:v>DHIRENDRA SINGH</x:v>
      </x:c>
      <x:c r="J270" t="str">
        <x:v>Bharatiya Janata Party</x:v>
      </x:c>
      <x:c r="K270" t="str">
        <x:v>EVM row</x:v>
      </x:c>
      <x:c r="L270" s="133" t="str">
        <x:f>IF(D270&lt;=0,"No EVM votes",IF(E270&lt;$N$7,"Low",IF(E270&gt;$R$7,"High","Middle")))</x:f>
        <x:v>Low</x:v>
      </x:c>
      <x:c r="M270" s="133" t="str">
        <x:f>IF(D270&lt;=0,"No EVM votes",IF(H270&lt;-20%,"Large deficit",IF(H270&lt;-5%,"Moderate deficit",IF(H270&lt;0,"Narrow deficit",IF(H270&lt;=5%,"Narrow lead/tie",IF(H270&lt;=20%,"Moderate lead","Large lead"))))))</x:f>
        <x:v>Large deficit</x:v>
      </x:c>
    </x:row>
    <x:row r="271">
      <x:c r="A271" t="n">
        <x:v>212</x:v>
      </x:c>
      <x:c r="B271" t="str">
        <x:v>JUNIOR HIGH SCHOOL RAUNIJA ROOM NO 2</x:v>
      </x:c>
      <x:c r="C271" s="83" t="n">
        <x:f>'2022 Form20'!H220</x:f>
        <x:v>47</x:v>
      </x:c>
      <x:c r="D271" s="83" t="n">
        <x:f>'2022 Form20'!D220</x:f>
        <x:v>566</x:v>
      </x:c>
      <x:c r="E271" s="50" t="n">
        <x:f>'2022 Form20'!T220</x:f>
        <x:v>0.08303886925795052</x:v>
      </x:c>
      <x:c r="F271" t="n">
        <x:f>'2022 Form20'!U220</x:f>
        <x:v>498</x:v>
      </x:c>
      <x:c r="G271" t="n">
        <x:f>'2022 Form20'!V220</x:f>
        <x:v>-451</x:v>
      </x:c>
      <x:c r="H271" s="52" t="n">
        <x:f>'2022 Form20'!W220</x:f>
        <x:v>-0.7968197879858657</x:v>
      </x:c>
      <x:c r="I271" t="str">
        <x:v>DHIRENDRA SINGH</x:v>
      </x:c>
      <x:c r="J271" t="str">
        <x:v>Bharatiya Janata Party</x:v>
      </x:c>
      <x:c r="K271" t="str">
        <x:v>EVM row</x:v>
      </x:c>
      <x:c r="L271" s="133" t="str">
        <x:f>IF(D271&lt;=0,"No EVM votes",IF(E271&lt;$N$7,"Low",IF(E271&gt;$R$7,"High","Middle")))</x:f>
        <x:v>Low</x:v>
      </x:c>
      <x:c r="M271" s="133" t="str">
        <x:f>IF(D271&lt;=0,"No EVM votes",IF(H271&lt;-20%,"Large deficit",IF(H271&lt;-5%,"Moderate deficit",IF(H271&lt;0,"Narrow deficit",IF(H271&lt;=5%,"Narrow lead/tie",IF(H271&lt;=20%,"Moderate lead","Large lead"))))))</x:f>
        <x:v>Large deficit</x:v>
      </x:c>
    </x:row>
    <x:row r="272">
      <x:c r="A272" t="n">
        <x:v>213</x:v>
      </x:c>
      <x:c r="B272" t="str">
        <x:v>JUNIOR HIGH SCHOOL RAUNIJA ROOM NO 3</x:v>
      </x:c>
      <x:c r="C272" s="83" t="n">
        <x:f>'2022 Form20'!H221</x:f>
        <x:v>50</x:v>
      </x:c>
      <x:c r="D272" s="83" t="n">
        <x:f>'2022 Form20'!D221</x:f>
        <x:v>707</x:v>
      </x:c>
      <x:c r="E272" s="50" t="n">
        <x:f>'2022 Form20'!T221</x:f>
        <x:v>0.07072135785007072</x:v>
      </x:c>
      <x:c r="F272" t="n">
        <x:f>'2022 Form20'!U221</x:f>
        <x:v>359</x:v>
      </x:c>
      <x:c r="G272" t="n">
        <x:f>'2022 Form20'!V221</x:f>
        <x:v>-309</x:v>
      </x:c>
      <x:c r="H272" s="52" t="n">
        <x:f>'2022 Form20'!W221</x:f>
        <x:v>-0.43705799151343705</x:v>
      </x:c>
      <x:c r="I272" t="str">
        <x:v>NARENDER KUMAR</x:v>
      </x:c>
      <x:c r="J272" t="str">
        <x:v>Bahujan Samaj Party</x:v>
      </x:c>
      <x:c r="K272" t="str">
        <x:v>EVM row</x:v>
      </x:c>
      <x:c r="L272" s="133" t="str">
        <x:f>IF(D272&lt;=0,"No EVM votes",IF(E272&lt;$N$7,"Low",IF(E272&gt;$R$7,"High","Middle")))</x:f>
        <x:v>Low</x:v>
      </x:c>
      <x:c r="M272" s="133" t="str">
        <x:f>IF(D272&lt;=0,"No EVM votes",IF(H272&lt;-20%,"Large deficit",IF(H272&lt;-5%,"Moderate deficit",IF(H272&lt;0,"Narrow deficit",IF(H272&lt;=5%,"Narrow lead/tie",IF(H272&lt;=20%,"Moderate lead","Large lead"))))))</x:f>
        <x:v>Large deficit</x:v>
      </x:c>
    </x:row>
    <x:row r="273">
      <x:c r="A273" t="n">
        <x:v>214</x:v>
      </x:c>
      <x:c r="B273" t="str">
        <x:v>PRIMARY SCHOOL RUSTAMPUR ROOM NO 1</x:v>
      </x:c>
      <x:c r="C273" s="83" t="n">
        <x:f>'2022 Form20'!H222</x:f>
        <x:v>20</x:v>
      </x:c>
      <x:c r="D273" s="83" t="n">
        <x:f>'2022 Form20'!D222</x:f>
        <x:v>727</x:v>
      </x:c>
      <x:c r="E273" s="50" t="n">
        <x:f>'2022 Form20'!T222</x:f>
        <x:v>0.027510316368638238</x:v>
      </x:c>
      <x:c r="F273" t="n">
        <x:f>'2022 Form20'!U222</x:f>
        <x:v>569</x:v>
      </x:c>
      <x:c r="G273" t="n">
        <x:f>'2022 Form20'!V222</x:f>
        <x:v>-549</x:v>
      </x:c>
      <x:c r="H273" s="52" t="n">
        <x:f>'2022 Form20'!W222</x:f>
        <x:v>-0.7551581843191196</x:v>
      </x:c>
      <x:c r="I273" t="str">
        <x:v>DHIRENDRA SINGH</x:v>
      </x:c>
      <x:c r="J273" t="str">
        <x:v>Bharatiya Janata Party</x:v>
      </x:c>
      <x:c r="K273" t="str">
        <x:v>EVM row</x:v>
      </x:c>
      <x:c r="L273" s="133" t="str">
        <x:f>IF(D273&lt;=0,"No EVM votes",IF(E273&lt;$N$7,"Low",IF(E273&gt;$R$7,"High","Middle")))</x:f>
        <x:v>Low</x:v>
      </x:c>
      <x:c r="M273" s="133" t="str">
        <x:f>IF(D273&lt;=0,"No EVM votes",IF(H273&lt;-20%,"Large deficit",IF(H273&lt;-5%,"Moderate deficit",IF(H273&lt;0,"Narrow deficit",IF(H273&lt;=5%,"Narrow lead/tie",IF(H273&lt;=20%,"Moderate lead","Large lead"))))))</x:f>
        <x:v>Large deficit</x:v>
      </x:c>
    </x:row>
    <x:row r="274">
      <x:c r="A274" t="n">
        <x:v>215</x:v>
      </x:c>
      <x:c r="B274" t="str">
        <x:v>PRIMARY SCHOOL CHAKJALALABAD ROOM NO 1</x:v>
      </x:c>
      <x:c r="C274" s="83" t="n">
        <x:f>'2022 Form20'!H223</x:f>
        <x:v>20</x:v>
      </x:c>
      <x:c r="D274" s="83" t="n">
        <x:f>'2022 Form20'!D223</x:f>
        <x:v>283</x:v>
      </x:c>
      <x:c r="E274" s="50" t="n">
        <x:f>'2022 Form20'!T223</x:f>
        <x:v>0.0706713780918728</x:v>
      </x:c>
      <x:c r="F274" t="n">
        <x:f>'2022 Form20'!U223</x:f>
        <x:v>244</x:v>
      </x:c>
      <x:c r="G274" t="n">
        <x:f>'2022 Form20'!V223</x:f>
        <x:v>-224</x:v>
      </x:c>
      <x:c r="H274" s="52" t="n">
        <x:f>'2022 Form20'!W223</x:f>
        <x:v>-0.7915194346289752</x:v>
      </x:c>
      <x:c r="I274" t="str">
        <x:v>NARENDER KUMAR</x:v>
      </x:c>
      <x:c r="J274" t="str">
        <x:v>Bahujan Samaj Party</x:v>
      </x:c>
      <x:c r="K274" t="str">
        <x:v>EVM row</x:v>
      </x:c>
      <x:c r="L274" s="133" t="str">
        <x:f>IF(D274&lt;=0,"No EVM votes",IF(E274&lt;$N$7,"Low",IF(E274&gt;$R$7,"High","Middle")))</x:f>
        <x:v>Low</x:v>
      </x:c>
      <x:c r="M274" s="133" t="str">
        <x:f>IF(D274&lt;=0,"No EVM votes",IF(H274&lt;-20%,"Large deficit",IF(H274&lt;-5%,"Moderate deficit",IF(H274&lt;0,"Narrow deficit",IF(H274&lt;=5%,"Narrow lead/tie",IF(H274&lt;=20%,"Moderate lead","Large lead"))))))</x:f>
        <x:v>Large deficit</x:v>
      </x:c>
    </x:row>
    <x:row r="275">
      <x:c r="A275" t="n">
        <x:v>216</x:v>
      </x:c>
      <x:c r="B275" t="str">
        <x:v>PRIMER SCHOOL NAGLA PADAM SINGH ROOM NO 1</x:v>
      </x:c>
      <x:c r="C275" s="83" t="n">
        <x:f>'2022 Form20'!H224</x:f>
        <x:v>7</x:v>
      </x:c>
      <x:c r="D275" s="83" t="n">
        <x:f>'2022 Form20'!D224</x:f>
        <x:v>473</x:v>
      </x:c>
      <x:c r="E275" s="50" t="n">
        <x:f>'2022 Form20'!T224</x:f>
        <x:v>0.014799154334038054</x:v>
      </x:c>
      <x:c r="F275" t="n">
        <x:f>'2022 Form20'!U224</x:f>
        <x:v>298</x:v>
      </x:c>
      <x:c r="G275" t="n">
        <x:f>'2022 Form20'!V224</x:f>
        <x:v>-291</x:v>
      </x:c>
      <x:c r="H275" s="52" t="n">
        <x:f>'2022 Form20'!W224</x:f>
        <x:v>-0.6152219873150105</x:v>
      </x:c>
      <x:c r="I275" t="str">
        <x:v>NARENDER KUMAR</x:v>
      </x:c>
      <x:c r="J275" t="str">
        <x:v>Bahujan Samaj Party</x:v>
      </x:c>
      <x:c r="K275" t="str">
        <x:v>EVM row</x:v>
      </x:c>
      <x:c r="L275" s="133" t="str">
        <x:f>IF(D275&lt;=0,"No EVM votes",IF(E275&lt;$N$7,"Low",IF(E275&gt;$R$7,"High","Middle")))</x:f>
        <x:v>Low</x:v>
      </x:c>
      <x:c r="M275" s="133" t="str">
        <x:f>IF(D275&lt;=0,"No EVM votes",IF(H275&lt;-20%,"Large deficit",IF(H275&lt;-5%,"Moderate deficit",IF(H275&lt;0,"Narrow deficit",IF(H275&lt;=5%,"Narrow lead/tie",IF(H275&lt;=20%,"Moderate lead","Large lead"))))))</x:f>
        <x:v>Large deficit</x:v>
      </x:c>
    </x:row>
    <x:row r="276">
      <x:c r="A276" t="n">
        <x:v>217</x:v>
      </x:c>
      <x:c r="B276" t="str">
        <x:v>PRIMARY SCHOOL NAGLA SHREEGOPAL ROOM NO 1</x:v>
      </x:c>
      <x:c r="C276" s="83" t="n">
        <x:f>'2022 Form20'!H225</x:f>
        <x:v>34</x:v>
      </x:c>
      <x:c r="D276" s="83" t="n">
        <x:f>'2022 Form20'!D225</x:f>
        <x:v>530</x:v>
      </x:c>
      <x:c r="E276" s="50" t="n">
        <x:f>'2022 Form20'!T225</x:f>
        <x:v>0.06415094339622641</x:v>
      </x:c>
      <x:c r="F276" t="n">
        <x:f>'2022 Form20'!U225</x:f>
        <x:v>367</x:v>
      </x:c>
      <x:c r="G276" t="n">
        <x:f>'2022 Form20'!V225</x:f>
        <x:v>-333</x:v>
      </x:c>
      <x:c r="H276" s="52" t="n">
        <x:f>'2022 Form20'!W225</x:f>
        <x:v>-0.6283018867924528</x:v>
      </x:c>
      <x:c r="I276" t="str">
        <x:v>NARENDER KUMAR</x:v>
      </x:c>
      <x:c r="J276" t="str">
        <x:v>Bahujan Samaj Party</x:v>
      </x:c>
      <x:c r="K276" t="str">
        <x:v>EVM row</x:v>
      </x:c>
      <x:c r="L276" s="133" t="str">
        <x:f>IF(D276&lt;=0,"No EVM votes",IF(E276&lt;$N$7,"Low",IF(E276&gt;$R$7,"High","Middle")))</x:f>
        <x:v>Low</x:v>
      </x:c>
      <x:c r="M276" s="133" t="str">
        <x:f>IF(D276&lt;=0,"No EVM votes",IF(H276&lt;-20%,"Large deficit",IF(H276&lt;-5%,"Moderate deficit",IF(H276&lt;0,"Narrow deficit",IF(H276&lt;=5%,"Narrow lead/tie",IF(H276&lt;=20%,"Moderate lead","Large lead"))))))</x:f>
        <x:v>Large deficit</x:v>
      </x:c>
    </x:row>
    <x:row r="277">
      <x:c r="A277" t="n">
        <x:v>218</x:v>
      </x:c>
      <x:c r="B277" t="str">
        <x:v>PRIMARY SCHOOL PACHOKARA ROOM NO 1</x:v>
      </x:c>
      <x:c r="C277" s="83" t="n">
        <x:f>'2022 Form20'!H226</x:f>
        <x:v>46</x:v>
      </x:c>
      <x:c r="D277" s="83" t="n">
        <x:f>'2022 Form20'!D226</x:f>
        <x:v>501</x:v>
      </x:c>
      <x:c r="E277" s="50" t="n">
        <x:f>'2022 Form20'!T226</x:f>
        <x:v>0.09181636726546906</x:v>
      </x:c>
      <x:c r="F277" t="n">
        <x:f>'2022 Form20'!U226</x:f>
        <x:v>282</x:v>
      </x:c>
      <x:c r="G277" t="n">
        <x:f>'2022 Form20'!V226</x:f>
        <x:v>-236</x:v>
      </x:c>
      <x:c r="H277" s="52" t="n">
        <x:f>'2022 Form20'!W226</x:f>
        <x:v>-0.47105788423153694</x:v>
      </x:c>
      <x:c r="I277" t="str">
        <x:v>DHIRENDRA SINGH</x:v>
      </x:c>
      <x:c r="J277" t="str">
        <x:v>Bharatiya Janata Party</x:v>
      </x:c>
      <x:c r="K277" t="str">
        <x:v>EVM row</x:v>
      </x:c>
      <x:c r="L277" s="133" t="str">
        <x:f>IF(D277&lt;=0,"No EVM votes",IF(E277&lt;$N$7,"Low",IF(E277&gt;$R$7,"High","Middle")))</x:f>
        <x:v>Middle</x:v>
      </x:c>
      <x:c r="M277" s="133" t="str">
        <x:f>IF(D277&lt;=0,"No EVM votes",IF(H277&lt;-20%,"Large deficit",IF(H277&lt;-5%,"Moderate deficit",IF(H277&lt;0,"Narrow deficit",IF(H277&lt;=5%,"Narrow lead/tie",IF(H277&lt;=20%,"Moderate lead","Large lead"))))))</x:f>
        <x:v>Large deficit</x:v>
      </x:c>
    </x:row>
    <x:row r="278">
      <x:c r="A278" t="n">
        <x:v>219</x:v>
      </x:c>
      <x:c r="B278" t="str">
        <x:v>PRIMARY SCHOOL UTRAVALI ROOM NO 1</x:v>
      </x:c>
      <x:c r="C278" s="83" t="n">
        <x:f>'2022 Form20'!H227</x:f>
        <x:v>12</x:v>
      </x:c>
      <x:c r="D278" s="83" t="n">
        <x:f>'2022 Form20'!D227</x:f>
        <x:v>431</x:v>
      </x:c>
      <x:c r="E278" s="50" t="n">
        <x:f>'2022 Form20'!T227</x:f>
        <x:v>0.027842227378190254</x:v>
      </x:c>
      <x:c r="F278" t="n">
        <x:f>'2022 Form20'!U227</x:f>
        <x:v>368</x:v>
      </x:c>
      <x:c r="G278" t="n">
        <x:f>'2022 Form20'!V227</x:f>
        <x:v>-356</x:v>
      </x:c>
      <x:c r="H278" s="52" t="n">
        <x:f>'2022 Form20'!W227</x:f>
        <x:v>-0.8259860788863109</x:v>
      </x:c>
      <x:c r="I278" t="str">
        <x:v>DHIRENDRA SINGH</x:v>
      </x:c>
      <x:c r="J278" t="str">
        <x:v>Bharatiya Janata Party</x:v>
      </x:c>
      <x:c r="K278" t="str">
        <x:v>EVM row</x:v>
      </x:c>
      <x:c r="L278" s="133" t="str">
        <x:f>IF(D278&lt;=0,"No EVM votes",IF(E278&lt;$N$7,"Low",IF(E278&gt;$R$7,"High","Middle")))</x:f>
        <x:v>Low</x:v>
      </x:c>
      <x:c r="M278" s="133" t="str">
        <x:f>IF(D278&lt;=0,"No EVM votes",IF(H278&lt;-20%,"Large deficit",IF(H278&lt;-5%,"Moderate deficit",IF(H278&lt;0,"Narrow deficit",IF(H278&lt;=5%,"Narrow lead/tie",IF(H278&lt;=20%,"Moderate lead","Large lead"))))))</x:f>
        <x:v>Large deficit</x:v>
      </x:c>
    </x:row>
    <x:row r="279">
      <x:c r="A279" t="n">
        <x:v>220</x:v>
      </x:c>
      <x:c r="B279" t="str">
        <x:v>PRIMARY SCHOOL UTRAVALI ROOM NO 2</x:v>
      </x:c>
      <x:c r="C279" s="83" t="n">
        <x:f>'2022 Form20'!H228</x:f>
        <x:v>2</x:v>
      </x:c>
      <x:c r="D279" s="83" t="n">
        <x:f>'2022 Form20'!D228</x:f>
        <x:v>506</x:v>
      </x:c>
      <x:c r="E279" s="50" t="n">
        <x:f>'2022 Form20'!T228</x:f>
        <x:v>0.003952569169960474</x:v>
      </x:c>
      <x:c r="F279" t="n">
        <x:f>'2022 Form20'!U228</x:f>
        <x:v>447</x:v>
      </x:c>
      <x:c r="G279" t="n">
        <x:f>'2022 Form20'!V228</x:f>
        <x:v>-445</x:v>
      </x:c>
      <x:c r="H279" s="52" t="n">
        <x:f>'2022 Form20'!W228</x:f>
        <x:v>-0.8794466403162056</x:v>
      </x:c>
      <x:c r="I279" t="str">
        <x:v>NARENDER KUMAR</x:v>
      </x:c>
      <x:c r="J279" t="str">
        <x:v>Bahujan Samaj Party</x:v>
      </x:c>
      <x:c r="K279" t="str">
        <x:v>EVM row</x:v>
      </x:c>
      <x:c r="L279" s="133" t="str">
        <x:f>IF(D279&lt;=0,"No EVM votes",IF(E279&lt;$N$7,"Low",IF(E279&gt;$R$7,"High","Middle")))</x:f>
        <x:v>Low</x:v>
      </x:c>
      <x:c r="M279" s="133" t="str">
        <x:f>IF(D279&lt;=0,"No EVM votes",IF(H279&lt;-20%,"Large deficit",IF(H279&lt;-5%,"Moderate deficit",IF(H279&lt;0,"Narrow deficit",IF(H279&lt;=5%,"Narrow lead/tie",IF(H279&lt;=20%,"Moderate lead","Large lead"))))))</x:f>
        <x:v>Large deficit</x:v>
      </x:c>
    </x:row>
    <x:row r="280">
      <x:c r="A280" t="n">
        <x:v>221</x:v>
      </x:c>
      <x:c r="B280" t="str">
        <x:v>PRIMARY SCHOOL RASULPUR IQBAIL ROOM NO 1</x:v>
      </x:c>
      <x:c r="C280" s="83" t="n">
        <x:f>'2022 Form20'!H229</x:f>
        <x:v>0</x:v>
      </x:c>
      <x:c r="D280" s="83" t="n">
        <x:f>'2022 Form20'!D229</x:f>
        <x:v>105</x:v>
      </x:c>
      <x:c r="E280" s="50" t="n">
        <x:f>'2022 Form20'!T229</x:f>
        <x:v>0</x:v>
      </x:c>
      <x:c r="F280" t="n">
        <x:f>'2022 Form20'!U229</x:f>
        <x:v>103</x:v>
      </x:c>
      <x:c r="G280" t="n">
        <x:f>'2022 Form20'!V229</x:f>
        <x:v>-103</x:v>
      </x:c>
      <x:c r="H280" s="52" t="n">
        <x:f>'2022 Form20'!W229</x:f>
        <x:v>-0.9809523809523809</x:v>
      </x:c>
      <x:c r="I280" t="str">
        <x:v>DHIRENDRA SINGH</x:v>
      </x:c>
      <x:c r="J280" t="str">
        <x:v>Bharatiya Janata Party</x:v>
      </x:c>
      <x:c r="K280" t="str">
        <x:v>EVM row</x:v>
      </x:c>
      <x:c r="L280" s="133" t="str">
        <x:f>IF(D280&lt;=0,"No EVM votes",IF(E280&lt;$N$7,"Low",IF(E280&gt;$R$7,"High","Middle")))</x:f>
        <x:v>Low</x:v>
      </x:c>
      <x:c r="M280" s="133" t="str">
        <x:f>IF(D280&lt;=0,"No EVM votes",IF(H280&lt;-20%,"Large deficit",IF(H280&lt;-5%,"Moderate deficit",IF(H280&lt;0,"Narrow deficit",IF(H280&lt;=5%,"Narrow lead/tie",IF(H280&lt;=20%,"Moderate lead","Large lead"))))))</x:f>
        <x:v>Large deficit</x:v>
      </x:c>
    </x:row>
    <x:row r="281">
      <x:c r="A281" t="n">
        <x:v>222</x:v>
      </x:c>
      <x:c r="B281" t="str">
        <x:v>PRIMARY SCHOOL MOHAMMADPUR JANDAU ROOM NO 1</x:v>
      </x:c>
      <x:c r="C281" s="83" t="n">
        <x:f>'2022 Form20'!H230</x:f>
        <x:v>8</x:v>
      </x:c>
      <x:c r="D281" s="83" t="n">
        <x:f>'2022 Form20'!D230</x:f>
        <x:v>727</x:v>
      </x:c>
      <x:c r="E281" s="50" t="n">
        <x:f>'2022 Form20'!T230</x:f>
        <x:v>0.011004126547455296</x:v>
      </x:c>
      <x:c r="F281" t="n">
        <x:f>'2022 Form20'!U230</x:f>
        <x:v>506</x:v>
      </x:c>
      <x:c r="G281" t="n">
        <x:f>'2022 Form20'!V230</x:f>
        <x:v>-498</x:v>
      </x:c>
      <x:c r="H281" s="52" t="n">
        <x:f>'2022 Form20'!W230</x:f>
        <x:v>-0.6850068775790922</x:v>
      </x:c>
      <x:c r="I281" t="str">
        <x:v>NARENDER KUMAR</x:v>
      </x:c>
      <x:c r="J281" t="str">
        <x:v>Bahujan Samaj Party</x:v>
      </x:c>
      <x:c r="K281" t="str">
        <x:v>EVM row</x:v>
      </x:c>
      <x:c r="L281" s="133" t="str">
        <x:f>IF(D281&lt;=0,"No EVM votes",IF(E281&lt;$N$7,"Low",IF(E281&gt;$R$7,"High","Middle")))</x:f>
        <x:v>Low</x:v>
      </x:c>
      <x:c r="M281" s="133" t="str">
        <x:f>IF(D281&lt;=0,"No EVM votes",IF(H281&lt;-20%,"Large deficit",IF(H281&lt;-5%,"Moderate deficit",IF(H281&lt;0,"Narrow deficit",IF(H281&lt;=5%,"Narrow lead/tie",IF(H281&lt;=20%,"Moderate lead","Large lead"))))))</x:f>
        <x:v>Large deficit</x:v>
      </x:c>
    </x:row>
    <x:row r="282">
      <x:c r="A282" t="n">
        <x:v>223</x:v>
      </x:c>
      <x:c r="B282" t="str">
        <x:v>PRIMARY SCHOOL MOHAMMADPUR JANDAU ROOM NO 2</x:v>
      </x:c>
      <x:c r="C282" s="83" t="n">
        <x:f>'2022 Form20'!H231</x:f>
        <x:v>2</x:v>
      </x:c>
      <x:c r="D282" s="83" t="n">
        <x:f>'2022 Form20'!D231</x:f>
        <x:v>344</x:v>
      </x:c>
      <x:c r="E282" s="50" t="n">
        <x:f>'2022 Form20'!T231</x:f>
        <x:v>0.005813953488372093</x:v>
      </x:c>
      <x:c r="F282" t="n">
        <x:f>'2022 Form20'!U231</x:f>
        <x:v>323</x:v>
      </x:c>
      <x:c r="G282" t="n">
        <x:f>'2022 Form20'!V231</x:f>
        <x:v>-321</x:v>
      </x:c>
      <x:c r="H282" s="52" t="n">
        <x:f>'2022 Form20'!W231</x:f>
        <x:v>-0.9331395348837209</x:v>
      </x:c>
      <x:c r="I282" t="str">
        <x:v>DHIRENDRA SINGH</x:v>
      </x:c>
      <x:c r="J282" t="str">
        <x:v>Bharatiya Janata Party</x:v>
      </x:c>
      <x:c r="K282" t="str">
        <x:v>EVM row</x:v>
      </x:c>
      <x:c r="L282" s="133" t="str">
        <x:f>IF(D282&lt;=0,"No EVM votes",IF(E282&lt;$N$7,"Low",IF(E282&gt;$R$7,"High","Middle")))</x:f>
        <x:v>Low</x:v>
      </x:c>
      <x:c r="M282" s="133" t="str">
        <x:f>IF(D282&lt;=0,"No EVM votes",IF(H282&lt;-20%,"Large deficit",IF(H282&lt;-5%,"Moderate deficit",IF(H282&lt;0,"Narrow deficit",IF(H282&lt;=5%,"Narrow lead/tie",IF(H282&lt;=20%,"Moderate lead","Large lead"))))))</x:f>
        <x:v>Large deficit</x:v>
      </x:c>
    </x:row>
    <x:row r="283">
      <x:c r="A283" t="n">
        <x:v>224</x:v>
      </x:c>
      <x:c r="B283" t="str">
        <x:v>PRIMARY SCHOOL DUGLI ROOM NO 1</x:v>
      </x:c>
      <x:c r="C283" s="83" t="n">
        <x:f>'2022 Form20'!H232</x:f>
        <x:v>8</x:v>
      </x:c>
      <x:c r="D283" s="83" t="n">
        <x:f>'2022 Form20'!D232</x:f>
        <x:v>550</x:v>
      </x:c>
      <x:c r="E283" s="50" t="n">
        <x:f>'2022 Form20'!T232</x:f>
        <x:v>0.014545454545454545</x:v>
      </x:c>
      <x:c r="F283" t="n">
        <x:f>'2022 Form20'!U232</x:f>
        <x:v>264</x:v>
      </x:c>
      <x:c r="G283" t="n">
        <x:f>'2022 Form20'!V232</x:f>
        <x:v>-256</x:v>
      </x:c>
      <x:c r="H283" s="52" t="n">
        <x:f>'2022 Form20'!W232</x:f>
        <x:v>-0.46545454545454545</x:v>
      </x:c>
      <x:c r="I283" t="str">
        <x:v>DHIRENDRA SINGH</x:v>
      </x:c>
      <x:c r="J283" t="str">
        <x:v>Bharatiya Janata Party</x:v>
      </x:c>
      <x:c r="K283" t="str">
        <x:v>EVM row</x:v>
      </x:c>
      <x:c r="L283" s="133" t="str">
        <x:f>IF(D283&lt;=0,"No EVM votes",IF(E283&lt;$N$7,"Low",IF(E283&gt;$R$7,"High","Middle")))</x:f>
        <x:v>Low</x:v>
      </x:c>
      <x:c r="M283" s="133" t="str">
        <x:f>IF(D283&lt;=0,"No EVM votes",IF(H283&lt;-20%,"Large deficit",IF(H283&lt;-5%,"Moderate deficit",IF(H283&lt;0,"Narrow deficit",IF(H283&lt;=5%,"Narrow lead/tie",IF(H283&lt;=20%,"Moderate lead","Large lead"))))))</x:f>
        <x:v>Large deficit</x:v>
      </x:c>
    </x:row>
    <x:row r="284">
      <x:c r="A284" t="n">
        <x:v>225</x:v>
      </x:c>
      <x:c r="B284" t="str">
        <x:v>PRIMARY SCHOOL HAJIPUR ROOM NO 1</x:v>
      </x:c>
      <x:c r="C284" s="83" t="n">
        <x:f>'2022 Form20'!H233</x:f>
        <x:v>1</x:v>
      </x:c>
      <x:c r="D284" s="83" t="n">
        <x:f>'2022 Form20'!D233</x:f>
        <x:v>256</x:v>
      </x:c>
      <x:c r="E284" s="50" t="n">
        <x:f>'2022 Form20'!T233</x:f>
        <x:v>0.00390625</x:v>
      </x:c>
      <x:c r="F284" t="n">
        <x:f>'2022 Form20'!U233</x:f>
        <x:v>157</x:v>
      </x:c>
      <x:c r="G284" t="n">
        <x:f>'2022 Form20'!V233</x:f>
        <x:v>-156</x:v>
      </x:c>
      <x:c r="H284" s="52" t="n">
        <x:f>'2022 Form20'!W233</x:f>
        <x:v>-0.609375</x:v>
      </x:c>
      <x:c r="I284" t="str">
        <x:v>DHIRENDRA SINGH</x:v>
      </x:c>
      <x:c r="J284" t="str">
        <x:v>Bharatiya Janata Party</x:v>
      </x:c>
      <x:c r="K284" t="str">
        <x:v>EVM row</x:v>
      </x:c>
      <x:c r="L284" s="133" t="str">
        <x:f>IF(D284&lt;=0,"No EVM votes",IF(E284&lt;$N$7,"Low",IF(E284&gt;$R$7,"High","Middle")))</x:f>
        <x:v>Low</x:v>
      </x:c>
      <x:c r="M284" s="133" t="str">
        <x:f>IF(D284&lt;=0,"No EVM votes",IF(H284&lt;-20%,"Large deficit",IF(H284&lt;-5%,"Moderate deficit",IF(H284&lt;0,"Narrow deficit",IF(H284&lt;=5%,"Narrow lead/tie",IF(H284&lt;=20%,"Moderate lead","Large lead"))))))</x:f>
        <x:v>Large deficit</x:v>
      </x:c>
    </x:row>
    <x:row r="285">
      <x:c r="A285" t="n">
        <x:v>226</x:v>
      </x:c>
      <x:c r="B285" t="str">
        <x:v>INTER COLLEGE TOWN AREA RABUPURA ROOM NO 1</x:v>
      </x:c>
      <x:c r="C285" s="83" t="n">
        <x:f>'2022 Form20'!H234</x:f>
        <x:v>92</x:v>
      </x:c>
      <x:c r="D285" s="83" t="n">
        <x:f>'2022 Form20'!D234</x:f>
        <x:v>532</x:v>
      </x:c>
      <x:c r="E285" s="50" t="n">
        <x:f>'2022 Form20'!T234</x:f>
        <x:v>0.17293233082706766</x:v>
      </x:c>
      <x:c r="F285" t="n">
        <x:f>'2022 Form20'!U234</x:f>
        <x:v>297</x:v>
      </x:c>
      <x:c r="G285" t="n">
        <x:f>'2022 Form20'!V234</x:f>
        <x:v>-205</x:v>
      </x:c>
      <x:c r="H285" s="52" t="n">
        <x:f>'2022 Form20'!W234</x:f>
        <x:v>-0.38533834586466165</x:v>
      </x:c>
      <x:c r="I285" t="str">
        <x:v>DHIRENDRA SINGH</x:v>
      </x:c>
      <x:c r="J285" t="str">
        <x:v>Bharatiya Janata Party</x:v>
      </x:c>
      <x:c r="K285" t="str">
        <x:v>EVM row</x:v>
      </x:c>
      <x:c r="L285" s="133" t="str">
        <x:f>IF(D285&lt;=0,"No EVM votes",IF(E285&lt;$N$7,"Low",IF(E285&gt;$R$7,"High","Middle")))</x:f>
        <x:v>Middle</x:v>
      </x:c>
      <x:c r="M285" s="133" t="str">
        <x:f>IF(D285&lt;=0,"No EVM votes",IF(H285&lt;-20%,"Large deficit",IF(H285&lt;-5%,"Moderate deficit",IF(H285&lt;0,"Narrow deficit",IF(H285&lt;=5%,"Narrow lead/tie",IF(H285&lt;=20%,"Moderate lead","Large lead"))))))</x:f>
        <x:v>Large deficit</x:v>
      </x:c>
    </x:row>
    <x:row r="286">
      <x:c r="A286" t="n">
        <x:v>227</x:v>
      </x:c>
      <x:c r="B286" t="str">
        <x:v>INTER COLLEGE TOWN AREA RABUPURA ROOM NO 2</x:v>
      </x:c>
      <x:c r="C286" s="83" t="n">
        <x:f>'2022 Form20'!H235</x:f>
        <x:v>32</x:v>
      </x:c>
      <x:c r="D286" s="83" t="n">
        <x:f>'2022 Form20'!D235</x:f>
        <x:v>432</x:v>
      </x:c>
      <x:c r="E286" s="50" t="n">
        <x:f>'2022 Form20'!T235</x:f>
        <x:v>0.07407407407407407</x:v>
      </x:c>
      <x:c r="F286" t="n">
        <x:f>'2022 Form20'!U235</x:f>
        <x:v>231</x:v>
      </x:c>
      <x:c r="G286" t="n">
        <x:f>'2022 Form20'!V235</x:f>
        <x:v>-199</x:v>
      </x:c>
      <x:c r="H286" s="52" t="n">
        <x:f>'2022 Form20'!W235</x:f>
        <x:v>-0.46064814814814814</x:v>
      </x:c>
      <x:c r="I286" t="str">
        <x:v>NARENDER KUMAR</x:v>
      </x:c>
      <x:c r="J286" t="str">
        <x:v>Bahujan Samaj Party</x:v>
      </x:c>
      <x:c r="K286" t="str">
        <x:v>EVM row</x:v>
      </x:c>
      <x:c r="L286" s="133" t="str">
        <x:f>IF(D286&lt;=0,"No EVM votes",IF(E286&lt;$N$7,"Low",IF(E286&gt;$R$7,"High","Middle")))</x:f>
        <x:v>Low</x:v>
      </x:c>
      <x:c r="M286" s="133" t="str">
        <x:f>IF(D286&lt;=0,"No EVM votes",IF(H286&lt;-20%,"Large deficit",IF(H286&lt;-5%,"Moderate deficit",IF(H286&lt;0,"Narrow deficit",IF(H286&lt;=5%,"Narrow lead/tie",IF(H286&lt;=20%,"Moderate lead","Large lead"))))))</x:f>
        <x:v>Large deficit</x:v>
      </x:c>
    </x:row>
    <x:row r="287">
      <x:c r="A287" t="n">
        <x:v>228</x:v>
      </x:c>
      <x:c r="B287" t="str">
        <x:v>INTER COLLEGE TOWN AREA RABUPURA ROOM NO 3</x:v>
      </x:c>
      <x:c r="C287" s="83" t="n">
        <x:f>'2022 Form20'!H236</x:f>
        <x:v>16</x:v>
      </x:c>
      <x:c r="D287" s="83" t="n">
        <x:f>'2022 Form20'!D236</x:f>
        <x:v>450</x:v>
      </x:c>
      <x:c r="E287" s="50" t="n">
        <x:f>'2022 Form20'!T236</x:f>
        <x:v>0.035555555555555556</x:v>
      </x:c>
      <x:c r="F287" t="n">
        <x:f>'2022 Form20'!U236</x:f>
        <x:v>358</x:v>
      </x:c>
      <x:c r="G287" t="n">
        <x:f>'2022 Form20'!V236</x:f>
        <x:v>-342</x:v>
      </x:c>
      <x:c r="H287" s="52" t="n">
        <x:f>'2022 Form20'!W236</x:f>
        <x:v>-0.76</x:v>
      </x:c>
      <x:c r="I287" t="str">
        <x:v>NARENDER KUMAR</x:v>
      </x:c>
      <x:c r="J287" t="str">
        <x:v>Bahujan Samaj Party</x:v>
      </x:c>
      <x:c r="K287" t="str">
        <x:v>EVM row</x:v>
      </x:c>
      <x:c r="L287" s="133" t="str">
        <x:f>IF(D287&lt;=0,"No EVM votes",IF(E287&lt;$N$7,"Low",IF(E287&gt;$R$7,"High","Middle")))</x:f>
        <x:v>Low</x:v>
      </x:c>
      <x:c r="M287" s="133" t="str">
        <x:f>IF(D287&lt;=0,"No EVM votes",IF(H287&lt;-20%,"Large deficit",IF(H287&lt;-5%,"Moderate deficit",IF(H287&lt;0,"Narrow deficit",IF(H287&lt;=5%,"Narrow lead/tie",IF(H287&lt;=20%,"Moderate lead","Large lead"))))))</x:f>
        <x:v>Large deficit</x:v>
      </x:c>
    </x:row>
    <x:row r="288">
      <x:c r="A288" t="n">
        <x:v>229</x:v>
      </x:c>
      <x:c r="B288" t="str">
        <x:v>INTER COLLEGE TOWN AREA RABUPURA ROOM NO 4</x:v>
      </x:c>
      <x:c r="C288" s="83" t="n">
        <x:f>'2022 Form20'!H237</x:f>
        <x:v>289</x:v>
      </x:c>
      <x:c r="D288" s="83" t="n">
        <x:f>'2022 Form20'!D237</x:f>
        <x:v>588</x:v>
      </x:c>
      <x:c r="E288" s="50" t="n">
        <x:f>'2022 Form20'!T237</x:f>
        <x:v>0.4914965986394558</x:v>
      </x:c>
      <x:c r="F288" t="n">
        <x:f>'2022 Form20'!U237</x:f>
        <x:v>259</x:v>
      </x:c>
      <x:c r="G288" t="n">
        <x:f>'2022 Form20'!V237</x:f>
        <x:v>30</x:v>
      </x:c>
      <x:c r="H288" s="52" t="n">
        <x:f>'2022 Form20'!W237</x:f>
        <x:v>0.05102040816326531</x:v>
      </x:c>
      <x:c r="I288" t="str">
        <x:v>AVTAR SINGH BHADANA</x:v>
      </x:c>
      <x:c r="J288" t="str">
        <x:v>Rashtriya Lok Dal</x:v>
      </x:c>
      <x:c r="K288" t="str">
        <x:v>EVM row</x:v>
      </x:c>
      <x:c r="L288" s="133" t="str">
        <x:f>IF(D288&lt;=0,"No EVM votes",IF(E288&lt;$N$7,"Low",IF(E288&gt;$R$7,"High","Middle")))</x:f>
        <x:v>High</x:v>
      </x:c>
      <x:c r="M288" s="133" t="str">
        <x:f>IF(D288&lt;=0,"No EVM votes",IF(H288&lt;-20%,"Large deficit",IF(H288&lt;-5%,"Moderate deficit",IF(H288&lt;0,"Narrow deficit",IF(H288&lt;=5%,"Narrow lead/tie",IF(H288&lt;=20%,"Moderate lead","Large lead"))))))</x:f>
        <x:v>Moderate lead</x:v>
      </x:c>
    </x:row>
    <x:row r="289">
      <x:c r="A289" t="n">
        <x:v>230</x:v>
      </x:c>
      <x:c r="B289" t="str">
        <x:v>INTER COLLEGE TOWN AREA RABUPURA ROOM NO 5</x:v>
      </x:c>
      <x:c r="C289" s="83" t="n">
        <x:f>'2022 Form20'!H238</x:f>
        <x:v>51</x:v>
      </x:c>
      <x:c r="D289" s="83" t="n">
        <x:f>'2022 Form20'!D238</x:f>
        <x:v>414</x:v>
      </x:c>
      <x:c r="E289" s="50" t="n">
        <x:f>'2022 Form20'!T238</x:f>
        <x:v>0.12318840579710146</x:v>
      </x:c>
      <x:c r="F289" t="n">
        <x:f>'2022 Form20'!U238</x:f>
        <x:v>351</x:v>
      </x:c>
      <x:c r="G289" t="n">
        <x:f>'2022 Form20'!V238</x:f>
        <x:v>-300</x:v>
      </x:c>
      <x:c r="H289" s="52" t="n">
        <x:f>'2022 Form20'!W238</x:f>
        <x:v>-0.7246376811594203</x:v>
      </x:c>
      <x:c r="I289" t="str">
        <x:v>DHIRENDRA SINGH</x:v>
      </x:c>
      <x:c r="J289" t="str">
        <x:v>Bharatiya Janata Party</x:v>
      </x:c>
      <x:c r="K289" t="str">
        <x:v>EVM row</x:v>
      </x:c>
      <x:c r="L289" s="133" t="str">
        <x:f>IF(D289&lt;=0,"No EVM votes",IF(E289&lt;$N$7,"Low",IF(E289&gt;$R$7,"High","Middle")))</x:f>
        <x:v>Middle</x:v>
      </x:c>
      <x:c r="M289" s="133" t="str">
        <x:f>IF(D289&lt;=0,"No EVM votes",IF(H289&lt;-20%,"Large deficit",IF(H289&lt;-5%,"Moderate deficit",IF(H289&lt;0,"Narrow deficit",IF(H289&lt;=5%,"Narrow lead/tie",IF(H289&lt;=20%,"Moderate lead","Large lead"))))))</x:f>
        <x:v>Large deficit</x:v>
      </x:c>
    </x:row>
    <x:row r="290">
      <x:c r="A290" t="n">
        <x:v>231</x:v>
      </x:c>
      <x:c r="B290" t="str">
        <x:v>INTER COLLEGE TOWN AREA RABUPURA ROOM NO 6</x:v>
      </x:c>
      <x:c r="C290" s="83" t="n">
        <x:f>'2022 Form20'!H239</x:f>
        <x:v>149</x:v>
      </x:c>
      <x:c r="D290" s="83" t="n">
        <x:f>'2022 Form20'!D239</x:f>
        <x:v>431</x:v>
      </x:c>
      <x:c r="E290" s="50" t="n">
        <x:f>'2022 Form20'!T239</x:f>
        <x:v>0.345707656612529</x:v>
      </x:c>
      <x:c r="F290" t="n">
        <x:f>'2022 Form20'!U239</x:f>
        <x:v>262</x:v>
      </x:c>
      <x:c r="G290" t="n">
        <x:f>'2022 Form20'!V239</x:f>
        <x:v>-113</x:v>
      </x:c>
      <x:c r="H290" s="52" t="n">
        <x:f>'2022 Form20'!W239</x:f>
        <x:v>-0.26218097447795824</x:v>
      </x:c>
      <x:c r="I290" t="str">
        <x:v>DHIRENDRA SINGH</x:v>
      </x:c>
      <x:c r="J290" t="str">
        <x:v>Bharatiya Janata Party</x:v>
      </x:c>
      <x:c r="K290" t="str">
        <x:v>EVM row</x:v>
      </x:c>
      <x:c r="L290" s="133" t="str">
        <x:f>IF(D290&lt;=0,"No EVM votes",IF(E290&lt;$N$7,"Low",IF(E290&gt;$R$7,"High","Middle")))</x:f>
        <x:v>Middle</x:v>
      </x:c>
      <x:c r="M290" s="133" t="str">
        <x:f>IF(D290&lt;=0,"No EVM votes",IF(H290&lt;-20%,"Large deficit",IF(H290&lt;-5%,"Moderate deficit",IF(H290&lt;0,"Narrow deficit",IF(H290&lt;=5%,"Narrow lead/tie",IF(H290&lt;=20%,"Moderate lead","Large lead"))))))</x:f>
        <x:v>Large deficit</x:v>
      </x:c>
    </x:row>
    <x:row r="291">
      <x:c r="A291" t="n">
        <x:v>232</x:v>
      </x:c>
      <x:c r="B291" t="str">
        <x:v>INTER COLLEGE TOWN AREA RABUPURA ROOM NO 7</x:v>
      </x:c>
      <x:c r="C291" s="83" t="n">
        <x:f>'2022 Form20'!H240</x:f>
        <x:v>127</x:v>
      </x:c>
      <x:c r="D291" s="83" t="n">
        <x:f>'2022 Form20'!D240</x:f>
        <x:v>576</x:v>
      </x:c>
      <x:c r="E291" s="50" t="n">
        <x:f>'2022 Form20'!T240</x:f>
        <x:v>0.2204861111111111</x:v>
      </x:c>
      <x:c r="F291" t="n">
        <x:f>'2022 Form20'!U240</x:f>
        <x:v>415</x:v>
      </x:c>
      <x:c r="G291" t="n">
        <x:f>'2022 Form20'!V240</x:f>
        <x:v>-288</x:v>
      </x:c>
      <x:c r="H291" s="52" t="n">
        <x:f>'2022 Form20'!W240</x:f>
        <x:v>-0.5</x:v>
      </x:c>
      <x:c r="I291" t="str">
        <x:v>DHIRENDRA SINGH</x:v>
      </x:c>
      <x:c r="J291" t="str">
        <x:v>Bharatiya Janata Party</x:v>
      </x:c>
      <x:c r="K291" t="str">
        <x:v>EVM row</x:v>
      </x:c>
      <x:c r="L291" s="133" t="str">
        <x:f>IF(D291&lt;=0,"No EVM votes",IF(E291&lt;$N$7,"Low",IF(E291&gt;$R$7,"High","Middle")))</x:f>
        <x:v>Middle</x:v>
      </x:c>
      <x:c r="M291" s="133" t="str">
        <x:f>IF(D291&lt;=0,"No EVM votes",IF(H291&lt;-20%,"Large deficit",IF(H291&lt;-5%,"Moderate deficit",IF(H291&lt;0,"Narrow deficit",IF(H291&lt;=5%,"Narrow lead/tie",IF(H291&lt;=20%,"Moderate lead","Large lead"))))))</x:f>
        <x:v>Large deficit</x:v>
      </x:c>
    </x:row>
    <x:row r="292">
      <x:c r="A292" t="n">
        <x:v>233</x:v>
      </x:c>
      <x:c r="B292" t="str">
        <x:v>INTER COLLEGE TOWN AREA RABUPURA ROOM NO 8</x:v>
      </x:c>
      <x:c r="C292" s="83" t="n">
        <x:f>'2022 Form20'!H241</x:f>
        <x:v>39</x:v>
      </x:c>
      <x:c r="D292" s="83" t="n">
        <x:f>'2022 Form20'!D241</x:f>
        <x:v>557</x:v>
      </x:c>
      <x:c r="E292" s="50" t="n">
        <x:f>'2022 Form20'!T241</x:f>
        <x:v>0.07001795332136446</x:v>
      </x:c>
      <x:c r="F292" t="n">
        <x:f>'2022 Form20'!U241</x:f>
        <x:v>493</x:v>
      </x:c>
      <x:c r="G292" t="n">
        <x:f>'2022 Form20'!V241</x:f>
        <x:v>-454</x:v>
      </x:c>
      <x:c r="H292" s="52" t="n">
        <x:f>'2022 Form20'!W241</x:f>
        <x:v>-0.8150807899461401</x:v>
      </x:c>
      <x:c r="I292" t="str">
        <x:v>DHIRENDRA SINGH</x:v>
      </x:c>
      <x:c r="J292" t="str">
        <x:v>Bharatiya Janata Party</x:v>
      </x:c>
      <x:c r="K292" t="str">
        <x:v>EVM row</x:v>
      </x:c>
      <x:c r="L292" s="133" t="str">
        <x:f>IF(D292&lt;=0,"No EVM votes",IF(E292&lt;$N$7,"Low",IF(E292&gt;$R$7,"High","Middle")))</x:f>
        <x:v>Low</x:v>
      </x:c>
      <x:c r="M292" s="133" t="str">
        <x:f>IF(D292&lt;=0,"No EVM votes",IF(H292&lt;-20%,"Large deficit",IF(H292&lt;-5%,"Moderate deficit",IF(H292&lt;0,"Narrow deficit",IF(H292&lt;=5%,"Narrow lead/tie",IF(H292&lt;=20%,"Moderate lead","Large lead"))))))</x:f>
        <x:v>Large deficit</x:v>
      </x:c>
    </x:row>
    <x:row r="293">
      <x:c r="A293" t="n">
        <x:v>234</x:v>
      </x:c>
      <x:c r="B293" t="str">
        <x:v>INTER COLLEGE TOWN AREA RABUPURA ROOM NO 9</x:v>
      </x:c>
      <x:c r="C293" s="83" t="n">
        <x:f>'2022 Form20'!H242</x:f>
        <x:v>103</x:v>
      </x:c>
      <x:c r="D293" s="83" t="n">
        <x:f>'2022 Form20'!D242</x:f>
        <x:v>482</x:v>
      </x:c>
      <x:c r="E293" s="50" t="n">
        <x:f>'2022 Form20'!T242</x:f>
        <x:v>0.21369294605809128</x:v>
      </x:c>
      <x:c r="F293" t="n">
        <x:f>'2022 Form20'!U242</x:f>
        <x:v>354</x:v>
      </x:c>
      <x:c r="G293" t="n">
        <x:f>'2022 Form20'!V242</x:f>
        <x:v>-251</x:v>
      </x:c>
      <x:c r="H293" s="52" t="n">
        <x:f>'2022 Form20'!W242</x:f>
        <x:v>-0.520746887966805</x:v>
      </x:c>
      <x:c r="I293" t="str">
        <x:v>DHIRENDRA SINGH</x:v>
      </x:c>
      <x:c r="J293" t="str">
        <x:v>Bharatiya Janata Party</x:v>
      </x:c>
      <x:c r="K293" t="str">
        <x:v>EVM row</x:v>
      </x:c>
      <x:c r="L293" s="133" t="str">
        <x:f>IF(D293&lt;=0,"No EVM votes",IF(E293&lt;$N$7,"Low",IF(E293&gt;$R$7,"High","Middle")))</x:f>
        <x:v>Middle</x:v>
      </x:c>
      <x:c r="M293" s="133" t="str">
        <x:f>IF(D293&lt;=0,"No EVM votes",IF(H293&lt;-20%,"Large deficit",IF(H293&lt;-5%,"Moderate deficit",IF(H293&lt;0,"Narrow deficit",IF(H293&lt;=5%,"Narrow lead/tie",IF(H293&lt;=20%,"Moderate lead","Large lead"))))))</x:f>
        <x:v>Large deficit</x:v>
      </x:c>
    </x:row>
    <x:row r="294">
      <x:c r="A294" t="n">
        <x:v>235</x:v>
      </x:c>
      <x:c r="B294" t="str">
        <x:v>INTER COLLEGE TOWN AREA RABUPURA ROOM NO 10</x:v>
      </x:c>
      <x:c r="C294" s="83" t="n">
        <x:f>'2022 Form20'!H243</x:f>
        <x:v>138</x:v>
      </x:c>
      <x:c r="D294" s="83" t="n">
        <x:f>'2022 Form20'!D243</x:f>
        <x:v>426</x:v>
      </x:c>
      <x:c r="E294" s="50" t="n">
        <x:f>'2022 Form20'!T243</x:f>
        <x:v>0.323943661971831</x:v>
      </x:c>
      <x:c r="F294" t="n">
        <x:f>'2022 Form20'!U243</x:f>
        <x:v>249</x:v>
      </x:c>
      <x:c r="G294" t="n">
        <x:f>'2022 Form20'!V243</x:f>
        <x:v>-111</x:v>
      </x:c>
      <x:c r="H294" s="52" t="n">
        <x:f>'2022 Form20'!W243</x:f>
        <x:v>-0.2605633802816901</x:v>
      </x:c>
      <x:c r="I294" t="str">
        <x:v>DHIRENDRA SINGH</x:v>
      </x:c>
      <x:c r="J294" t="str">
        <x:v>Bharatiya Janata Party</x:v>
      </x:c>
      <x:c r="K294" t="str">
        <x:v>EVM row</x:v>
      </x:c>
      <x:c r="L294" s="133" t="str">
        <x:f>IF(D294&lt;=0,"No EVM votes",IF(E294&lt;$N$7,"Low",IF(E294&gt;$R$7,"High","Middle")))</x:f>
        <x:v>Middle</x:v>
      </x:c>
      <x:c r="M294" s="133" t="str">
        <x:f>IF(D294&lt;=0,"No EVM votes",IF(H294&lt;-20%,"Large deficit",IF(H294&lt;-5%,"Moderate deficit",IF(H294&lt;0,"Narrow deficit",IF(H294&lt;=5%,"Narrow lead/tie",IF(H294&lt;=20%,"Moderate lead","Large lead"))))))</x:f>
        <x:v>Large deficit</x:v>
      </x:c>
    </x:row>
    <x:row r="295">
      <x:c r="A295" t="n">
        <x:v>236</x:v>
      </x:c>
      <x:c r="B295" t="str">
        <x:v>SARASWATI SHISHU MANDIR INTER COLLEGE RABUPURA ROOM NO. 1</x:v>
      </x:c>
      <x:c r="C295" s="83" t="n">
        <x:f>'2022 Form20'!H244</x:f>
        <x:v>71</x:v>
      </x:c>
      <x:c r="D295" s="83" t="n">
        <x:f>'2022 Form20'!D244</x:f>
        <x:v>502</x:v>
      </x:c>
      <x:c r="E295" s="50" t="n">
        <x:f>'2022 Form20'!T244</x:f>
        <x:v>0.14143426294820718</x:v>
      </x:c>
      <x:c r="F295" t="n">
        <x:f>'2022 Form20'!U244</x:f>
        <x:v>378</x:v>
      </x:c>
      <x:c r="G295" t="n">
        <x:f>'2022 Form20'!V244</x:f>
        <x:v>-307</x:v>
      </x:c>
      <x:c r="H295" s="52" t="n">
        <x:f>'2022 Form20'!W244</x:f>
        <x:v>-0.6115537848605578</x:v>
      </x:c>
      <x:c r="I295" t="str">
        <x:v>DHIRENDRA SINGH</x:v>
      </x:c>
      <x:c r="J295" t="str">
        <x:v>Bharatiya Janata Party</x:v>
      </x:c>
      <x:c r="K295" t="str">
        <x:v>EVM row</x:v>
      </x:c>
      <x:c r="L295" s="133" t="str">
        <x:f>IF(D295&lt;=0,"No EVM votes",IF(E295&lt;$N$7,"Low",IF(E295&gt;$R$7,"High","Middle")))</x:f>
        <x:v>Middle</x:v>
      </x:c>
      <x:c r="M295" s="133" t="str">
        <x:f>IF(D295&lt;=0,"No EVM votes",IF(H295&lt;-20%,"Large deficit",IF(H295&lt;-5%,"Moderate deficit",IF(H295&lt;0,"Narrow deficit",IF(H295&lt;=5%,"Narrow lead/tie",IF(H295&lt;=20%,"Moderate lead","Large lead"))))))</x:f>
        <x:v>Large deficit</x:v>
      </x:c>
    </x:row>
    <x:row r="296">
      <x:c r="A296" t="n">
        <x:v>237</x:v>
      </x:c>
      <x:c r="B296" t="str">
        <x:v>SARASWATI SHISHU MANDIR INTER COLLEGE RABUPURA ROOM NO. 2</x:v>
      </x:c>
      <x:c r="C296" s="83" t="n">
        <x:f>'2022 Form20'!H245</x:f>
        <x:v>135</x:v>
      </x:c>
      <x:c r="D296" s="83" t="n">
        <x:f>'2022 Form20'!D245</x:f>
        <x:v>496</x:v>
      </x:c>
      <x:c r="E296" s="50" t="n">
        <x:f>'2022 Form20'!T245</x:f>
        <x:v>0.2721774193548387</x:v>
      </x:c>
      <x:c r="F296" t="n">
        <x:f>'2022 Form20'!U245</x:f>
        <x:v>345</x:v>
      </x:c>
      <x:c r="G296" t="n">
        <x:f>'2022 Form20'!V245</x:f>
        <x:v>-210</x:v>
      </x:c>
      <x:c r="H296" s="52" t="n">
        <x:f>'2022 Form20'!W245</x:f>
        <x:v>-0.42338709677419356</x:v>
      </x:c>
      <x:c r="I296" t="str">
        <x:v>DHIRENDRA SINGH</x:v>
      </x:c>
      <x:c r="J296" t="str">
        <x:v>Bharatiya Janata Party</x:v>
      </x:c>
      <x:c r="K296" t="str">
        <x:v>EVM row</x:v>
      </x:c>
      <x:c r="L296" s="133" t="str">
        <x:f>IF(D296&lt;=0,"No EVM votes",IF(E296&lt;$N$7,"Low",IF(E296&gt;$R$7,"High","Middle")))</x:f>
        <x:v>Middle</x:v>
      </x:c>
      <x:c r="M296" s="133" t="str">
        <x:f>IF(D296&lt;=0,"No EVM votes",IF(H296&lt;-20%,"Large deficit",IF(H296&lt;-5%,"Moderate deficit",IF(H296&lt;0,"Narrow deficit",IF(H296&lt;=5%,"Narrow lead/tie",IF(H296&lt;=20%,"Moderate lead","Large lead"))))))</x:f>
        <x:v>Large deficit</x:v>
      </x:c>
    </x:row>
    <x:row r="297">
      <x:c r="A297" t="n">
        <x:v>238</x:v>
      </x:c>
      <x:c r="B297" t="str">
        <x:v>PRIMARY SCHOOL TOWN AREA RABUPURA ROOM NO 1</x:v>
      </x:c>
      <x:c r="C297" s="83" t="n">
        <x:f>'2022 Form20'!H246</x:f>
        <x:v>72</x:v>
      </x:c>
      <x:c r="D297" s="83" t="n">
        <x:f>'2022 Form20'!D246</x:f>
        <x:v>547</x:v>
      </x:c>
      <x:c r="E297" s="50" t="n">
        <x:f>'2022 Form20'!T246</x:f>
        <x:v>0.1316270566727605</x:v>
      </x:c>
      <x:c r="F297" t="n">
        <x:f>'2022 Form20'!U246</x:f>
        <x:v>441</x:v>
      </x:c>
      <x:c r="G297" t="n">
        <x:f>'2022 Form20'!V246</x:f>
        <x:v>-369</x:v>
      </x:c>
      <x:c r="H297" s="52" t="n">
        <x:f>'2022 Form20'!W246</x:f>
        <x:v>-0.6745886654478976</x:v>
      </x:c>
      <x:c r="I297" t="str">
        <x:v>DHIRENDRA SINGH</x:v>
      </x:c>
      <x:c r="J297" t="str">
        <x:v>Bharatiya Janata Party</x:v>
      </x:c>
      <x:c r="K297" t="str">
        <x:v>EVM row</x:v>
      </x:c>
      <x:c r="L297" s="133" t="str">
        <x:f>IF(D297&lt;=0,"No EVM votes",IF(E297&lt;$N$7,"Low",IF(E297&gt;$R$7,"High","Middle")))</x:f>
        <x:v>Middle</x:v>
      </x:c>
      <x:c r="M297" s="133" t="str">
        <x:f>IF(D297&lt;=0,"No EVM votes",IF(H297&lt;-20%,"Large deficit",IF(H297&lt;-5%,"Moderate deficit",IF(H297&lt;0,"Narrow deficit",IF(H297&lt;=5%,"Narrow lead/tie",IF(H297&lt;=20%,"Moderate lead","Large lead"))))))</x:f>
        <x:v>Large deficit</x:v>
      </x:c>
    </x:row>
    <x:row r="298">
      <x:c r="A298" t="n">
        <x:v>239</x:v>
      </x:c>
      <x:c r="B298" t="str">
        <x:v>PRIMARY SCHOOL TOWN AREA RABUPURA ROOM NO 2</x:v>
      </x:c>
      <x:c r="C298" s="83" t="n">
        <x:f>'2022 Form20'!H247</x:f>
        <x:v>114</x:v>
      </x:c>
      <x:c r="D298" s="83" t="n">
        <x:f>'2022 Form20'!D247</x:f>
        <x:v>655</x:v>
      </x:c>
      <x:c r="E298" s="50" t="n">
        <x:f>'2022 Form20'!T247</x:f>
        <x:v>0.17404580152671756</x:v>
      </x:c>
      <x:c r="F298" t="n">
        <x:f>'2022 Form20'!U247</x:f>
        <x:v>506</x:v>
      </x:c>
      <x:c r="G298" t="n">
        <x:f>'2022 Form20'!V247</x:f>
        <x:v>-392</x:v>
      </x:c>
      <x:c r="H298" s="52" t="n">
        <x:f>'2022 Form20'!W247</x:f>
        <x:v>-0.5984732824427481</x:v>
      </x:c>
      <x:c r="I298" t="str">
        <x:v>DHIRENDRA SINGH</x:v>
      </x:c>
      <x:c r="J298" t="str">
        <x:v>Bharatiya Janata Party</x:v>
      </x:c>
      <x:c r="K298" t="str">
        <x:v>EVM row</x:v>
      </x:c>
      <x:c r="L298" s="133" t="str">
        <x:f>IF(D298&lt;=0,"No EVM votes",IF(E298&lt;$N$7,"Low",IF(E298&gt;$R$7,"High","Middle")))</x:f>
        <x:v>Middle</x:v>
      </x:c>
      <x:c r="M298" s="133" t="str">
        <x:f>IF(D298&lt;=0,"No EVM votes",IF(H298&lt;-20%,"Large deficit",IF(H298&lt;-5%,"Moderate deficit",IF(H298&lt;0,"Narrow deficit",IF(H298&lt;=5%,"Narrow lead/tie",IF(H298&lt;=20%,"Moderate lead","Large lead"))))))</x:f>
        <x:v>Large deficit</x:v>
      </x:c>
    </x:row>
    <x:row r="299">
      <x:c r="A299" t="n">
        <x:v>240</x:v>
      </x:c>
      <x:c r="B299" t="str">
        <x:v>PRIMARY SCHOOL TOWN AREA RABUPURA ROOM NO 3</x:v>
      </x:c>
      <x:c r="C299" s="83" t="n">
        <x:f>'2022 Form20'!H248</x:f>
        <x:v>235</x:v>
      </x:c>
      <x:c r="D299" s="83" t="n">
        <x:f>'2022 Form20'!D248</x:f>
        <x:v>660</x:v>
      </x:c>
      <x:c r="E299" s="50" t="n">
        <x:f>'2022 Form20'!T248</x:f>
        <x:v>0.3560606060606061</x:v>
      </x:c>
      <x:c r="F299" t="n">
        <x:f>'2022 Form20'!U248</x:f>
        <x:v>375</x:v>
      </x:c>
      <x:c r="G299" t="n">
        <x:f>'2022 Form20'!V248</x:f>
        <x:v>-140</x:v>
      </x:c>
      <x:c r="H299" s="52" t="n">
        <x:f>'2022 Form20'!W248</x:f>
        <x:v>-0.21212121212121213</x:v>
      </x:c>
      <x:c r="I299" t="str">
        <x:v>DHIRENDRA SINGH</x:v>
      </x:c>
      <x:c r="J299" t="str">
        <x:v>Bharatiya Janata Party</x:v>
      </x:c>
      <x:c r="K299" t="str">
        <x:v>EVM row</x:v>
      </x:c>
      <x:c r="L299" s="133" t="str">
        <x:f>IF(D299&lt;=0,"No EVM votes",IF(E299&lt;$N$7,"Low",IF(E299&gt;$R$7,"High","Middle")))</x:f>
        <x:v>Middle</x:v>
      </x:c>
      <x:c r="M299" s="133" t="str">
        <x:f>IF(D299&lt;=0,"No EVM votes",IF(H299&lt;-20%,"Large deficit",IF(H299&lt;-5%,"Moderate deficit",IF(H299&lt;0,"Narrow deficit",IF(H299&lt;=5%,"Narrow lead/tie",IF(H299&lt;=20%,"Moderate lead","Large lead"))))))</x:f>
        <x:v>Large deficit</x:v>
      </x:c>
    </x:row>
    <x:row r="300">
      <x:c r="A300" t="n">
        <x:v>241</x:v>
      </x:c>
      <x:c r="B300" t="str">
        <x:v>PRIMARY SCHOOL BHAIPUR BRAHMAMANAN ROOM NO 1</x:v>
      </x:c>
      <x:c r="C300" s="83" t="n">
        <x:f>'2022 Form20'!H249</x:f>
        <x:v>79</x:v>
      </x:c>
      <x:c r="D300" s="83" t="n">
        <x:f>'2022 Form20'!D249</x:f>
        <x:v>731</x:v>
      </x:c>
      <x:c r="E300" s="50" t="n">
        <x:f>'2022 Form20'!T249</x:f>
        <x:v>0.10807113543091655</x:v>
      </x:c>
      <x:c r="F300" t="n">
        <x:f>'2022 Form20'!U249</x:f>
        <x:v>628</x:v>
      </x:c>
      <x:c r="G300" t="n">
        <x:f>'2022 Form20'!V249</x:f>
        <x:v>-549</x:v>
      </x:c>
      <x:c r="H300" s="52" t="n">
        <x:f>'2022 Form20'!W249</x:f>
        <x:v>-0.7510259917920656</x:v>
      </x:c>
      <x:c r="I300" t="str">
        <x:v>DHIRENDRA SINGH</x:v>
      </x:c>
      <x:c r="J300" t="str">
        <x:v>Bharatiya Janata Party</x:v>
      </x:c>
      <x:c r="K300" t="str">
        <x:v>EVM row</x:v>
      </x:c>
      <x:c r="L300" s="133" t="str">
        <x:f>IF(D300&lt;=0,"No EVM votes",IF(E300&lt;$N$7,"Low",IF(E300&gt;$R$7,"High","Middle")))</x:f>
        <x:v>Middle</x:v>
      </x:c>
      <x:c r="M300" s="133" t="str">
        <x:f>IF(D300&lt;=0,"No EVM votes",IF(H300&lt;-20%,"Large deficit",IF(H300&lt;-5%,"Moderate deficit",IF(H300&lt;0,"Narrow deficit",IF(H300&lt;=5%,"Narrow lead/tie",IF(H300&lt;=20%,"Moderate lead","Large lead"))))))</x:f>
        <x:v>Large deficit</x:v>
      </x:c>
    </x:row>
    <x:row r="301">
      <x:c r="A301" t="n">
        <x:v>242</x:v>
      </x:c>
      <x:c r="B301" t="str">
        <x:v>JUNIOR HIGH SCHOOL BHAIPUR BRAHMANAN ROOM NO 1</x:v>
      </x:c>
      <x:c r="C301" s="83" t="n">
        <x:f>'2022 Form20'!H250</x:f>
        <x:v>59</x:v>
      </x:c>
      <x:c r="D301" s="83" t="n">
        <x:f>'2022 Form20'!D250</x:f>
        <x:v>521</x:v>
      </x:c>
      <x:c r="E301" s="50" t="n">
        <x:f>'2022 Form20'!T250</x:f>
        <x:v>0.11324376199616124</x:v>
      </x:c>
      <x:c r="F301" t="n">
        <x:f>'2022 Form20'!U250</x:f>
        <x:v>327</x:v>
      </x:c>
      <x:c r="G301" t="n">
        <x:f>'2022 Form20'!V250</x:f>
        <x:v>-268</x:v>
      </x:c>
      <x:c r="H301" s="52" t="n">
        <x:f>'2022 Form20'!W250</x:f>
        <x:v>-0.5143953934740882</x:v>
      </x:c>
      <x:c r="I301" t="str">
        <x:v>DHIRENDRA SINGH</x:v>
      </x:c>
      <x:c r="J301" t="str">
        <x:v>Bharatiya Janata Party</x:v>
      </x:c>
      <x:c r="K301" t="str">
        <x:v>EVM row</x:v>
      </x:c>
      <x:c r="L301" s="133" t="str">
        <x:f>IF(D301&lt;=0,"No EVM votes",IF(E301&lt;$N$7,"Low",IF(E301&gt;$R$7,"High","Middle")))</x:f>
        <x:v>Middle</x:v>
      </x:c>
      <x:c r="M301" s="133" t="str">
        <x:f>IF(D301&lt;=0,"No EVM votes",IF(H301&lt;-20%,"Large deficit",IF(H301&lt;-5%,"Moderate deficit",IF(H301&lt;0,"Narrow deficit",IF(H301&lt;=5%,"Narrow lead/tie",IF(H301&lt;=20%,"Moderate lead","Large lead"))))))</x:f>
        <x:v>Large deficit</x:v>
      </x:c>
    </x:row>
    <x:row r="302">
      <x:c r="A302" t="n">
        <x:v>243</x:v>
      </x:c>
      <x:c r="B302" t="str">
        <x:v>JUNIOR HIGH SCHOOL BHAIPUR BRAHMANAN ROOM NO 2</x:v>
      </x:c>
      <x:c r="C302" s="83" t="n">
        <x:f>'2022 Form20'!H251</x:f>
        <x:v>61</x:v>
      </x:c>
      <x:c r="D302" s="83" t="n">
        <x:f>'2022 Form20'!D251</x:f>
        <x:v>418</x:v>
      </x:c>
      <x:c r="E302" s="50" t="n">
        <x:f>'2022 Form20'!T251</x:f>
        <x:v>0.145933014354067</x:v>
      </x:c>
      <x:c r="F302" t="n">
        <x:f>'2022 Form20'!U251</x:f>
        <x:v>350</x:v>
      </x:c>
      <x:c r="G302" t="n">
        <x:f>'2022 Form20'!V251</x:f>
        <x:v>-289</x:v>
      </x:c>
      <x:c r="H302" s="52" t="n">
        <x:f>'2022 Form20'!W251</x:f>
        <x:v>-0.6913875598086124</x:v>
      </x:c>
      <x:c r="I302" t="str">
        <x:v>DHIRENDRA SINGH</x:v>
      </x:c>
      <x:c r="J302" t="str">
        <x:v>Bharatiya Janata Party</x:v>
      </x:c>
      <x:c r="K302" t="str">
        <x:v>EVM row</x:v>
      </x:c>
      <x:c r="L302" s="133" t="str">
        <x:f>IF(D302&lt;=0,"No EVM votes",IF(E302&lt;$N$7,"Low",IF(E302&gt;$R$7,"High","Middle")))</x:f>
        <x:v>Middle</x:v>
      </x:c>
      <x:c r="M302" s="133" t="str">
        <x:f>IF(D302&lt;=0,"No EVM votes",IF(H302&lt;-20%,"Large deficit",IF(H302&lt;-5%,"Moderate deficit",IF(H302&lt;0,"Narrow deficit",IF(H302&lt;=5%,"Narrow lead/tie",IF(H302&lt;=20%,"Moderate lead","Large lead"))))))</x:f>
        <x:v>Large deficit</x:v>
      </x:c>
    </x:row>
    <x:row r="303">
      <x:c r="A303" t="n">
        <x:v>244</x:v>
      </x:c>
      <x:c r="B303" t="str">
        <x:v>PRIMARY SCHOOL MEHDIPUR BANGAR ROOM NO 1</x:v>
      </x:c>
      <x:c r="C303" s="83" t="n">
        <x:f>'2022 Form20'!H252</x:f>
        <x:v>240</x:v>
      </x:c>
      <x:c r="D303" s="83" t="n">
        <x:f>'2022 Form20'!D252</x:f>
        <x:v>830</x:v>
      </x:c>
      <x:c r="E303" s="50" t="n">
        <x:f>'2022 Form20'!T252</x:f>
        <x:v>0.2891566265060241</x:v>
      </x:c>
      <x:c r="F303" t="n">
        <x:f>'2022 Form20'!U252</x:f>
        <x:v>536</x:v>
      </x:c>
      <x:c r="G303" t="n">
        <x:f>'2022 Form20'!V252</x:f>
        <x:v>-296</x:v>
      </x:c>
      <x:c r="H303" s="52" t="n">
        <x:f>'2022 Form20'!W252</x:f>
        <x:v>-0.3566265060240964</x:v>
      </x:c>
      <x:c r="I303" t="str">
        <x:v>DHIRENDRA SINGH</x:v>
      </x:c>
      <x:c r="J303" t="str">
        <x:v>Bharatiya Janata Party</x:v>
      </x:c>
      <x:c r="K303" t="str">
        <x:v>EVM row</x:v>
      </x:c>
      <x:c r="L303" s="133" t="str">
        <x:f>IF(D303&lt;=0,"No EVM votes",IF(E303&lt;$N$7,"Low",IF(E303&gt;$R$7,"High","Middle")))</x:f>
        <x:v>Middle</x:v>
      </x:c>
      <x:c r="M303" s="133" t="str">
        <x:f>IF(D303&lt;=0,"No EVM votes",IF(H303&lt;-20%,"Large deficit",IF(H303&lt;-5%,"Moderate deficit",IF(H303&lt;0,"Narrow deficit",IF(H303&lt;=5%,"Narrow lead/tie",IF(H303&lt;=20%,"Moderate lead","Large lead"))))))</x:f>
        <x:v>Large deficit</x:v>
      </x:c>
    </x:row>
    <x:row r="304">
      <x:c r="A304" t="n">
        <x:v>245</x:v>
      </x:c>
      <x:c r="B304" t="str">
        <x:v>PRIMARY SCHOOL MEHDIPUR BANGAR ROOM NO 2</x:v>
      </x:c>
      <x:c r="C304" s="83" t="n">
        <x:f>'2022 Form20'!H253</x:f>
        <x:v>290</x:v>
      </x:c>
      <x:c r="D304" s="83" t="n">
        <x:f>'2022 Form20'!D253</x:f>
        <x:v>766</x:v>
      </x:c>
      <x:c r="E304" s="50" t="n">
        <x:f>'2022 Form20'!T253</x:f>
        <x:v>0.3785900783289817</x:v>
      </x:c>
      <x:c r="F304" t="n">
        <x:f>'2022 Form20'!U253</x:f>
        <x:v>423</x:v>
      </x:c>
      <x:c r="G304" t="n">
        <x:f>'2022 Form20'!V253</x:f>
        <x:v>-133</x:v>
      </x:c>
      <x:c r="H304" s="52" t="n">
        <x:f>'2022 Form20'!W253</x:f>
        <x:v>-0.17362924281984335</x:v>
      </x:c>
      <x:c r="I304" t="str">
        <x:v>DHIRENDRA SINGH</x:v>
      </x:c>
      <x:c r="J304" t="str">
        <x:v>Bharatiya Janata Party</x:v>
      </x:c>
      <x:c r="K304" t="str">
        <x:v>EVM row</x:v>
      </x:c>
      <x:c r="L304" s="133" t="str">
        <x:f>IF(D304&lt;=0,"No EVM votes",IF(E304&lt;$N$7,"Low",IF(E304&gt;$R$7,"High","Middle")))</x:f>
        <x:v>High</x:v>
      </x:c>
      <x:c r="M304" s="133" t="str">
        <x:f>IF(D304&lt;=0,"No EVM votes",IF(H304&lt;-20%,"Large deficit",IF(H304&lt;-5%,"Moderate deficit",IF(H304&lt;0,"Narrow deficit",IF(H304&lt;=5%,"Narrow lead/tie",IF(H304&lt;=20%,"Moderate lead","Large lead"))))))</x:f>
        <x:v>Moderate deficit</x:v>
      </x:c>
    </x:row>
    <x:row r="305">
      <x:c r="A305" t="n">
        <x:v>246</x:v>
      </x:c>
      <x:c r="B305" t="str">
        <x:v>PRIMARY SCHOOL MEHDIPUR BANGAR ROOM NO 3</x:v>
      </x:c>
      <x:c r="C305" s="83" t="n">
        <x:f>'2022 Form20'!H254</x:f>
        <x:v>239</x:v>
      </x:c>
      <x:c r="D305" s="83" t="n">
        <x:f>'2022 Form20'!D254</x:f>
        <x:v>694</x:v>
      </x:c>
      <x:c r="E305" s="50" t="n">
        <x:f>'2022 Form20'!T254</x:f>
        <x:v>0.34438040345821325</x:v>
      </x:c>
      <x:c r="F305" t="n">
        <x:f>'2022 Form20'!U254</x:f>
        <x:v>414</x:v>
      </x:c>
      <x:c r="G305" t="n">
        <x:f>'2022 Form20'!V254</x:f>
        <x:v>-175</x:v>
      </x:c>
      <x:c r="H305" s="52" t="n">
        <x:f>'2022 Form20'!W254</x:f>
        <x:v>-0.2521613832853026</x:v>
      </x:c>
      <x:c r="I305" t="str">
        <x:v>DHIRENDRA SINGH</x:v>
      </x:c>
      <x:c r="J305" t="str">
        <x:v>Bharatiya Janata Party</x:v>
      </x:c>
      <x:c r="K305" t="str">
        <x:v>EVM row</x:v>
      </x:c>
      <x:c r="L305" s="133" t="str">
        <x:f>IF(D305&lt;=0,"No EVM votes",IF(E305&lt;$N$7,"Low",IF(E305&gt;$R$7,"High","Middle")))</x:f>
        <x:v>Middle</x:v>
      </x:c>
      <x:c r="M305" s="133" t="str">
        <x:f>IF(D305&lt;=0,"No EVM votes",IF(H305&lt;-20%,"Large deficit",IF(H305&lt;-5%,"Moderate deficit",IF(H305&lt;0,"Narrow deficit",IF(H305&lt;=5%,"Narrow lead/tie",IF(H305&lt;=20%,"Moderate lead","Large lead"))))))</x:f>
        <x:v>Large deficit</x:v>
      </x:c>
    </x:row>
    <x:row r="306">
      <x:c r="A306" t="n">
        <x:v>247</x:v>
      </x:c>
      <x:c r="B306" t="str">
        <x:v>PRIMARY SCHOOL SIRAULI BANGAR ROOM NO 1</x:v>
      </x:c>
      <x:c r="C306" s="83" t="n">
        <x:f>'2022 Form20'!H255</x:f>
        <x:v>149</x:v>
      </x:c>
      <x:c r="D306" s="83" t="n">
        <x:f>'2022 Form20'!D255</x:f>
        <x:v>508</x:v>
      </x:c>
      <x:c r="E306" s="50" t="n">
        <x:f>'2022 Form20'!T255</x:f>
        <x:v>0.2933070866141732</x:v>
      </x:c>
      <x:c r="F306" t="n">
        <x:f>'2022 Form20'!U255</x:f>
        <x:v>307</x:v>
      </x:c>
      <x:c r="G306" t="n">
        <x:f>'2022 Form20'!V255</x:f>
        <x:v>-158</x:v>
      </x:c>
      <x:c r="H306" s="52" t="n">
        <x:f>'2022 Form20'!W255</x:f>
        <x:v>-0.3110236220472441</x:v>
      </x:c>
      <x:c r="I306" t="str">
        <x:v>DHIRENDRA SINGH</x:v>
      </x:c>
      <x:c r="J306" t="str">
        <x:v>Bharatiya Janata Party</x:v>
      </x:c>
      <x:c r="K306" t="str">
        <x:v>EVM row</x:v>
      </x:c>
      <x:c r="L306" s="133" t="str">
        <x:f>IF(D306&lt;=0,"No EVM votes",IF(E306&lt;$N$7,"Low",IF(E306&gt;$R$7,"High","Middle")))</x:f>
        <x:v>Middle</x:v>
      </x:c>
      <x:c r="M306" s="133" t="str">
        <x:f>IF(D306&lt;=0,"No EVM votes",IF(H306&lt;-20%,"Large deficit",IF(H306&lt;-5%,"Moderate deficit",IF(H306&lt;0,"Narrow deficit",IF(H306&lt;=5%,"Narrow lead/tie",IF(H306&lt;=20%,"Moderate lead","Large lead"))))))</x:f>
        <x:v>Large deficit</x:v>
      </x:c>
    </x:row>
    <x:row r="307">
      <x:c r="A307" t="n">
        <x:v>248</x:v>
      </x:c>
      <x:c r="B307" t="str">
        <x:v>PRIMARY SCHOOL SIRAULI BANGAR ROOM NO 2</x:v>
      </x:c>
      <x:c r="C307" s="83" t="n">
        <x:f>'2022 Form20'!H256</x:f>
        <x:v>109</x:v>
      </x:c>
      <x:c r="D307" s="83" t="n">
        <x:f>'2022 Form20'!D256</x:f>
        <x:v>471</x:v>
      </x:c>
      <x:c r="E307" s="50" t="n">
        <x:f>'2022 Form20'!T256</x:f>
        <x:v>0.23142250530785563</x:v>
      </x:c>
      <x:c r="F307" t="n">
        <x:f>'2022 Form20'!U256</x:f>
        <x:v>337</x:v>
      </x:c>
      <x:c r="G307" t="n">
        <x:f>'2022 Form20'!V256</x:f>
        <x:v>-228</x:v>
      </x:c>
      <x:c r="H307" s="52" t="n">
        <x:f>'2022 Form20'!W256</x:f>
        <x:v>-0.4840764331210191</x:v>
      </x:c>
      <x:c r="I307" t="str">
        <x:v>DHIRENDRA SINGH</x:v>
      </x:c>
      <x:c r="J307" t="str">
        <x:v>Bharatiya Janata Party</x:v>
      </x:c>
      <x:c r="K307" t="str">
        <x:v>EVM row</x:v>
      </x:c>
      <x:c r="L307" s="133" t="str">
        <x:f>IF(D307&lt;=0,"No EVM votes",IF(E307&lt;$N$7,"Low",IF(E307&gt;$R$7,"High","Middle")))</x:f>
        <x:v>Middle</x:v>
      </x:c>
      <x:c r="M307" s="133" t="str">
        <x:f>IF(D307&lt;=0,"No EVM votes",IF(H307&lt;-20%,"Large deficit",IF(H307&lt;-5%,"Moderate deficit",IF(H307&lt;0,"Narrow deficit",IF(H307&lt;=5%,"Narrow lead/tie",IF(H307&lt;=20%,"Moderate lead","Large lead"))))))</x:f>
        <x:v>Large deficit</x:v>
      </x:c>
    </x:row>
    <x:row r="308">
      <x:c r="A308" t="n">
        <x:v>249</x:v>
      </x:c>
      <x:c r="B308" t="str">
        <x:v>PRIMARY SCHOOL DHANPURA ROOM NO 1</x:v>
      </x:c>
      <x:c r="C308" s="83" t="n">
        <x:f>'2022 Form20'!H257</x:f>
        <x:v>106</x:v>
      </x:c>
      <x:c r="D308" s="83" t="n">
        <x:f>'2022 Form20'!D257</x:f>
        <x:v>301</x:v>
      </x:c>
      <x:c r="E308" s="50" t="n">
        <x:f>'2022 Form20'!T257</x:f>
        <x:v>0.3521594684385382</x:v>
      </x:c>
      <x:c r="F308" t="n">
        <x:f>'2022 Form20'!U257</x:f>
        <x:v>163</x:v>
      </x:c>
      <x:c r="G308" t="n">
        <x:f>'2022 Form20'!V257</x:f>
        <x:v>-57</x:v>
      </x:c>
      <x:c r="H308" s="52" t="n">
        <x:f>'2022 Form20'!W257</x:f>
        <x:v>-0.1893687707641196</x:v>
      </x:c>
      <x:c r="I308" t="str">
        <x:v>DHIRENDRA SINGH</x:v>
      </x:c>
      <x:c r="J308" t="str">
        <x:v>Bharatiya Janata Party</x:v>
      </x:c>
      <x:c r="K308" t="str">
        <x:v>EVM row</x:v>
      </x:c>
      <x:c r="L308" s="133" t="str">
        <x:f>IF(D308&lt;=0,"No EVM votes",IF(E308&lt;$N$7,"Low",IF(E308&gt;$R$7,"High","Middle")))</x:f>
        <x:v>Middle</x:v>
      </x:c>
      <x:c r="M308" s="133" t="str">
        <x:f>IF(D308&lt;=0,"No EVM votes",IF(H308&lt;-20%,"Large deficit",IF(H308&lt;-5%,"Moderate deficit",IF(H308&lt;0,"Narrow deficit",IF(H308&lt;=5%,"Narrow lead/tie",IF(H308&lt;=20%,"Moderate lead","Large lead"))))))</x:f>
        <x:v>Moderate deficit</x:v>
      </x:c>
    </x:row>
    <x:row r="309">
      <x:c r="A309" t="n">
        <x:v>250</x:v>
      </x:c>
      <x:c r="B309" t="str">
        <x:v>PRIMARY SCHOOL TIRTHALI ROOM NO 1</x:v>
      </x:c>
      <x:c r="C309" s="83" t="n">
        <x:f>'2022 Form20'!H258</x:f>
        <x:v>232</x:v>
      </x:c>
      <x:c r="D309" s="83" t="n">
        <x:f>'2022 Form20'!D258</x:f>
        <x:v>535</x:v>
      </x:c>
      <x:c r="E309" s="50" t="n">
        <x:f>'2022 Form20'!T258</x:f>
        <x:v>0.4336448598130841</x:v>
      </x:c>
      <x:c r="F309" t="n">
        <x:f>'2022 Form20'!U258</x:f>
        <x:v>276</x:v>
      </x:c>
      <x:c r="G309" t="n">
        <x:f>'2022 Form20'!V258</x:f>
        <x:v>-44</x:v>
      </x:c>
      <x:c r="H309" s="52" t="n">
        <x:f>'2022 Form20'!W258</x:f>
        <x:v>-0.08224299065420561</x:v>
      </x:c>
      <x:c r="I309" t="str">
        <x:v>DHIRENDRA SINGH</x:v>
      </x:c>
      <x:c r="J309" t="str">
        <x:v>Bharatiya Janata Party</x:v>
      </x:c>
      <x:c r="K309" t="str">
        <x:v>EVM row</x:v>
      </x:c>
      <x:c r="L309" s="133" t="str">
        <x:f>IF(D309&lt;=0,"No EVM votes",IF(E309&lt;$N$7,"Low",IF(E309&gt;$R$7,"High","Middle")))</x:f>
        <x:v>High</x:v>
      </x:c>
      <x:c r="M309" s="133" t="str">
        <x:f>IF(D309&lt;=0,"No EVM votes",IF(H309&lt;-20%,"Large deficit",IF(H309&lt;-5%,"Moderate deficit",IF(H309&lt;0,"Narrow deficit",IF(H309&lt;=5%,"Narrow lead/tie",IF(H309&lt;=20%,"Moderate lead","Large lead"))))))</x:f>
        <x:v>Moderate deficit</x:v>
      </x:c>
    </x:row>
    <x:row r="310">
      <x:c r="A310" t="n">
        <x:v>251</x:v>
      </x:c>
      <x:c r="B310" t="str">
        <x:v>PRIMARY SCHOOL TIRTHALI ROOM NO 2</x:v>
      </x:c>
      <x:c r="C310" s="83" t="n">
        <x:f>'2022 Form20'!H259</x:f>
        <x:v>297</x:v>
      </x:c>
      <x:c r="D310" s="83" t="n">
        <x:f>'2022 Form20'!D259</x:f>
        <x:v>556</x:v>
      </x:c>
      <x:c r="E310" s="50" t="n">
        <x:f>'2022 Form20'!T259</x:f>
        <x:v>0.5341726618705036</x:v>
      </x:c>
      <x:c r="F310" t="n">
        <x:f>'2022 Form20'!U259</x:f>
        <x:v>208</x:v>
      </x:c>
      <x:c r="G310" t="n">
        <x:f>'2022 Form20'!V259</x:f>
        <x:v>89</x:v>
      </x:c>
      <x:c r="H310" s="52" t="n">
        <x:f>'2022 Form20'!W259</x:f>
        <x:v>0.16007194244604317</x:v>
      </x:c>
      <x:c r="I310" t="str">
        <x:v>AVTAR SINGH BHADANA</x:v>
      </x:c>
      <x:c r="J310" t="str">
        <x:v>Rashtriya Lok Dal</x:v>
      </x:c>
      <x:c r="K310" t="str">
        <x:v>EVM row</x:v>
      </x:c>
      <x:c r="L310" s="133" t="str">
        <x:f>IF(D310&lt;=0,"No EVM votes",IF(E310&lt;$N$7,"Low",IF(E310&gt;$R$7,"High","Middle")))</x:f>
        <x:v>High</x:v>
      </x:c>
      <x:c r="M310" s="133" t="str">
        <x:f>IF(D310&lt;=0,"No EVM votes",IF(H310&lt;-20%,"Large deficit",IF(H310&lt;-5%,"Moderate deficit",IF(H310&lt;0,"Narrow deficit",IF(H310&lt;=5%,"Narrow lead/tie",IF(H310&lt;=20%,"Moderate lead","Large lead"))))))</x:f>
        <x:v>Moderate lead</x:v>
      </x:c>
    </x:row>
    <x:row r="311">
      <x:c r="A311" t="n">
        <x:v>252</x:v>
      </x:c>
      <x:c r="B311" t="str">
        <x:v>JUNIOR HIGH SCHOOL TIRTHALI ROOM NO 1</x:v>
      </x:c>
      <x:c r="C311" s="83" t="n">
        <x:f>'2022 Form20'!H260</x:f>
        <x:v>201</x:v>
      </x:c>
      <x:c r="D311" s="83" t="n">
        <x:f>'2022 Form20'!D260</x:f>
        <x:v>529</x:v>
      </x:c>
      <x:c r="E311" s="50" t="n">
        <x:f>'2022 Form20'!T260</x:f>
        <x:v>0.3799621928166352</x:v>
      </x:c>
      <x:c r="F311" t="n">
        <x:f>'2022 Form20'!U260</x:f>
        <x:v>174</x:v>
      </x:c>
      <x:c r="G311" t="n">
        <x:f>'2022 Form20'!V260</x:f>
        <x:v>27</x:v>
      </x:c>
      <x:c r="H311" s="52" t="n">
        <x:f>'2022 Form20'!W260</x:f>
        <x:v>0.05103969754253308</x:v>
      </x:c>
      <x:c r="I311" t="str">
        <x:v>AVTAR SINGH BHADANA</x:v>
      </x:c>
      <x:c r="J311" t="str">
        <x:v>Rashtriya Lok Dal</x:v>
      </x:c>
      <x:c r="K311" t="str">
        <x:v>EVM row</x:v>
      </x:c>
      <x:c r="L311" s="133" t="str">
        <x:f>IF(D311&lt;=0,"No EVM votes",IF(E311&lt;$N$7,"Low",IF(E311&gt;$R$7,"High","Middle")))</x:f>
        <x:v>High</x:v>
      </x:c>
      <x:c r="M311" s="133" t="str">
        <x:f>IF(D311&lt;=0,"No EVM votes",IF(H311&lt;-20%,"Large deficit",IF(H311&lt;-5%,"Moderate deficit",IF(H311&lt;0,"Narrow deficit",IF(H311&lt;=5%,"Narrow lead/tie",IF(H311&lt;=20%,"Moderate lead","Large lead"))))))</x:f>
        <x:v>Moderate lead</x:v>
      </x:c>
    </x:row>
    <x:row r="312">
      <x:c r="A312" t="n">
        <x:v>253</x:v>
      </x:c>
      <x:c r="B312" t="str">
        <x:v>JUNIOR HIGH SCHOOL TIRTHALI ROOM NO 2</x:v>
      </x:c>
      <x:c r="C312" s="83" t="n">
        <x:f>'2022 Form20'!H261</x:f>
        <x:v>24</x:v>
      </x:c>
      <x:c r="D312" s="83" t="n">
        <x:f>'2022 Form20'!D261</x:f>
        <x:v>495</x:v>
      </x:c>
      <x:c r="E312" s="50" t="n">
        <x:f>'2022 Form20'!T261</x:f>
        <x:v>0.048484848484848485</x:v>
      </x:c>
      <x:c r="F312" t="n">
        <x:f>'2022 Form20'!U261</x:f>
        <x:v>330</x:v>
      </x:c>
      <x:c r="G312" t="n">
        <x:f>'2022 Form20'!V261</x:f>
        <x:v>-306</x:v>
      </x:c>
      <x:c r="H312" s="52" t="n">
        <x:f>'2022 Form20'!W261</x:f>
        <x:v>-0.6181818181818182</x:v>
      </x:c>
      <x:c r="I312" t="str">
        <x:v>NARENDER KUMAR</x:v>
      </x:c>
      <x:c r="J312" t="str">
        <x:v>Bahujan Samaj Party</x:v>
      </x:c>
      <x:c r="K312" t="str">
        <x:v>EVM row</x:v>
      </x:c>
      <x:c r="L312" s="133" t="str">
        <x:f>IF(D312&lt;=0,"No EVM votes",IF(E312&lt;$N$7,"Low",IF(E312&gt;$R$7,"High","Middle")))</x:f>
        <x:v>Low</x:v>
      </x:c>
      <x:c r="M312" s="133" t="str">
        <x:f>IF(D312&lt;=0,"No EVM votes",IF(H312&lt;-20%,"Large deficit",IF(H312&lt;-5%,"Moderate deficit",IF(H312&lt;0,"Narrow deficit",IF(H312&lt;=5%,"Narrow lead/tie",IF(H312&lt;=20%,"Moderate lead","Large lead"))))))</x:f>
        <x:v>Large deficit</x:v>
      </x:c>
    </x:row>
    <x:row r="313">
      <x:c r="A313" t="n">
        <x:v>254</x:v>
      </x:c>
      <x:c r="B313" t="str">
        <x:v>PRIMARY SCHOOL BHUNNATAGA ROOM NO 1</x:v>
      </x:c>
      <x:c r="C313" s="83" t="n">
        <x:f>'2022 Form20'!H262</x:f>
        <x:v>63</x:v>
      </x:c>
      <x:c r="D313" s="83" t="n">
        <x:f>'2022 Form20'!D262</x:f>
        <x:v>489</x:v>
      </x:c>
      <x:c r="E313" s="50" t="n">
        <x:f>'2022 Form20'!T262</x:f>
        <x:v>0.12883435582822086</x:v>
      </x:c>
      <x:c r="F313" t="n">
        <x:f>'2022 Form20'!U262</x:f>
        <x:v>413</x:v>
      </x:c>
      <x:c r="G313" t="n">
        <x:f>'2022 Form20'!V262</x:f>
        <x:v>-350</x:v>
      </x:c>
      <x:c r="H313" s="52" t="n">
        <x:f>'2022 Form20'!W262</x:f>
        <x:v>-0.7157464212678937</x:v>
      </x:c>
      <x:c r="I313" t="str">
        <x:v>DHIRENDRA SINGH</x:v>
      </x:c>
      <x:c r="J313" t="str">
        <x:v>Bharatiya Janata Party</x:v>
      </x:c>
      <x:c r="K313" t="str">
        <x:v>EVM row</x:v>
      </x:c>
      <x:c r="L313" s="133" t="str">
        <x:f>IF(D313&lt;=0,"No EVM votes",IF(E313&lt;$N$7,"Low",IF(E313&gt;$R$7,"High","Middle")))</x:f>
        <x:v>Middle</x:v>
      </x:c>
      <x:c r="M313" s="133" t="str">
        <x:f>IF(D313&lt;=0,"No EVM votes",IF(H313&lt;-20%,"Large deficit",IF(H313&lt;-5%,"Moderate deficit",IF(H313&lt;0,"Narrow deficit",IF(H313&lt;=5%,"Narrow lead/tie",IF(H313&lt;=20%,"Moderate lead","Large lead"))))))</x:f>
        <x:v>Large deficit</x:v>
      </x:c>
    </x:row>
    <x:row r="314">
      <x:c r="A314" t="n">
        <x:v>255</x:v>
      </x:c>
      <x:c r="B314" t="str">
        <x:v>PRIMARY SCHOOL BHUNNATAGA ROOM NO 2</x:v>
      </x:c>
      <x:c r="C314" s="83" t="n">
        <x:f>'2022 Form20'!H263</x:f>
        <x:v>23</x:v>
      </x:c>
      <x:c r="D314" s="83" t="n">
        <x:f>'2022 Form20'!D263</x:f>
        <x:v>409</x:v>
      </x:c>
      <x:c r="E314" s="50" t="n">
        <x:f>'2022 Form20'!T263</x:f>
        <x:v>0.05623471882640587</x:v>
      </x:c>
      <x:c r="F314" t="n">
        <x:f>'2022 Form20'!U263</x:f>
        <x:v>263</x:v>
      </x:c>
      <x:c r="G314" t="n">
        <x:f>'2022 Form20'!V263</x:f>
        <x:v>-240</x:v>
      </x:c>
      <x:c r="H314" s="52" t="n">
        <x:f>'2022 Form20'!W263</x:f>
        <x:v>-0.58679706601467</x:v>
      </x:c>
      <x:c r="I314" t="str">
        <x:v>NARENDER KUMAR</x:v>
      </x:c>
      <x:c r="J314" t="str">
        <x:v>Bahujan Samaj Party</x:v>
      </x:c>
      <x:c r="K314" t="str">
        <x:v>EVM row</x:v>
      </x:c>
      <x:c r="L314" s="133" t="str">
        <x:f>IF(D314&lt;=0,"No EVM votes",IF(E314&lt;$N$7,"Low",IF(E314&gt;$R$7,"High","Middle")))</x:f>
        <x:v>Low</x:v>
      </x:c>
      <x:c r="M314" s="133" t="str">
        <x:f>IF(D314&lt;=0,"No EVM votes",IF(H314&lt;-20%,"Large deficit",IF(H314&lt;-5%,"Moderate deficit",IF(H314&lt;0,"Narrow deficit",IF(H314&lt;=5%,"Narrow lead/tie",IF(H314&lt;=20%,"Moderate lead","Large lead"))))))</x:f>
        <x:v>Large deficit</x:v>
      </x:c>
    </x:row>
    <x:row r="315">
      <x:c r="A315" t="n">
        <x:v>256</x:v>
      </x:c>
      <x:c r="B315" t="str">
        <x:v>PRIMARY SCHOOL MAQSOODPUR ROOM NO 1</x:v>
      </x:c>
      <x:c r="C315" s="83" t="n">
        <x:f>'2022 Form20'!H264</x:f>
        <x:v>53</x:v>
      </x:c>
      <x:c r="D315" s="83" t="n">
        <x:f>'2022 Form20'!D264</x:f>
        <x:v>355</x:v>
      </x:c>
      <x:c r="E315" s="50" t="n">
        <x:f>'2022 Form20'!T264</x:f>
        <x:v>0.14929577464788732</x:v>
      </x:c>
      <x:c r="F315" t="n">
        <x:f>'2022 Form20'!U264</x:f>
        <x:v>204</x:v>
      </x:c>
      <x:c r="G315" t="n">
        <x:f>'2022 Form20'!V264</x:f>
        <x:v>-151</x:v>
      </x:c>
      <x:c r="H315" s="52" t="n">
        <x:f>'2022 Form20'!W264</x:f>
        <x:v>-0.4253521126760563</x:v>
      </x:c>
      <x:c r="I315" t="str">
        <x:v>DHIRENDRA SINGH</x:v>
      </x:c>
      <x:c r="J315" t="str">
        <x:v>Bharatiya Janata Party</x:v>
      </x:c>
      <x:c r="K315" t="str">
        <x:v>EVM row</x:v>
      </x:c>
      <x:c r="L315" s="133" t="str">
        <x:f>IF(D315&lt;=0,"No EVM votes",IF(E315&lt;$N$7,"Low",IF(E315&gt;$R$7,"High","Middle")))</x:f>
        <x:v>Middle</x:v>
      </x:c>
      <x:c r="M315" s="133" t="str">
        <x:f>IF(D315&lt;=0,"No EVM votes",IF(H315&lt;-20%,"Large deficit",IF(H315&lt;-5%,"Moderate deficit",IF(H315&lt;0,"Narrow deficit",IF(H315&lt;=5%,"Narrow lead/tie",IF(H315&lt;=20%,"Moderate lead","Large lead"))))))</x:f>
        <x:v>Large deficit</x:v>
      </x:c>
    </x:row>
    <x:row r="316">
      <x:c r="A316" t="n">
        <x:v>257</x:v>
      </x:c>
      <x:c r="B316" t="str">
        <x:v>PRIMARY SCHOOL MAYANA ROOM NO 1</x:v>
      </x:c>
      <x:c r="C316" s="83" t="n">
        <x:f>'2022 Form20'!H265</x:f>
        <x:v>100</x:v>
      </x:c>
      <x:c r="D316" s="83" t="n">
        <x:f>'2022 Form20'!D265</x:f>
        <x:v>429</x:v>
      </x:c>
      <x:c r="E316" s="50" t="n">
        <x:f>'2022 Form20'!T265</x:f>
        <x:v>0.2331002331002331</x:v>
      </x:c>
      <x:c r="F316" t="n">
        <x:f>'2022 Form20'!U265</x:f>
        <x:v>276</x:v>
      </x:c>
      <x:c r="G316" t="n">
        <x:f>'2022 Form20'!V265</x:f>
        <x:v>-176</x:v>
      </x:c>
      <x:c r="H316" s="52" t="n">
        <x:f>'2022 Form20'!W265</x:f>
        <x:v>-0.41025641025641024</x:v>
      </x:c>
      <x:c r="I316" t="str">
        <x:v>DHIRENDRA SINGH</x:v>
      </x:c>
      <x:c r="J316" t="str">
        <x:v>Bharatiya Janata Party</x:v>
      </x:c>
      <x:c r="K316" t="str">
        <x:v>EVM row</x:v>
      </x:c>
      <x:c r="L316" s="133" t="str">
        <x:f>IF(D316&lt;=0,"No EVM votes",IF(E316&lt;$N$7,"Low",IF(E316&gt;$R$7,"High","Middle")))</x:f>
        <x:v>Middle</x:v>
      </x:c>
      <x:c r="M316" s="133" t="str">
        <x:f>IF(D316&lt;=0,"No EVM votes",IF(H316&lt;-20%,"Large deficit",IF(H316&lt;-5%,"Moderate deficit",IF(H316&lt;0,"Narrow deficit",IF(H316&lt;=5%,"Narrow lead/tie",IF(H316&lt;=20%,"Moderate lead","Large lead"))))))</x:f>
        <x:v>Large deficit</x:v>
      </x:c>
    </x:row>
    <x:row r="317">
      <x:c r="A317" t="n">
        <x:v>258</x:v>
      </x:c>
      <x:c r="B317" t="str">
        <x:v>PRIMARY SCHOOL MAYANA ROOM NO 2</x:v>
      </x:c>
      <x:c r="C317" s="83" t="n">
        <x:f>'2022 Form20'!H266</x:f>
        <x:v>24</x:v>
      </x:c>
      <x:c r="D317" s="83" t="n">
        <x:f>'2022 Form20'!D266</x:f>
        <x:v>362</x:v>
      </x:c>
      <x:c r="E317" s="50" t="n">
        <x:f>'2022 Form20'!T266</x:f>
        <x:v>0.06629834254143646</x:v>
      </x:c>
      <x:c r="F317" t="n">
        <x:f>'2022 Form20'!U266</x:f>
        <x:v>209</x:v>
      </x:c>
      <x:c r="G317" t="n">
        <x:f>'2022 Form20'!V266</x:f>
        <x:v>-185</x:v>
      </x:c>
      <x:c r="H317" s="52" t="n">
        <x:f>'2022 Form20'!W266</x:f>
        <x:v>-0.511049723756906</x:v>
      </x:c>
      <x:c r="I317" t="str">
        <x:v>DHIRENDRA SINGH</x:v>
      </x:c>
      <x:c r="J317" t="str">
        <x:v>Bharatiya Janata Party</x:v>
      </x:c>
      <x:c r="K317" t="str">
        <x:v>EVM row</x:v>
      </x:c>
      <x:c r="L317" s="133" t="str">
        <x:f>IF(D317&lt;=0,"No EVM votes",IF(E317&lt;$N$7,"Low",IF(E317&gt;$R$7,"High","Middle")))</x:f>
        <x:v>Low</x:v>
      </x:c>
      <x:c r="M317" s="133" t="str">
        <x:f>IF(D317&lt;=0,"No EVM votes",IF(H317&lt;-20%,"Large deficit",IF(H317&lt;-5%,"Moderate deficit",IF(H317&lt;0,"Narrow deficit",IF(H317&lt;=5%,"Narrow lead/tie",IF(H317&lt;=20%,"Moderate lead","Large lead"))))))</x:f>
        <x:v>Large deficit</x:v>
      </x:c>
    </x:row>
    <x:row r="318">
      <x:c r="A318" t="n">
        <x:v>259</x:v>
      </x:c>
      <x:c r="B318" t="str">
        <x:v>PRIMARY SCHOOL KALUPURA ROOM NO 1</x:v>
      </x:c>
      <x:c r="C318" s="83" t="n">
        <x:f>'2022 Form20'!H267</x:f>
        <x:v>228</x:v>
      </x:c>
      <x:c r="D318" s="83" t="n">
        <x:f>'2022 Form20'!D267</x:f>
        <x:v>770</x:v>
      </x:c>
      <x:c r="E318" s="50" t="n">
        <x:f>'2022 Form20'!T267</x:f>
        <x:v>0.2961038961038961</x:v>
      </x:c>
      <x:c r="F318" t="n">
        <x:f>'2022 Form20'!U267</x:f>
        <x:v>525</x:v>
      </x:c>
      <x:c r="G318" t="n">
        <x:f>'2022 Form20'!V267</x:f>
        <x:v>-297</x:v>
      </x:c>
      <x:c r="H318" s="52" t="n">
        <x:f>'2022 Form20'!W267</x:f>
        <x:v>-0.38571428571428573</x:v>
      </x:c>
      <x:c r="I318" t="str">
        <x:v>DHIRENDRA SINGH</x:v>
      </x:c>
      <x:c r="J318" t="str">
        <x:v>Bharatiya Janata Party</x:v>
      </x:c>
      <x:c r="K318" t="str">
        <x:v>EVM row</x:v>
      </x:c>
      <x:c r="L318" s="133" t="str">
        <x:f>IF(D318&lt;=0,"No EVM votes",IF(E318&lt;$N$7,"Low",IF(E318&gt;$R$7,"High","Middle")))</x:f>
        <x:v>Middle</x:v>
      </x:c>
      <x:c r="M318" s="133" t="str">
        <x:f>IF(D318&lt;=0,"No EVM votes",IF(H318&lt;-20%,"Large deficit",IF(H318&lt;-5%,"Moderate deficit",IF(H318&lt;0,"Narrow deficit",IF(H318&lt;=5%,"Narrow lead/tie",IF(H318&lt;=20%,"Moderate lead","Large lead"))))))</x:f>
        <x:v>Large deficit</x:v>
      </x:c>
    </x:row>
    <x:row r="319">
      <x:c r="A319" t="n">
        <x:v>260</x:v>
      </x:c>
      <x:c r="B319" t="str">
        <x:v>PRIMARY SCHOOL KALUPURA ROOM NO 2</x:v>
      </x:c>
      <x:c r="C319" s="83" t="n">
        <x:f>'2022 Form20'!H268</x:f>
        <x:v>185</x:v>
      </x:c>
      <x:c r="D319" s="83" t="n">
        <x:f>'2022 Form20'!D268</x:f>
        <x:v>723</x:v>
      </x:c>
      <x:c r="E319" s="50" t="n">
        <x:f>'2022 Form20'!T268</x:f>
        <x:v>0.25587828492392806</x:v>
      </x:c>
      <x:c r="F319" t="n">
        <x:f>'2022 Form20'!U268</x:f>
        <x:v>348</x:v>
      </x:c>
      <x:c r="G319" t="n">
        <x:f>'2022 Form20'!V268</x:f>
        <x:v>-163</x:v>
      </x:c>
      <x:c r="H319" s="52" t="n">
        <x:f>'2022 Form20'!W268</x:f>
        <x:v>-0.22544951590594745</x:v>
      </x:c>
      <x:c r="I319" t="str">
        <x:v>DHIRENDRA SINGH</x:v>
      </x:c>
      <x:c r="J319" t="str">
        <x:v>Bharatiya Janata Party</x:v>
      </x:c>
      <x:c r="K319" t="str">
        <x:v>EVM row</x:v>
      </x:c>
      <x:c r="L319" s="133" t="str">
        <x:f>IF(D319&lt;=0,"No EVM votes",IF(E319&lt;$N$7,"Low",IF(E319&gt;$R$7,"High","Middle")))</x:f>
        <x:v>Middle</x:v>
      </x:c>
      <x:c r="M319" s="133" t="str">
        <x:f>IF(D319&lt;=0,"No EVM votes",IF(H319&lt;-20%,"Large deficit",IF(H319&lt;-5%,"Moderate deficit",IF(H319&lt;0,"Narrow deficit",IF(H319&lt;=5%,"Narrow lead/tie",IF(H319&lt;=20%,"Moderate lead","Large lead"))))))</x:f>
        <x:v>Large deficit</x:v>
      </x:c>
    </x:row>
    <x:row r="320">
      <x:c r="A320" t="n">
        <x:v>261</x:v>
      </x:c>
      <x:c r="B320" t="str">
        <x:v>PRIMARY SCHOOL JAUNCHANA ROOM NO. 1</x:v>
      </x:c>
      <x:c r="C320" s="83" t="n">
        <x:f>'2022 Form20'!H269</x:f>
        <x:v>114</x:v>
      </x:c>
      <x:c r="D320" s="83" t="n">
        <x:f>'2022 Form20'!D269</x:f>
        <x:v>661</x:v>
      </x:c>
      <x:c r="E320" s="50" t="n">
        <x:f>'2022 Form20'!T269</x:f>
        <x:v>0.17246596066565809</x:v>
      </x:c>
      <x:c r="F320" t="n">
        <x:f>'2022 Form20'!U269</x:f>
        <x:v>359</x:v>
      </x:c>
      <x:c r="G320" t="n">
        <x:f>'2022 Form20'!V269</x:f>
        <x:v>-245</x:v>
      </x:c>
      <x:c r="H320" s="52" t="n">
        <x:f>'2022 Form20'!W269</x:f>
        <x:v>-0.37065052950075644</x:v>
      </x:c>
      <x:c r="I320" t="str">
        <x:v>DHIRENDRA SINGH</x:v>
      </x:c>
      <x:c r="J320" t="str">
        <x:v>Bharatiya Janata Party</x:v>
      </x:c>
      <x:c r="K320" t="str">
        <x:v>EVM row</x:v>
      </x:c>
      <x:c r="L320" s="133" t="str">
        <x:f>IF(D320&lt;=0,"No EVM votes",IF(E320&lt;$N$7,"Low",IF(E320&gt;$R$7,"High","Middle")))</x:f>
        <x:v>Middle</x:v>
      </x:c>
      <x:c r="M320" s="133" t="str">
        <x:f>IF(D320&lt;=0,"No EVM votes",IF(H320&lt;-20%,"Large deficit",IF(H320&lt;-5%,"Moderate deficit",IF(H320&lt;0,"Narrow deficit",IF(H320&lt;=5%,"Narrow lead/tie",IF(H320&lt;=20%,"Moderate lead","Large lead"))))))</x:f>
        <x:v>Large deficit</x:v>
      </x:c>
    </x:row>
    <x:row r="321">
      <x:c r="A321" t="n">
        <x:v>262</x:v>
      </x:c>
      <x:c r="B321" t="str">
        <x:v>PRIMARY SCHOOL CHACHURA ROOM NO. 1</x:v>
      </x:c>
      <x:c r="C321" s="83" t="n">
        <x:f>'2022 Form20'!H270</x:f>
        <x:v>35</x:v>
      </x:c>
      <x:c r="D321" s="83" t="n">
        <x:f>'2022 Form20'!D270</x:f>
        <x:v>640</x:v>
      </x:c>
      <x:c r="E321" s="50" t="n">
        <x:f>'2022 Form20'!T270</x:f>
        <x:v>0.0546875</x:v>
      </x:c>
      <x:c r="F321" t="n">
        <x:f>'2022 Form20'!U270</x:f>
        <x:v>454</x:v>
      </x:c>
      <x:c r="G321" t="n">
        <x:f>'2022 Form20'!V270</x:f>
        <x:v>-419</x:v>
      </x:c>
      <x:c r="H321" s="52" t="n">
        <x:f>'2022 Form20'!W270</x:f>
        <x:v>-0.6546875</x:v>
      </x:c>
      <x:c r="I321" t="str">
        <x:v>NARENDER KUMAR</x:v>
      </x:c>
      <x:c r="J321" t="str">
        <x:v>Bahujan Samaj Party</x:v>
      </x:c>
      <x:c r="K321" t="str">
        <x:v>EVM row</x:v>
      </x:c>
      <x:c r="L321" s="133" t="str">
        <x:f>IF(D321&lt;=0,"No EVM votes",IF(E321&lt;$N$7,"Low",IF(E321&gt;$R$7,"High","Middle")))</x:f>
        <x:v>Low</x:v>
      </x:c>
      <x:c r="M321" s="133" t="str">
        <x:f>IF(D321&lt;=0,"No EVM votes",IF(H321&lt;-20%,"Large deficit",IF(H321&lt;-5%,"Moderate deficit",IF(H321&lt;0,"Narrow deficit",IF(H321&lt;=5%,"Narrow lead/tie",IF(H321&lt;=20%,"Moderate lead","Large lead"))))))</x:f>
        <x:v>Large deficit</x:v>
      </x:c>
    </x:row>
    <x:row r="322">
      <x:c r="A322" t="n">
        <x:v>263</x:v>
      </x:c>
      <x:c r="B322" t="str">
        <x:v>PRIMARY SCHOOL AMANULLAPUR URF MARHARA ROOM NO 1</x:v>
      </x:c>
      <x:c r="C322" s="83" t="n">
        <x:f>'2022 Form20'!H271</x:f>
        <x:v>39</x:v>
      </x:c>
      <x:c r="D322" s="83" t="n">
        <x:f>'2022 Form20'!D271</x:f>
        <x:v>559</x:v>
      </x:c>
      <x:c r="E322" s="50" t="n">
        <x:f>'2022 Form20'!T271</x:f>
        <x:v>0.06976744186046512</x:v>
      </x:c>
      <x:c r="F322" t="n">
        <x:f>'2022 Form20'!U271</x:f>
        <x:v>299</x:v>
      </x:c>
      <x:c r="G322" t="n">
        <x:f>'2022 Form20'!V271</x:f>
        <x:v>-260</x:v>
      </x:c>
      <x:c r="H322" s="52" t="n">
        <x:f>'2022 Form20'!W271</x:f>
        <x:v>-0.46511627906976744</x:v>
      </x:c>
      <x:c r="I322" t="str">
        <x:v>DHIRENDRA SINGH</x:v>
      </x:c>
      <x:c r="J322" t="str">
        <x:v>Bharatiya Janata Party</x:v>
      </x:c>
      <x:c r="K322" t="str">
        <x:v>EVM row</x:v>
      </x:c>
      <x:c r="L322" s="133" t="str">
        <x:f>IF(D322&lt;=0,"No EVM votes",IF(E322&lt;$N$7,"Low",IF(E322&gt;$R$7,"High","Middle")))</x:f>
        <x:v>Low</x:v>
      </x:c>
      <x:c r="M322" s="133" t="str">
        <x:f>IF(D322&lt;=0,"No EVM votes",IF(H322&lt;-20%,"Large deficit",IF(H322&lt;-5%,"Moderate deficit",IF(H322&lt;0,"Narrow deficit",IF(H322&lt;=5%,"Narrow lead/tie",IF(H322&lt;=20%,"Moderate lead","Large lead"))))))</x:f>
        <x:v>Large deficit</x:v>
      </x:c>
    </x:row>
    <x:row r="323">
      <x:c r="A323" t="n">
        <x:v>264</x:v>
      </x:c>
      <x:c r="B323" t="str">
        <x:v>PRIMARY SCHOOL AMANULLAPUR URF MARHARA ROOM NO 2</x:v>
      </x:c>
      <x:c r="C323" s="83" t="n">
        <x:f>'2022 Form20'!H272</x:f>
        <x:v>24</x:v>
      </x:c>
      <x:c r="D323" s="83" t="n">
        <x:f>'2022 Form20'!D272</x:f>
        <x:v>427</x:v>
      </x:c>
      <x:c r="E323" s="50" t="n">
        <x:f>'2022 Form20'!T272</x:f>
        <x:v>0.05620608899297424</x:v>
      </x:c>
      <x:c r="F323" t="n">
        <x:f>'2022 Form20'!U272</x:f>
        <x:v>390</x:v>
      </x:c>
      <x:c r="G323" t="n">
        <x:f>'2022 Form20'!V272</x:f>
        <x:v>-366</x:v>
      </x:c>
      <x:c r="H323" s="52" t="n">
        <x:f>'2022 Form20'!W272</x:f>
        <x:v>-0.8571428571428571</x:v>
      </x:c>
      <x:c r="I323" t="str">
        <x:v>DHIRENDRA SINGH</x:v>
      </x:c>
      <x:c r="J323" t="str">
        <x:v>Bharatiya Janata Party</x:v>
      </x:c>
      <x:c r="K323" t="str">
        <x:v>EVM row</x:v>
      </x:c>
      <x:c r="L323" s="133" t="str">
        <x:f>IF(D323&lt;=0,"No EVM votes",IF(E323&lt;$N$7,"Low",IF(E323&gt;$R$7,"High","Middle")))</x:f>
        <x:v>Low</x:v>
      </x:c>
      <x:c r="M323" s="133" t="str">
        <x:f>IF(D323&lt;=0,"No EVM votes",IF(H323&lt;-20%,"Large deficit",IF(H323&lt;-5%,"Moderate deficit",IF(H323&lt;0,"Narrow deficit",IF(H323&lt;=5%,"Narrow lead/tie",IF(H323&lt;=20%,"Moderate lead","Large lead"))))))</x:f>
        <x:v>Large deficit</x:v>
      </x:c>
    </x:row>
    <x:row r="324">
      <x:c r="A324" t="n">
        <x:v>265</x:v>
      </x:c>
      <x:c r="B324" t="str">
        <x:v>PRIMARY SCHOOL BHIKANPUR ROOM NO 1</x:v>
      </x:c>
      <x:c r="C324" s="83" t="n">
        <x:f>'2022 Form20'!H273</x:f>
        <x:v>8</x:v>
      </x:c>
      <x:c r="D324" s="83" t="n">
        <x:f>'2022 Form20'!D273</x:f>
        <x:v>612</x:v>
      </x:c>
      <x:c r="E324" s="50" t="n">
        <x:f>'2022 Form20'!T273</x:f>
        <x:v>0.013071895424836602</x:v>
      </x:c>
      <x:c r="F324" t="n">
        <x:f>'2022 Form20'!U273</x:f>
        <x:v>297</x:v>
      </x:c>
      <x:c r="G324" t="n">
        <x:f>'2022 Form20'!V273</x:f>
        <x:v>-289</x:v>
      </x:c>
      <x:c r="H324" s="52" t="n">
        <x:f>'2022 Form20'!W273</x:f>
        <x:v>-0.4722222222222222</x:v>
      </x:c>
      <x:c r="I324" t="str">
        <x:v>NARENDER KUMAR</x:v>
      </x:c>
      <x:c r="J324" t="str">
        <x:v>Bahujan Samaj Party</x:v>
      </x:c>
      <x:c r="K324" t="str">
        <x:v>EVM row</x:v>
      </x:c>
      <x:c r="L324" s="133" t="str">
        <x:f>IF(D324&lt;=0,"No EVM votes",IF(E324&lt;$N$7,"Low",IF(E324&gt;$R$7,"High","Middle")))</x:f>
        <x:v>Low</x:v>
      </x:c>
      <x:c r="M324" s="133" t="str">
        <x:f>IF(D324&lt;=0,"No EVM votes",IF(H324&lt;-20%,"Large deficit",IF(H324&lt;-5%,"Moderate deficit",IF(H324&lt;0,"Narrow deficit",IF(H324&lt;=5%,"Narrow lead/tie",IF(H324&lt;=20%,"Moderate lead","Large lead"))))))</x:f>
        <x:v>Large deficit</x:v>
      </x:c>
    </x:row>
    <x:row r="325">
      <x:c r="A325" t="n">
        <x:v>266</x:v>
      </x:c>
      <x:c r="B325" t="str">
        <x:v>PRIMARY SCHOOL AKALPUR ROOM NO 1</x:v>
      </x:c>
      <x:c r="C325" s="83" t="n">
        <x:f>'2022 Form20'!H274</x:f>
        <x:v>31</x:v>
      </x:c>
      <x:c r="D325" s="83" t="n">
        <x:f>'2022 Form20'!D274</x:f>
        <x:v>470</x:v>
      </x:c>
      <x:c r="E325" s="50" t="n">
        <x:f>'2022 Form20'!T274</x:f>
        <x:v>0.06595744680851064</x:v>
      </x:c>
      <x:c r="F325" t="n">
        <x:f>'2022 Form20'!U274</x:f>
        <x:v>420</x:v>
      </x:c>
      <x:c r="G325" t="n">
        <x:f>'2022 Form20'!V274</x:f>
        <x:v>-389</x:v>
      </x:c>
      <x:c r="H325" s="52" t="n">
        <x:f>'2022 Form20'!W274</x:f>
        <x:v>-0.8276595744680851</x:v>
      </x:c>
      <x:c r="I325" t="str">
        <x:v>DHIRENDRA SINGH</x:v>
      </x:c>
      <x:c r="J325" t="str">
        <x:v>Bharatiya Janata Party</x:v>
      </x:c>
      <x:c r="K325" t="str">
        <x:v>EVM row</x:v>
      </x:c>
      <x:c r="L325" s="133" t="str">
        <x:f>IF(D325&lt;=0,"No EVM votes",IF(E325&lt;$N$7,"Low",IF(E325&gt;$R$7,"High","Middle")))</x:f>
        <x:v>Low</x:v>
      </x:c>
      <x:c r="M325" s="133" t="str">
        <x:f>IF(D325&lt;=0,"No EVM votes",IF(H325&lt;-20%,"Large deficit",IF(H325&lt;-5%,"Moderate deficit",IF(H325&lt;0,"Narrow deficit",IF(H325&lt;=5%,"Narrow lead/tie",IF(H325&lt;=20%,"Moderate lead","Large lead"))))))</x:f>
        <x:v>Large deficit</x:v>
      </x:c>
    </x:row>
    <x:row r="326">
      <x:c r="A326" t="n">
        <x:v>267</x:v>
      </x:c>
      <x:c r="B326" t="str">
        <x:v>PRIMARY SCHOOL AKALPUR ROOM NO 2</x:v>
      </x:c>
      <x:c r="C326" s="83" t="n">
        <x:f>'2022 Form20'!H275</x:f>
        <x:v>29</x:v>
      </x:c>
      <x:c r="D326" s="83" t="n">
        <x:f>'2022 Form20'!D275</x:f>
        <x:v>420</x:v>
      </x:c>
      <x:c r="E326" s="50" t="n">
        <x:f>'2022 Form20'!T275</x:f>
        <x:v>0.06904761904761905</x:v>
      </x:c>
      <x:c r="F326" t="n">
        <x:f>'2022 Form20'!U275</x:f>
        <x:v>301</x:v>
      </x:c>
      <x:c r="G326" t="n">
        <x:f>'2022 Form20'!V275</x:f>
        <x:v>-272</x:v>
      </x:c>
      <x:c r="H326" s="52" t="n">
        <x:f>'2022 Form20'!W275</x:f>
        <x:v>-0.6476190476190476</x:v>
      </x:c>
      <x:c r="I326" t="str">
        <x:v>DHIRENDRA SINGH</x:v>
      </x:c>
      <x:c r="J326" t="str">
        <x:v>Bharatiya Janata Party</x:v>
      </x:c>
      <x:c r="K326" t="str">
        <x:v>EVM row</x:v>
      </x:c>
      <x:c r="L326" s="133" t="str">
        <x:f>IF(D326&lt;=0,"No EVM votes",IF(E326&lt;$N$7,"Low",IF(E326&gt;$R$7,"High","Middle")))</x:f>
        <x:v>Low</x:v>
      </x:c>
      <x:c r="M326" s="133" t="str">
        <x:f>IF(D326&lt;=0,"No EVM votes",IF(H326&lt;-20%,"Large deficit",IF(H326&lt;-5%,"Moderate deficit",IF(H326&lt;0,"Narrow deficit",IF(H326&lt;=5%,"Narrow lead/tie",IF(H326&lt;=20%,"Moderate lead","Large lead"))))))</x:f>
        <x:v>Large deficit</x:v>
      </x:c>
    </x:row>
    <x:row r="327">
      <x:c r="A327" t="n">
        <x:v>268</x:v>
      </x:c>
      <x:c r="B327" t="str">
        <x:v>PRIMARY SCHOOL MUDRAH ROOM NO 1</x:v>
      </x:c>
      <x:c r="C327" s="83" t="n">
        <x:f>'2022 Form20'!H276</x:f>
        <x:v>112</x:v>
      </x:c>
      <x:c r="D327" s="83" t="n">
        <x:f>'2022 Form20'!D276</x:f>
        <x:v>346</x:v>
      </x:c>
      <x:c r="E327" s="50" t="n">
        <x:f>'2022 Form20'!T276</x:f>
        <x:v>0.3236994219653179</x:v>
      </x:c>
      <x:c r="F327" t="n">
        <x:f>'2022 Form20'!U276</x:f>
        <x:v>126</x:v>
      </x:c>
      <x:c r="G327" t="n">
        <x:f>'2022 Form20'!V276</x:f>
        <x:v>-14</x:v>
      </x:c>
      <x:c r="H327" s="52" t="n">
        <x:f>'2022 Form20'!W276</x:f>
        <x:v>-0.04046242774566474</x:v>
      </x:c>
      <x:c r="I327" t="str">
        <x:v>DHIRENDRA SINGH</x:v>
      </x:c>
      <x:c r="J327" t="str">
        <x:v>Bharatiya Janata Party</x:v>
      </x:c>
      <x:c r="K327" t="str">
        <x:v>EVM row</x:v>
      </x:c>
      <x:c r="L327" s="133" t="str">
        <x:f>IF(D327&lt;=0,"No EVM votes",IF(E327&lt;$N$7,"Low",IF(E327&gt;$R$7,"High","Middle")))</x:f>
        <x:v>Middle</x:v>
      </x:c>
      <x:c r="M327" s="133" t="str">
        <x:f>IF(D327&lt;=0,"No EVM votes",IF(H327&lt;-20%,"Large deficit",IF(H327&lt;-5%,"Moderate deficit",IF(H327&lt;0,"Narrow deficit",IF(H327&lt;=5%,"Narrow lead/tie",IF(H327&lt;=20%,"Moderate lead","Large lead"))))))</x:f>
        <x:v>Narrow deficit</x:v>
      </x:c>
    </x:row>
    <x:row r="328">
      <x:c r="A328" t="n">
        <x:v>269</x:v>
      </x:c>
      <x:c r="B328" t="str">
        <x:v>PRIMARY SCHOOL MUDRAH ROOM NO 2</x:v>
      </x:c>
      <x:c r="C328" s="83" t="n">
        <x:f>'2022 Form20'!H277</x:f>
        <x:v>49</x:v>
      </x:c>
      <x:c r="D328" s="83" t="n">
        <x:f>'2022 Form20'!D277</x:f>
        <x:v>607</x:v>
      </x:c>
      <x:c r="E328" s="50" t="n">
        <x:f>'2022 Form20'!T277</x:f>
        <x:v>0.08072487644151564</x:v>
      </x:c>
      <x:c r="F328" t="n">
        <x:f>'2022 Form20'!U277</x:f>
        <x:v>439</x:v>
      </x:c>
      <x:c r="G328" t="n">
        <x:f>'2022 Form20'!V277</x:f>
        <x:v>-390</x:v>
      </x:c>
      <x:c r="H328" s="52" t="n">
        <x:f>'2022 Form20'!W277</x:f>
        <x:v>-0.642504118616145</x:v>
      </x:c>
      <x:c r="I328" t="str">
        <x:v>DHIRENDRA SINGH</x:v>
      </x:c>
      <x:c r="J328" t="str">
        <x:v>Bharatiya Janata Party</x:v>
      </x:c>
      <x:c r="K328" t="str">
        <x:v>EVM row</x:v>
      </x:c>
      <x:c r="L328" s="133" t="str">
        <x:f>IF(D328&lt;=0,"No EVM votes",IF(E328&lt;$N$7,"Low",IF(E328&gt;$R$7,"High","Middle")))</x:f>
        <x:v>Low</x:v>
      </x:c>
      <x:c r="M328" s="133" t="str">
        <x:f>IF(D328&lt;=0,"No EVM votes",IF(H328&lt;-20%,"Large deficit",IF(H328&lt;-5%,"Moderate deficit",IF(H328&lt;0,"Narrow deficit",IF(H328&lt;=5%,"Narrow lead/tie",IF(H328&lt;=20%,"Moderate lead","Large lead"))))))</x:f>
        <x:v>Large deficit</x:v>
      </x:c>
    </x:row>
    <x:row r="329">
      <x:c r="A329" t="n">
        <x:v>270</x:v>
      </x:c>
      <x:c r="B329" t="str">
        <x:v>PRIMARY SCHOOL ISMAILNAGAR AKA BHOYRA ROOM NO 1</x:v>
      </x:c>
      <x:c r="C329" s="83" t="n">
        <x:f>'2022 Form20'!H278</x:f>
        <x:v>7</x:v>
      </x:c>
      <x:c r="D329" s="83" t="n">
        <x:f>'2022 Form20'!D278</x:f>
        <x:v>309</x:v>
      </x:c>
      <x:c r="E329" s="50" t="n">
        <x:f>'2022 Form20'!T278</x:f>
        <x:v>0.022653721682847898</x:v>
      </x:c>
      <x:c r="F329" t="n">
        <x:f>'2022 Form20'!U278</x:f>
        <x:v>294</x:v>
      </x:c>
      <x:c r="G329" t="n">
        <x:f>'2022 Form20'!V278</x:f>
        <x:v>-287</x:v>
      </x:c>
      <x:c r="H329" s="52" t="n">
        <x:f>'2022 Form20'!W278</x:f>
        <x:v>-0.9288025889967637</x:v>
      </x:c>
      <x:c r="I329" t="str">
        <x:v>DHIRENDRA SINGH</x:v>
      </x:c>
      <x:c r="J329" t="str">
        <x:v>Bharatiya Janata Party</x:v>
      </x:c>
      <x:c r="K329" t="str">
        <x:v>EVM row</x:v>
      </x:c>
      <x:c r="L329" s="133" t="str">
        <x:f>IF(D329&lt;=0,"No EVM votes",IF(E329&lt;$N$7,"Low",IF(E329&gt;$R$7,"High","Middle")))</x:f>
        <x:v>Low</x:v>
      </x:c>
      <x:c r="M329" s="133" t="str">
        <x:f>IF(D329&lt;=0,"No EVM votes",IF(H329&lt;-20%,"Large deficit",IF(H329&lt;-5%,"Moderate deficit",IF(H329&lt;0,"Narrow deficit",IF(H329&lt;=5%,"Narrow lead/tie",IF(H329&lt;=20%,"Moderate lead","Large lead"))))))</x:f>
        <x:v>Large deficit</x:v>
      </x:c>
    </x:row>
    <x:row r="330">
      <x:c r="A330" t="n">
        <x:v>271</x:v>
      </x:c>
      <x:c r="B330" t="str">
        <x:v>PRIMARY SCHOOL KANPUR ROOM NO 1</x:v>
      </x:c>
      <x:c r="C330" s="83" t="n">
        <x:f>'2022 Form20'!H279</x:f>
        <x:v>17</x:v>
      </x:c>
      <x:c r="D330" s="83" t="n">
        <x:f>'2022 Form20'!D279</x:f>
        <x:v>522</x:v>
      </x:c>
      <x:c r="E330" s="50" t="n">
        <x:f>'2022 Form20'!T279</x:f>
        <x:v>0.032567049808429116</x:v>
      </x:c>
      <x:c r="F330" t="n">
        <x:f>'2022 Form20'!U279</x:f>
        <x:v>486</x:v>
      </x:c>
      <x:c r="G330" t="n">
        <x:f>'2022 Form20'!V279</x:f>
        <x:v>-469</x:v>
      </x:c>
      <x:c r="H330" s="52" t="n">
        <x:f>'2022 Form20'!W279</x:f>
        <x:v>-0.8984674329501916</x:v>
      </x:c>
      <x:c r="I330" t="str">
        <x:v>DHIRENDRA SINGH</x:v>
      </x:c>
      <x:c r="J330" t="str">
        <x:v>Bharatiya Janata Party</x:v>
      </x:c>
      <x:c r="K330" t="str">
        <x:v>EVM row</x:v>
      </x:c>
      <x:c r="L330" s="133" t="str">
        <x:f>IF(D330&lt;=0,"No EVM votes",IF(E330&lt;$N$7,"Low",IF(E330&gt;$R$7,"High","Middle")))</x:f>
        <x:v>Low</x:v>
      </x:c>
      <x:c r="M330" s="133" t="str">
        <x:f>IF(D330&lt;=0,"No EVM votes",IF(H330&lt;-20%,"Large deficit",IF(H330&lt;-5%,"Moderate deficit",IF(H330&lt;0,"Narrow deficit",IF(H330&lt;=5%,"Narrow lead/tie",IF(H330&lt;=20%,"Moderate lead","Large lead"))))))</x:f>
        <x:v>Large deficit</x:v>
      </x:c>
    </x:row>
    <x:row r="331">
      <x:c r="A331" t="n">
        <x:v>272</x:v>
      </x:c>
      <x:c r="B331" t="str">
        <x:v>PRIMARY SCHOOL KANPUR ROOM NO 2</x:v>
      </x:c>
      <x:c r="C331" s="83" t="n">
        <x:f>'2022 Form20'!H280</x:f>
        <x:v>9</x:v>
      </x:c>
      <x:c r="D331" s="83" t="n">
        <x:f>'2022 Form20'!D280</x:f>
        <x:v>465</x:v>
      </x:c>
      <x:c r="E331" s="50" t="n">
        <x:f>'2022 Form20'!T280</x:f>
        <x:v>0.01935483870967742</x:v>
      </x:c>
      <x:c r="F331" t="n">
        <x:f>'2022 Form20'!U280</x:f>
        <x:v>283</x:v>
      </x:c>
      <x:c r="G331" t="n">
        <x:f>'2022 Form20'!V280</x:f>
        <x:v>-274</x:v>
      </x:c>
      <x:c r="H331" s="52" t="n">
        <x:f>'2022 Form20'!W280</x:f>
        <x:v>-0.589247311827957</x:v>
      </x:c>
      <x:c r="I331" t="str">
        <x:v>NARENDER KUMAR</x:v>
      </x:c>
      <x:c r="J331" t="str">
        <x:v>Bahujan Samaj Party</x:v>
      </x:c>
      <x:c r="K331" t="str">
        <x:v>EVM row</x:v>
      </x:c>
      <x:c r="L331" s="133" t="str">
        <x:f>IF(D331&lt;=0,"No EVM votes",IF(E331&lt;$N$7,"Low",IF(E331&gt;$R$7,"High","Middle")))</x:f>
        <x:v>Low</x:v>
      </x:c>
      <x:c r="M331" s="133" t="str">
        <x:f>IF(D331&lt;=0,"No EVM votes",IF(H331&lt;-20%,"Large deficit",IF(H331&lt;-5%,"Moderate deficit",IF(H331&lt;0,"Narrow deficit",IF(H331&lt;=5%,"Narrow lead/tie",IF(H331&lt;=20%,"Moderate lead","Large lead"))))))</x:f>
        <x:v>Large deficit</x:v>
      </x:c>
    </x:row>
    <x:row r="332">
      <x:c r="A332" t="n">
        <x:v>273</x:v>
      </x:c>
      <x:c r="B332" t="str">
        <x:v>PRIMARY SCHOOL NAGLA SHAHPUR ROOM NO 1</x:v>
      </x:c>
      <x:c r="C332" s="83" t="n">
        <x:f>'2022 Form20'!H281</x:f>
        <x:v>32</x:v>
      </x:c>
      <x:c r="D332" s="83" t="n">
        <x:f>'2022 Form20'!D281</x:f>
        <x:v>578</x:v>
      </x:c>
      <x:c r="E332" s="50" t="n">
        <x:f>'2022 Form20'!T281</x:f>
        <x:v>0.05536332179930796</x:v>
      </x:c>
      <x:c r="F332" t="n">
        <x:f>'2022 Form20'!U281</x:f>
        <x:v>368</x:v>
      </x:c>
      <x:c r="G332" t="n">
        <x:f>'2022 Form20'!V281</x:f>
        <x:v>-336</x:v>
      </x:c>
      <x:c r="H332" s="52" t="n">
        <x:f>'2022 Form20'!W281</x:f>
        <x:v>-0.5813148788927336</x:v>
      </x:c>
      <x:c r="I332" t="str">
        <x:v>DHIRENDRA SINGH</x:v>
      </x:c>
      <x:c r="J332" t="str">
        <x:v>Bharatiya Janata Party</x:v>
      </x:c>
      <x:c r="K332" t="str">
        <x:v>EVM row</x:v>
      </x:c>
      <x:c r="L332" s="133" t="str">
        <x:f>IF(D332&lt;=0,"No EVM votes",IF(E332&lt;$N$7,"Low",IF(E332&gt;$R$7,"High","Middle")))</x:f>
        <x:v>Low</x:v>
      </x:c>
      <x:c r="M332" s="133" t="str">
        <x:f>IF(D332&lt;=0,"No EVM votes",IF(H332&lt;-20%,"Large deficit",IF(H332&lt;-5%,"Moderate deficit",IF(H332&lt;0,"Narrow deficit",IF(H332&lt;=5%,"Narrow lead/tie",IF(H332&lt;=20%,"Moderate lead","Large lead"))))))</x:f>
        <x:v>Large deficit</x:v>
      </x:c>
    </x:row>
    <x:row r="333">
      <x:c r="A333" t="n">
        <x:v>274</x:v>
      </x:c>
      <x:c r="B333" t="str">
        <x:v>PRIMARY SCHOOL BIRAMPUR ROOM NO 1</x:v>
      </x:c>
      <x:c r="C333" s="83" t="n">
        <x:f>'2022 Form20'!H282</x:f>
        <x:v>86</x:v>
      </x:c>
      <x:c r="D333" s="83" t="n">
        <x:f>'2022 Form20'!D282</x:f>
        <x:v>632</x:v>
      </x:c>
      <x:c r="E333" s="50" t="n">
        <x:f>'2022 Form20'!T282</x:f>
        <x:v>0.1360759493670886</x:v>
      </x:c>
      <x:c r="F333" t="n">
        <x:f>'2022 Form20'!U282</x:f>
        <x:v>317</x:v>
      </x:c>
      <x:c r="G333" t="n">
        <x:f>'2022 Form20'!V282</x:f>
        <x:v>-231</x:v>
      </x:c>
      <x:c r="H333" s="52" t="n">
        <x:f>'2022 Form20'!W282</x:f>
        <x:v>-0.36550632911392406</x:v>
      </x:c>
      <x:c r="I333" t="str">
        <x:v>DHIRENDRA SINGH</x:v>
      </x:c>
      <x:c r="J333" t="str">
        <x:v>Bharatiya Janata Party</x:v>
      </x:c>
      <x:c r="K333" t="str">
        <x:v>EVM row</x:v>
      </x:c>
      <x:c r="L333" s="133" t="str">
        <x:f>IF(D333&lt;=0,"No EVM votes",IF(E333&lt;$N$7,"Low",IF(E333&gt;$R$7,"High","Middle")))</x:f>
        <x:v>Middle</x:v>
      </x:c>
      <x:c r="M333" s="133" t="str">
        <x:f>IF(D333&lt;=0,"No EVM votes",IF(H333&lt;-20%,"Large deficit",IF(H333&lt;-5%,"Moderate deficit",IF(H333&lt;0,"Narrow deficit",IF(H333&lt;=5%,"Narrow lead/tie",IF(H333&lt;=20%,"Moderate lead","Large lead"))))))</x:f>
        <x:v>Large deficit</x:v>
      </x:c>
    </x:row>
    <x:row r="334">
      <x:c r="A334" t="n">
        <x:v>275</x:v>
      </x:c>
      <x:c r="B334" t="str">
        <x:v>PRIMARY SCHOOL BIRAMPUR ROOM NO 2</x:v>
      </x:c>
      <x:c r="C334" s="83" t="n">
        <x:f>'2022 Form20'!H283</x:f>
        <x:v>32</x:v>
      </x:c>
      <x:c r="D334" s="83" t="n">
        <x:f>'2022 Form20'!D283</x:f>
        <x:v>594</x:v>
      </x:c>
      <x:c r="E334" s="50" t="n">
        <x:f>'2022 Form20'!T283</x:f>
        <x:v>0.05387205387205387</x:v>
      </x:c>
      <x:c r="F334" t="n">
        <x:f>'2022 Form20'!U283</x:f>
        <x:v>415</x:v>
      </x:c>
      <x:c r="G334" t="n">
        <x:f>'2022 Form20'!V283</x:f>
        <x:v>-383</x:v>
      </x:c>
      <x:c r="H334" s="52" t="n">
        <x:f>'2022 Form20'!W283</x:f>
        <x:v>-0.6447811447811448</x:v>
      </x:c>
      <x:c r="I334" t="str">
        <x:v>DHIRENDRA SINGH</x:v>
      </x:c>
      <x:c r="J334" t="str">
        <x:v>Bharatiya Janata Party</x:v>
      </x:c>
      <x:c r="K334" t="str">
        <x:v>EVM row</x:v>
      </x:c>
      <x:c r="L334" s="133" t="str">
        <x:f>IF(D334&lt;=0,"No EVM votes",IF(E334&lt;$N$7,"Low",IF(E334&gt;$R$7,"High","Middle")))</x:f>
        <x:v>Low</x:v>
      </x:c>
      <x:c r="M334" s="133" t="str">
        <x:f>IF(D334&lt;=0,"No EVM votes",IF(H334&lt;-20%,"Large deficit",IF(H334&lt;-5%,"Moderate deficit",IF(H334&lt;0,"Narrow deficit",IF(H334&lt;=5%,"Narrow lead/tie",IF(H334&lt;=20%,"Moderate lead","Large lead"))))))</x:f>
        <x:v>Large deficit</x:v>
      </x:c>
    </x:row>
    <x:row r="335">
      <x:c r="A335" t="n">
        <x:v>276</x:v>
      </x:c>
      <x:c r="B335" t="str">
        <x:v>PRIMARY SCHOOL CHAKBIRAMPUR ROOM NO 1</x:v>
      </x:c>
      <x:c r="C335" s="83" t="n">
        <x:f>'2022 Form20'!H284</x:f>
        <x:v>162</x:v>
      </x:c>
      <x:c r="D335" s="83" t="n">
        <x:f>'2022 Form20'!D284</x:f>
        <x:v>793</x:v>
      </x:c>
      <x:c r="E335" s="50" t="n">
        <x:f>'2022 Form20'!T284</x:f>
        <x:v>0.2042875157629256</x:v>
      </x:c>
      <x:c r="F335" t="n">
        <x:f>'2022 Form20'!U284</x:f>
        <x:v>389</x:v>
      </x:c>
      <x:c r="G335" t="n">
        <x:f>'2022 Form20'!V284</x:f>
        <x:v>-227</x:v>
      </x:c>
      <x:c r="H335" s="52" t="n">
        <x:f>'2022 Form20'!W284</x:f>
        <x:v>-0.2862547288776797</x:v>
      </x:c>
      <x:c r="I335" t="str">
        <x:v>DHIRENDRA SINGH</x:v>
      </x:c>
      <x:c r="J335" t="str">
        <x:v>Bharatiya Janata Party</x:v>
      </x:c>
      <x:c r="K335" t="str">
        <x:v>EVM row</x:v>
      </x:c>
      <x:c r="L335" s="133" t="str">
        <x:f>IF(D335&lt;=0,"No EVM votes",IF(E335&lt;$N$7,"Low",IF(E335&gt;$R$7,"High","Middle")))</x:f>
        <x:v>Middle</x:v>
      </x:c>
      <x:c r="M335" s="133" t="str">
        <x:f>IF(D335&lt;=0,"No EVM votes",IF(H335&lt;-20%,"Large deficit",IF(H335&lt;-5%,"Moderate deficit",IF(H335&lt;0,"Narrow deficit",IF(H335&lt;=5%,"Narrow lead/tie",IF(H335&lt;=20%,"Moderate lead","Large lead"))))))</x:f>
        <x:v>Large deficit</x:v>
      </x:c>
    </x:row>
    <x:row r="336">
      <x:c r="A336" t="n">
        <x:v>277</x:v>
      </x:c>
      <x:c r="B336" t="str">
        <x:v>PRIMARY SCHOOL MURADGARHI ROOM NO 1</x:v>
      </x:c>
      <x:c r="C336" s="83" t="n">
        <x:f>'2022 Form20'!H285</x:f>
        <x:v>141</x:v>
      </x:c>
      <x:c r="D336" s="83" t="n">
        <x:f>'2022 Form20'!D285</x:f>
        <x:v>464</x:v>
      </x:c>
      <x:c r="E336" s="50" t="n">
        <x:f>'2022 Form20'!T285</x:f>
        <x:v>0.30387931034482757</x:v>
      </x:c>
      <x:c r="F336" t="n">
        <x:f>'2022 Form20'!U285</x:f>
        <x:v>305</x:v>
      </x:c>
      <x:c r="G336" t="n">
        <x:f>'2022 Form20'!V285</x:f>
        <x:v>-164</x:v>
      </x:c>
      <x:c r="H336" s="52" t="n">
        <x:f>'2022 Form20'!W285</x:f>
        <x:v>-0.35344827586206895</x:v>
      </x:c>
      <x:c r="I336" t="str">
        <x:v>DHIRENDRA SINGH</x:v>
      </x:c>
      <x:c r="J336" t="str">
        <x:v>Bharatiya Janata Party</x:v>
      </x:c>
      <x:c r="K336" t="str">
        <x:v>EVM row</x:v>
      </x:c>
      <x:c r="L336" s="133" t="str">
        <x:f>IF(D336&lt;=0,"No EVM votes",IF(E336&lt;$N$7,"Low",IF(E336&gt;$R$7,"High","Middle")))</x:f>
        <x:v>Middle</x:v>
      </x:c>
      <x:c r="M336" s="133" t="str">
        <x:f>IF(D336&lt;=0,"No EVM votes",IF(H336&lt;-20%,"Large deficit",IF(H336&lt;-5%,"Moderate deficit",IF(H336&lt;0,"Narrow deficit",IF(H336&lt;=5%,"Narrow lead/tie",IF(H336&lt;=20%,"Moderate lead","Large lead"))))))</x:f>
        <x:v>Large deficit</x:v>
      </x:c>
    </x:row>
    <x:row r="337">
      <x:c r="A337" t="n">
        <x:v>278</x:v>
      </x:c>
      <x:c r="B337" t="str">
        <x:v>PRIMARY SCHOOL MURADGARHI ROOM NO 2</x:v>
      </x:c>
      <x:c r="C337" s="83" t="n">
        <x:f>'2022 Form20'!H286</x:f>
        <x:v>40</x:v>
      </x:c>
      <x:c r="D337" s="83" t="n">
        <x:f>'2022 Form20'!D286</x:f>
        <x:v>413</x:v>
      </x:c>
      <x:c r="E337" s="50" t="n">
        <x:f>'2022 Form20'!T286</x:f>
        <x:v>0.09685230024213075</x:v>
      </x:c>
      <x:c r="F337" t="n">
        <x:f>'2022 Form20'!U286</x:f>
        <x:v>361</x:v>
      </x:c>
      <x:c r="G337" t="n">
        <x:f>'2022 Form20'!V286</x:f>
        <x:v>-321</x:v>
      </x:c>
      <x:c r="H337" s="52" t="n">
        <x:f>'2022 Form20'!W286</x:f>
        <x:v>-0.7772397094430993</x:v>
      </x:c>
      <x:c r="I337" t="str">
        <x:v>DHIRENDRA SINGH</x:v>
      </x:c>
      <x:c r="J337" t="str">
        <x:v>Bharatiya Janata Party</x:v>
      </x:c>
      <x:c r="K337" t="str">
        <x:v>EVM row</x:v>
      </x:c>
      <x:c r="L337" s="133" t="str">
        <x:f>IF(D337&lt;=0,"No EVM votes",IF(E337&lt;$N$7,"Low",IF(E337&gt;$R$7,"High","Middle")))</x:f>
        <x:v>Middle</x:v>
      </x:c>
      <x:c r="M337" s="133" t="str">
        <x:f>IF(D337&lt;=0,"No EVM votes",IF(H337&lt;-20%,"Large deficit",IF(H337&lt;-5%,"Moderate deficit",IF(H337&lt;0,"Narrow deficit",IF(H337&lt;=5%,"Narrow lead/tie",IF(H337&lt;=20%,"Moderate lead","Large lead"))))))</x:f>
        <x:v>Large deficit</x:v>
      </x:c>
    </x:row>
    <x:row r="338">
      <x:c r="A338" t="n">
        <x:v>279</x:v>
      </x:c>
      <x:c r="B338" t="str">
        <x:v>PRIMARY SCHOOL NAGLA BHATOUNA MAJRA KARAULI BANGAR ROOM NO 1</x:v>
      </x:c>
      <x:c r="C338" s="83" t="n">
        <x:f>'2022 Form20'!H287</x:f>
        <x:v>69</x:v>
      </x:c>
      <x:c r="D338" s="83" t="n">
        <x:f>'2022 Form20'!D287</x:f>
        <x:v>575</x:v>
      </x:c>
      <x:c r="E338" s="50" t="n">
        <x:f>'2022 Form20'!T287</x:f>
        <x:v>0.12</x:v>
      </x:c>
      <x:c r="F338" t="n">
        <x:f>'2022 Form20'!U287</x:f>
        <x:v>411</x:v>
      </x:c>
      <x:c r="G338" t="n">
        <x:f>'2022 Form20'!V287</x:f>
        <x:v>-342</x:v>
      </x:c>
      <x:c r="H338" s="52" t="n">
        <x:f>'2022 Form20'!W287</x:f>
        <x:v>-0.5947826086956521</x:v>
      </x:c>
      <x:c r="I338" t="str">
        <x:v>DHIRENDRA SINGH</x:v>
      </x:c>
      <x:c r="J338" t="str">
        <x:v>Bharatiya Janata Party</x:v>
      </x:c>
      <x:c r="K338" t="str">
        <x:v>EVM row</x:v>
      </x:c>
      <x:c r="L338" s="133" t="str">
        <x:f>IF(D338&lt;=0,"No EVM votes",IF(E338&lt;$N$7,"Low",IF(E338&gt;$R$7,"High","Middle")))</x:f>
        <x:v>Middle</x:v>
      </x:c>
      <x:c r="M338" s="133" t="str">
        <x:f>IF(D338&lt;=0,"No EVM votes",IF(H338&lt;-20%,"Large deficit",IF(H338&lt;-5%,"Moderate deficit",IF(H338&lt;0,"Narrow deficit",IF(H338&lt;=5%,"Narrow lead/tie",IF(H338&lt;=20%,"Moderate lead","Large lead"))))))</x:f>
        <x:v>Large deficit</x:v>
      </x:c>
    </x:row>
    <x:row r="339">
      <x:c r="A339" t="n">
        <x:v>280</x:v>
      </x:c>
      <x:c r="B339" t="str">
        <x:v>PRIMARY SCHOOL NAGLA HUKAM SINGH MAJRA KARAULI ROOM NO 1</x:v>
      </x:c>
      <x:c r="C339" s="83" t="n">
        <x:f>'2022 Form20'!H288</x:f>
        <x:v>148</x:v>
      </x:c>
      <x:c r="D339" s="83" t="n">
        <x:f>'2022 Form20'!D288</x:f>
        <x:v>664</x:v>
      </x:c>
      <x:c r="E339" s="50" t="n">
        <x:f>'2022 Form20'!T288</x:f>
        <x:v>0.22289156626506024</x:v>
      </x:c>
      <x:c r="F339" t="n">
        <x:f>'2022 Form20'!U288</x:f>
        <x:v>435</x:v>
      </x:c>
      <x:c r="G339" t="n">
        <x:f>'2022 Form20'!V288</x:f>
        <x:v>-287</x:v>
      </x:c>
      <x:c r="H339" s="52" t="n">
        <x:f>'2022 Form20'!W288</x:f>
        <x:v>-0.4322289156626506</x:v>
      </x:c>
      <x:c r="I339" t="str">
        <x:v>DHIRENDRA SINGH</x:v>
      </x:c>
      <x:c r="J339" t="str">
        <x:v>Bharatiya Janata Party</x:v>
      </x:c>
      <x:c r="K339" t="str">
        <x:v>EVM row</x:v>
      </x:c>
      <x:c r="L339" s="133" t="str">
        <x:f>IF(D339&lt;=0,"No EVM votes",IF(E339&lt;$N$7,"Low",IF(E339&gt;$R$7,"High","Middle")))</x:f>
        <x:v>Middle</x:v>
      </x:c>
      <x:c r="M339" s="133" t="str">
        <x:f>IF(D339&lt;=0,"No EVM votes",IF(H339&lt;-20%,"Large deficit",IF(H339&lt;-5%,"Moderate deficit",IF(H339&lt;0,"Narrow deficit",IF(H339&lt;=5%,"Narrow lead/tie",IF(H339&lt;=20%,"Moderate lead","Large lead"))))))</x:f>
        <x:v>Large deficit</x:v>
      </x:c>
    </x:row>
    <x:row r="340">
      <x:c r="A340" t="n">
        <x:v>281</x:v>
      </x:c>
      <x:c r="B340" t="str">
        <x:v>PRIMARY SCHOOL NAGLA HUKAM SINGH MAJRA KARAULI ROOM NO 2</x:v>
      </x:c>
      <x:c r="C340" s="83" t="n">
        <x:f>'2022 Form20'!H289</x:f>
        <x:v>23</x:v>
      </x:c>
      <x:c r="D340" s="83" t="n">
        <x:f>'2022 Form20'!D289</x:f>
        <x:v>525</x:v>
      </x:c>
      <x:c r="E340" s="50" t="n">
        <x:f>'2022 Form20'!T289</x:f>
        <x:v>0.04380952380952381</x:v>
      </x:c>
      <x:c r="F340" t="n">
        <x:f>'2022 Form20'!U289</x:f>
        <x:v>358</x:v>
      </x:c>
      <x:c r="G340" t="n">
        <x:f>'2022 Form20'!V289</x:f>
        <x:v>-335</x:v>
      </x:c>
      <x:c r="H340" s="52" t="n">
        <x:f>'2022 Form20'!W289</x:f>
        <x:v>-0.638095238095238</x:v>
      </x:c>
      <x:c r="I340" t="str">
        <x:v>NARENDER KUMAR</x:v>
      </x:c>
      <x:c r="J340" t="str">
        <x:v>Bahujan Samaj Party</x:v>
      </x:c>
      <x:c r="K340" t="str">
        <x:v>EVM row</x:v>
      </x:c>
      <x:c r="L340" s="133" t="str">
        <x:f>IF(D340&lt;=0,"No EVM votes",IF(E340&lt;$N$7,"Low",IF(E340&gt;$R$7,"High","Middle")))</x:f>
        <x:v>Low</x:v>
      </x:c>
      <x:c r="M340" s="133" t="str">
        <x:f>IF(D340&lt;=0,"No EVM votes",IF(H340&lt;-20%,"Large deficit",IF(H340&lt;-5%,"Moderate deficit",IF(H340&lt;0,"Narrow deficit",IF(H340&lt;=5%,"Narrow lead/tie",IF(H340&lt;=20%,"Moderate lead","Large lead"))))))</x:f>
        <x:v>Large deficit</x:v>
      </x:c>
    </x:row>
    <x:row r="341">
      <x:c r="A341" t="n">
        <x:v>282</x:v>
      </x:c>
      <x:c r="B341" t="str">
        <x:v>PRIMARY SCHOOL NAGLA KANCHAN MAJRA KARAULI BANGAR ROOM NO 1</x:v>
      </x:c>
      <x:c r="C341" s="83" t="n">
        <x:f>'2022 Form20'!H290</x:f>
        <x:v>49</x:v>
      </x:c>
      <x:c r="D341" s="83" t="n">
        <x:f>'2022 Form20'!D290</x:f>
        <x:v>702</x:v>
      </x:c>
      <x:c r="E341" s="50" t="n">
        <x:f>'2022 Form20'!T290</x:f>
        <x:v>0.0698005698005698</x:v>
      </x:c>
      <x:c r="F341" t="n">
        <x:f>'2022 Form20'!U290</x:f>
        <x:v>542</x:v>
      </x:c>
      <x:c r="G341" t="n">
        <x:f>'2022 Form20'!V290</x:f>
        <x:v>-493</x:v>
      </x:c>
      <x:c r="H341" s="52" t="n">
        <x:f>'2022 Form20'!W290</x:f>
        <x:v>-0.7022792022792023</x:v>
      </x:c>
      <x:c r="I341" t="str">
        <x:v>DHIRENDRA SINGH</x:v>
      </x:c>
      <x:c r="J341" t="str">
        <x:v>Bharatiya Janata Party</x:v>
      </x:c>
      <x:c r="K341" t="str">
        <x:v>EVM row</x:v>
      </x:c>
      <x:c r="L341" s="133" t="str">
        <x:f>IF(D341&lt;=0,"No EVM votes",IF(E341&lt;$N$7,"Low",IF(E341&gt;$R$7,"High","Middle")))</x:f>
        <x:v>Low</x:v>
      </x:c>
      <x:c r="M341" s="133" t="str">
        <x:f>IF(D341&lt;=0,"No EVM votes",IF(H341&lt;-20%,"Large deficit",IF(H341&lt;-5%,"Moderate deficit",IF(H341&lt;0,"Narrow deficit",IF(H341&lt;=5%,"Narrow lead/tie",IF(H341&lt;=20%,"Moderate lead","Large lead"))))))</x:f>
        <x:v>Large deficit</x:v>
      </x:c>
    </x:row>
    <x:row r="342">
      <x:c r="A342" t="n">
        <x:v>283</x:v>
      </x:c>
      <x:c r="B342" t="str">
        <x:v>PRIMARY SCHOOL NAGLA CHANDAN MAJRA KARAULI ROOM NO 1</x:v>
      </x:c>
      <x:c r="C342" s="83" t="n">
        <x:f>'2022 Form20'!H291</x:f>
        <x:v>21</x:v>
      </x:c>
      <x:c r="D342" s="83" t="n">
        <x:f>'2022 Form20'!D291</x:f>
        <x:v>508</x:v>
      </x:c>
      <x:c r="E342" s="50" t="n">
        <x:f>'2022 Form20'!T291</x:f>
        <x:v>0.04133858267716536</x:v>
      </x:c>
      <x:c r="F342" t="n">
        <x:f>'2022 Form20'!U291</x:f>
        <x:v>413</x:v>
      </x:c>
      <x:c r="G342" t="n">
        <x:f>'2022 Form20'!V291</x:f>
        <x:v>-392</x:v>
      </x:c>
      <x:c r="H342" s="52" t="n">
        <x:f>'2022 Form20'!W291</x:f>
        <x:v>-0.7716535433070866</x:v>
      </x:c>
      <x:c r="I342" t="str">
        <x:v>DHIRENDRA SINGH</x:v>
      </x:c>
      <x:c r="J342" t="str">
        <x:v>Bharatiya Janata Party</x:v>
      </x:c>
      <x:c r="K342" t="str">
        <x:v>EVM row</x:v>
      </x:c>
      <x:c r="L342" s="133" t="str">
        <x:f>IF(D342&lt;=0,"No EVM votes",IF(E342&lt;$N$7,"Low",IF(E342&gt;$R$7,"High","Middle")))</x:f>
        <x:v>Low</x:v>
      </x:c>
      <x:c r="M342" s="133" t="str">
        <x:f>IF(D342&lt;=0,"No EVM votes",IF(H342&lt;-20%,"Large deficit",IF(H342&lt;-5%,"Moderate deficit",IF(H342&lt;0,"Narrow deficit",IF(H342&lt;=5%,"Narrow lead/tie",IF(H342&lt;=20%,"Moderate lead","Large lead"))))))</x:f>
        <x:v>Large deficit</x:v>
      </x:c>
    </x:row>
    <x:row r="343">
      <x:c r="A343" t="n">
        <x:v>284</x:v>
      </x:c>
      <x:c r="B343" t="str">
        <x:v>JUNIOR HIGH SCHOOL FALAIDA BANGAR ROOM NO 1</x:v>
      </x:c>
      <x:c r="C343" s="83" t="n">
        <x:f>'2022 Form20'!H292</x:f>
        <x:v>17</x:v>
      </x:c>
      <x:c r="D343" s="83" t="n">
        <x:f>'2022 Form20'!D292</x:f>
        <x:v>796</x:v>
      </x:c>
      <x:c r="E343" s="50" t="n">
        <x:f>'2022 Form20'!T292</x:f>
        <x:v>0.02135678391959799</x:v>
      </x:c>
      <x:c r="F343" t="n">
        <x:f>'2022 Form20'!U292</x:f>
        <x:v>440</x:v>
      </x:c>
      <x:c r="G343" t="n">
        <x:f>'2022 Form20'!V292</x:f>
        <x:v>-423</x:v>
      </x:c>
      <x:c r="H343" s="52" t="n">
        <x:f>'2022 Form20'!W292</x:f>
        <x:v>-0.5314070351758794</x:v>
      </x:c>
      <x:c r="I343" t="str">
        <x:v>NARENDER KUMAR</x:v>
      </x:c>
      <x:c r="J343" t="str">
        <x:v>Bahujan Samaj Party</x:v>
      </x:c>
      <x:c r="K343" t="str">
        <x:v>EVM row</x:v>
      </x:c>
      <x:c r="L343" s="133" t="str">
        <x:f>IF(D343&lt;=0,"No EVM votes",IF(E343&lt;$N$7,"Low",IF(E343&gt;$R$7,"High","Middle")))</x:f>
        <x:v>Low</x:v>
      </x:c>
      <x:c r="M343" s="133" t="str">
        <x:f>IF(D343&lt;=0,"No EVM votes",IF(H343&lt;-20%,"Large deficit",IF(H343&lt;-5%,"Moderate deficit",IF(H343&lt;0,"Narrow deficit",IF(H343&lt;=5%,"Narrow lead/tie",IF(H343&lt;=20%,"Moderate lead","Large lead"))))))</x:f>
        <x:v>Large deficit</x:v>
      </x:c>
    </x:row>
    <x:row r="344">
      <x:c r="A344" t="n">
        <x:v>285</x:v>
      </x:c>
      <x:c r="B344" t="str">
        <x:v>JUNIOR HIGH SCHOOL FALAIDA BANGAR ROOM NO 2</x:v>
      </x:c>
      <x:c r="C344" s="83" t="n">
        <x:f>'2022 Form20'!H293</x:f>
        <x:v>14</x:v>
      </x:c>
      <x:c r="D344" s="83" t="n">
        <x:f>'2022 Form20'!D293</x:f>
        <x:v>671</x:v>
      </x:c>
      <x:c r="E344" s="50" t="n">
        <x:f>'2022 Form20'!T293</x:f>
        <x:v>0.020864381520119227</x:v>
      </x:c>
      <x:c r="F344" t="n">
        <x:f>'2022 Form20'!U293</x:f>
        <x:v>630</x:v>
      </x:c>
      <x:c r="G344" t="n">
        <x:f>'2022 Form20'!V293</x:f>
        <x:v>-616</x:v>
      </x:c>
      <x:c r="H344" s="52" t="n">
        <x:f>'2022 Form20'!W293</x:f>
        <x:v>-0.9180327868852459</x:v>
      </x:c>
      <x:c r="I344" t="str">
        <x:v>DHIRENDRA SINGH</x:v>
      </x:c>
      <x:c r="J344" t="str">
        <x:v>Bharatiya Janata Party</x:v>
      </x:c>
      <x:c r="K344" t="str">
        <x:v>EVM row</x:v>
      </x:c>
      <x:c r="L344" s="133" t="str">
        <x:f>IF(D344&lt;=0,"No EVM votes",IF(E344&lt;$N$7,"Low",IF(E344&gt;$R$7,"High","Middle")))</x:f>
        <x:v>Low</x:v>
      </x:c>
      <x:c r="M344" s="133" t="str">
        <x:f>IF(D344&lt;=0,"No EVM votes",IF(H344&lt;-20%,"Large deficit",IF(H344&lt;-5%,"Moderate deficit",IF(H344&lt;0,"Narrow deficit",IF(H344&lt;=5%,"Narrow lead/tie",IF(H344&lt;=20%,"Moderate lead","Large lead"))))))</x:f>
        <x:v>Large deficit</x:v>
      </x:c>
    </x:row>
    <x:row r="345">
      <x:c r="A345" t="n">
        <x:v>286</x:v>
      </x:c>
      <x:c r="B345" t="str">
        <x:v>JUNIOR HIGH SCHOOL FALAIDA BANGAR ROOM NO 3</x:v>
      </x:c>
      <x:c r="C345" s="83" t="n">
        <x:f>'2022 Form20'!H294</x:f>
        <x:v>54</x:v>
      </x:c>
      <x:c r="D345" s="83" t="n">
        <x:f>'2022 Form20'!D294</x:f>
        <x:v>790</x:v>
      </x:c>
      <x:c r="E345" s="50" t="n">
        <x:f>'2022 Form20'!T294</x:f>
        <x:v>0.06835443037974684</x:v>
      </x:c>
      <x:c r="F345" t="n">
        <x:f>'2022 Form20'!U294</x:f>
        <x:v>536</x:v>
      </x:c>
      <x:c r="G345" t="n">
        <x:f>'2022 Form20'!V294</x:f>
        <x:v>-482</x:v>
      </x:c>
      <x:c r="H345" s="52" t="n">
        <x:f>'2022 Form20'!W294</x:f>
        <x:v>-0.610126582278481</x:v>
      </x:c>
      <x:c r="I345" t="str">
        <x:v>DHIRENDRA SINGH</x:v>
      </x:c>
      <x:c r="J345" t="str">
        <x:v>Bharatiya Janata Party</x:v>
      </x:c>
      <x:c r="K345" t="str">
        <x:v>EVM row</x:v>
      </x:c>
      <x:c r="L345" s="133" t="str">
        <x:f>IF(D345&lt;=0,"No EVM votes",IF(E345&lt;$N$7,"Low",IF(E345&gt;$R$7,"High","Middle")))</x:f>
        <x:v>Low</x:v>
      </x:c>
      <x:c r="M345" s="133" t="str">
        <x:f>IF(D345&lt;=0,"No EVM votes",IF(H345&lt;-20%,"Large deficit",IF(H345&lt;-5%,"Moderate deficit",IF(H345&lt;0,"Narrow deficit",IF(H345&lt;=5%,"Narrow lead/tie",IF(H345&lt;=20%,"Moderate lead","Large lead"))))))</x:f>
        <x:v>Large deficit</x:v>
      </x:c>
    </x:row>
    <x:row r="346">
      <x:c r="A346" t="n">
        <x:v>287</x:v>
      </x:c>
      <x:c r="B346" t="str">
        <x:v>JUNIOR HIGH SCHOOL FALAIDA BANGAR ROOM NO 4</x:v>
      </x:c>
      <x:c r="C346" s="83" t="n">
        <x:f>'2022 Form20'!H295</x:f>
        <x:v>23</x:v>
      </x:c>
      <x:c r="D346" s="83" t="n">
        <x:f>'2022 Form20'!D295</x:f>
        <x:v>644</x:v>
      </x:c>
      <x:c r="E346" s="50" t="n">
        <x:f>'2022 Form20'!T295</x:f>
        <x:v>0.03571428571428571</x:v>
      </x:c>
      <x:c r="F346" t="n">
        <x:f>'2022 Form20'!U295</x:f>
        <x:v>605</x:v>
      </x:c>
      <x:c r="G346" t="n">
        <x:f>'2022 Form20'!V295</x:f>
        <x:v>-582</x:v>
      </x:c>
      <x:c r="H346" s="52" t="n">
        <x:f>'2022 Form20'!W295</x:f>
        <x:v>-0.9037267080745341</x:v>
      </x:c>
      <x:c r="I346" t="str">
        <x:v>DHIRENDRA SINGH</x:v>
      </x:c>
      <x:c r="J346" t="str">
        <x:v>Bharatiya Janata Party</x:v>
      </x:c>
      <x:c r="K346" t="str">
        <x:v>EVM row</x:v>
      </x:c>
      <x:c r="L346" s="133" t="str">
        <x:f>IF(D346&lt;=0,"No EVM votes",IF(E346&lt;$N$7,"Low",IF(E346&gt;$R$7,"High","Middle")))</x:f>
        <x:v>Low</x:v>
      </x:c>
      <x:c r="M346" s="133" t="str">
        <x:f>IF(D346&lt;=0,"No EVM votes",IF(H346&lt;-20%,"Large deficit",IF(H346&lt;-5%,"Moderate deficit",IF(H346&lt;0,"Narrow deficit",IF(H346&lt;=5%,"Narrow lead/tie",IF(H346&lt;=20%,"Moderate lead","Large lead"))))))</x:f>
        <x:v>Large deficit</x:v>
      </x:c>
    </x:row>
    <x:row r="347">
      <x:c r="A347" t="n">
        <x:v>288</x:v>
      </x:c>
      <x:c r="B347" t="str">
        <x:v>JUNIOR HIGH SCHOOL FALAIDA BANGAR ROOM NO 5</x:v>
      </x:c>
      <x:c r="C347" s="83" t="n">
        <x:f>'2022 Form20'!H296</x:f>
        <x:v>45</x:v>
      </x:c>
      <x:c r="D347" s="83" t="n">
        <x:f>'2022 Form20'!D296</x:f>
        <x:v>792</x:v>
      </x:c>
      <x:c r="E347" s="50" t="n">
        <x:f>'2022 Form20'!T296</x:f>
        <x:v>0.056818181818181816</x:v>
      </x:c>
      <x:c r="F347" t="n">
        <x:f>'2022 Form20'!U296</x:f>
        <x:v>713</x:v>
      </x:c>
      <x:c r="G347" t="n">
        <x:f>'2022 Form20'!V296</x:f>
        <x:v>-668</x:v>
      </x:c>
      <x:c r="H347" s="52" t="n">
        <x:f>'2022 Form20'!W296</x:f>
        <x:v>-0.8434343434343434</x:v>
      </x:c>
      <x:c r="I347" t="str">
        <x:v>DHIRENDRA SINGH</x:v>
      </x:c>
      <x:c r="J347" t="str">
        <x:v>Bharatiya Janata Party</x:v>
      </x:c>
      <x:c r="K347" t="str">
        <x:v>EVM row</x:v>
      </x:c>
      <x:c r="L347" s="133" t="str">
        <x:f>IF(D347&lt;=0,"No EVM votes",IF(E347&lt;$N$7,"Low",IF(E347&gt;$R$7,"High","Middle")))</x:f>
        <x:v>Low</x:v>
      </x:c>
      <x:c r="M347" s="133" t="str">
        <x:f>IF(D347&lt;=0,"No EVM votes",IF(H347&lt;-20%,"Large deficit",IF(H347&lt;-5%,"Moderate deficit",IF(H347&lt;0,"Narrow deficit",IF(H347&lt;=5%,"Narrow lead/tie",IF(H347&lt;=20%,"Moderate lead","Large lead"))))))</x:f>
        <x:v>Large deficit</x:v>
      </x:c>
    </x:row>
    <x:row r="348">
      <x:c r="A348" t="n">
        <x:v>289</x:v>
      </x:c>
      <x:c r="B348" t="str">
        <x:v>PRIMARY SCHOOL NAGLA HANDA MAJRA KURAIB ROOM NO 1</x:v>
      </x:c>
      <x:c r="C348" s="83" t="n">
        <x:f>'2022 Form20'!H297</x:f>
        <x:v>195</x:v>
      </x:c>
      <x:c r="D348" s="83" t="n">
        <x:f>'2022 Form20'!D297</x:f>
        <x:v>518</x:v>
      </x:c>
      <x:c r="E348" s="50" t="n">
        <x:f>'2022 Form20'!T297</x:f>
        <x:v>0.3764478764478765</x:v>
      </x:c>
      <x:c r="F348" t="n">
        <x:f>'2022 Form20'!U297</x:f>
        <x:v>259</x:v>
      </x:c>
      <x:c r="G348" t="n">
        <x:f>'2022 Form20'!V297</x:f>
        <x:v>-64</x:v>
      </x:c>
      <x:c r="H348" s="52" t="n">
        <x:f>'2022 Form20'!W297</x:f>
        <x:v>-0.12355212355212356</x:v>
      </x:c>
      <x:c r="I348" t="str">
        <x:v>DHIRENDRA SINGH</x:v>
      </x:c>
      <x:c r="J348" t="str">
        <x:v>Bharatiya Janata Party</x:v>
      </x:c>
      <x:c r="K348" t="str">
        <x:v>EVM row</x:v>
      </x:c>
      <x:c r="L348" s="133" t="str">
        <x:f>IF(D348&lt;=0,"No EVM votes",IF(E348&lt;$N$7,"Low",IF(E348&gt;$R$7,"High","Middle")))</x:f>
        <x:v>High</x:v>
      </x:c>
      <x:c r="M348" s="133" t="str">
        <x:f>IF(D348&lt;=0,"No EVM votes",IF(H348&lt;-20%,"Large deficit",IF(H348&lt;-5%,"Moderate deficit",IF(H348&lt;0,"Narrow deficit",IF(H348&lt;=5%,"Narrow lead/tie",IF(H348&lt;=20%,"Moderate lead","Large lead"))))))</x:f>
        <x:v>Moderate deficit</x:v>
      </x:c>
    </x:row>
    <x:row r="349">
      <x:c r="A349" t="n">
        <x:v>290</x:v>
      </x:c>
      <x:c r="B349" t="str">
        <x:v>PRIMARY SCHOOL KUREB ROOM NO 1</x:v>
      </x:c>
      <x:c r="C349" s="83" t="n">
        <x:f>'2022 Form20'!H298</x:f>
        <x:v>623</x:v>
      </x:c>
      <x:c r="D349" s="83" t="n">
        <x:f>'2022 Form20'!D298</x:f>
        <x:v>833</x:v>
      </x:c>
      <x:c r="E349" s="50" t="n">
        <x:f>'2022 Form20'!T298</x:f>
        <x:v>0.7478991596638656</x:v>
      </x:c>
      <x:c r="F349" t="n">
        <x:f>'2022 Form20'!U298</x:f>
        <x:v>121</x:v>
      </x:c>
      <x:c r="G349" t="n">
        <x:f>'2022 Form20'!V298</x:f>
        <x:v>502</x:v>
      </x:c>
      <x:c r="H349" s="52" t="n">
        <x:f>'2022 Form20'!W298</x:f>
        <x:v>0.602641056422569</x:v>
      </x:c>
      <x:c r="I349" t="str">
        <x:v>AVTAR SINGH BHADANA</x:v>
      </x:c>
      <x:c r="J349" t="str">
        <x:v>Rashtriya Lok Dal</x:v>
      </x:c>
      <x:c r="K349" t="str">
        <x:v>EVM row</x:v>
      </x:c>
      <x:c r="L349" s="133" t="str">
        <x:f>IF(D349&lt;=0,"No EVM votes",IF(E349&lt;$N$7,"Low",IF(E349&gt;$R$7,"High","Middle")))</x:f>
        <x:v>High</x:v>
      </x:c>
      <x:c r="M349" s="133" t="str">
        <x:f>IF(D349&lt;=0,"No EVM votes",IF(H349&lt;-20%,"Large deficit",IF(H349&lt;-5%,"Moderate deficit",IF(H349&lt;0,"Narrow deficit",IF(H349&lt;=5%,"Narrow lead/tie",IF(H349&lt;=20%,"Moderate lead","Large lead"))))))</x:f>
        <x:v>Large lead</x:v>
      </x:c>
    </x:row>
    <x:row r="350">
      <x:c r="A350" t="n">
        <x:v>291</x:v>
      </x:c>
      <x:c r="B350" t="str">
        <x:v>JUNIOR HIGH SCHOOL KUREB ROOM NO 1</x:v>
      </x:c>
      <x:c r="C350" s="83" t="n">
        <x:f>'2022 Form20'!H299</x:f>
        <x:v>485</x:v>
      </x:c>
      <x:c r="D350" s="83" t="n">
        <x:f>'2022 Form20'!D299</x:f>
        <x:v>623</x:v>
      </x:c>
      <x:c r="E350" s="50" t="n">
        <x:f>'2022 Form20'!T299</x:f>
        <x:v>0.7784911717495987</x:v>
      </x:c>
      <x:c r="F350" t="n">
        <x:f>'2022 Form20'!U299</x:f>
        <x:v>108</x:v>
      </x:c>
      <x:c r="G350" t="n">
        <x:f>'2022 Form20'!V299</x:f>
        <x:v>377</x:v>
      </x:c>
      <x:c r="H350" s="52" t="n">
        <x:f>'2022 Form20'!W299</x:f>
        <x:v>0.6051364365971108</x:v>
      </x:c>
      <x:c r="I350" t="str">
        <x:v>AVTAR SINGH BHADANA</x:v>
      </x:c>
      <x:c r="J350" t="str">
        <x:v>Rashtriya Lok Dal</x:v>
      </x:c>
      <x:c r="K350" t="str">
        <x:v>EVM row</x:v>
      </x:c>
      <x:c r="L350" s="133" t="str">
        <x:f>IF(D350&lt;=0,"No EVM votes",IF(E350&lt;$N$7,"Low",IF(E350&gt;$R$7,"High","Middle")))</x:f>
        <x:v>High</x:v>
      </x:c>
      <x:c r="M350" s="133" t="str">
        <x:f>IF(D350&lt;=0,"No EVM votes",IF(H350&lt;-20%,"Large deficit",IF(H350&lt;-5%,"Moderate deficit",IF(H350&lt;0,"Narrow deficit",IF(H350&lt;=5%,"Narrow lead/tie",IF(H350&lt;=20%,"Moderate lead","Large lead"))))))</x:f>
        <x:v>Large lead</x:v>
      </x:c>
    </x:row>
    <x:row r="351">
      <x:c r="A351" t="n">
        <x:v>292</x:v>
      </x:c>
      <x:c r="B351" t="str">
        <x:v>JUNIOR HIGH SCHOOL KUREB ROOM NO 2</x:v>
      </x:c>
      <x:c r="C351" s="83" t="n">
        <x:f>'2022 Form20'!H300</x:f>
        <x:v>24</x:v>
      </x:c>
      <x:c r="D351" s="83" t="n">
        <x:f>'2022 Form20'!D300</x:f>
        <x:v>553</x:v>
      </x:c>
      <x:c r="E351" s="50" t="n">
        <x:f>'2022 Form20'!T300</x:f>
        <x:v>0.0433996383363472</x:v>
      </x:c>
      <x:c r="F351" t="n">
        <x:f>'2022 Form20'!U300</x:f>
        <x:v>284</x:v>
      </x:c>
      <x:c r="G351" t="n">
        <x:f>'2022 Form20'!V300</x:f>
        <x:v>-260</x:v>
      </x:c>
      <x:c r="H351" s="52" t="n">
        <x:f>'2022 Form20'!W300</x:f>
        <x:v>-0.4701627486437613</x:v>
      </x:c>
      <x:c r="I351" t="str">
        <x:v>DHIRENDRA SINGH</x:v>
      </x:c>
      <x:c r="J351" t="str">
        <x:v>Bharatiya Janata Party</x:v>
      </x:c>
      <x:c r="K351" t="str">
        <x:v>EVM row</x:v>
      </x:c>
      <x:c r="L351" s="133" t="str">
        <x:f>IF(D351&lt;=0,"No EVM votes",IF(E351&lt;$N$7,"Low",IF(E351&gt;$R$7,"High","Middle")))</x:f>
        <x:v>Low</x:v>
      </x:c>
      <x:c r="M351" s="133" t="str">
        <x:f>IF(D351&lt;=0,"No EVM votes",IF(H351&lt;-20%,"Large deficit",IF(H351&lt;-5%,"Moderate deficit",IF(H351&lt;0,"Narrow deficit",IF(H351&lt;=5%,"Narrow lead/tie",IF(H351&lt;=20%,"Moderate lead","Large lead"))))))</x:f>
        <x:v>Large deficit</x:v>
      </x:c>
    </x:row>
    <x:row r="352">
      <x:c r="A352" t="n">
        <x:v>293</x:v>
      </x:c>
      <x:c r="B352" t="str">
        <x:v>JUNIOR HIGH SCHOOL KUREB ROOM NO 3</x:v>
      </x:c>
      <x:c r="C352" s="83" t="n">
        <x:f>'2022 Form20'!H301</x:f>
        <x:v>38</x:v>
      </x:c>
      <x:c r="D352" s="83" t="n">
        <x:f>'2022 Form20'!D301</x:f>
        <x:v>462</x:v>
      </x:c>
      <x:c r="E352" s="50" t="n">
        <x:f>'2022 Form20'!T301</x:f>
        <x:v>0.08225108225108226</x:v>
      </x:c>
      <x:c r="F352" t="n">
        <x:f>'2022 Form20'!U301</x:f>
        <x:v>397</x:v>
      </x:c>
      <x:c r="G352" t="n">
        <x:f>'2022 Form20'!V301</x:f>
        <x:v>-359</x:v>
      </x:c>
      <x:c r="H352" s="52" t="n">
        <x:f>'2022 Form20'!W301</x:f>
        <x:v>-0.7770562770562771</x:v>
      </x:c>
      <x:c r="I352" t="str">
        <x:v>DHIRENDRA SINGH</x:v>
      </x:c>
      <x:c r="J352" t="str">
        <x:v>Bharatiya Janata Party</x:v>
      </x:c>
      <x:c r="K352" t="str">
        <x:v>EVM row</x:v>
      </x:c>
      <x:c r="L352" s="133" t="str">
        <x:f>IF(D352&lt;=0,"No EVM votes",IF(E352&lt;$N$7,"Low",IF(E352&gt;$R$7,"High","Middle")))</x:f>
        <x:v>Low</x:v>
      </x:c>
      <x:c r="M352" s="133" t="str">
        <x:f>IF(D352&lt;=0,"No EVM votes",IF(H352&lt;-20%,"Large deficit",IF(H352&lt;-5%,"Moderate deficit",IF(H352&lt;0,"Narrow deficit",IF(H352&lt;=5%,"Narrow lead/tie",IF(H352&lt;=20%,"Moderate lead","Large lead"))))))</x:f>
        <x:v>Large deficit</x:v>
      </x:c>
    </x:row>
    <x:row r="353">
      <x:c r="A353" t="n">
        <x:v>294</x:v>
      </x:c>
      <x:c r="B353" t="str">
        <x:v>PRIMARY SCHOOL RANHERA ROOM NO 1</x:v>
      </x:c>
      <x:c r="C353" s="83" t="n">
        <x:f>'2022 Form20'!H302</x:f>
        <x:v>79</x:v>
      </x:c>
      <x:c r="D353" s="83" t="n">
        <x:f>'2022 Form20'!D302</x:f>
        <x:v>496</x:v>
      </x:c>
      <x:c r="E353" s="50" t="n">
        <x:f>'2022 Form20'!T302</x:f>
        <x:v>0.1592741935483871</x:v>
      </x:c>
      <x:c r="F353" t="n">
        <x:f>'2022 Form20'!U302</x:f>
        <x:v>207</x:v>
      </x:c>
      <x:c r="G353" t="n">
        <x:f>'2022 Form20'!V302</x:f>
        <x:v>-128</x:v>
      </x:c>
      <x:c r="H353" s="52" t="n">
        <x:f>'2022 Form20'!W302</x:f>
        <x:v>-0.25806451612903225</x:v>
      </x:c>
      <x:c r="I353" t="str">
        <x:v>DHIRENDRA SINGH</x:v>
      </x:c>
      <x:c r="J353" t="str">
        <x:v>Bharatiya Janata Party</x:v>
      </x:c>
      <x:c r="K353" t="str">
        <x:v>EVM row</x:v>
      </x:c>
      <x:c r="L353" s="133" t="str">
        <x:f>IF(D353&lt;=0,"No EVM votes",IF(E353&lt;$N$7,"Low",IF(E353&gt;$R$7,"High","Middle")))</x:f>
        <x:v>Middle</x:v>
      </x:c>
      <x:c r="M353" s="133" t="str">
        <x:f>IF(D353&lt;=0,"No EVM votes",IF(H353&lt;-20%,"Large deficit",IF(H353&lt;-5%,"Moderate deficit",IF(H353&lt;0,"Narrow deficit",IF(H353&lt;=5%,"Narrow lead/tie",IF(H353&lt;=20%,"Moderate lead","Large lead"))))))</x:f>
        <x:v>Large deficit</x:v>
      </x:c>
    </x:row>
    <x:row r="354">
      <x:c r="A354" t="n">
        <x:v>295</x:v>
      </x:c>
      <x:c r="B354" t="str">
        <x:v>PRIMARY SCHOOL RANHERA ROOM NO 2</x:v>
      </x:c>
      <x:c r="C354" s="83" t="n">
        <x:f>'2022 Form20'!H303</x:f>
        <x:v>144</x:v>
      </x:c>
      <x:c r="D354" s="83" t="n">
        <x:f>'2022 Form20'!D303</x:f>
        <x:v>490</x:v>
      </x:c>
      <x:c r="E354" s="50" t="n">
        <x:f>'2022 Form20'!T303</x:f>
        <x:v>0.2938775510204082</x:v>
      </x:c>
      <x:c r="F354" t="n">
        <x:f>'2022 Form20'!U303</x:f>
        <x:v>225</x:v>
      </x:c>
      <x:c r="G354" t="n">
        <x:f>'2022 Form20'!V303</x:f>
        <x:v>-81</x:v>
      </x:c>
      <x:c r="H354" s="52" t="n">
        <x:f>'2022 Form20'!W303</x:f>
        <x:v>-0.1653061224489796</x:v>
      </x:c>
      <x:c r="I354" t="str">
        <x:v>DHIRENDRA SINGH</x:v>
      </x:c>
      <x:c r="J354" t="str">
        <x:v>Bharatiya Janata Party</x:v>
      </x:c>
      <x:c r="K354" t="str">
        <x:v>EVM row</x:v>
      </x:c>
      <x:c r="L354" s="133" t="str">
        <x:f>IF(D354&lt;=0,"No EVM votes",IF(E354&lt;$N$7,"Low",IF(E354&gt;$R$7,"High","Middle")))</x:f>
        <x:v>Middle</x:v>
      </x:c>
      <x:c r="M354" s="133" t="str">
        <x:f>IF(D354&lt;=0,"No EVM votes",IF(H354&lt;-20%,"Large deficit",IF(H354&lt;-5%,"Moderate deficit",IF(H354&lt;0,"Narrow deficit",IF(H354&lt;=5%,"Narrow lead/tie",IF(H354&lt;=20%,"Moderate lead","Large lead"))))))</x:f>
        <x:v>Moderate deficit</x:v>
      </x:c>
    </x:row>
    <x:row r="355">
      <x:c r="A355" t="n">
        <x:v>296</x:v>
      </x:c>
      <x:c r="B355" t="str">
        <x:v>PRIMARY SCHOOL RANHERA ROOM NO 3</x:v>
      </x:c>
      <x:c r="C355" s="83" t="n">
        <x:f>'2022 Form20'!H304</x:f>
        <x:v>122</x:v>
      </x:c>
      <x:c r="D355" s="83" t="n">
        <x:f>'2022 Form20'!D304</x:f>
        <x:v>593</x:v>
      </x:c>
      <x:c r="E355" s="50" t="n">
        <x:f>'2022 Form20'!T304</x:f>
        <x:v>0.2057335581787521</x:v>
      </x:c>
      <x:c r="F355" t="n">
        <x:f>'2022 Form20'!U304</x:f>
        <x:v>396</x:v>
      </x:c>
      <x:c r="G355" t="n">
        <x:f>'2022 Form20'!V304</x:f>
        <x:v>-274</x:v>
      </x:c>
      <x:c r="H355" s="52" t="n">
        <x:f>'2022 Form20'!W304</x:f>
        <x:v>-0.4620573355817875</x:v>
      </x:c>
      <x:c r="I355" t="str">
        <x:v>DHIRENDRA SINGH</x:v>
      </x:c>
      <x:c r="J355" t="str">
        <x:v>Bharatiya Janata Party</x:v>
      </x:c>
      <x:c r="K355" t="str">
        <x:v>EVM row</x:v>
      </x:c>
      <x:c r="L355" s="133" t="str">
        <x:f>IF(D355&lt;=0,"No EVM votes",IF(E355&lt;$N$7,"Low",IF(E355&gt;$R$7,"High","Middle")))</x:f>
        <x:v>Middle</x:v>
      </x:c>
      <x:c r="M355" s="133" t="str">
        <x:f>IF(D355&lt;=0,"No EVM votes",IF(H355&lt;-20%,"Large deficit",IF(H355&lt;-5%,"Moderate deficit",IF(H355&lt;0,"Narrow deficit",IF(H355&lt;=5%,"Narrow lead/tie",IF(H355&lt;=20%,"Moderate lead","Large lead"))))))</x:f>
        <x:v>Large deficit</x:v>
      </x:c>
    </x:row>
    <x:row r="356">
      <x:c r="A356" t="n">
        <x:v>297</x:v>
      </x:c>
      <x:c r="B356" t="str">
        <x:v>PRIMARY SCHOOL RANHERA ROOM NO 4</x:v>
      </x:c>
      <x:c r="C356" s="83" t="n">
        <x:f>'2022 Form20'!H305</x:f>
        <x:v>62</x:v>
      </x:c>
      <x:c r="D356" s="83" t="n">
        <x:f>'2022 Form20'!D305</x:f>
        <x:v>523</x:v>
      </x:c>
      <x:c r="E356" s="50" t="n">
        <x:f>'2022 Form20'!T305</x:f>
        <x:v>0.11854684512428298</x:v>
      </x:c>
      <x:c r="F356" t="n">
        <x:f>'2022 Form20'!U305</x:f>
        <x:v>393</x:v>
      </x:c>
      <x:c r="G356" t="n">
        <x:f>'2022 Form20'!V305</x:f>
        <x:v>-331</x:v>
      </x:c>
      <x:c r="H356" s="52" t="n">
        <x:f>'2022 Form20'!W305</x:f>
        <x:v>-0.6328871892925431</x:v>
      </x:c>
      <x:c r="I356" t="str">
        <x:v>DHIRENDRA SINGH</x:v>
      </x:c>
      <x:c r="J356" t="str">
        <x:v>Bharatiya Janata Party</x:v>
      </x:c>
      <x:c r="K356" t="str">
        <x:v>EVM row</x:v>
      </x:c>
      <x:c r="L356" s="133" t="str">
        <x:f>IF(D356&lt;=0,"No EVM votes",IF(E356&lt;$N$7,"Low",IF(E356&gt;$R$7,"High","Middle")))</x:f>
        <x:v>Middle</x:v>
      </x:c>
      <x:c r="M356" s="133" t="str">
        <x:f>IF(D356&lt;=0,"No EVM votes",IF(H356&lt;-20%,"Large deficit",IF(H356&lt;-5%,"Moderate deficit",IF(H356&lt;0,"Narrow deficit",IF(H356&lt;=5%,"Narrow lead/tie",IF(H356&lt;=20%,"Moderate lead","Large lead"))))))</x:f>
        <x:v>Large deficit</x:v>
      </x:c>
    </x:row>
    <x:row r="357">
      <x:c r="A357" t="n">
        <x:v>298</x:v>
      </x:c>
      <x:c r="B357" t="str">
        <x:v>PRIMARY SCHOOL DAYANATPUR ROOM NO 1</x:v>
      </x:c>
      <x:c r="C357" s="83" t="n">
        <x:f>'2022 Form20'!H306</x:f>
        <x:v>78</x:v>
      </x:c>
      <x:c r="D357" s="83" t="n">
        <x:f>'2022 Form20'!D306</x:f>
        <x:v>588</x:v>
      </x:c>
      <x:c r="E357" s="50" t="n">
        <x:f>'2022 Form20'!T306</x:f>
        <x:v>0.1326530612244898</x:v>
      </x:c>
      <x:c r="F357" t="n">
        <x:f>'2022 Form20'!U306</x:f>
        <x:v>461</x:v>
      </x:c>
      <x:c r="G357" t="n">
        <x:f>'2022 Form20'!V306</x:f>
        <x:v>-383</x:v>
      </x:c>
      <x:c r="H357" s="52" t="n">
        <x:f>'2022 Form20'!W306</x:f>
        <x:v>-0.6513605442176871</x:v>
      </x:c>
      <x:c r="I357" t="str">
        <x:v>DHIRENDRA SINGH</x:v>
      </x:c>
      <x:c r="J357" t="str">
        <x:v>Bharatiya Janata Party</x:v>
      </x:c>
      <x:c r="K357" t="str">
        <x:v>EVM row</x:v>
      </x:c>
      <x:c r="L357" s="133" t="str">
        <x:f>IF(D357&lt;=0,"No EVM votes",IF(E357&lt;$N$7,"Low",IF(E357&gt;$R$7,"High","Middle")))</x:f>
        <x:v>Middle</x:v>
      </x:c>
      <x:c r="M357" s="133" t="str">
        <x:f>IF(D357&lt;=0,"No EVM votes",IF(H357&lt;-20%,"Large deficit",IF(H357&lt;-5%,"Moderate deficit",IF(H357&lt;0,"Narrow deficit",IF(H357&lt;=5%,"Narrow lead/tie",IF(H357&lt;=20%,"Moderate lead","Large lead"))))))</x:f>
        <x:v>Large deficit</x:v>
      </x:c>
    </x:row>
    <x:row r="358">
      <x:c r="A358" t="n">
        <x:v>299</x:v>
      </x:c>
      <x:c r="B358" t="str">
        <x:v>PRIMARY SCHOOL DAYANATPUR ROOM NO 2</x:v>
      </x:c>
      <x:c r="C358" s="83" t="n">
        <x:f>'2022 Form20'!H307</x:f>
        <x:v>106</x:v>
      </x:c>
      <x:c r="D358" s="83" t="n">
        <x:f>'2022 Form20'!D307</x:f>
        <x:v>642</x:v>
      </x:c>
      <x:c r="E358" s="50" t="n">
        <x:f>'2022 Form20'!T307</x:f>
        <x:v>0.16510903426791276</x:v>
      </x:c>
      <x:c r="F358" t="n">
        <x:f>'2022 Form20'!U307</x:f>
        <x:v>509</x:v>
      </x:c>
      <x:c r="G358" t="n">
        <x:f>'2022 Form20'!V307</x:f>
        <x:v>-403</x:v>
      </x:c>
      <x:c r="H358" s="52" t="n">
        <x:f>'2022 Form20'!W307</x:f>
        <x:v>-0.6277258566978193</x:v>
      </x:c>
      <x:c r="I358" t="str">
        <x:v>DHIRENDRA SINGH</x:v>
      </x:c>
      <x:c r="J358" t="str">
        <x:v>Bharatiya Janata Party</x:v>
      </x:c>
      <x:c r="K358" t="str">
        <x:v>EVM row</x:v>
      </x:c>
      <x:c r="L358" s="133" t="str">
        <x:f>IF(D358&lt;=0,"No EVM votes",IF(E358&lt;$N$7,"Low",IF(E358&gt;$R$7,"High","Middle")))</x:f>
        <x:v>Middle</x:v>
      </x:c>
      <x:c r="M358" s="133" t="str">
        <x:f>IF(D358&lt;=0,"No EVM votes",IF(H358&lt;-20%,"Large deficit",IF(H358&lt;-5%,"Moderate deficit",IF(H358&lt;0,"Narrow deficit",IF(H358&lt;=5%,"Narrow lead/tie",IF(H358&lt;=20%,"Moderate lead","Large lead"))))))</x:f>
        <x:v>Large deficit</x:v>
      </x:c>
    </x:row>
    <x:row r="359">
      <x:c r="A359" t="n">
        <x:v>300</x:v>
      </x:c>
      <x:c r="B359" t="str">
        <x:v>INTER COLLEGE DAYANATPUR ROOM NO. 1</x:v>
      </x:c>
      <x:c r="C359" s="83" t="n">
        <x:f>'2022 Form20'!H308</x:f>
        <x:v>18</x:v>
      </x:c>
      <x:c r="D359" s="83" t="n">
        <x:f>'2022 Form20'!D308</x:f>
        <x:v>860</x:v>
      </x:c>
      <x:c r="E359" s="50" t="n">
        <x:f>'2022 Form20'!T308</x:f>
        <x:v>0.020930232558139535</x:v>
      </x:c>
      <x:c r="F359" t="n">
        <x:f>'2022 Form20'!U308</x:f>
        <x:v>821</x:v>
      </x:c>
      <x:c r="G359" t="n">
        <x:f>'2022 Form20'!V308</x:f>
        <x:v>-803</x:v>
      </x:c>
      <x:c r="H359" s="52" t="n">
        <x:f>'2022 Form20'!W308</x:f>
        <x:v>-0.9337209302325581</x:v>
      </x:c>
      <x:c r="I359" t="str">
        <x:v>NARENDER KUMAR</x:v>
      </x:c>
      <x:c r="J359" t="str">
        <x:v>Bahujan Samaj Party</x:v>
      </x:c>
      <x:c r="K359" t="str">
        <x:v>EVM row</x:v>
      </x:c>
      <x:c r="L359" s="133" t="str">
        <x:f>IF(D359&lt;=0,"No EVM votes",IF(E359&lt;$N$7,"Low",IF(E359&gt;$R$7,"High","Middle")))</x:f>
        <x:v>Low</x:v>
      </x:c>
      <x:c r="M359" s="133" t="str">
        <x:f>IF(D359&lt;=0,"No EVM votes",IF(H359&lt;-20%,"Large deficit",IF(H359&lt;-5%,"Moderate deficit",IF(H359&lt;0,"Narrow deficit",IF(H359&lt;=5%,"Narrow lead/tie",IF(H359&lt;=20%,"Moderate lead","Large lead"))))))</x:f>
        <x:v>Large deficit</x:v>
      </x:c>
    </x:row>
    <x:row r="360">
      <x:c r="A360" t="n">
        <x:v>301</x:v>
      </x:c>
      <x:c r="B360" t="str">
        <x:v>INTER COLLEGE DAYANATPUR ROOM NO. 2</x:v>
      </x:c>
      <x:c r="C360" s="83" t="n">
        <x:f>'2022 Form20'!H309</x:f>
        <x:v>77</x:v>
      </x:c>
      <x:c r="D360" s="83" t="n">
        <x:f>'2022 Form20'!D309</x:f>
        <x:v>525</x:v>
      </x:c>
      <x:c r="E360" s="50" t="n">
        <x:f>'2022 Form20'!T309</x:f>
        <x:v>0.14666666666666667</x:v>
      </x:c>
      <x:c r="F360" t="n">
        <x:f>'2022 Form20'!U309</x:f>
        <x:v>414</x:v>
      </x:c>
      <x:c r="G360" t="n">
        <x:f>'2022 Form20'!V309</x:f>
        <x:v>-337</x:v>
      </x:c>
      <x:c r="H360" s="52" t="n">
        <x:f>'2022 Form20'!W309</x:f>
        <x:v>-0.6419047619047619</x:v>
      </x:c>
      <x:c r="I360" t="str">
        <x:v>DHIRENDRA SINGH</x:v>
      </x:c>
      <x:c r="J360" t="str">
        <x:v>Bharatiya Janata Party</x:v>
      </x:c>
      <x:c r="K360" t="str">
        <x:v>EVM row</x:v>
      </x:c>
      <x:c r="L360" s="133" t="str">
        <x:f>IF(D360&lt;=0,"No EVM votes",IF(E360&lt;$N$7,"Low",IF(E360&gt;$R$7,"High","Middle")))</x:f>
        <x:v>Middle</x:v>
      </x:c>
      <x:c r="M360" s="133" t="str">
        <x:f>IF(D360&lt;=0,"No EVM votes",IF(H360&lt;-20%,"Large deficit",IF(H360&lt;-5%,"Moderate deficit",IF(H360&lt;0,"Narrow deficit",IF(H360&lt;=5%,"Narrow lead/tie",IF(H360&lt;=20%,"Moderate lead","Large lead"))))))</x:f>
        <x:v>Large deficit</x:v>
      </x:c>
    </x:row>
    <x:row r="361">
      <x:c r="A361" t="n">
        <x:v>302</x:v>
      </x:c>
      <x:c r="B361" t="str">
        <x:v>INTER COLLEGE DAYANATPUR ROOM NO. 3</x:v>
      </x:c>
      <x:c r="C361" s="83" t="n">
        <x:f>'2022 Form20'!H310</x:f>
        <x:v>13</x:v>
      </x:c>
      <x:c r="D361" s="83" t="n">
        <x:f>'2022 Form20'!D310</x:f>
        <x:v>511</x:v>
      </x:c>
      <x:c r="E361" s="50" t="n">
        <x:f>'2022 Form20'!T310</x:f>
        <x:v>0.025440313111545987</x:v>
      </x:c>
      <x:c r="F361" t="n">
        <x:f>'2022 Form20'!U310</x:f>
        <x:v>414</x:v>
      </x:c>
      <x:c r="G361" t="n">
        <x:f>'2022 Form20'!V310</x:f>
        <x:v>-401</x:v>
      </x:c>
      <x:c r="H361" s="52" t="n">
        <x:f>'2022 Form20'!W310</x:f>
        <x:v>-0.7847358121330724</x:v>
      </x:c>
      <x:c r="I361" t="str">
        <x:v>NARENDER KUMAR</x:v>
      </x:c>
      <x:c r="J361" t="str">
        <x:v>Bahujan Samaj Party</x:v>
      </x:c>
      <x:c r="K361" t="str">
        <x:v>EVM row</x:v>
      </x:c>
      <x:c r="L361" s="133" t="str">
        <x:f>IF(D361&lt;=0,"No EVM votes",IF(E361&lt;$N$7,"Low",IF(E361&gt;$R$7,"High","Middle")))</x:f>
        <x:v>Low</x:v>
      </x:c>
      <x:c r="M361" s="133" t="str">
        <x:f>IF(D361&lt;=0,"No EVM votes",IF(H361&lt;-20%,"Large deficit",IF(H361&lt;-5%,"Moderate deficit",IF(H361&lt;0,"Narrow deficit",IF(H361&lt;=5%,"Narrow lead/tie",IF(H361&lt;=20%,"Moderate lead","Large lead"))))))</x:f>
        <x:v>Large deficit</x:v>
      </x:c>
    </x:row>
    <x:row r="362">
      <x:c r="A362" t="n">
        <x:v>303</x:v>
      </x:c>
      <x:c r="B362" t="str">
        <x:v>PRIMARY SCHOOL BEGUMABAD MAJRA DAYANATPUR ROOM NO 1</x:v>
      </x:c>
      <x:c r="C362" s="83" t="n">
        <x:f>'2022 Form20'!H311</x:f>
        <x:v>11</x:v>
      </x:c>
      <x:c r="D362" s="83" t="n">
        <x:f>'2022 Form20'!D311</x:f>
        <x:v>406</x:v>
      </x:c>
      <x:c r="E362" s="50" t="n">
        <x:f>'2022 Form20'!T311</x:f>
        <x:v>0.027093596059113302</x:v>
      </x:c>
      <x:c r="F362" t="n">
        <x:f>'2022 Form20'!U311</x:f>
        <x:v>348</x:v>
      </x:c>
      <x:c r="G362" t="n">
        <x:f>'2022 Form20'!V311</x:f>
        <x:v>-337</x:v>
      </x:c>
      <x:c r="H362" s="52" t="n">
        <x:f>'2022 Form20'!W311</x:f>
        <x:v>-0.8300492610837439</x:v>
      </x:c>
      <x:c r="I362" t="str">
        <x:v>DHIRENDRA SINGH</x:v>
      </x:c>
      <x:c r="J362" t="str">
        <x:v>Bharatiya Janata Party</x:v>
      </x:c>
      <x:c r="K362" t="str">
        <x:v>EVM row</x:v>
      </x:c>
      <x:c r="L362" s="133" t="str">
        <x:f>IF(D362&lt;=0,"No EVM votes",IF(E362&lt;$N$7,"Low",IF(E362&gt;$R$7,"High","Middle")))</x:f>
        <x:v>Low</x:v>
      </x:c>
      <x:c r="M362" s="133" t="str">
        <x:f>IF(D362&lt;=0,"No EVM votes",IF(H362&lt;-20%,"Large deficit",IF(H362&lt;-5%,"Moderate deficit",IF(H362&lt;0,"Narrow deficit",IF(H362&lt;=5%,"Narrow lead/tie",IF(H362&lt;=20%,"Moderate lead","Large lead"))))))</x:f>
        <x:v>Large deficit</x:v>
      </x:c>
    </x:row>
    <x:row r="363">
      <x:c r="A363" t="n">
        <x:v>304</x:v>
      </x:c>
      <x:c r="B363" t="str">
        <x:v>PRIMARY SCHOOL RAMPUR BANGAR ROOM NO 1</x:v>
      </x:c>
      <x:c r="C363" s="83" t="n">
        <x:f>'2022 Form20'!H312</x:f>
        <x:v>165</x:v>
      </x:c>
      <x:c r="D363" s="83" t="n">
        <x:f>'2022 Form20'!D312</x:f>
        <x:v>729</x:v>
      </x:c>
      <x:c r="E363" s="50" t="n">
        <x:f>'2022 Form20'!T312</x:f>
        <x:v>0.22633744855967078</x:v>
      </x:c>
      <x:c r="F363" t="n">
        <x:f>'2022 Form20'!U312</x:f>
        <x:v>537</x:v>
      </x:c>
      <x:c r="G363" t="n">
        <x:f>'2022 Form20'!V312</x:f>
        <x:v>-372</x:v>
      </x:c>
      <x:c r="H363" s="52" t="n">
        <x:f>'2022 Form20'!W312</x:f>
        <x:v>-0.5102880658436214</x:v>
      </x:c>
      <x:c r="I363" t="str">
        <x:v>DHIRENDRA SINGH</x:v>
      </x:c>
      <x:c r="J363" t="str">
        <x:v>Bharatiya Janata Party</x:v>
      </x:c>
      <x:c r="K363" t="str">
        <x:v>EVM row</x:v>
      </x:c>
      <x:c r="L363" s="133" t="str">
        <x:f>IF(D363&lt;=0,"No EVM votes",IF(E363&lt;$N$7,"Low",IF(E363&gt;$R$7,"High","Middle")))</x:f>
        <x:v>Middle</x:v>
      </x:c>
      <x:c r="M363" s="133" t="str">
        <x:f>IF(D363&lt;=0,"No EVM votes",IF(H363&lt;-20%,"Large deficit",IF(H363&lt;-5%,"Moderate deficit",IF(H363&lt;0,"Narrow deficit",IF(H363&lt;=5%,"Narrow lead/tie",IF(H363&lt;=20%,"Moderate lead","Large lead"))))))</x:f>
        <x:v>Large deficit</x:v>
      </x:c>
    </x:row>
    <x:row r="364">
      <x:c r="A364" t="n">
        <x:v>305</x:v>
      </x:c>
      <x:c r="B364" t="str">
        <x:v>PRIMARY SCHOOL RAMPUR BANGAR ROOM NO 2</x:v>
      </x:c>
      <x:c r="C364" s="83" t="n">
        <x:f>'2022 Form20'!H313</x:f>
        <x:v>39</x:v>
      </x:c>
      <x:c r="D364" s="83" t="n">
        <x:f>'2022 Form20'!D313</x:f>
        <x:v>634</x:v>
      </x:c>
      <x:c r="E364" s="50" t="n">
        <x:f>'2022 Form20'!T313</x:f>
        <x:v>0.061514195583596214</x:v>
      </x:c>
      <x:c r="F364" t="n">
        <x:f>'2022 Form20'!U313</x:f>
        <x:v>346</x:v>
      </x:c>
      <x:c r="G364" t="n">
        <x:f>'2022 Form20'!V313</x:f>
        <x:v>-307</x:v>
      </x:c>
      <x:c r="H364" s="52" t="n">
        <x:f>'2022 Form20'!W313</x:f>
        <x:v>-0.4842271293375394</x:v>
      </x:c>
      <x:c r="I364" t="str">
        <x:v>NARENDER KUMAR</x:v>
      </x:c>
      <x:c r="J364" t="str">
        <x:v>Bahujan Samaj Party</x:v>
      </x:c>
      <x:c r="K364" t="str">
        <x:v>EVM row</x:v>
      </x:c>
      <x:c r="L364" s="133" t="str">
        <x:f>IF(D364&lt;=0,"No EVM votes",IF(E364&lt;$N$7,"Low",IF(E364&gt;$R$7,"High","Middle")))</x:f>
        <x:v>Low</x:v>
      </x:c>
      <x:c r="M364" s="133" t="str">
        <x:f>IF(D364&lt;=0,"No EVM votes",IF(H364&lt;-20%,"Large deficit",IF(H364&lt;-5%,"Moderate deficit",IF(H364&lt;0,"Narrow deficit",IF(H364&lt;=5%,"Narrow lead/tie",IF(H364&lt;=20%,"Moderate lead","Large lead"))))))</x:f>
        <x:v>Large deficit</x:v>
      </x:c>
    </x:row>
    <x:row r="365">
      <x:c r="A365" t="n">
        <x:v>306</x:v>
      </x:c>
      <x:c r="B365" t="str">
        <x:v>PRIMARY SCHOOL BALLABHNAGAR URF KARROL BANGAR ROOM NO 1</x:v>
      </x:c>
      <x:c r="C365" s="83" t="n">
        <x:f>'2022 Form20'!H314</x:f>
        <x:v>28</x:v>
      </x:c>
      <x:c r="D365" s="83" t="n">
        <x:f>'2022 Form20'!D314</x:f>
        <x:v>839</x:v>
      </x:c>
      <x:c r="E365" s="50" t="n">
        <x:f>'2022 Form20'!T314</x:f>
        <x:v>0.033373063170441</x:v>
      </x:c>
      <x:c r="F365" t="n">
        <x:f>'2022 Form20'!U314</x:f>
        <x:v>594</x:v>
      </x:c>
      <x:c r="G365" t="n">
        <x:f>'2022 Form20'!V314</x:f>
        <x:v>-566</x:v>
      </x:c>
      <x:c r="H365" s="52" t="n">
        <x:f>'2022 Form20'!W314</x:f>
        <x:v>-0.6746126340882003</x:v>
      </x:c>
      <x:c r="I365" t="str">
        <x:v>DHIRENDRA SINGH</x:v>
      </x:c>
      <x:c r="J365" t="str">
        <x:v>Bharatiya Janata Party</x:v>
      </x:c>
      <x:c r="K365" t="str">
        <x:v>EVM row</x:v>
      </x:c>
      <x:c r="L365" s="133" t="str">
        <x:f>IF(D365&lt;=0,"No EVM votes",IF(E365&lt;$N$7,"Low",IF(E365&gt;$R$7,"High","Middle")))</x:f>
        <x:v>Low</x:v>
      </x:c>
      <x:c r="M365" s="133" t="str">
        <x:f>IF(D365&lt;=0,"No EVM votes",IF(H365&lt;-20%,"Large deficit",IF(H365&lt;-5%,"Moderate deficit",IF(H365&lt;0,"Narrow deficit",IF(H365&lt;=5%,"Narrow lead/tie",IF(H365&lt;=20%,"Moderate lead","Large lead"))))))</x:f>
        <x:v>Large deficit</x:v>
      </x:c>
    </x:row>
    <x:row r="366">
      <x:c r="A366" t="n">
        <x:v>307</x:v>
      </x:c>
      <x:c r="B366" t="str">
        <x:v>PRIMARY SCHOOL SIRSA MACHIPUR ROOM NO 1</x:v>
      </x:c>
      <x:c r="C366" s="83" t="n">
        <x:f>'2022 Form20'!H315</x:f>
        <x:v>24</x:v>
      </x:c>
      <x:c r="D366" s="83" t="n">
        <x:f>'2022 Form20'!D315</x:f>
        <x:v>654</x:v>
      </x:c>
      <x:c r="E366" s="50" t="n">
        <x:f>'2022 Form20'!T315</x:f>
        <x:v>0.03669724770642202</x:v>
      </x:c>
      <x:c r="F366" t="n">
        <x:f>'2022 Form20'!U315</x:f>
        <x:v>569</x:v>
      </x:c>
      <x:c r="G366" t="n">
        <x:f>'2022 Form20'!V315</x:f>
        <x:v>-545</x:v>
      </x:c>
      <x:c r="H366" s="52" t="n">
        <x:f>'2022 Form20'!W315</x:f>
        <x:v>-0.8333333333333334</x:v>
      </x:c>
      <x:c r="I366" t="str">
        <x:v>DHIRENDRA SINGH</x:v>
      </x:c>
      <x:c r="J366" t="str">
        <x:v>Bharatiya Janata Party</x:v>
      </x:c>
      <x:c r="K366" t="str">
        <x:v>EVM row</x:v>
      </x:c>
      <x:c r="L366" s="133" t="str">
        <x:f>IF(D366&lt;=0,"No EVM votes",IF(E366&lt;$N$7,"Low",IF(E366&gt;$R$7,"High","Middle")))</x:f>
        <x:v>Low</x:v>
      </x:c>
      <x:c r="M366" s="133" t="str">
        <x:f>IF(D366&lt;=0,"No EVM votes",IF(H366&lt;-20%,"Large deficit",IF(H366&lt;-5%,"Moderate deficit",IF(H366&lt;0,"Narrow deficit",IF(H366&lt;=5%,"Narrow lead/tie",IF(H366&lt;=20%,"Moderate lead","Large lead"))))))</x:f>
        <x:v>Large deficit</x:v>
      </x:c>
    </x:row>
    <x:row r="367">
      <x:c r="A367" t="n">
        <x:v>308</x:v>
      </x:c>
      <x:c r="B367" t="str">
        <x:v>PRIMARY SCHOOL SIRSA MACHIPUR ROOM NO 2</x:v>
      </x:c>
      <x:c r="C367" s="83" t="n">
        <x:f>'2022 Form20'!H316</x:f>
        <x:v>6</x:v>
      </x:c>
      <x:c r="D367" s="83" t="n">
        <x:f>'2022 Form20'!D316</x:f>
        <x:v>351</x:v>
      </x:c>
      <x:c r="E367" s="50" t="n">
        <x:f>'2022 Form20'!T316</x:f>
        <x:v>0.017094017094017096</x:v>
      </x:c>
      <x:c r="F367" t="n">
        <x:f>'2022 Form20'!U316</x:f>
        <x:v>311</x:v>
      </x:c>
      <x:c r="G367" t="n">
        <x:f>'2022 Form20'!V316</x:f>
        <x:v>-305</x:v>
      </x:c>
      <x:c r="H367" s="52" t="n">
        <x:f>'2022 Form20'!W316</x:f>
        <x:v>-0.8689458689458689</x:v>
      </x:c>
      <x:c r="I367" t="str">
        <x:v>DHIRENDRA SINGH</x:v>
      </x:c>
      <x:c r="J367" t="str">
        <x:v>Bharatiya Janata Party</x:v>
      </x:c>
      <x:c r="K367" t="str">
        <x:v>EVM row</x:v>
      </x:c>
      <x:c r="L367" s="133" t="str">
        <x:f>IF(D367&lt;=0,"No EVM votes",IF(E367&lt;$N$7,"Low",IF(E367&gt;$R$7,"High","Middle")))</x:f>
        <x:v>Low</x:v>
      </x:c>
      <x:c r="M367" s="133" t="str">
        <x:f>IF(D367&lt;=0,"No EVM votes",IF(H367&lt;-20%,"Large deficit",IF(H367&lt;-5%,"Moderate deficit",IF(H367&lt;0,"Narrow deficit",IF(H367&lt;=5%,"Narrow lead/tie",IF(H367&lt;=20%,"Moderate lead","Large lead"))))))</x:f>
        <x:v>Large deficit</x:v>
      </x:c>
    </x:row>
    <x:row r="368">
      <x:c r="A368" t="n">
        <x:v>309</x:v>
      </x:c>
      <x:c r="B368" t="str">
        <x:v>PRIMARY SCHOOL KISHOREPUR ROOM NO 1</x:v>
      </x:c>
      <x:c r="C368" s="83" t="n">
        <x:f>'2022 Form20'!H317</x:f>
        <x:v>199</x:v>
      </x:c>
      <x:c r="D368" s="83" t="n">
        <x:f>'2022 Form20'!D317</x:f>
        <x:v>643</x:v>
      </x:c>
      <x:c r="E368" s="50" t="n">
        <x:f>'2022 Form20'!T317</x:f>
        <x:v>0.3094867807153966</x:v>
      </x:c>
      <x:c r="F368" t="n">
        <x:f>'2022 Form20'!U317</x:f>
        <x:v>283</x:v>
      </x:c>
      <x:c r="G368" t="n">
        <x:f>'2022 Form20'!V317</x:f>
        <x:v>-84</x:v>
      </x:c>
      <x:c r="H368" s="52" t="n">
        <x:f>'2022 Form20'!W317</x:f>
        <x:v>-0.13063763608087092</x:v>
      </x:c>
      <x:c r="I368" t="str">
        <x:v>NARENDER KUMAR</x:v>
      </x:c>
      <x:c r="J368" t="str">
        <x:v>Bahujan Samaj Party</x:v>
      </x:c>
      <x:c r="K368" t="str">
        <x:v>EVM row</x:v>
      </x:c>
      <x:c r="L368" s="133" t="str">
        <x:f>IF(D368&lt;=0,"No EVM votes",IF(E368&lt;$N$7,"Low",IF(E368&gt;$R$7,"High","Middle")))</x:f>
        <x:v>Middle</x:v>
      </x:c>
      <x:c r="M368" s="133" t="str">
        <x:f>IF(D368&lt;=0,"No EVM votes",IF(H368&lt;-20%,"Large deficit",IF(H368&lt;-5%,"Moderate deficit",IF(H368&lt;0,"Narrow deficit",IF(H368&lt;=5%,"Narrow lead/tie",IF(H368&lt;=20%,"Moderate lead","Large lead"))))))</x:f>
        <x:v>Moderate deficit</x:v>
      </x:c>
    </x:row>
    <x:row r="369">
      <x:c r="A369" t="n">
        <x:v>310</x:v>
      </x:c>
      <x:c r="B369" t="str">
        <x:v>PRIMARY SCHOOL KISHOREPUR ROOM NO 2</x:v>
      </x:c>
      <x:c r="C369" s="83" t="n">
        <x:f>'2022 Form20'!H318</x:f>
        <x:v>182</x:v>
      </x:c>
      <x:c r="D369" s="83" t="n">
        <x:f>'2022 Form20'!D318</x:f>
        <x:v>455</x:v>
      </x:c>
      <x:c r="E369" s="50" t="n">
        <x:f>'2022 Form20'!T318</x:f>
        <x:v>0.4</x:v>
      </x:c>
      <x:c r="F369" t="n">
        <x:f>'2022 Form20'!U318</x:f>
        <x:v>209</x:v>
      </x:c>
      <x:c r="G369" t="n">
        <x:f>'2022 Form20'!V318</x:f>
        <x:v>-27</x:v>
      </x:c>
      <x:c r="H369" s="52" t="n">
        <x:f>'2022 Form20'!W318</x:f>
        <x:v>-0.05934065934065934</x:v>
      </x:c>
      <x:c r="I369" t="str">
        <x:v>DHIRENDRA SINGH</x:v>
      </x:c>
      <x:c r="J369" t="str">
        <x:v>Bharatiya Janata Party</x:v>
      </x:c>
      <x:c r="K369" t="str">
        <x:v>EVM row</x:v>
      </x:c>
      <x:c r="L369" s="133" t="str">
        <x:f>IF(D369&lt;=0,"No EVM votes",IF(E369&lt;$N$7,"Low",IF(E369&gt;$R$7,"High","Middle")))</x:f>
        <x:v>High</x:v>
      </x:c>
      <x:c r="M369" s="133" t="str">
        <x:f>IF(D369&lt;=0,"No EVM votes",IF(H369&lt;-20%,"Large deficit",IF(H369&lt;-5%,"Moderate deficit",IF(H369&lt;0,"Narrow deficit",IF(H369&lt;=5%,"Narrow lead/tie",IF(H369&lt;=20%,"Moderate lead","Large lead"))))))</x:f>
        <x:v>Moderate deficit</x:v>
      </x:c>
    </x:row>
    <x:row r="370">
      <x:c r="A370" t="n">
        <x:v>311</x:v>
      </x:c>
      <x:c r="B370" t="str">
        <x:v>PRIMARY SCHOOL SABOTA MUSTAFABAD ROOM NO 1</x:v>
      </x:c>
      <x:c r="C370" s="83" t="n">
        <x:f>'2022 Form20'!H319</x:f>
        <x:v>58</x:v>
      </x:c>
      <x:c r="D370" s="83" t="n">
        <x:f>'2022 Form20'!D319</x:f>
        <x:v>604</x:v>
      </x:c>
      <x:c r="E370" s="50" t="n">
        <x:f>'2022 Form20'!T319</x:f>
        <x:v>0.09602649006622517</x:v>
      </x:c>
      <x:c r="F370" t="n">
        <x:f>'2022 Form20'!U319</x:f>
        <x:v>399</x:v>
      </x:c>
      <x:c r="G370" t="n">
        <x:f>'2022 Form20'!V319</x:f>
        <x:v>-341</x:v>
      </x:c>
      <x:c r="H370" s="52" t="n">
        <x:f>'2022 Form20'!W319</x:f>
        <x:v>-0.5645695364238411</x:v>
      </x:c>
      <x:c r="I370" t="str">
        <x:v>DHIRENDRA SINGH</x:v>
      </x:c>
      <x:c r="J370" t="str">
        <x:v>Bharatiya Janata Party</x:v>
      </x:c>
      <x:c r="K370" t="str">
        <x:v>EVM row</x:v>
      </x:c>
      <x:c r="L370" s="133" t="str">
        <x:f>IF(D370&lt;=0,"No EVM votes",IF(E370&lt;$N$7,"Low",IF(E370&gt;$R$7,"High","Middle")))</x:f>
        <x:v>Middle</x:v>
      </x:c>
      <x:c r="M370" s="133" t="str">
        <x:f>IF(D370&lt;=0,"No EVM votes",IF(H370&lt;-20%,"Large deficit",IF(H370&lt;-5%,"Moderate deficit",IF(H370&lt;0,"Narrow deficit",IF(H370&lt;=5%,"Narrow lead/tie",IF(H370&lt;=20%,"Moderate lead","Large lead"))))))</x:f>
        <x:v>Large deficit</x:v>
      </x:c>
    </x:row>
    <x:row r="371">
      <x:c r="A371" t="n">
        <x:v>312</x:v>
      </x:c>
      <x:c r="B371" t="str">
        <x:v>PRIMARY SCHOOL SABOTA MUSTAFABAD ROOM NO 2</x:v>
      </x:c>
      <x:c r="C371" s="83" t="n">
        <x:f>'2022 Form20'!H320</x:f>
        <x:v>75</x:v>
      </x:c>
      <x:c r="D371" s="83" t="n">
        <x:f>'2022 Form20'!D320</x:f>
        <x:v>520</x:v>
      </x:c>
      <x:c r="E371" s="50" t="n">
        <x:f>'2022 Form20'!T320</x:f>
        <x:v>0.14423076923076922</x:v>
      </x:c>
      <x:c r="F371" t="n">
        <x:f>'2022 Form20'!U320</x:f>
        <x:v>283</x:v>
      </x:c>
      <x:c r="G371" t="n">
        <x:f>'2022 Form20'!V320</x:f>
        <x:v>-208</x:v>
      </x:c>
      <x:c r="H371" s="52" t="n">
        <x:f>'2022 Form20'!W320</x:f>
        <x:v>-0.4</x:v>
      </x:c>
      <x:c r="I371" t="str">
        <x:v>DHIRENDRA SINGH</x:v>
      </x:c>
      <x:c r="J371" t="str">
        <x:v>Bharatiya Janata Party</x:v>
      </x:c>
      <x:c r="K371" t="str">
        <x:v>EVM row</x:v>
      </x:c>
      <x:c r="L371" s="133" t="str">
        <x:f>IF(D371&lt;=0,"No EVM votes",IF(E371&lt;$N$7,"Low",IF(E371&gt;$R$7,"High","Middle")))</x:f>
        <x:v>Middle</x:v>
      </x:c>
      <x:c r="M371" s="133" t="str">
        <x:f>IF(D371&lt;=0,"No EVM votes",IF(H371&lt;-20%,"Large deficit",IF(H371&lt;-5%,"Moderate deficit",IF(H371&lt;0,"Narrow deficit",IF(H371&lt;=5%,"Narrow lead/tie",IF(H371&lt;=20%,"Moderate lead","Large lead"))))))</x:f>
        <x:v>Large deficit</x:v>
      </x:c>
    </x:row>
    <x:row r="372">
      <x:c r="A372" t="n">
        <x:v>313</x:v>
      </x:c>
      <x:c r="B372" t="str">
        <x:v>PRIMARY SCHOOL SABOTA MUSTAFABAD ROOM NO 3</x:v>
      </x:c>
      <x:c r="C372" s="83" t="n">
        <x:f>'2022 Form20'!H321</x:f>
        <x:v>18</x:v>
      </x:c>
      <x:c r="D372" s="83" t="n">
        <x:f>'2022 Form20'!D321</x:f>
        <x:v>617</x:v>
      </x:c>
      <x:c r="E372" s="50" t="n">
        <x:f>'2022 Form20'!T321</x:f>
        <x:v>0.029173419773095625</x:v>
      </x:c>
      <x:c r="F372" t="n">
        <x:f>'2022 Form20'!U321</x:f>
        <x:v>434</x:v>
      </x:c>
      <x:c r="G372" t="n">
        <x:f>'2022 Form20'!V321</x:f>
        <x:v>-416</x:v>
      </x:c>
      <x:c r="H372" s="52" t="n">
        <x:f>'2022 Form20'!W321</x:f>
        <x:v>-0.6742301458670988</x:v>
      </x:c>
      <x:c r="I372" t="str">
        <x:v>NARENDER KUMAR</x:v>
      </x:c>
      <x:c r="J372" t="str">
        <x:v>Bahujan Samaj Party</x:v>
      </x:c>
      <x:c r="K372" t="str">
        <x:v>EVM row</x:v>
      </x:c>
      <x:c r="L372" s="133" t="str">
        <x:f>IF(D372&lt;=0,"No EVM votes",IF(E372&lt;$N$7,"Low",IF(E372&gt;$R$7,"High","Middle")))</x:f>
        <x:v>Low</x:v>
      </x:c>
      <x:c r="M372" s="133" t="str">
        <x:f>IF(D372&lt;=0,"No EVM votes",IF(H372&lt;-20%,"Large deficit",IF(H372&lt;-5%,"Moderate deficit",IF(H372&lt;0,"Narrow deficit",IF(H372&lt;=5%,"Narrow lead/tie",IF(H372&lt;=20%,"Moderate lead","Large lead"))))))</x:f>
        <x:v>Large deficit</x:v>
      </x:c>
    </x:row>
    <x:row r="373">
      <x:c r="A373" t="n">
        <x:v>314</x:v>
      </x:c>
      <x:c r="B373" t="str">
        <x:v>PRIMARY SCHOOL MUKIMPUR SHIVARA ROOM NO 1</x:v>
      </x:c>
      <x:c r="C373" s="83" t="n">
        <x:f>'2022 Form20'!H322</x:f>
        <x:v>5</x:v>
      </x:c>
      <x:c r="D373" s="83" t="n">
        <x:f>'2022 Form20'!D322</x:f>
        <x:v>534</x:v>
      </x:c>
      <x:c r="E373" s="50" t="n">
        <x:f>'2022 Form20'!T322</x:f>
        <x:v>0.009363295880149813</x:v>
      </x:c>
      <x:c r="F373" t="n">
        <x:f>'2022 Form20'!U322</x:f>
        <x:v>507</x:v>
      </x:c>
      <x:c r="G373" t="n">
        <x:f>'2022 Form20'!V322</x:f>
        <x:v>-502</x:v>
      </x:c>
      <x:c r="H373" s="52" t="n">
        <x:f>'2022 Form20'!W322</x:f>
        <x:v>-0.9400749063670412</x:v>
      </x:c>
      <x:c r="I373" t="str">
        <x:v>DHIRENDRA SINGH</x:v>
      </x:c>
      <x:c r="J373" t="str">
        <x:v>Bharatiya Janata Party</x:v>
      </x:c>
      <x:c r="K373" t="str">
        <x:v>EVM row</x:v>
      </x:c>
      <x:c r="L373" s="133" t="str">
        <x:f>IF(D373&lt;=0,"No EVM votes",IF(E373&lt;$N$7,"Low",IF(E373&gt;$R$7,"High","Middle")))</x:f>
        <x:v>Low</x:v>
      </x:c>
      <x:c r="M373" s="133" t="str">
        <x:f>IF(D373&lt;=0,"No EVM votes",IF(H373&lt;-20%,"Large deficit",IF(H373&lt;-5%,"Moderate deficit",IF(H373&lt;0,"Narrow deficit",IF(H373&lt;=5%,"Narrow lead/tie",IF(H373&lt;=20%,"Moderate lead","Large lead"))))))</x:f>
        <x:v>Large deficit</x:v>
      </x:c>
    </x:row>
    <x:row r="374">
      <x:c r="A374" t="n">
        <x:v>315</x:v>
      </x:c>
      <x:c r="B374" t="str">
        <x:v>PRIMARY SCHOOL ALAUDDIN NAGAR AKA DUDHERA ROOM NO 1</x:v>
      </x:c>
      <x:c r="C374" s="83" t="n">
        <x:f>'2022 Form20'!H323</x:f>
        <x:v>117</x:v>
      </x:c>
      <x:c r="D374" s="83" t="n">
        <x:f>'2022 Form20'!D323</x:f>
        <x:v>491</x:v>
      </x:c>
      <x:c r="E374" s="50" t="n">
        <x:f>'2022 Form20'!T323</x:f>
        <x:v>0.23828920570264767</x:v>
      </x:c>
      <x:c r="F374" t="n">
        <x:f>'2022 Form20'!U323</x:f>
        <x:v>308</x:v>
      </x:c>
      <x:c r="G374" t="n">
        <x:f>'2022 Form20'!V323</x:f>
        <x:v>-191</x:v>
      </x:c>
      <x:c r="H374" s="52" t="n">
        <x:f>'2022 Form20'!W323</x:f>
        <x:v>-0.3890020366598778</x:v>
      </x:c>
      <x:c r="I374" t="str">
        <x:v>DHIRENDRA SINGH</x:v>
      </x:c>
      <x:c r="J374" t="str">
        <x:v>Bharatiya Janata Party</x:v>
      </x:c>
      <x:c r="K374" t="str">
        <x:v>EVM row</x:v>
      </x:c>
      <x:c r="L374" s="133" t="str">
        <x:f>IF(D374&lt;=0,"No EVM votes",IF(E374&lt;$N$7,"Low",IF(E374&gt;$R$7,"High","Middle")))</x:f>
        <x:v>Middle</x:v>
      </x:c>
      <x:c r="M374" s="133" t="str">
        <x:f>IF(D374&lt;=0,"No EVM votes",IF(H374&lt;-20%,"Large deficit",IF(H374&lt;-5%,"Moderate deficit",IF(H374&lt;0,"Narrow deficit",IF(H374&lt;=5%,"Narrow lead/tie",IF(H374&lt;=20%,"Moderate lead","Large lead"))))))</x:f>
        <x:v>Large deficit</x:v>
      </x:c>
    </x:row>
    <x:row r="375">
      <x:c r="A375" t="n">
        <x:v>316</x:v>
      </x:c>
      <x:c r="B375" t="str">
        <x:v>PRIMARY SCHOOL ALAUDDIN NAGAR AKA DUDHERA ROOM NO 2</x:v>
      </x:c>
      <x:c r="C375" s="83" t="n">
        <x:f>'2022 Form20'!H324</x:f>
        <x:v>60</x:v>
      </x:c>
      <x:c r="D375" s="83" t="n">
        <x:f>'2022 Form20'!D324</x:f>
        <x:v>536</x:v>
      </x:c>
      <x:c r="E375" s="50" t="n">
        <x:f>'2022 Form20'!T324</x:f>
        <x:v>0.11194029850746269</x:v>
      </x:c>
      <x:c r="F375" t="n">
        <x:f>'2022 Form20'!U324</x:f>
        <x:v>379</x:v>
      </x:c>
      <x:c r="G375" t="n">
        <x:f>'2022 Form20'!V324</x:f>
        <x:v>-319</x:v>
      </x:c>
      <x:c r="H375" s="52" t="n">
        <x:f>'2022 Form20'!W324</x:f>
        <x:v>-0.5951492537313433</x:v>
      </x:c>
      <x:c r="I375" t="str">
        <x:v>NARENDER KUMAR</x:v>
      </x:c>
      <x:c r="J375" t="str">
        <x:v>Bahujan Samaj Party</x:v>
      </x:c>
      <x:c r="K375" t="str">
        <x:v>EVM row</x:v>
      </x:c>
      <x:c r="L375" s="133" t="str">
        <x:f>IF(D375&lt;=0,"No EVM votes",IF(E375&lt;$N$7,"Low",IF(E375&gt;$R$7,"High","Middle")))</x:f>
        <x:v>Middle</x:v>
      </x:c>
      <x:c r="M375" s="133" t="str">
        <x:f>IF(D375&lt;=0,"No EVM votes",IF(H375&lt;-20%,"Large deficit",IF(H375&lt;-5%,"Moderate deficit",IF(H375&lt;0,"Narrow deficit",IF(H375&lt;=5%,"Narrow lead/tie",IF(H375&lt;=20%,"Moderate lead","Large lead"))))))</x:f>
        <x:v>Large deficit</x:v>
      </x:c>
    </x:row>
    <x:row r="376">
      <x:c r="A376" t="n">
        <x:v>317</x:v>
      </x:c>
      <x:c r="B376" t="str">
        <x:v>PRIMARY SCHOOL PAROHI ROOM NO 1</x:v>
      </x:c>
      <x:c r="C376" s="83" t="n">
        <x:f>'2022 Form20'!H325</x:f>
        <x:v>11</x:v>
      </x:c>
      <x:c r="D376" s="83" t="n">
        <x:f>'2022 Form20'!D325</x:f>
        <x:v>228</x:v>
      </x:c>
      <x:c r="E376" s="50" t="n">
        <x:f>'2022 Form20'!T325</x:f>
        <x:v>0.04824561403508772</x:v>
      </x:c>
      <x:c r="F376" t="n">
        <x:f>'2022 Form20'!U325</x:f>
        <x:v>139</x:v>
      </x:c>
      <x:c r="G376" t="n">
        <x:f>'2022 Form20'!V325</x:f>
        <x:v>-128</x:v>
      </x:c>
      <x:c r="H376" s="52" t="n">
        <x:f>'2022 Form20'!W325</x:f>
        <x:v>-0.5614035087719298</x:v>
      </x:c>
      <x:c r="I376" t="str">
        <x:v>NARENDER KUMAR</x:v>
      </x:c>
      <x:c r="J376" t="str">
        <x:v>Bahujan Samaj Party</x:v>
      </x:c>
      <x:c r="K376" t="str">
        <x:v>EVM row</x:v>
      </x:c>
      <x:c r="L376" s="133" t="str">
        <x:f>IF(D376&lt;=0,"No EVM votes",IF(E376&lt;$N$7,"Low",IF(E376&gt;$R$7,"High","Middle")))</x:f>
        <x:v>Low</x:v>
      </x:c>
      <x:c r="M376" s="133" t="str">
        <x:f>IF(D376&lt;=0,"No EVM votes",IF(H376&lt;-20%,"Large deficit",IF(H376&lt;-5%,"Moderate deficit",IF(H376&lt;0,"Narrow deficit",IF(H376&lt;=5%,"Narrow lead/tie",IF(H376&lt;=20%,"Moderate lead","Large lead"))))))</x:f>
        <x:v>Large deficit</x:v>
      </x:c>
    </x:row>
    <x:row r="377">
      <x:c r="A377" t="n">
        <x:v>318</x:v>
      </x:c>
      <x:c r="B377" t="str">
        <x:v>PRIMARY SCHOOL BANWARIWAS NO. NO. 1</x:v>
      </x:c>
      <x:c r="C377" s="83" t="n">
        <x:f>'2022 Form20'!H326</x:f>
        <x:v>140</x:v>
      </x:c>
      <x:c r="D377" s="83" t="n">
        <x:f>'2022 Form20'!D326</x:f>
        <x:v>442</x:v>
      </x:c>
      <x:c r="E377" s="50" t="n">
        <x:f>'2022 Form20'!T326</x:f>
        <x:v>0.3167420814479638</x:v>
      </x:c>
      <x:c r="F377" t="n">
        <x:f>'2022 Form20'!U326</x:f>
        <x:v>287</x:v>
      </x:c>
      <x:c r="G377" t="n">
        <x:f>'2022 Form20'!V326</x:f>
        <x:v>-147</x:v>
      </x:c>
      <x:c r="H377" s="52" t="n">
        <x:f>'2022 Form20'!W326</x:f>
        <x:v>-0.332579185520362</x:v>
      </x:c>
      <x:c r="I377" t="str">
        <x:v>DHIRENDRA SINGH</x:v>
      </x:c>
      <x:c r="J377" t="str">
        <x:v>Bharatiya Janata Party</x:v>
      </x:c>
      <x:c r="K377" t="str">
        <x:v>EVM row</x:v>
      </x:c>
      <x:c r="L377" s="133" t="str">
        <x:f>IF(D377&lt;=0,"No EVM votes",IF(E377&lt;$N$7,"Low",IF(E377&gt;$R$7,"High","Middle")))</x:f>
        <x:v>Middle</x:v>
      </x:c>
      <x:c r="M377" s="133" t="str">
        <x:f>IF(D377&lt;=0,"No EVM votes",IF(H377&lt;-20%,"Large deficit",IF(H377&lt;-5%,"Moderate deficit",IF(H377&lt;0,"Narrow deficit",IF(H377&lt;=5%,"Narrow lead/tie",IF(H377&lt;=20%,"Moderate lead","Large lead"))))))</x:f>
        <x:v>Large deficit</x:v>
      </x:c>
    </x:row>
    <x:row r="378">
      <x:c r="A378" t="n">
        <x:v>319</x:v>
      </x:c>
      <x:c r="B378" t="str">
        <x:v>PRIMARY SCHOOL BANWARIWAS NO. NO. 2</x:v>
      </x:c>
      <x:c r="C378" s="83" t="n">
        <x:f>'2022 Form20'!H327</x:f>
        <x:v>107</x:v>
      </x:c>
      <x:c r="D378" s="83" t="n">
        <x:f>'2022 Form20'!D327</x:f>
        <x:v>379</x:v>
      </x:c>
      <x:c r="E378" s="50" t="n">
        <x:f>'2022 Form20'!T327</x:f>
        <x:v>0.28232189973614774</x:v>
      </x:c>
      <x:c r="F378" t="n">
        <x:f>'2022 Form20'!U327</x:f>
        <x:v>159</x:v>
      </x:c>
      <x:c r="G378" t="n">
        <x:f>'2022 Form20'!V327</x:f>
        <x:v>-52</x:v>
      </x:c>
      <x:c r="H378" s="52" t="n">
        <x:f>'2022 Form20'!W327</x:f>
        <x:v>-0.13720316622691292</x:v>
      </x:c>
      <x:c r="I378" t="str">
        <x:v>DHIRENDRA SINGH</x:v>
      </x:c>
      <x:c r="J378" t="str">
        <x:v>Bharatiya Janata Party</x:v>
      </x:c>
      <x:c r="K378" t="str">
        <x:v>EVM row</x:v>
      </x:c>
      <x:c r="L378" s="133" t="str">
        <x:f>IF(D378&lt;=0,"No EVM votes",IF(E378&lt;$N$7,"Low",IF(E378&gt;$R$7,"High","Middle")))</x:f>
        <x:v>Middle</x:v>
      </x:c>
      <x:c r="M378" s="133" t="str">
        <x:f>IF(D378&lt;=0,"No EVM votes",IF(H378&lt;-20%,"Large deficit",IF(H378&lt;-5%,"Moderate deficit",IF(H378&lt;0,"Narrow deficit",IF(H378&lt;=5%,"Narrow lead/tie",IF(H378&lt;=20%,"Moderate lead","Large lead"))))))</x:f>
        <x:v>Moderate deficit</x:v>
      </x:c>
    </x:row>
    <x:row r="379">
      <x:c r="A379" t="n">
        <x:v>320</x:v>
      </x:c>
      <x:c r="B379" t="str">
        <x:v>PRIMARY SCHOOL RAMNER ROOM NO 1</x:v>
      </x:c>
      <x:c r="C379" s="83" t="n">
        <x:f>'2022 Form20'!H328</x:f>
        <x:v>5</x:v>
      </x:c>
      <x:c r="D379" s="83" t="n">
        <x:f>'2022 Form20'!D328</x:f>
        <x:v>490</x:v>
      </x:c>
      <x:c r="E379" s="50" t="n">
        <x:f>'2022 Form20'!T328</x:f>
        <x:v>0.01020408163265306</x:v>
      </x:c>
      <x:c r="F379" t="n">
        <x:f>'2022 Form20'!U328</x:f>
        <x:v>462</x:v>
      </x:c>
      <x:c r="G379" t="n">
        <x:f>'2022 Form20'!V328</x:f>
        <x:v>-457</x:v>
      </x:c>
      <x:c r="H379" s="52" t="n">
        <x:f>'2022 Form20'!W328</x:f>
        <x:v>-0.9326530612244898</x:v>
      </x:c>
      <x:c r="I379" t="str">
        <x:v>NARENDER KUMAR</x:v>
      </x:c>
      <x:c r="J379" t="str">
        <x:v>Bahujan Samaj Party</x:v>
      </x:c>
      <x:c r="K379" t="str">
        <x:v>EVM row</x:v>
      </x:c>
      <x:c r="L379" s="133" t="str">
        <x:f>IF(D379&lt;=0,"No EVM votes",IF(E379&lt;$N$7,"Low",IF(E379&gt;$R$7,"High","Middle")))</x:f>
        <x:v>Low</x:v>
      </x:c>
      <x:c r="M379" s="133" t="str">
        <x:f>IF(D379&lt;=0,"No EVM votes",IF(H379&lt;-20%,"Large deficit",IF(H379&lt;-5%,"Moderate deficit",IF(H379&lt;0,"Narrow deficit",IF(H379&lt;=5%,"Narrow lead/tie",IF(H379&lt;=20%,"Moderate lead","Large lead"))))))</x:f>
        <x:v>Large deficit</x:v>
      </x:c>
    </x:row>
    <x:row r="380">
      <x:c r="A380" t="n">
        <x:v>321</x:v>
      </x:c>
      <x:c r="B380" t="str">
        <x:v>PRIMARY SCHOOL RAMNER ROOM NO 2</x:v>
      </x:c>
      <x:c r="C380" s="83" t="n">
        <x:f>'2022 Form20'!H329</x:f>
        <x:v>24</x:v>
      </x:c>
      <x:c r="D380" s="83" t="n">
        <x:f>'2022 Form20'!D329</x:f>
        <x:v>381</x:v>
      </x:c>
      <x:c r="E380" s="50" t="n">
        <x:f>'2022 Form20'!T329</x:f>
        <x:v>0.06299212598425197</x:v>
      </x:c>
      <x:c r="F380" t="n">
        <x:f>'2022 Form20'!U329</x:f>
        <x:v>284</x:v>
      </x:c>
      <x:c r="G380" t="n">
        <x:f>'2022 Form20'!V329</x:f>
        <x:v>-260</x:v>
      </x:c>
      <x:c r="H380" s="52" t="n">
        <x:f>'2022 Form20'!W329</x:f>
        <x:v>-0.6824146981627297</x:v>
      </x:c>
      <x:c r="I380" t="str">
        <x:v>DHIRENDRA SINGH</x:v>
      </x:c>
      <x:c r="J380" t="str">
        <x:v>Bharatiya Janata Party</x:v>
      </x:c>
      <x:c r="K380" t="str">
        <x:v>EVM row</x:v>
      </x:c>
      <x:c r="L380" s="133" t="str">
        <x:f>IF(D380&lt;=0,"No EVM votes",IF(E380&lt;$N$7,"Low",IF(E380&gt;$R$7,"High","Middle")))</x:f>
        <x:v>Low</x:v>
      </x:c>
      <x:c r="M380" s="133" t="str">
        <x:f>IF(D380&lt;=0,"No EVM votes",IF(H380&lt;-20%,"Large deficit",IF(H380&lt;-5%,"Moderate deficit",IF(H380&lt;0,"Narrow deficit",IF(H380&lt;=5%,"Narrow lead/tie",IF(H380&lt;=20%,"Moderate lead","Large lead"))))))</x:f>
        <x:v>Large deficit</x:v>
      </x:c>
    </x:row>
    <x:row r="381">
      <x:c r="A381" t="n">
        <x:v>322</x:v>
      </x:c>
      <x:c r="B381" t="str">
        <x:v>PRIMARY SCHOOL DHANASIYA ROOM NO 1</x:v>
      </x:c>
      <x:c r="C381" s="83" t="n">
        <x:f>'2022 Form20'!H330</x:f>
        <x:v>8</x:v>
      </x:c>
      <x:c r="D381" s="83" t="n">
        <x:f>'2022 Form20'!D330</x:f>
        <x:v>626</x:v>
      </x:c>
      <x:c r="E381" s="50" t="n">
        <x:f>'2022 Form20'!T330</x:f>
        <x:v>0.012779552715654952</x:v>
      </x:c>
      <x:c r="F381" t="n">
        <x:f>'2022 Form20'!U330</x:f>
        <x:v>312</x:v>
      </x:c>
      <x:c r="G381" t="n">
        <x:f>'2022 Form20'!V330</x:f>
        <x:v>-304</x:v>
      </x:c>
      <x:c r="H381" s="52" t="n">
        <x:f>'2022 Form20'!W330</x:f>
        <x:v>-0.48562300319488816</x:v>
      </x:c>
      <x:c r="I381" t="str">
        <x:v>DHIRENDRA SINGH</x:v>
      </x:c>
      <x:c r="J381" t="str">
        <x:v>Bharatiya Janata Party</x:v>
      </x:c>
      <x:c r="K381" t="str">
        <x:v>EVM row</x:v>
      </x:c>
      <x:c r="L381" s="133" t="str">
        <x:f>IF(D381&lt;=0,"No EVM votes",IF(E381&lt;$N$7,"Low",IF(E381&gt;$R$7,"High","Middle")))</x:f>
        <x:v>Low</x:v>
      </x:c>
      <x:c r="M381" s="133" t="str">
        <x:f>IF(D381&lt;=0,"No EVM votes",IF(H381&lt;-20%,"Large deficit",IF(H381&lt;-5%,"Moderate deficit",IF(H381&lt;0,"Narrow deficit",IF(H381&lt;=5%,"Narrow lead/tie",IF(H381&lt;=20%,"Moderate lead","Large lead"))))))</x:f>
        <x:v>Large deficit</x:v>
      </x:c>
    </x:row>
    <x:row r="382">
      <x:c r="A382" t="n">
        <x:v>323</x:v>
      </x:c>
      <x:c r="B382" t="str">
        <x:v>PRIMARY SCHOOL DASTAMPUR ROOM NO 1</x:v>
      </x:c>
      <x:c r="C382" s="83" t="n">
        <x:f>'2022 Form20'!H331</x:f>
        <x:v>30</x:v>
      </x:c>
      <x:c r="D382" s="83" t="n">
        <x:f>'2022 Form20'!D331</x:f>
        <x:v>544</x:v>
      </x:c>
      <x:c r="E382" s="50" t="n">
        <x:f>'2022 Form20'!T331</x:f>
        <x:v>0.05514705882352941</x:v>
      </x:c>
      <x:c r="F382" t="n">
        <x:f>'2022 Form20'!U331</x:f>
        <x:v>304</x:v>
      </x:c>
      <x:c r="G382" t="n">
        <x:f>'2022 Form20'!V331</x:f>
        <x:v>-274</x:v>
      </x:c>
      <x:c r="H382" s="52" t="n">
        <x:f>'2022 Form20'!W331</x:f>
        <x:v>-0.5036764705882353</x:v>
      </x:c>
      <x:c r="I382" t="str">
        <x:v>NARENDER KUMAR</x:v>
      </x:c>
      <x:c r="J382" t="str">
        <x:v>Bahujan Samaj Party</x:v>
      </x:c>
      <x:c r="K382" t="str">
        <x:v>EVM row</x:v>
      </x:c>
      <x:c r="L382" s="133" t="str">
        <x:f>IF(D382&lt;=0,"No EVM votes",IF(E382&lt;$N$7,"Low",IF(E382&gt;$R$7,"High","Middle")))</x:f>
        <x:v>Low</x:v>
      </x:c>
      <x:c r="M382" s="133" t="str">
        <x:f>IF(D382&lt;=0,"No EVM votes",IF(H382&lt;-20%,"Large deficit",IF(H382&lt;-5%,"Moderate deficit",IF(H382&lt;0,"Narrow deficit",IF(H382&lt;=5%,"Narrow lead/tie",IF(H382&lt;=20%,"Moderate lead","Large lead"))))))</x:f>
        <x:v>Large deficit</x:v>
      </x:c>
    </x:row>
    <x:row r="383">
      <x:c r="A383" t="n">
        <x:v>324</x:v>
      </x:c>
      <x:c r="B383" t="str">
        <x:v>PRIMARY SCHOOL DASTAMPUR ROOM NO 2</x:v>
      </x:c>
      <x:c r="C383" s="83" t="n">
        <x:f>'2022 Form20'!H332</x:f>
        <x:v>65</x:v>
      </x:c>
      <x:c r="D383" s="83" t="n">
        <x:f>'2022 Form20'!D332</x:f>
        <x:v>545</x:v>
      </x:c>
      <x:c r="E383" s="50" t="n">
        <x:f>'2022 Form20'!T332</x:f>
        <x:v>0.11926605504587157</x:v>
      </x:c>
      <x:c r="F383" t="n">
        <x:f>'2022 Form20'!U332</x:f>
        <x:v>289</x:v>
      </x:c>
      <x:c r="G383" t="n">
        <x:f>'2022 Form20'!V332</x:f>
        <x:v>-224</x:v>
      </x:c>
      <x:c r="H383" s="52" t="n">
        <x:f>'2022 Form20'!W332</x:f>
        <x:v>-0.41100917431192663</x:v>
      </x:c>
      <x:c r="I383" t="str">
        <x:v>DHIRENDRA SINGH</x:v>
      </x:c>
      <x:c r="J383" t="str">
        <x:v>Bharatiya Janata Party</x:v>
      </x:c>
      <x:c r="K383" t="str">
        <x:v>EVM row</x:v>
      </x:c>
      <x:c r="L383" s="133" t="str">
        <x:f>IF(D383&lt;=0,"No EVM votes",IF(E383&lt;$N$7,"Low",IF(E383&gt;$R$7,"High","Middle")))</x:f>
        <x:v>Middle</x:v>
      </x:c>
      <x:c r="M383" s="133" t="str">
        <x:f>IF(D383&lt;=0,"No EVM votes",IF(H383&lt;-20%,"Large deficit",IF(H383&lt;-5%,"Moderate deficit",IF(H383&lt;0,"Narrow deficit",IF(H383&lt;=5%,"Narrow lead/tie",IF(H383&lt;=20%,"Moderate lead","Large lead"))))))</x:f>
        <x:v>Large deficit</x:v>
      </x:c>
    </x:row>
    <x:row r="384">
      <x:c r="A384" t="n">
        <x:v>325</x:v>
      </x:c>
      <x:c r="B384" t="str">
        <x:v>PRIMARY SCHOOL MOHAWLIPUR ROOM NO 1</x:v>
      </x:c>
      <x:c r="C384" s="83" t="n">
        <x:f>'2022 Form20'!H333</x:f>
        <x:v>18</x:v>
      </x:c>
      <x:c r="D384" s="83" t="n">
        <x:f>'2022 Form20'!D333</x:f>
        <x:v>471</x:v>
      </x:c>
      <x:c r="E384" s="50" t="n">
        <x:f>'2022 Form20'!T333</x:f>
        <x:v>0.03821656050955414</x:v>
      </x:c>
      <x:c r="F384" t="n">
        <x:f>'2022 Form20'!U333</x:f>
        <x:v>399</x:v>
      </x:c>
      <x:c r="G384" t="n">
        <x:f>'2022 Form20'!V333</x:f>
        <x:v>-381</x:v>
      </x:c>
      <x:c r="H384" s="52" t="n">
        <x:f>'2022 Form20'!W333</x:f>
        <x:v>-0.8089171974522293</x:v>
      </x:c>
      <x:c r="I384" t="str">
        <x:v>DHIRENDRA SINGH</x:v>
      </x:c>
      <x:c r="J384" t="str">
        <x:v>Bharatiya Janata Party</x:v>
      </x:c>
      <x:c r="K384" t="str">
        <x:v>EVM row</x:v>
      </x:c>
      <x:c r="L384" s="133" t="str">
        <x:f>IF(D384&lt;=0,"No EVM votes",IF(E384&lt;$N$7,"Low",IF(E384&gt;$R$7,"High","Middle")))</x:f>
        <x:v>Low</x:v>
      </x:c>
      <x:c r="M384" s="133" t="str">
        <x:f>IF(D384&lt;=0,"No EVM votes",IF(H384&lt;-20%,"Large deficit",IF(H384&lt;-5%,"Moderate deficit",IF(H384&lt;0,"Narrow deficit",IF(H384&lt;=5%,"Narrow lead/tie",IF(H384&lt;=20%,"Moderate lead","Large lead"))))))</x:f>
        <x:v>Large deficit</x:v>
      </x:c>
    </x:row>
    <x:row r="385">
      <x:c r="A385" t="n">
        <x:v>326</x:v>
      </x:c>
      <x:c r="B385" t="str">
        <x:v>PRIMARY SCHOOL MOHAWLIPUR ROOM NO 2</x:v>
      </x:c>
      <x:c r="C385" s="83" t="n">
        <x:f>'2022 Form20'!H334</x:f>
        <x:v>49</x:v>
      </x:c>
      <x:c r="D385" s="83" t="n">
        <x:f>'2022 Form20'!D334</x:f>
        <x:v>531</x:v>
      </x:c>
      <x:c r="E385" s="50" t="n">
        <x:f>'2022 Form20'!T334</x:f>
        <x:v>0.09227871939736347</x:v>
      </x:c>
      <x:c r="F385" t="n">
        <x:f>'2022 Form20'!U334</x:f>
        <x:v>475</x:v>
      </x:c>
      <x:c r="G385" t="n">
        <x:f>'2022 Form20'!V334</x:f>
        <x:v>-426</x:v>
      </x:c>
      <x:c r="H385" s="52" t="n">
        <x:f>'2022 Form20'!W334</x:f>
        <x:v>-0.8022598870056498</x:v>
      </x:c>
      <x:c r="I385" t="str">
        <x:v>DHIRENDRA SINGH</x:v>
      </x:c>
      <x:c r="J385" t="str">
        <x:v>Bharatiya Janata Party</x:v>
      </x:c>
      <x:c r="K385" t="str">
        <x:v>EVM row</x:v>
      </x:c>
      <x:c r="L385" s="133" t="str">
        <x:f>IF(D385&lt;=0,"No EVM votes",IF(E385&lt;$N$7,"Low",IF(E385&gt;$R$7,"High","Middle")))</x:f>
        <x:v>Middle</x:v>
      </x:c>
      <x:c r="M385" s="133" t="str">
        <x:f>IF(D385&lt;=0,"No EVM votes",IF(H385&lt;-20%,"Large deficit",IF(H385&lt;-5%,"Moderate deficit",IF(H385&lt;0,"Narrow deficit",IF(H385&lt;=5%,"Narrow lead/tie",IF(H385&lt;=20%,"Moderate lead","Large lead"))))))</x:f>
        <x:v>Large deficit</x:v>
      </x:c>
    </x:row>
    <x:row r="386">
      <x:c r="A386" t="n">
        <x:v>327</x:v>
      </x:c>
      <x:c r="B386" t="str">
        <x:v>PRIMARY SCHOOL MILK KARIMABAD ROOM NO 1</x:v>
      </x:c>
      <x:c r="C386" s="83" t="n">
        <x:f>'2022 Form20'!H335</x:f>
        <x:v>81</x:v>
      </x:c>
      <x:c r="D386" s="83" t="n">
        <x:f>'2022 Form20'!D335</x:f>
        <x:v>198</x:v>
      </x:c>
      <x:c r="E386" s="50" t="n">
        <x:f>'2022 Form20'!T335</x:f>
        <x:v>0.4090909090909091</x:v>
      </x:c>
      <x:c r="F386" t="n">
        <x:f>'2022 Form20'!U335</x:f>
        <x:v>106</x:v>
      </x:c>
      <x:c r="G386" t="n">
        <x:f>'2022 Form20'!V335</x:f>
        <x:v>-25</x:v>
      </x:c>
      <x:c r="H386" s="52" t="n">
        <x:f>'2022 Form20'!W335</x:f>
        <x:v>-0.12626262626262627</x:v>
      </x:c>
      <x:c r="I386" t="str">
        <x:v>DHIRENDRA SINGH</x:v>
      </x:c>
      <x:c r="J386" t="str">
        <x:v>Bharatiya Janata Party</x:v>
      </x:c>
      <x:c r="K386" t="str">
        <x:v>EVM row</x:v>
      </x:c>
      <x:c r="L386" s="133" t="str">
        <x:f>IF(D386&lt;=0,"No EVM votes",IF(E386&lt;$N$7,"Low",IF(E386&gt;$R$7,"High","Middle")))</x:f>
        <x:v>High</x:v>
      </x:c>
      <x:c r="M386" s="133" t="str">
        <x:f>IF(D386&lt;=0,"No EVM votes",IF(H386&lt;-20%,"Large deficit",IF(H386&lt;-5%,"Moderate deficit",IF(H386&lt;0,"Narrow deficit",IF(H386&lt;=5%,"Narrow lead/tie",IF(H386&lt;=20%,"Moderate lead","Large lead"))))))</x:f>
        <x:v>Moderate deficit</x:v>
      </x:c>
    </x:row>
    <x:row r="387">
      <x:c r="A387" t="n">
        <x:v>328</x:v>
      </x:c>
      <x:c r="B387" t="str">
        <x:v>PRIMARY SCHOOL ALIAHMADPUR URF GARHI ROOM NO 1</x:v>
      </x:c>
      <x:c r="C387" s="83" t="n">
        <x:f>'2022 Form20'!H336</x:f>
        <x:v>67</x:v>
      </x:c>
      <x:c r="D387" s="83" t="n">
        <x:f>'2022 Form20'!D336</x:f>
        <x:v>755</x:v>
      </x:c>
      <x:c r="E387" s="50" t="n">
        <x:f>'2022 Form20'!T336</x:f>
        <x:v>0.08874172185430464</x:v>
      </x:c>
      <x:c r="F387" t="n">
        <x:f>'2022 Form20'!U336</x:f>
        <x:v>456</x:v>
      </x:c>
      <x:c r="G387" t="n">
        <x:f>'2022 Form20'!V336</x:f>
        <x:v>-389</x:v>
      </x:c>
      <x:c r="H387" s="52" t="n">
        <x:f>'2022 Form20'!W336</x:f>
        <x:v>-0.5152317880794702</x:v>
      </x:c>
      <x:c r="I387" t="str">
        <x:v>DHIRENDRA SINGH</x:v>
      </x:c>
      <x:c r="J387" t="str">
        <x:v>Bharatiya Janata Party</x:v>
      </x:c>
      <x:c r="K387" t="str">
        <x:v>EVM row</x:v>
      </x:c>
      <x:c r="L387" s="133" t="str">
        <x:f>IF(D387&lt;=0,"No EVM votes",IF(E387&lt;$N$7,"Low",IF(E387&gt;$R$7,"High","Middle")))</x:f>
        <x:v>Low</x:v>
      </x:c>
      <x:c r="M387" s="133" t="str">
        <x:f>IF(D387&lt;=0,"No EVM votes",IF(H387&lt;-20%,"Large deficit",IF(H387&lt;-5%,"Moderate deficit",IF(H387&lt;0,"Narrow deficit",IF(H387&lt;=5%,"Narrow lead/tie",IF(H387&lt;=20%,"Moderate lead","Large lead"))))))</x:f>
        <x:v>Large deficit</x:v>
      </x:c>
    </x:row>
    <x:row r="388">
      <x:c r="A388" t="n">
        <x:v>329</x:v>
      </x:c>
      <x:c r="B388" t="str">
        <x:v>PRIMARY SCHOOL NO 01 THORA ROOM NO 1</x:v>
      </x:c>
      <x:c r="C388" s="83" t="n">
        <x:f>'2022 Form20'!H337</x:f>
        <x:v>53</x:v>
      </x:c>
      <x:c r="D388" s="83" t="n">
        <x:f>'2022 Form20'!D337</x:f>
        <x:v>886</x:v>
      </x:c>
      <x:c r="E388" s="50" t="n">
        <x:f>'2022 Form20'!T337</x:f>
        <x:v>0.05981941309255079</x:v>
      </x:c>
      <x:c r="F388" t="n">
        <x:f>'2022 Form20'!U337</x:f>
        <x:v>777</x:v>
      </x:c>
      <x:c r="G388" t="n">
        <x:f>'2022 Form20'!V337</x:f>
        <x:v>-724</x:v>
      </x:c>
      <x:c r="H388" s="52" t="n">
        <x:f>'2022 Form20'!W337</x:f>
        <x:v>-0.8171557562076749</x:v>
      </x:c>
      <x:c r="I388" t="str">
        <x:v>DHIRENDRA SINGH</x:v>
      </x:c>
      <x:c r="J388" t="str">
        <x:v>Bharatiya Janata Party</x:v>
      </x:c>
      <x:c r="K388" t="str">
        <x:v>EVM row</x:v>
      </x:c>
      <x:c r="L388" s="133" t="str">
        <x:f>IF(D388&lt;=0,"No EVM votes",IF(E388&lt;$N$7,"Low",IF(E388&gt;$R$7,"High","Middle")))</x:f>
        <x:v>Low</x:v>
      </x:c>
      <x:c r="M388" s="133" t="str">
        <x:f>IF(D388&lt;=0,"No EVM votes",IF(H388&lt;-20%,"Large deficit",IF(H388&lt;-5%,"Moderate deficit",IF(H388&lt;0,"Narrow deficit",IF(H388&lt;=5%,"Narrow lead/tie",IF(H388&lt;=20%,"Moderate lead","Large lead"))))))</x:f>
        <x:v>Large deficit</x:v>
      </x:c>
    </x:row>
    <x:row r="389">
      <x:c r="A389" t="n">
        <x:v>330</x:v>
      </x:c>
      <x:c r="B389" t="str">
        <x:v>PRIMARY SCHOOL NO 01 THORA ROOM NO 2</x:v>
      </x:c>
      <x:c r="C389" s="83" t="n">
        <x:f>'2022 Form20'!H338</x:f>
        <x:v>56</x:v>
      </x:c>
      <x:c r="D389" s="83" t="n">
        <x:f>'2022 Form20'!D338</x:f>
        <x:v>661</x:v>
      </x:c>
      <x:c r="E389" s="50" t="n">
        <x:f>'2022 Form20'!T338</x:f>
        <x:v>0.08472012102874432</x:v>
      </x:c>
      <x:c r="F389" t="n">
        <x:f>'2022 Form20'!U338</x:f>
        <x:v>593</x:v>
      </x:c>
      <x:c r="G389" t="n">
        <x:f>'2022 Form20'!V338</x:f>
        <x:v>-537</x:v>
      </x:c>
      <x:c r="H389" s="52" t="n">
        <x:f>'2022 Form20'!W338</x:f>
        <x:v>-0.8124054462934948</x:v>
      </x:c>
      <x:c r="I389" t="str">
        <x:v>DHIRENDRA SINGH</x:v>
      </x:c>
      <x:c r="J389" t="str">
        <x:v>Bharatiya Janata Party</x:v>
      </x:c>
      <x:c r="K389" t="str">
        <x:v>EVM row</x:v>
      </x:c>
      <x:c r="L389" s="133" t="str">
        <x:f>IF(D389&lt;=0,"No EVM votes",IF(E389&lt;$N$7,"Low",IF(E389&gt;$R$7,"High","Middle")))</x:f>
        <x:v>Low</x:v>
      </x:c>
      <x:c r="M389" s="133" t="str">
        <x:f>IF(D389&lt;=0,"No EVM votes",IF(H389&lt;-20%,"Large deficit",IF(H389&lt;-5%,"Moderate deficit",IF(H389&lt;0,"Narrow deficit",IF(H389&lt;=5%,"Narrow lead/tie",IF(H389&lt;=20%,"Moderate lead","Large lead"))))))</x:f>
        <x:v>Large deficit</x:v>
      </x:c>
    </x:row>
    <x:row r="390">
      <x:c r="A390" t="n">
        <x:v>331</x:v>
      </x:c>
      <x:c r="B390" t="str">
        <x:v>PRIMARY SCHOOL NO 01 THORA ROOM NO 3</x:v>
      </x:c>
      <x:c r="C390" s="83" t="n">
        <x:f>'2022 Form20'!H339</x:f>
        <x:v>71</x:v>
      </x:c>
      <x:c r="D390" s="83" t="n">
        <x:f>'2022 Form20'!D339</x:f>
        <x:v>695</x:v>
      </x:c>
      <x:c r="E390" s="50" t="n">
        <x:f>'2022 Form20'!T339</x:f>
        <x:v>0.10215827338129496</x:v>
      </x:c>
      <x:c r="F390" t="n">
        <x:f>'2022 Form20'!U339</x:f>
        <x:v>595</x:v>
      </x:c>
      <x:c r="G390" t="n">
        <x:f>'2022 Form20'!V339</x:f>
        <x:v>-524</x:v>
      </x:c>
      <x:c r="H390" s="52" t="n">
        <x:f>'2022 Form20'!W339</x:f>
        <x:v>-0.753956834532374</x:v>
      </x:c>
      <x:c r="I390" t="str">
        <x:v>DHIRENDRA SINGH</x:v>
      </x:c>
      <x:c r="J390" t="str">
        <x:v>Bharatiya Janata Party</x:v>
      </x:c>
      <x:c r="K390" t="str">
        <x:v>EVM row</x:v>
      </x:c>
      <x:c r="L390" s="133" t="str">
        <x:f>IF(D390&lt;=0,"No EVM votes",IF(E390&lt;$N$7,"Low",IF(E390&gt;$R$7,"High","Middle")))</x:f>
        <x:v>Middle</x:v>
      </x:c>
      <x:c r="M390" s="133" t="str">
        <x:f>IF(D390&lt;=0,"No EVM votes",IF(H390&lt;-20%,"Large deficit",IF(H390&lt;-5%,"Moderate deficit",IF(H390&lt;0,"Narrow deficit",IF(H390&lt;=5%,"Narrow lead/tie",IF(H390&lt;=20%,"Moderate lead","Large lead"))))))</x:f>
        <x:v>Large deficit</x:v>
      </x:c>
    </x:row>
    <x:row r="391">
      <x:c r="A391" t="n">
        <x:v>332</x:v>
      </x:c>
      <x:c r="B391" t="str">
        <x:v>PRIMARY SCHOOL NO 02 THORA ROOM NO 1</x:v>
      </x:c>
      <x:c r="C391" s="83" t="n">
        <x:f>'2022 Form20'!H340</x:f>
        <x:v>37</x:v>
      </x:c>
      <x:c r="D391" s="83" t="n">
        <x:f>'2022 Form20'!D340</x:f>
        <x:v>515</x:v>
      </x:c>
      <x:c r="E391" s="50" t="n">
        <x:f>'2022 Form20'!T340</x:f>
        <x:v>0.07184466019417475</x:v>
      </x:c>
      <x:c r="F391" t="n">
        <x:f>'2022 Form20'!U340</x:f>
        <x:v>257</x:v>
      </x:c>
      <x:c r="G391" t="n">
        <x:f>'2022 Form20'!V340</x:f>
        <x:v>-220</x:v>
      </x:c>
      <x:c r="H391" s="52" t="n">
        <x:f>'2022 Form20'!W340</x:f>
        <x:v>-0.42718446601941745</x:v>
      </x:c>
      <x:c r="I391" t="str">
        <x:v>DHIRENDRA SINGH</x:v>
      </x:c>
      <x:c r="J391" t="str">
        <x:v>Bharatiya Janata Party</x:v>
      </x:c>
      <x:c r="K391" t="str">
        <x:v>EVM row</x:v>
      </x:c>
      <x:c r="L391" s="133" t="str">
        <x:f>IF(D391&lt;=0,"No EVM votes",IF(E391&lt;$N$7,"Low",IF(E391&gt;$R$7,"High","Middle")))</x:f>
        <x:v>Low</x:v>
      </x:c>
      <x:c r="M391" s="133" t="str">
        <x:f>IF(D391&lt;=0,"No EVM votes",IF(H391&lt;-20%,"Large deficit",IF(H391&lt;-5%,"Moderate deficit",IF(H391&lt;0,"Narrow deficit",IF(H391&lt;=5%,"Narrow lead/tie",IF(H391&lt;=20%,"Moderate lead","Large lead"))))))</x:f>
        <x:v>Large deficit</x:v>
      </x:c>
    </x:row>
    <x:row r="392">
      <x:c r="A392" t="n">
        <x:v>333</x:v>
      </x:c>
      <x:c r="B392" t="str">
        <x:v>PRIMARY SCHOOL NO 02 THORA ROOM NO 2</x:v>
      </x:c>
      <x:c r="C392" s="83" t="n">
        <x:f>'2022 Form20'!H341</x:f>
        <x:v>106</x:v>
      </x:c>
      <x:c r="D392" s="83" t="n">
        <x:f>'2022 Form20'!D341</x:f>
        <x:v>633</x:v>
      </x:c>
      <x:c r="E392" s="50" t="n">
        <x:f>'2022 Form20'!T341</x:f>
        <x:v>0.1674565560821485</x:v>
      </x:c>
      <x:c r="F392" t="n">
        <x:f>'2022 Form20'!U341</x:f>
        <x:v>289</x:v>
      </x:c>
      <x:c r="G392" t="n">
        <x:f>'2022 Form20'!V341</x:f>
        <x:v>-183</x:v>
      </x:c>
      <x:c r="H392" s="52" t="n">
        <x:f>'2022 Form20'!W341</x:f>
        <x:v>-0.2890995260663507</x:v>
      </x:c>
      <x:c r="I392" t="str">
        <x:v>DHIRENDRA SINGH</x:v>
      </x:c>
      <x:c r="J392" t="str">
        <x:v>Bharatiya Janata Party</x:v>
      </x:c>
      <x:c r="K392" t="str">
        <x:v>EVM row</x:v>
      </x:c>
      <x:c r="L392" s="133" t="str">
        <x:f>IF(D392&lt;=0,"No EVM votes",IF(E392&lt;$N$7,"Low",IF(E392&gt;$R$7,"High","Middle")))</x:f>
        <x:v>Middle</x:v>
      </x:c>
      <x:c r="M392" s="133" t="str">
        <x:f>IF(D392&lt;=0,"No EVM votes",IF(H392&lt;-20%,"Large deficit",IF(H392&lt;-5%,"Moderate deficit",IF(H392&lt;0,"Narrow deficit",IF(H392&lt;=5%,"Narrow lead/tie",IF(H392&lt;=20%,"Moderate lead","Large lead"))))))</x:f>
        <x:v>Large deficit</x:v>
      </x:c>
    </x:row>
    <x:row r="393">
      <x:c r="A393" t="n">
        <x:v>334</x:v>
      </x:c>
      <x:c r="B393" t="str">
        <x:v>PRIMARY SCHOOL BANKAPUR ROOM NO 1</x:v>
      </x:c>
      <x:c r="C393" s="83" t="n">
        <x:f>'2022 Form20'!H342</x:f>
        <x:v>41</x:v>
      </x:c>
      <x:c r="D393" s="83" t="n">
        <x:f>'2022 Form20'!D342</x:f>
        <x:v>547</x:v>
      </x:c>
      <x:c r="E393" s="50" t="n">
        <x:f>'2022 Form20'!T342</x:f>
        <x:v>0.07495429616087751</x:v>
      </x:c>
      <x:c r="F393" t="n">
        <x:f>'2022 Form20'!U342</x:f>
        <x:v>468</x:v>
      </x:c>
      <x:c r="G393" t="n">
        <x:f>'2022 Form20'!V342</x:f>
        <x:v>-427</x:v>
      </x:c>
      <x:c r="H393" s="52" t="n">
        <x:f>'2022 Form20'!W342</x:f>
        <x:v>-0.7806215722120659</x:v>
      </x:c>
      <x:c r="I393" t="str">
        <x:v>DHIRENDRA SINGH</x:v>
      </x:c>
      <x:c r="J393" t="str">
        <x:v>Bharatiya Janata Party</x:v>
      </x:c>
      <x:c r="K393" t="str">
        <x:v>EVM row</x:v>
      </x:c>
      <x:c r="L393" s="133" t="str">
        <x:f>IF(D393&lt;=0,"No EVM votes",IF(E393&lt;$N$7,"Low",IF(E393&gt;$R$7,"High","Middle")))</x:f>
        <x:v>Low</x:v>
      </x:c>
      <x:c r="M393" s="133" t="str">
        <x:f>IF(D393&lt;=0,"No EVM votes",IF(H393&lt;-20%,"Large deficit",IF(H393&lt;-5%,"Moderate deficit",IF(H393&lt;0,"Narrow deficit",IF(H393&lt;=5%,"Narrow lead/tie",IF(H393&lt;=20%,"Moderate lead","Large lead"))))))</x:f>
        <x:v>Large deficit</x:v>
      </x:c>
    </x:row>
    <x:row r="394">
      <x:c r="A394" t="n">
        <x:v>335</x:v>
      </x:c>
      <x:c r="B394" t="str">
        <x:v>PRIMARY SCHOOL BANKAPUR ROOM NO 2</x:v>
      </x:c>
      <x:c r="C394" s="83" t="n">
        <x:f>'2022 Form20'!H343</x:f>
        <x:v>49</x:v>
      </x:c>
      <x:c r="D394" s="83" t="n">
        <x:f>'2022 Form20'!D343</x:f>
        <x:v>470</x:v>
      </x:c>
      <x:c r="E394" s="50" t="n">
        <x:f>'2022 Form20'!T343</x:f>
        <x:v>0.10425531914893617</x:v>
      </x:c>
      <x:c r="F394" t="n">
        <x:f>'2022 Form20'!U343</x:f>
        <x:v>266</x:v>
      </x:c>
      <x:c r="G394" t="n">
        <x:f>'2022 Form20'!V343</x:f>
        <x:v>-217</x:v>
      </x:c>
      <x:c r="H394" s="52" t="n">
        <x:f>'2022 Form20'!W343</x:f>
        <x:v>-0.46170212765957447</x:v>
      </x:c>
      <x:c r="I394" t="str">
        <x:v>DHIRENDRA SINGH</x:v>
      </x:c>
      <x:c r="J394" t="str">
        <x:v>Bharatiya Janata Party</x:v>
      </x:c>
      <x:c r="K394" t="str">
        <x:v>EVM row</x:v>
      </x:c>
      <x:c r="L394" s="133" t="str">
        <x:f>IF(D394&lt;=0,"No EVM votes",IF(E394&lt;$N$7,"Low",IF(E394&gt;$R$7,"High","Middle")))</x:f>
        <x:v>Middle</x:v>
      </x:c>
      <x:c r="M394" s="133" t="str">
        <x:f>IF(D394&lt;=0,"No EVM votes",IF(H394&lt;-20%,"Large deficit",IF(H394&lt;-5%,"Moderate deficit",IF(H394&lt;0,"Narrow deficit",IF(H394&lt;=5%,"Narrow lead/tie",IF(H394&lt;=20%,"Moderate lead","Large lead"))))))</x:f>
        <x:v>Large deficit</x:v>
      </x:c>
    </x:row>
    <x:row r="395">
      <x:c r="A395" t="n">
        <x:v>336</x:v>
      </x:c>
      <x:c r="B395" t="str">
        <x:v>PRIMARY SCHOOL NEEMKA SHAHJAHANPUR ROOM NO 1</x:v>
      </x:c>
      <x:c r="C395" s="83" t="n">
        <x:f>'2022 Form20'!H344</x:f>
        <x:v>100</x:v>
      </x:c>
      <x:c r="D395" s="83" t="n">
        <x:f>'2022 Form20'!D344</x:f>
        <x:v>776</x:v>
      </x:c>
      <x:c r="E395" s="50" t="n">
        <x:f>'2022 Form20'!T344</x:f>
        <x:v>0.12886597938144329</x:v>
      </x:c>
      <x:c r="F395" t="n">
        <x:f>'2022 Form20'!U344</x:f>
        <x:v>414</x:v>
      </x:c>
      <x:c r="G395" t="n">
        <x:f>'2022 Form20'!V344</x:f>
        <x:v>-314</x:v>
      </x:c>
      <x:c r="H395" s="52" t="n">
        <x:f>'2022 Form20'!W344</x:f>
        <x:v>-0.40463917525773196</x:v>
      </x:c>
      <x:c r="I395" t="str">
        <x:v>NARENDER KUMAR</x:v>
      </x:c>
      <x:c r="J395" t="str">
        <x:v>Bahujan Samaj Party</x:v>
      </x:c>
      <x:c r="K395" t="str">
        <x:v>EVM row</x:v>
      </x:c>
      <x:c r="L395" s="133" t="str">
        <x:f>IF(D395&lt;=0,"No EVM votes",IF(E395&lt;$N$7,"Low",IF(E395&gt;$R$7,"High","Middle")))</x:f>
        <x:v>Middle</x:v>
      </x:c>
      <x:c r="M395" s="133" t="str">
        <x:f>IF(D395&lt;=0,"No EVM votes",IF(H395&lt;-20%,"Large deficit",IF(H395&lt;-5%,"Moderate deficit",IF(H395&lt;0,"Narrow deficit",IF(H395&lt;=5%,"Narrow lead/tie",IF(H395&lt;=20%,"Moderate lead","Large lead"))))))</x:f>
        <x:v>Large deficit</x:v>
      </x:c>
    </x:row>
    <x:row r="396">
      <x:c r="A396" t="n">
        <x:v>337</x:v>
      </x:c>
      <x:c r="B396" t="str">
        <x:v>PRIMARY SCHOOL NEEMKA SHAHJAHANPUR ROOM NO 2</x:v>
      </x:c>
      <x:c r="C396" s="83" t="n">
        <x:f>'2022 Form20'!H345</x:f>
        <x:v>217</x:v>
      </x:c>
      <x:c r="D396" s="83" t="n">
        <x:f>'2022 Form20'!D345</x:f>
        <x:v>701</x:v>
      </x:c>
      <x:c r="E396" s="50" t="n">
        <x:f>'2022 Form20'!T345</x:f>
        <x:v>0.3095577746077033</x:v>
      </x:c>
      <x:c r="F396" t="n">
        <x:f>'2022 Form20'!U345</x:f>
        <x:v>463</x:v>
      </x:c>
      <x:c r="G396" t="n">
        <x:f>'2022 Form20'!V345</x:f>
        <x:v>-246</x:v>
      </x:c>
      <x:c r="H396" s="52" t="n">
        <x:f>'2022 Form20'!W345</x:f>
        <x:v>-0.3509272467902996</x:v>
      </x:c>
      <x:c r="I396" t="str">
        <x:v>DHIRENDRA SINGH</x:v>
      </x:c>
      <x:c r="J396" t="str">
        <x:v>Bharatiya Janata Party</x:v>
      </x:c>
      <x:c r="K396" t="str">
        <x:v>EVM row</x:v>
      </x:c>
      <x:c r="L396" s="133" t="str">
        <x:f>IF(D396&lt;=0,"No EVM votes",IF(E396&lt;$N$7,"Low",IF(E396&gt;$R$7,"High","Middle")))</x:f>
        <x:v>Middle</x:v>
      </x:c>
      <x:c r="M396" s="133" t="str">
        <x:f>IF(D396&lt;=0,"No EVM votes",IF(H396&lt;-20%,"Large deficit",IF(H396&lt;-5%,"Moderate deficit",IF(H396&lt;0,"Narrow deficit",IF(H396&lt;=5%,"Narrow lead/tie",IF(H396&lt;=20%,"Moderate lead","Large lead"))))))</x:f>
        <x:v>Large deficit</x:v>
      </x:c>
    </x:row>
    <x:row r="397">
      <x:c r="A397" t="n">
        <x:v>338</x:v>
      </x:c>
      <x:c r="B397" t="str">
        <x:v>JUNIOR HIGH SCHOOL NEEMKA SHAHJAHANPUR ROOM NO 1</x:v>
      </x:c>
      <x:c r="C397" s="83" t="n">
        <x:f>'2022 Form20'!H346</x:f>
        <x:v>112</x:v>
      </x:c>
      <x:c r="D397" s="83" t="n">
        <x:f>'2022 Form20'!D346</x:f>
        <x:v>466</x:v>
      </x:c>
      <x:c r="E397" s="50" t="n">
        <x:f>'2022 Form20'!T346</x:f>
        <x:v>0.24034334763948498</x:v>
      </x:c>
      <x:c r="F397" t="n">
        <x:f>'2022 Form20'!U346</x:f>
        <x:v>266</x:v>
      </x:c>
      <x:c r="G397" t="n">
        <x:f>'2022 Form20'!V346</x:f>
        <x:v>-154</x:v>
      </x:c>
      <x:c r="H397" s="52" t="n">
        <x:f>'2022 Form20'!W346</x:f>
        <x:v>-0.33047210300429186</x:v>
      </x:c>
      <x:c r="I397" t="str">
        <x:v>DHIRENDRA SINGH</x:v>
      </x:c>
      <x:c r="J397" t="str">
        <x:v>Bharatiya Janata Party</x:v>
      </x:c>
      <x:c r="K397" t="str">
        <x:v>EVM row</x:v>
      </x:c>
      <x:c r="L397" s="133" t="str">
        <x:f>IF(D397&lt;=0,"No EVM votes",IF(E397&lt;$N$7,"Low",IF(E397&gt;$R$7,"High","Middle")))</x:f>
        <x:v>Middle</x:v>
      </x:c>
      <x:c r="M397" s="133" t="str">
        <x:f>IF(D397&lt;=0,"No EVM votes",IF(H397&lt;-20%,"Large deficit",IF(H397&lt;-5%,"Moderate deficit",IF(H397&lt;0,"Narrow deficit",IF(H397&lt;=5%,"Narrow lead/tie",IF(H397&lt;=20%,"Moderate lead","Large lead"))))))</x:f>
        <x:v>Large deficit</x:v>
      </x:c>
    </x:row>
    <x:row r="398">
      <x:c r="A398" t="n">
        <x:v>339</x:v>
      </x:c>
      <x:c r="B398" t="str">
        <x:v>PRIMARY SCHOOL SADULLAPUR ALIAS MADALPUR ROOM NO. 1</x:v>
      </x:c>
      <x:c r="C398" s="83" t="n">
        <x:f>'2022 Form20'!H347</x:f>
        <x:v>109</x:v>
      </x:c>
      <x:c r="D398" s="83" t="n">
        <x:f>'2022 Form20'!D347</x:f>
        <x:v>565</x:v>
      </x:c>
      <x:c r="E398" s="50" t="n">
        <x:f>'2022 Form20'!T347</x:f>
        <x:v>0.1929203539823009</x:v>
      </x:c>
      <x:c r="F398" t="n">
        <x:f>'2022 Form20'!U347</x:f>
        <x:v>431</x:v>
      </x:c>
      <x:c r="G398" t="n">
        <x:f>'2022 Form20'!V347</x:f>
        <x:v>-322</x:v>
      </x:c>
      <x:c r="H398" s="52" t="n">
        <x:f>'2022 Form20'!W347</x:f>
        <x:v>-0.5699115044247788</x:v>
      </x:c>
      <x:c r="I398" t="str">
        <x:v>DHIRENDRA SINGH</x:v>
      </x:c>
      <x:c r="J398" t="str">
        <x:v>Bharatiya Janata Party</x:v>
      </x:c>
      <x:c r="K398" t="str">
        <x:v>EVM row</x:v>
      </x:c>
      <x:c r="L398" s="133" t="str">
        <x:f>IF(D398&lt;=0,"No EVM votes",IF(E398&lt;$N$7,"Low",IF(E398&gt;$R$7,"High","Middle")))</x:f>
        <x:v>Middle</x:v>
      </x:c>
      <x:c r="M398" s="133" t="str">
        <x:f>IF(D398&lt;=0,"No EVM votes",IF(H398&lt;-20%,"Large deficit",IF(H398&lt;-5%,"Moderate deficit",IF(H398&lt;0,"Narrow deficit",IF(H398&lt;=5%,"Narrow lead/tie",IF(H398&lt;=20%,"Moderate lead","Large lead"))))))</x:f>
        <x:v>Large deficit</x:v>
      </x:c>
    </x:row>
    <x:row r="399">
      <x:c r="A399" t="n">
        <x:v>340</x:v>
      </x:c>
      <x:c r="B399" t="str">
        <x:v>PRIMARY SCHOOL KHWAJPUR ROOM NO 1</x:v>
      </x:c>
      <x:c r="C399" s="83" t="n">
        <x:f>'2022 Form20'!H348</x:f>
        <x:v>180</x:v>
      </x:c>
      <x:c r="D399" s="83" t="n">
        <x:f>'2022 Form20'!D348</x:f>
        <x:v>641</x:v>
      </x:c>
      <x:c r="E399" s="50" t="n">
        <x:f>'2022 Form20'!T348</x:f>
        <x:v>0.28081123244929795</x:v>
      </x:c>
      <x:c r="F399" t="n">
        <x:f>'2022 Form20'!U348</x:f>
        <x:v>444</x:v>
      </x:c>
      <x:c r="G399" t="n">
        <x:f>'2022 Form20'!V348</x:f>
        <x:v>-264</x:v>
      </x:c>
      <x:c r="H399" s="52" t="n">
        <x:f>'2022 Form20'!W348</x:f>
        <x:v>-0.4118564742589704</x:v>
      </x:c>
      <x:c r="I399" t="str">
        <x:v>DHIRENDRA SINGH</x:v>
      </x:c>
      <x:c r="J399" t="str">
        <x:v>Bharatiya Janata Party</x:v>
      </x:c>
      <x:c r="K399" t="str">
        <x:v>EVM row</x:v>
      </x:c>
      <x:c r="L399" s="133" t="str">
        <x:f>IF(D399&lt;=0,"No EVM votes",IF(E399&lt;$N$7,"Low",IF(E399&gt;$R$7,"High","Middle")))</x:f>
        <x:v>Middle</x:v>
      </x:c>
      <x:c r="M399" s="133" t="str">
        <x:f>IF(D399&lt;=0,"No EVM votes",IF(H399&lt;-20%,"Large deficit",IF(H399&lt;-5%,"Moderate deficit",IF(H399&lt;0,"Narrow deficit",IF(H399&lt;=5%,"Narrow lead/tie",IF(H399&lt;=20%,"Moderate lead","Large lead"))))))</x:f>
        <x:v>Large deficit</x:v>
      </x:c>
    </x:row>
    <x:row r="400">
      <x:c r="A400" t="n">
        <x:v>341</x:v>
      </x:c>
      <x:c r="B400" t="str">
        <x:v>PRIMARY SCHOOL KHWAJPUR ROOM NO 2</x:v>
      </x:c>
      <x:c r="C400" s="83" t="n">
        <x:f>'2022 Form20'!H349</x:f>
        <x:v>91</x:v>
      </x:c>
      <x:c r="D400" s="83" t="n">
        <x:f>'2022 Form20'!D349</x:f>
        <x:v>553</x:v>
      </x:c>
      <x:c r="E400" s="50" t="n">
        <x:f>'2022 Form20'!T349</x:f>
        <x:v>0.16455696202531644</x:v>
      </x:c>
      <x:c r="F400" t="n">
        <x:f>'2022 Form20'!U349</x:f>
        <x:v>286</x:v>
      </x:c>
      <x:c r="G400" t="n">
        <x:f>'2022 Form20'!V349</x:f>
        <x:v>-195</x:v>
      </x:c>
      <x:c r="H400" s="52" t="n">
        <x:f>'2022 Form20'!W349</x:f>
        <x:v>-0.352622061482821</x:v>
      </x:c>
      <x:c r="I400" t="str">
        <x:v>NARENDER KUMAR</x:v>
      </x:c>
      <x:c r="J400" t="str">
        <x:v>Bahujan Samaj Party</x:v>
      </x:c>
      <x:c r="K400" t="str">
        <x:v>EVM row</x:v>
      </x:c>
      <x:c r="L400" s="133" t="str">
        <x:f>IF(D400&lt;=0,"No EVM votes",IF(E400&lt;$N$7,"Low",IF(E400&gt;$R$7,"High","Middle")))</x:f>
        <x:v>Middle</x:v>
      </x:c>
      <x:c r="M400" s="133" t="str">
        <x:f>IF(D400&lt;=0,"No EVM votes",IF(H400&lt;-20%,"Large deficit",IF(H400&lt;-5%,"Moderate deficit",IF(H400&lt;0,"Narrow deficit",IF(H400&lt;=5%,"Narrow lead/tie",IF(H400&lt;=20%,"Moderate lead","Large lead"))))))</x:f>
        <x:v>Large deficit</x:v>
      </x:c>
    </x:row>
    <x:row r="401">
      <x:c r="A401" t="n">
        <x:v>342</x:v>
      </x:c>
      <x:c r="B401" t="str">
        <x:v>PRIMARY SCHOOL JEWAR KHADAR ROOM NO. 1</x:v>
      </x:c>
      <x:c r="C401" s="83" t="n">
        <x:f>'2022 Form20'!H350</x:f>
        <x:v>9</x:v>
      </x:c>
      <x:c r="D401" s="83" t="n">
        <x:f>'2022 Form20'!D350</x:f>
        <x:v>529</x:v>
      </x:c>
      <x:c r="E401" s="50" t="n">
        <x:f>'2022 Form20'!T350</x:f>
        <x:v>0.017013232514177693</x:v>
      </x:c>
      <x:c r="F401" t="n">
        <x:f>'2022 Form20'!U350</x:f>
        <x:v>495</x:v>
      </x:c>
      <x:c r="G401" t="n">
        <x:f>'2022 Form20'!V350</x:f>
        <x:v>-486</x:v>
      </x:c>
      <x:c r="H401" s="52" t="n">
        <x:f>'2022 Form20'!W350</x:f>
        <x:v>-0.9187145557655955</x:v>
      </x:c>
      <x:c r="I401" t="str">
        <x:v>DHIRENDRA SINGH</x:v>
      </x:c>
      <x:c r="J401" t="str">
        <x:v>Bharatiya Janata Party</x:v>
      </x:c>
      <x:c r="K401" t="str">
        <x:v>EVM row</x:v>
      </x:c>
      <x:c r="L401" s="133" t="str">
        <x:f>IF(D401&lt;=0,"No EVM votes",IF(E401&lt;$N$7,"Low",IF(E401&gt;$R$7,"High","Middle")))</x:f>
        <x:v>Low</x:v>
      </x:c>
      <x:c r="M401" s="133" t="str">
        <x:f>IF(D401&lt;=0,"No EVM votes",IF(H401&lt;-20%,"Large deficit",IF(H401&lt;-5%,"Moderate deficit",IF(H401&lt;0,"Narrow deficit",IF(H401&lt;=5%,"Narrow lead/tie",IF(H401&lt;=20%,"Moderate lead","Large lead"))))))</x:f>
        <x:v>Large deficit</x:v>
      </x:c>
    </x:row>
    <x:row r="402">
      <x:c r="A402" t="n">
        <x:v>343</x:v>
      </x:c>
      <x:c r="B402" t="str">
        <x:v>PRIMARY SCHOOL JEWAR KHADAR ROOM NO. 2</x:v>
      </x:c>
      <x:c r="C402" s="83" t="n">
        <x:f>'2022 Form20'!H351</x:f>
        <x:v>6</x:v>
      </x:c>
      <x:c r="D402" s="83" t="n">
        <x:f>'2022 Form20'!D351</x:f>
        <x:v>456</x:v>
      </x:c>
      <x:c r="E402" s="50" t="n">
        <x:f>'2022 Form20'!T351</x:f>
        <x:v>0.013157894736842105</x:v>
      </x:c>
      <x:c r="F402" t="n">
        <x:f>'2022 Form20'!U351</x:f>
        <x:v>385</x:v>
      </x:c>
      <x:c r="G402" t="n">
        <x:f>'2022 Form20'!V351</x:f>
        <x:v>-379</x:v>
      </x:c>
      <x:c r="H402" s="52" t="n">
        <x:f>'2022 Form20'!W351</x:f>
        <x:v>-0.831140350877193</x:v>
      </x:c>
      <x:c r="I402" t="str">
        <x:v>DHIRENDRA SINGH</x:v>
      </x:c>
      <x:c r="J402" t="str">
        <x:v>Bharatiya Janata Party</x:v>
      </x:c>
      <x:c r="K402" t="str">
        <x:v>EVM row</x:v>
      </x:c>
      <x:c r="L402" s="133" t="str">
        <x:f>IF(D402&lt;=0,"No EVM votes",IF(E402&lt;$N$7,"Low",IF(E402&gt;$R$7,"High","Middle")))</x:f>
        <x:v>Low</x:v>
      </x:c>
      <x:c r="M402" s="133" t="str">
        <x:f>IF(D402&lt;=0,"No EVM votes",IF(H402&lt;-20%,"Large deficit",IF(H402&lt;-5%,"Moderate deficit",IF(H402&lt;0,"Narrow deficit",IF(H402&lt;=5%,"Narrow lead/tie",IF(H402&lt;=20%,"Moderate lead","Large lead"))))))</x:f>
        <x:v>Large deficit</x:v>
      </x:c>
    </x:row>
    <x:row r="403">
      <x:c r="A403" t="n">
        <x:v>344</x:v>
      </x:c>
      <x:c r="B403" t="str">
        <x:v>SARASWATI SHISHU MANDIR TOWN AREA JEWAR ROOM NO 1</x:v>
      </x:c>
      <x:c r="C403" s="83" t="n">
        <x:f>'2022 Form20'!H352</x:f>
        <x:v>58</x:v>
      </x:c>
      <x:c r="D403" s="83" t="n">
        <x:f>'2022 Form20'!D352</x:f>
        <x:v>725</x:v>
      </x:c>
      <x:c r="E403" s="50" t="n">
        <x:f>'2022 Form20'!T352</x:f>
        <x:v>0.08</x:v>
      </x:c>
      <x:c r="F403" t="n">
        <x:f>'2022 Form20'!U352</x:f>
        <x:v>433</x:v>
      </x:c>
      <x:c r="G403" t="n">
        <x:f>'2022 Form20'!V352</x:f>
        <x:v>-375</x:v>
      </x:c>
      <x:c r="H403" s="52" t="n">
        <x:f>'2022 Form20'!W352</x:f>
        <x:v>-0.5172413793103449</x:v>
      </x:c>
      <x:c r="I403" t="str">
        <x:v>NARENDER KUMAR</x:v>
      </x:c>
      <x:c r="J403" t="str">
        <x:v>Bahujan Samaj Party</x:v>
      </x:c>
      <x:c r="K403" t="str">
        <x:v>EVM row</x:v>
      </x:c>
      <x:c r="L403" s="133" t="str">
        <x:f>IF(D403&lt;=0,"No EVM votes",IF(E403&lt;$N$7,"Low",IF(E403&gt;$R$7,"High","Middle")))</x:f>
        <x:v>Low</x:v>
      </x:c>
      <x:c r="M403" s="133" t="str">
        <x:f>IF(D403&lt;=0,"No EVM votes",IF(H403&lt;-20%,"Large deficit",IF(H403&lt;-5%,"Moderate deficit",IF(H403&lt;0,"Narrow deficit",IF(H403&lt;=5%,"Narrow lead/tie",IF(H403&lt;=20%,"Moderate lead","Large lead"))))))</x:f>
        <x:v>Large deficit</x:v>
      </x:c>
    </x:row>
    <x:row r="404">
      <x:c r="A404" t="n">
        <x:v>345</x:v>
      </x:c>
      <x:c r="B404" t="str">
        <x:v>SARASWATI SHISHU MANDIR TOWN AREA JEWAR ROOM NO 2</x:v>
      </x:c>
      <x:c r="C404" s="83" t="n">
        <x:f>'2022 Form20'!H353</x:f>
        <x:v>110</x:v>
      </x:c>
      <x:c r="D404" s="83" t="n">
        <x:f>'2022 Form20'!D353</x:f>
        <x:v>688</x:v>
      </x:c>
      <x:c r="E404" s="50" t="n">
        <x:f>'2022 Form20'!T353</x:f>
        <x:v>0.15988372093023256</x:v>
      </x:c>
      <x:c r="F404" t="n">
        <x:f>'2022 Form20'!U353</x:f>
        <x:v>419</x:v>
      </x:c>
      <x:c r="G404" t="n">
        <x:f>'2022 Form20'!V353</x:f>
        <x:v>-309</x:v>
      </x:c>
      <x:c r="H404" s="52" t="n">
        <x:f>'2022 Form20'!W353</x:f>
        <x:v>-0.4491279069767442</x:v>
      </x:c>
      <x:c r="I404" t="str">
        <x:v>DHIRENDRA SINGH</x:v>
      </x:c>
      <x:c r="J404" t="str">
        <x:v>Bharatiya Janata Party</x:v>
      </x:c>
      <x:c r="K404" t="str">
        <x:v>EVM row</x:v>
      </x:c>
      <x:c r="L404" s="133" t="str">
        <x:f>IF(D404&lt;=0,"No EVM votes",IF(E404&lt;$N$7,"Low",IF(E404&gt;$R$7,"High","Middle")))</x:f>
        <x:v>Middle</x:v>
      </x:c>
      <x:c r="M404" s="133" t="str">
        <x:f>IF(D404&lt;=0,"No EVM votes",IF(H404&lt;-20%,"Large deficit",IF(H404&lt;-5%,"Moderate deficit",IF(H404&lt;0,"Narrow deficit",IF(H404&lt;=5%,"Narrow lead/tie",IF(H404&lt;=20%,"Moderate lead","Large lead"))))))</x:f>
        <x:v>Large deficit</x:v>
      </x:c>
    </x:row>
    <x:row r="405">
      <x:c r="A405" t="n">
        <x:v>346</x:v>
      </x:c>
      <x:c r="B405" t="str">
        <x:v>SARASWATI SHISHU MANDIR TOWN AREA JEWAR ROOM NO 3</x:v>
      </x:c>
      <x:c r="C405" s="83" t="n">
        <x:f>'2022 Form20'!H354</x:f>
        <x:v>298</x:v>
      </x:c>
      <x:c r="D405" s="83" t="n">
        <x:f>'2022 Form20'!D354</x:f>
        <x:v>599</x:v>
      </x:c>
      <x:c r="E405" s="50" t="n">
        <x:f>'2022 Form20'!T354</x:f>
        <x:v>0.4974958263772955</x:v>
      </x:c>
      <x:c r="F405" t="n">
        <x:f>'2022 Form20'!U354</x:f>
        <x:v>232</x:v>
      </x:c>
      <x:c r="G405" t="n">
        <x:f>'2022 Form20'!V354</x:f>
        <x:v>66</x:v>
      </x:c>
      <x:c r="H405" s="52" t="n">
        <x:f>'2022 Form20'!W354</x:f>
        <x:v>0.11018363939899833</x:v>
      </x:c>
      <x:c r="I405" t="str">
        <x:v>AVTAR SINGH BHADANA</x:v>
      </x:c>
      <x:c r="J405" t="str">
        <x:v>Rashtriya Lok Dal</x:v>
      </x:c>
      <x:c r="K405" t="str">
        <x:v>EVM row</x:v>
      </x:c>
      <x:c r="L405" s="133" t="str">
        <x:f>IF(D405&lt;=0,"No EVM votes",IF(E405&lt;$N$7,"Low",IF(E405&gt;$R$7,"High","Middle")))</x:f>
        <x:v>High</x:v>
      </x:c>
      <x:c r="M405" s="133" t="str">
        <x:f>IF(D405&lt;=0,"No EVM votes",IF(H405&lt;-20%,"Large deficit",IF(H405&lt;-5%,"Moderate deficit",IF(H405&lt;0,"Narrow deficit",IF(H405&lt;=5%,"Narrow lead/tie",IF(H405&lt;=20%,"Moderate lead","Large lead"))))))</x:f>
        <x:v>Moderate lead</x:v>
      </x:c>
    </x:row>
    <x:row r="406">
      <x:c r="A406" t="n">
        <x:v>347</x:v>
      </x:c>
      <x:c r="B406" t="str">
        <x:v>SARASWATI SHISHU MANDIR TOWN AREA JEWAR ROOM NO 4</x:v>
      </x:c>
      <x:c r="C406" s="83" t="n">
        <x:f>'2022 Form20'!H355</x:f>
        <x:v>466</x:v>
      </x:c>
      <x:c r="D406" s="83" t="n">
        <x:f>'2022 Form20'!D355</x:f>
        <x:v>617</x:v>
      </x:c>
      <x:c r="E406" s="50" t="n">
        <x:f>'2022 Form20'!T355</x:f>
        <x:v>0.7552674230145867</x:v>
      </x:c>
      <x:c r="F406" t="n">
        <x:f>'2022 Form20'!U355</x:f>
        <x:v>120</x:v>
      </x:c>
      <x:c r="G406" t="n">
        <x:f>'2022 Form20'!V355</x:f>
        <x:v>346</x:v>
      </x:c>
      <x:c r="H406" s="52" t="n">
        <x:f>'2022 Form20'!W355</x:f>
        <x:v>0.5607779578606159</x:v>
      </x:c>
      <x:c r="I406" t="str">
        <x:v>AVTAR SINGH BHADANA</x:v>
      </x:c>
      <x:c r="J406" t="str">
        <x:v>Rashtriya Lok Dal</x:v>
      </x:c>
      <x:c r="K406" t="str">
        <x:v>EVM row</x:v>
      </x:c>
      <x:c r="L406" s="133" t="str">
        <x:f>IF(D406&lt;=0,"No EVM votes",IF(E406&lt;$N$7,"Low",IF(E406&gt;$R$7,"High","Middle")))</x:f>
        <x:v>High</x:v>
      </x:c>
      <x:c r="M406" s="133" t="str">
        <x:f>IF(D406&lt;=0,"No EVM votes",IF(H406&lt;-20%,"Large deficit",IF(H406&lt;-5%,"Moderate deficit",IF(H406&lt;0,"Narrow deficit",IF(H406&lt;=5%,"Narrow lead/tie",IF(H406&lt;=20%,"Moderate lead","Large lead"))))))</x:f>
        <x:v>Large lead</x:v>
      </x:c>
    </x:row>
    <x:row r="407">
      <x:c r="A407" t="n">
        <x:v>348</x:v>
      </x:c>
      <x:c r="B407" t="str">
        <x:v>SARASWATI SHISHU MANDIR TOWN AREA JEWAR ROOM NO 5</x:v>
      </x:c>
      <x:c r="C407" s="83" t="n">
        <x:f>'2022 Form20'!H356</x:f>
        <x:v>148</x:v>
      </x:c>
      <x:c r="D407" s="83" t="n">
        <x:f>'2022 Form20'!D356</x:f>
        <x:v>373</x:v>
      </x:c>
      <x:c r="E407" s="50" t="n">
        <x:f>'2022 Form20'!T356</x:f>
        <x:v>0.3967828418230563</x:v>
      </x:c>
      <x:c r="F407" t="n">
        <x:f>'2022 Form20'!U356</x:f>
        <x:v>212</x:v>
      </x:c>
      <x:c r="G407" t="n">
        <x:f>'2022 Form20'!V356</x:f>
        <x:v>-64</x:v>
      </x:c>
      <x:c r="H407" s="52" t="n">
        <x:f>'2022 Form20'!W356</x:f>
        <x:v>-0.17158176943699732</x:v>
      </x:c>
      <x:c r="I407" t="str">
        <x:v>DHIRENDRA SINGH</x:v>
      </x:c>
      <x:c r="J407" t="str">
        <x:v>Bharatiya Janata Party</x:v>
      </x:c>
      <x:c r="K407" t="str">
        <x:v>EVM row</x:v>
      </x:c>
      <x:c r="L407" s="133" t="str">
        <x:f>IF(D407&lt;=0,"No EVM votes",IF(E407&lt;$N$7,"Low",IF(E407&gt;$R$7,"High","Middle")))</x:f>
        <x:v>High</x:v>
      </x:c>
      <x:c r="M407" s="133" t="str">
        <x:f>IF(D407&lt;=0,"No EVM votes",IF(H407&lt;-20%,"Large deficit",IF(H407&lt;-5%,"Moderate deficit",IF(H407&lt;0,"Narrow deficit",IF(H407&lt;=5%,"Narrow lead/tie",IF(H407&lt;=20%,"Moderate lead","Large lead"))))))</x:f>
        <x:v>Moderate deficit</x:v>
      </x:c>
    </x:row>
    <x:row r="408">
      <x:c r="A408" t="n">
        <x:v>349</x:v>
      </x:c>
      <x:c r="B408" t="str">
        <x:v>SARASWATI SHISHU MANDIR TOWN AREA JEWAR ROOM NO 6</x:v>
      </x:c>
      <x:c r="C408" s="83" t="n">
        <x:f>'2022 Form20'!H357</x:f>
        <x:v>110</x:v>
      </x:c>
      <x:c r="D408" s="83" t="n">
        <x:f>'2022 Form20'!D357</x:f>
        <x:v>475</x:v>
      </x:c>
      <x:c r="E408" s="50" t="n">
        <x:f>'2022 Form20'!T357</x:f>
        <x:v>0.23157894736842105</x:v>
      </x:c>
      <x:c r="F408" t="n">
        <x:f>'2022 Form20'!U357</x:f>
        <x:v>358</x:v>
      </x:c>
      <x:c r="G408" t="n">
        <x:f>'2022 Form20'!V357</x:f>
        <x:v>-248</x:v>
      </x:c>
      <x:c r="H408" s="52" t="n">
        <x:f>'2022 Form20'!W357</x:f>
        <x:v>-0.5221052631578947</x:v>
      </x:c>
      <x:c r="I408" t="str">
        <x:v>DHIRENDRA SINGH</x:v>
      </x:c>
      <x:c r="J408" t="str">
        <x:v>Bharatiya Janata Party</x:v>
      </x:c>
      <x:c r="K408" t="str">
        <x:v>EVM row</x:v>
      </x:c>
      <x:c r="L408" s="133" t="str">
        <x:f>IF(D408&lt;=0,"No EVM votes",IF(E408&lt;$N$7,"Low",IF(E408&gt;$R$7,"High","Middle")))</x:f>
        <x:v>Middle</x:v>
      </x:c>
      <x:c r="M408" s="133" t="str">
        <x:f>IF(D408&lt;=0,"No EVM votes",IF(H408&lt;-20%,"Large deficit",IF(H408&lt;-5%,"Moderate deficit",IF(H408&lt;0,"Narrow deficit",IF(H408&lt;=5%,"Narrow lead/tie",IF(H408&lt;=20%,"Moderate lead","Large lead"))))))</x:f>
        <x:v>Large deficit</x:v>
      </x:c>
    </x:row>
    <x:row r="409">
      <x:c r="A409" t="n">
        <x:v>350</x:v>
      </x:c>
      <x:c r="B409" t="str">
        <x:v>SARASWATI SHISHU MANDIR TOWN AREA JEWAR ROOM NO 7</x:v>
      </x:c>
      <x:c r="C409" s="83" t="n">
        <x:f>'2022 Form20'!H358</x:f>
        <x:v>88</x:v>
      </x:c>
      <x:c r="D409" s="83" t="n">
        <x:f>'2022 Form20'!D358</x:f>
        <x:v>411</x:v>
      </x:c>
      <x:c r="E409" s="50" t="n">
        <x:f>'2022 Form20'!T358</x:f>
        <x:v>0.2141119221411192</x:v>
      </x:c>
      <x:c r="F409" t="n">
        <x:f>'2022 Form20'!U358</x:f>
        <x:v>315</x:v>
      </x:c>
      <x:c r="G409" t="n">
        <x:f>'2022 Form20'!V358</x:f>
        <x:v>-227</x:v>
      </x:c>
      <x:c r="H409" s="52" t="n">
        <x:f>'2022 Form20'!W358</x:f>
        <x:v>-0.5523114355231143</x:v>
      </x:c>
      <x:c r="I409" t="str">
        <x:v>DHIRENDRA SINGH</x:v>
      </x:c>
      <x:c r="J409" t="str">
        <x:v>Bharatiya Janata Party</x:v>
      </x:c>
      <x:c r="K409" t="str">
        <x:v>EVM row</x:v>
      </x:c>
      <x:c r="L409" s="133" t="str">
        <x:f>IF(D409&lt;=0,"No EVM votes",IF(E409&lt;$N$7,"Low",IF(E409&gt;$R$7,"High","Middle")))</x:f>
        <x:v>Middle</x:v>
      </x:c>
      <x:c r="M409" s="133" t="str">
        <x:f>IF(D409&lt;=0,"No EVM votes",IF(H409&lt;-20%,"Large deficit",IF(H409&lt;-5%,"Moderate deficit",IF(H409&lt;0,"Narrow deficit",IF(H409&lt;=5%,"Narrow lead/tie",IF(H409&lt;=20%,"Moderate lead","Large lead"))))))</x:f>
        <x:v>Large deficit</x:v>
      </x:c>
    </x:row>
    <x:row r="410">
      <x:c r="A410" t="n">
        <x:v>351</x:v>
      </x:c>
      <x:c r="B410" t="str">
        <x:v>PRIMARY SCHOOL JAFRABAD ROOM NO 1</x:v>
      </x:c>
      <x:c r="C410" s="83" t="n">
        <x:f>'2022 Form20'!H359</x:f>
        <x:v>16</x:v>
      </x:c>
      <x:c r="D410" s="83" t="n">
        <x:f>'2022 Form20'!D359</x:f>
        <x:v>315</x:v>
      </x:c>
      <x:c r="E410" s="50" t="n">
        <x:f>'2022 Form20'!T359</x:f>
        <x:v>0.050793650793650794</x:v>
      </x:c>
      <x:c r="F410" t="n">
        <x:f>'2022 Form20'!U359</x:f>
        <x:v>203</x:v>
      </x:c>
      <x:c r="G410" t="n">
        <x:f>'2022 Form20'!V359</x:f>
        <x:v>-187</x:v>
      </x:c>
      <x:c r="H410" s="52" t="n">
        <x:f>'2022 Form20'!W359</x:f>
        <x:v>-0.5936507936507937</x:v>
      </x:c>
      <x:c r="I410" t="str">
        <x:v>DHIRENDRA SINGH</x:v>
      </x:c>
      <x:c r="J410" t="str">
        <x:v>Bharatiya Janata Party</x:v>
      </x:c>
      <x:c r="K410" t="str">
        <x:v>EVM row</x:v>
      </x:c>
      <x:c r="L410" s="133" t="str">
        <x:f>IF(D410&lt;=0,"No EVM votes",IF(E410&lt;$N$7,"Low",IF(E410&gt;$R$7,"High","Middle")))</x:f>
        <x:v>Low</x:v>
      </x:c>
      <x:c r="M410" s="133" t="str">
        <x:f>IF(D410&lt;=0,"No EVM votes",IF(H410&lt;-20%,"Large deficit",IF(H410&lt;-5%,"Moderate deficit",IF(H410&lt;0,"Narrow deficit",IF(H410&lt;=5%,"Narrow lead/tie",IF(H410&lt;=20%,"Moderate lead","Large lead"))))))</x:f>
        <x:v>Large deficit</x:v>
      </x:c>
    </x:row>
    <x:row r="411">
      <x:c r="A411" t="n">
        <x:v>352</x:v>
      </x:c>
      <x:c r="B411" t="str">
        <x:v>PRIMARY SCHOOL SAHABNAGAR ROOM NO 1</x:v>
      </x:c>
      <x:c r="C411" s="83" t="n">
        <x:f>'2022 Form20'!H360</x:f>
        <x:v>55</x:v>
      </x:c>
      <x:c r="D411" s="83" t="n">
        <x:f>'2022 Form20'!D360</x:f>
        <x:v>548</x:v>
      </x:c>
      <x:c r="E411" s="50" t="n">
        <x:f>'2022 Form20'!T360</x:f>
        <x:v>0.10036496350364964</x:v>
      </x:c>
      <x:c r="F411" t="n">
        <x:f>'2022 Form20'!U360</x:f>
        <x:v>464</x:v>
      </x:c>
      <x:c r="G411" t="n">
        <x:f>'2022 Form20'!V360</x:f>
        <x:v>-409</x:v>
      </x:c>
      <x:c r="H411" s="52" t="n">
        <x:f>'2022 Form20'!W360</x:f>
        <x:v>-0.7463503649635036</x:v>
      </x:c>
      <x:c r="I411" t="str">
        <x:v>DHIRENDRA SINGH</x:v>
      </x:c>
      <x:c r="J411" t="str">
        <x:v>Bharatiya Janata Party</x:v>
      </x:c>
      <x:c r="K411" t="str">
        <x:v>EVM row</x:v>
      </x:c>
      <x:c r="L411" s="133" t="str">
        <x:f>IF(D411&lt;=0,"No EVM votes",IF(E411&lt;$N$7,"Low",IF(E411&gt;$R$7,"High","Middle")))</x:f>
        <x:v>Middle</x:v>
      </x:c>
      <x:c r="M411" s="133" t="str">
        <x:f>IF(D411&lt;=0,"No EVM votes",IF(H411&lt;-20%,"Large deficit",IF(H411&lt;-5%,"Moderate deficit",IF(H411&lt;0,"Narrow deficit",IF(H411&lt;=5%,"Narrow lead/tie",IF(H411&lt;=20%,"Moderate lead","Large lead"))))))</x:f>
        <x:v>Large deficit</x:v>
      </x:c>
    </x:row>
    <x:row r="412">
      <x:c r="A412" t="n">
        <x:v>353</x:v>
      </x:c>
      <x:c r="B412" t="str">
        <x:v>ADARSH KANYA INTER COLLEGE TOWN AREA JEWAR ROOM NO 1</x:v>
      </x:c>
      <x:c r="C412" s="83" t="n">
        <x:f>'2022 Form20'!H361</x:f>
        <x:v>340</x:v>
      </x:c>
      <x:c r="D412" s="83" t="n">
        <x:f>'2022 Form20'!D361</x:f>
        <x:v>376</x:v>
      </x:c>
      <x:c r="E412" s="50" t="n">
        <x:f>'2022 Form20'!T361</x:f>
        <x:v>0.9042553191489362</x:v>
      </x:c>
      <x:c r="F412" t="n">
        <x:f>'2022 Form20'!U361</x:f>
        <x:v>23</x:v>
      </x:c>
      <x:c r="G412" t="n">
        <x:f>'2022 Form20'!V361</x:f>
        <x:v>317</x:v>
      </x:c>
      <x:c r="H412" s="52" t="n">
        <x:f>'2022 Form20'!W361</x:f>
        <x:v>0.8430851063829787</x:v>
      </x:c>
      <x:c r="I412" t="str">
        <x:v>AVTAR SINGH BHADANA</x:v>
      </x:c>
      <x:c r="J412" t="str">
        <x:v>Rashtriya Lok Dal</x:v>
      </x:c>
      <x:c r="K412" t="str">
        <x:v>EVM row</x:v>
      </x:c>
      <x:c r="L412" s="133" t="str">
        <x:f>IF(D412&lt;=0,"No EVM votes",IF(E412&lt;$N$7,"Low",IF(E412&gt;$R$7,"High","Middle")))</x:f>
        <x:v>High</x:v>
      </x:c>
      <x:c r="M412" s="133" t="str">
        <x:f>IF(D412&lt;=0,"No EVM votes",IF(H412&lt;-20%,"Large deficit",IF(H412&lt;-5%,"Moderate deficit",IF(H412&lt;0,"Narrow deficit",IF(H412&lt;=5%,"Narrow lead/tie",IF(H412&lt;=20%,"Moderate lead","Large lead"))))))</x:f>
        <x:v>Large lead</x:v>
      </x:c>
    </x:row>
    <x:row r="413">
      <x:c r="A413" t="n">
        <x:v>354</x:v>
      </x:c>
      <x:c r="B413" t="str">
        <x:v>ADARSH KANYA INTER COLLEGE TOWN AREA JEWAR ROOM NO 2</x:v>
      </x:c>
      <x:c r="C413" s="83" t="n">
        <x:f>'2022 Form20'!H362</x:f>
        <x:v>313</x:v>
      </x:c>
      <x:c r="D413" s="83" t="n">
        <x:f>'2022 Form20'!D362</x:f>
        <x:v>362</x:v>
      </x:c>
      <x:c r="E413" s="50" t="n">
        <x:f>'2022 Form20'!T362</x:f>
        <x:v>0.8646408839779005</x:v>
      </x:c>
      <x:c r="F413" t="n">
        <x:f>'2022 Form20'!U362</x:f>
        <x:v>41</x:v>
      </x:c>
      <x:c r="G413" t="n">
        <x:f>'2022 Form20'!V362</x:f>
        <x:v>272</x:v>
      </x:c>
      <x:c r="H413" s="52" t="n">
        <x:f>'2022 Form20'!W362</x:f>
        <x:v>0.7513812154696132</x:v>
      </x:c>
      <x:c r="I413" t="str">
        <x:v>AVTAR SINGH BHADANA</x:v>
      </x:c>
      <x:c r="J413" t="str">
        <x:v>Rashtriya Lok Dal</x:v>
      </x:c>
      <x:c r="K413" t="str">
        <x:v>EVM row</x:v>
      </x:c>
      <x:c r="L413" s="133" t="str">
        <x:f>IF(D413&lt;=0,"No EVM votes",IF(E413&lt;$N$7,"Low",IF(E413&gt;$R$7,"High","Middle")))</x:f>
        <x:v>High</x:v>
      </x:c>
      <x:c r="M413" s="133" t="str">
        <x:f>IF(D413&lt;=0,"No EVM votes",IF(H413&lt;-20%,"Large deficit",IF(H413&lt;-5%,"Moderate deficit",IF(H413&lt;0,"Narrow deficit",IF(H413&lt;=5%,"Narrow lead/tie",IF(H413&lt;=20%,"Moderate lead","Large lead"))))))</x:f>
        <x:v>Large lead</x:v>
      </x:c>
    </x:row>
    <x:row r="414">
      <x:c r="A414" t="n">
        <x:v>355</x:v>
      </x:c>
      <x:c r="B414" t="str">
        <x:v>ADARSH KANYA INTER COLLEGE TOWN AREA JEWAR ROOM NO 3</x:v>
      </x:c>
      <x:c r="C414" s="83" t="n">
        <x:f>'2022 Form20'!H363</x:f>
        <x:v>107</x:v>
      </x:c>
      <x:c r="D414" s="83" t="n">
        <x:f>'2022 Form20'!D363</x:f>
        <x:v>684</x:v>
      </x:c>
      <x:c r="E414" s="50" t="n">
        <x:f>'2022 Form20'!T363</x:f>
        <x:v>0.1564327485380117</x:v>
      </x:c>
      <x:c r="F414" t="n">
        <x:f>'2022 Form20'!U363</x:f>
        <x:v>570</x:v>
      </x:c>
      <x:c r="G414" t="n">
        <x:f>'2022 Form20'!V363</x:f>
        <x:v>-463</x:v>
      </x:c>
      <x:c r="H414" s="52" t="n">
        <x:f>'2022 Form20'!W363</x:f>
        <x:v>-0.6769005847953217</x:v>
      </x:c>
      <x:c r="I414" t="str">
        <x:v>DHIRENDRA SINGH</x:v>
      </x:c>
      <x:c r="J414" t="str">
        <x:v>Bharatiya Janata Party</x:v>
      </x:c>
      <x:c r="K414" t="str">
        <x:v>EVM row</x:v>
      </x:c>
      <x:c r="L414" s="133" t="str">
        <x:f>IF(D414&lt;=0,"No EVM votes",IF(E414&lt;$N$7,"Low",IF(E414&gt;$R$7,"High","Middle")))</x:f>
        <x:v>Middle</x:v>
      </x:c>
      <x:c r="M414" s="133" t="str">
        <x:f>IF(D414&lt;=0,"No EVM votes",IF(H414&lt;-20%,"Large deficit",IF(H414&lt;-5%,"Moderate deficit",IF(H414&lt;0,"Narrow deficit",IF(H414&lt;=5%,"Narrow lead/tie",IF(H414&lt;=20%,"Moderate lead","Large lead"))))))</x:f>
        <x:v>Large deficit</x:v>
      </x:c>
    </x:row>
    <x:row r="415">
      <x:c r="A415" t="n">
        <x:v>356</x:v>
      </x:c>
      <x:c r="B415" t="str">
        <x:v>ADARSH KANYA INTER COLLEGE TOWN AREA JEWAR ROOM NO 4</x:v>
      </x:c>
      <x:c r="C415" s="83" t="n">
        <x:f>'2022 Form20'!H364</x:f>
        <x:v>245</x:v>
      </x:c>
      <x:c r="D415" s="83" t="n">
        <x:f>'2022 Form20'!D364</x:f>
        <x:v>713</x:v>
      </x:c>
      <x:c r="E415" s="50" t="n">
        <x:f>'2022 Form20'!T364</x:f>
        <x:v>0.3436185133239832</x:v>
      </x:c>
      <x:c r="F415" t="n">
        <x:f>'2022 Form20'!U364</x:f>
        <x:v>448</x:v>
      </x:c>
      <x:c r="G415" t="n">
        <x:f>'2022 Form20'!V364</x:f>
        <x:v>-203</x:v>
      </x:c>
      <x:c r="H415" s="52" t="n">
        <x:f>'2022 Form20'!W364</x:f>
        <x:v>-0.2847124824684432</x:v>
      </x:c>
      <x:c r="I415" t="str">
        <x:v>DHIRENDRA SINGH</x:v>
      </x:c>
      <x:c r="J415" t="str">
        <x:v>Bharatiya Janata Party</x:v>
      </x:c>
      <x:c r="K415" t="str">
        <x:v>EVM row</x:v>
      </x:c>
      <x:c r="L415" s="133" t="str">
        <x:f>IF(D415&lt;=0,"No EVM votes",IF(E415&lt;$N$7,"Low",IF(E415&gt;$R$7,"High","Middle")))</x:f>
        <x:v>Middle</x:v>
      </x:c>
      <x:c r="M415" s="133" t="str">
        <x:f>IF(D415&lt;=0,"No EVM votes",IF(H415&lt;-20%,"Large deficit",IF(H415&lt;-5%,"Moderate deficit",IF(H415&lt;0,"Narrow deficit",IF(H415&lt;=5%,"Narrow lead/tie",IF(H415&lt;=20%,"Moderate lead","Large lead"))))))</x:f>
        <x:v>Large deficit</x:v>
      </x:c>
    </x:row>
    <x:row r="416">
      <x:c r="A416" t="n">
        <x:v>357</x:v>
      </x:c>
      <x:c r="B416" t="str">
        <x:v>ADARSH KANYA INTER COLLEGE TOWN AREA JEWAR ROOM NO 5</x:v>
      </x:c>
      <x:c r="C416" s="83" t="n">
        <x:f>'2022 Form20'!H365</x:f>
        <x:v>261</x:v>
      </x:c>
      <x:c r="D416" s="83" t="n">
        <x:f>'2022 Form20'!D365</x:f>
        <x:v>540</x:v>
      </x:c>
      <x:c r="E416" s="50" t="n">
        <x:f>'2022 Form20'!T365</x:f>
        <x:v>0.48333333333333334</x:v>
      </x:c>
      <x:c r="F416" t="n">
        <x:f>'2022 Form20'!U365</x:f>
        <x:v>247</x:v>
      </x:c>
      <x:c r="G416" t="n">
        <x:f>'2022 Form20'!V365</x:f>
        <x:v>14</x:v>
      </x:c>
      <x:c r="H416" s="52" t="n">
        <x:f>'2022 Form20'!W365</x:f>
        <x:v>0.025925925925925925</x:v>
      </x:c>
      <x:c r="I416" t="str">
        <x:v>AVTAR SINGH BHADANA</x:v>
      </x:c>
      <x:c r="J416" t="str">
        <x:v>Rashtriya Lok Dal</x:v>
      </x:c>
      <x:c r="K416" t="str">
        <x:v>EVM row</x:v>
      </x:c>
      <x:c r="L416" s="133" t="str">
        <x:f>IF(D416&lt;=0,"No EVM votes",IF(E416&lt;$N$7,"Low",IF(E416&gt;$R$7,"High","Middle")))</x:f>
        <x:v>High</x:v>
      </x:c>
      <x:c r="M416" s="133" t="str">
        <x:f>IF(D416&lt;=0,"No EVM votes",IF(H416&lt;-20%,"Large deficit",IF(H416&lt;-5%,"Moderate deficit",IF(H416&lt;0,"Narrow deficit",IF(H416&lt;=5%,"Narrow lead/tie",IF(H416&lt;=20%,"Moderate lead","Large lead"))))))</x:f>
        <x:v>Narrow lead/tie</x:v>
      </x:c>
    </x:row>
    <x:row r="417">
      <x:c r="A417" t="n">
        <x:v>358</x:v>
      </x:c>
      <x:c r="B417" t="str">
        <x:v>ADARSH KANYA INTER COLLEGE TOWN AREA JEWAR ROOM NO 6</x:v>
      </x:c>
      <x:c r="C417" s="83" t="n">
        <x:f>'2022 Form20'!H366</x:f>
        <x:v>73</x:v>
      </x:c>
      <x:c r="D417" s="83" t="n">
        <x:f>'2022 Form20'!D366</x:f>
        <x:v>449</x:v>
      </x:c>
      <x:c r="E417" s="50" t="n">
        <x:f>'2022 Form20'!T366</x:f>
        <x:v>0.16258351893095768</x:v>
      </x:c>
      <x:c r="F417" t="n">
        <x:f>'2022 Form20'!U366</x:f>
        <x:v>266</x:v>
      </x:c>
      <x:c r="G417" t="n">
        <x:f>'2022 Form20'!V366</x:f>
        <x:v>-193</x:v>
      </x:c>
      <x:c r="H417" s="52" t="n">
        <x:f>'2022 Form20'!W366</x:f>
        <x:v>-0.4298440979955457</x:v>
      </x:c>
      <x:c r="I417" t="str">
        <x:v>NARENDER KUMAR</x:v>
      </x:c>
      <x:c r="J417" t="str">
        <x:v>Bahujan Samaj Party</x:v>
      </x:c>
      <x:c r="K417" t="str">
        <x:v>EVM row</x:v>
      </x:c>
      <x:c r="L417" s="133" t="str">
        <x:f>IF(D417&lt;=0,"No EVM votes",IF(E417&lt;$N$7,"Low",IF(E417&gt;$R$7,"High","Middle")))</x:f>
        <x:v>Middle</x:v>
      </x:c>
      <x:c r="M417" s="133" t="str">
        <x:f>IF(D417&lt;=0,"No EVM votes",IF(H417&lt;-20%,"Large deficit",IF(H417&lt;-5%,"Moderate deficit",IF(H417&lt;0,"Narrow deficit",IF(H417&lt;=5%,"Narrow lead/tie",IF(H417&lt;=20%,"Moderate lead","Large lead"))))))</x:f>
        <x:v>Large deficit</x:v>
      </x:c>
    </x:row>
    <x:row r="418">
      <x:c r="A418" t="n">
        <x:v>359</x:v>
      </x:c>
      <x:c r="B418" t="str">
        <x:v>ADARSH KANYA INTER COLLEGE TOWN AREA JEWAR ROOM NO 7</x:v>
      </x:c>
      <x:c r="C418" s="83" t="n">
        <x:f>'2022 Form20'!H367</x:f>
        <x:v>84</x:v>
      </x:c>
      <x:c r="D418" s="83" t="n">
        <x:f>'2022 Form20'!D367</x:f>
        <x:v>454</x:v>
      </x:c>
      <x:c r="E418" s="50" t="n">
        <x:f>'2022 Form20'!T367</x:f>
        <x:v>0.18502202643171806</x:v>
      </x:c>
      <x:c r="F418" t="n">
        <x:f>'2022 Form20'!U367</x:f>
        <x:v>320</x:v>
      </x:c>
      <x:c r="G418" t="n">
        <x:f>'2022 Form20'!V367</x:f>
        <x:v>-236</x:v>
      </x:c>
      <x:c r="H418" s="52" t="n">
        <x:f>'2022 Form20'!W367</x:f>
        <x:v>-0.5198237885462555</x:v>
      </x:c>
      <x:c r="I418" t="str">
        <x:v>NARENDER KUMAR</x:v>
      </x:c>
      <x:c r="J418" t="str">
        <x:v>Bahujan Samaj Party</x:v>
      </x:c>
      <x:c r="K418" t="str">
        <x:v>EVM row</x:v>
      </x:c>
      <x:c r="L418" s="133" t="str">
        <x:f>IF(D418&lt;=0,"No EVM votes",IF(E418&lt;$N$7,"Low",IF(E418&gt;$R$7,"High","Middle")))</x:f>
        <x:v>Middle</x:v>
      </x:c>
      <x:c r="M418" s="133" t="str">
        <x:f>IF(D418&lt;=0,"No EVM votes",IF(H418&lt;-20%,"Large deficit",IF(H418&lt;-5%,"Moderate deficit",IF(H418&lt;0,"Narrow deficit",IF(H418&lt;=5%,"Narrow lead/tie",IF(H418&lt;=20%,"Moderate lead","Large lead"))))))</x:f>
        <x:v>Large deficit</x:v>
      </x:c>
    </x:row>
    <x:row r="419">
      <x:c r="A419" t="n">
        <x:v>360</x:v>
      </x:c>
      <x:c r="B419" t="str">
        <x:v>PRIMARY SCHOOL TOWN AREA JEWAR ROOM NO 1</x:v>
      </x:c>
      <x:c r="C419" s="83" t="n">
        <x:f>'2022 Form20'!H368</x:f>
        <x:v>68</x:v>
      </x:c>
      <x:c r="D419" s="83" t="n">
        <x:f>'2022 Form20'!D368</x:f>
        <x:v>572</x:v>
      </x:c>
      <x:c r="E419" s="50" t="n">
        <x:f>'2022 Form20'!T368</x:f>
        <x:v>0.11888111888111888</x:v>
      </x:c>
      <x:c r="F419" t="n">
        <x:f>'2022 Form20'!U368</x:f>
        <x:v>427</x:v>
      </x:c>
      <x:c r="G419" t="n">
        <x:f>'2022 Form20'!V368</x:f>
        <x:v>-359</x:v>
      </x:c>
      <x:c r="H419" s="52" t="n">
        <x:f>'2022 Form20'!W368</x:f>
        <x:v>-0.6276223776223776</x:v>
      </x:c>
      <x:c r="I419" t="str">
        <x:v>DHIRENDRA SINGH</x:v>
      </x:c>
      <x:c r="J419" t="str">
        <x:v>Bharatiya Janata Party</x:v>
      </x:c>
      <x:c r="K419" t="str">
        <x:v>EVM row</x:v>
      </x:c>
      <x:c r="L419" s="133" t="str">
        <x:f>IF(D419&lt;=0,"No EVM votes",IF(E419&lt;$N$7,"Low",IF(E419&gt;$R$7,"High","Middle")))</x:f>
        <x:v>Middle</x:v>
      </x:c>
      <x:c r="M419" s="133" t="str">
        <x:f>IF(D419&lt;=0,"No EVM votes",IF(H419&lt;-20%,"Large deficit",IF(H419&lt;-5%,"Moderate deficit",IF(H419&lt;0,"Narrow deficit",IF(H419&lt;=5%,"Narrow lead/tie",IF(H419&lt;=20%,"Moderate lead","Large lead"))))))</x:f>
        <x:v>Large deficit</x:v>
      </x:c>
    </x:row>
    <x:row r="420">
      <x:c r="A420" t="n">
        <x:v>361</x:v>
      </x:c>
      <x:c r="B420" t="str">
        <x:v>PRIMARY SCHOOL TOWN AREA JEWAR ROOM NO 2</x:v>
      </x:c>
      <x:c r="C420" s="83" t="n">
        <x:f>'2022 Form20'!H369</x:f>
        <x:v>26</x:v>
      </x:c>
      <x:c r="D420" s="83" t="n">
        <x:f>'2022 Form20'!D369</x:f>
        <x:v>496</x:v>
      </x:c>
      <x:c r="E420" s="50" t="n">
        <x:f>'2022 Form20'!T369</x:f>
        <x:v>0.05241935483870968</x:v>
      </x:c>
      <x:c r="F420" t="n">
        <x:f>'2022 Form20'!U369</x:f>
        <x:v>432</x:v>
      </x:c>
      <x:c r="G420" t="n">
        <x:f>'2022 Form20'!V369</x:f>
        <x:v>-406</x:v>
      </x:c>
      <x:c r="H420" s="52" t="n">
        <x:f>'2022 Form20'!W369</x:f>
        <x:v>-0.8185483870967742</x:v>
      </x:c>
      <x:c r="I420" t="str">
        <x:v>NARENDER KUMAR</x:v>
      </x:c>
      <x:c r="J420" t="str">
        <x:v>Bahujan Samaj Party</x:v>
      </x:c>
      <x:c r="K420" t="str">
        <x:v>EVM row</x:v>
      </x:c>
      <x:c r="L420" s="133" t="str">
        <x:f>IF(D420&lt;=0,"No EVM votes",IF(E420&lt;$N$7,"Low",IF(E420&gt;$R$7,"High","Middle")))</x:f>
        <x:v>Low</x:v>
      </x:c>
      <x:c r="M420" s="133" t="str">
        <x:f>IF(D420&lt;=0,"No EVM votes",IF(H420&lt;-20%,"Large deficit",IF(H420&lt;-5%,"Moderate deficit",IF(H420&lt;0,"Narrow deficit",IF(H420&lt;=5%,"Narrow lead/tie",IF(H420&lt;=20%,"Moderate lead","Large lead"))))))</x:f>
        <x:v>Large deficit</x:v>
      </x:c>
    </x:row>
    <x:row r="421">
      <x:c r="A421" t="n">
        <x:v>362</x:v>
      </x:c>
      <x:c r="B421" t="str">
        <x:v>PRIMARY SCHOOL TOWN AREA JEWAR ROOM NO 3</x:v>
      </x:c>
      <x:c r="C421" s="83" t="n">
        <x:f>'2022 Form20'!H370</x:f>
        <x:v>98</x:v>
      </x:c>
      <x:c r="D421" s="83" t="n">
        <x:f>'2022 Form20'!D370</x:f>
        <x:v>391</x:v>
      </x:c>
      <x:c r="E421" s="50" t="n">
        <x:f>'2022 Form20'!T370</x:f>
        <x:v>0.2506393861892583</x:v>
      </x:c>
      <x:c r="F421" t="n">
        <x:f>'2022 Form20'!U370</x:f>
        <x:v>162</x:v>
      </x:c>
      <x:c r="G421" t="n">
        <x:f>'2022 Form20'!V370</x:f>
        <x:v>-64</x:v>
      </x:c>
      <x:c r="H421" s="52" t="n">
        <x:f>'2022 Form20'!W370</x:f>
        <x:v>-0.1636828644501279</x:v>
      </x:c>
      <x:c r="I421" t="str">
        <x:v>DHIRENDRA SINGH</x:v>
      </x:c>
      <x:c r="J421" t="str">
        <x:v>Bharatiya Janata Party</x:v>
      </x:c>
      <x:c r="K421" t="str">
        <x:v>EVM row</x:v>
      </x:c>
      <x:c r="L421" s="133" t="str">
        <x:f>IF(D421&lt;=0,"No EVM votes",IF(E421&lt;$N$7,"Low",IF(E421&gt;$R$7,"High","Middle")))</x:f>
        <x:v>Middle</x:v>
      </x:c>
      <x:c r="M421" s="133" t="str">
        <x:f>IF(D421&lt;=0,"No EVM votes",IF(H421&lt;-20%,"Large deficit",IF(H421&lt;-5%,"Moderate deficit",IF(H421&lt;0,"Narrow deficit",IF(H421&lt;=5%,"Narrow lead/tie",IF(H421&lt;=20%,"Moderate lead","Large lead"))))))</x:f>
        <x:v>Moderate deficit</x:v>
      </x:c>
    </x:row>
    <x:row r="422">
      <x:c r="A422" t="n">
        <x:v>363</x:v>
      </x:c>
      <x:c r="B422" t="str">
        <x:v>JANTA INTER COLLEGE JEWAR TOWN AREA ROOM NO 1</x:v>
      </x:c>
      <x:c r="C422" s="83" t="n">
        <x:f>'2022 Form20'!H371</x:f>
        <x:v>321</x:v>
      </x:c>
      <x:c r="D422" s="83" t="n">
        <x:f>'2022 Form20'!D371</x:f>
        <x:v>676</x:v>
      </x:c>
      <x:c r="E422" s="50" t="n">
        <x:f>'2022 Form20'!T371</x:f>
        <x:v>0.47485207100591714</x:v>
      </x:c>
      <x:c r="F422" t="n">
        <x:f>'2022 Form20'!U371</x:f>
        <x:v>329</x:v>
      </x:c>
      <x:c r="G422" t="n">
        <x:f>'2022 Form20'!V371</x:f>
        <x:v>-8</x:v>
      </x:c>
      <x:c r="H422" s="52" t="n">
        <x:f>'2022 Form20'!W371</x:f>
        <x:v>-0.011834319526627219</x:v>
      </x:c>
      <x:c r="I422" t="str">
        <x:v>DHIRENDRA SINGH</x:v>
      </x:c>
      <x:c r="J422" t="str">
        <x:v>Bharatiya Janata Party</x:v>
      </x:c>
      <x:c r="K422" t="str">
        <x:v>EVM row</x:v>
      </x:c>
      <x:c r="L422" s="133" t="str">
        <x:f>IF(D422&lt;=0,"No EVM votes",IF(E422&lt;$N$7,"Low",IF(E422&gt;$R$7,"High","Middle")))</x:f>
        <x:v>High</x:v>
      </x:c>
      <x:c r="M422" s="133" t="str">
        <x:f>IF(D422&lt;=0,"No EVM votes",IF(H422&lt;-20%,"Large deficit",IF(H422&lt;-5%,"Moderate deficit",IF(H422&lt;0,"Narrow deficit",IF(H422&lt;=5%,"Narrow lead/tie",IF(H422&lt;=20%,"Moderate lead","Large lead"))))))</x:f>
        <x:v>Narrow deficit</x:v>
      </x:c>
    </x:row>
    <x:row r="423">
      <x:c r="A423" t="n">
        <x:v>364</x:v>
      </x:c>
      <x:c r="B423" t="str">
        <x:v>JANTA INTER COLLEGE JEWAR TOWN AREA ROOM NO 2</x:v>
      </x:c>
      <x:c r="C423" s="83" t="n">
        <x:f>'2022 Form20'!H372</x:f>
        <x:v>301</x:v>
      </x:c>
      <x:c r="D423" s="83" t="n">
        <x:f>'2022 Form20'!D372</x:f>
        <x:v>464</x:v>
      </x:c>
      <x:c r="E423" s="50" t="n">
        <x:f>'2022 Form20'!T372</x:f>
        <x:v>0.6487068965517241</x:v>
      </x:c>
      <x:c r="F423" t="n">
        <x:f>'2022 Form20'!U372</x:f>
        <x:v>144</x:v>
      </x:c>
      <x:c r="G423" t="n">
        <x:f>'2022 Form20'!V372</x:f>
        <x:v>157</x:v>
      </x:c>
      <x:c r="H423" s="52" t="n">
        <x:f>'2022 Form20'!W372</x:f>
        <x:v>0.33836206896551724</x:v>
      </x:c>
      <x:c r="I423" t="str">
        <x:v>AVTAR SINGH BHADANA</x:v>
      </x:c>
      <x:c r="J423" t="str">
        <x:v>Rashtriya Lok Dal</x:v>
      </x:c>
      <x:c r="K423" t="str">
        <x:v>EVM row</x:v>
      </x:c>
      <x:c r="L423" s="133" t="str">
        <x:f>IF(D423&lt;=0,"No EVM votes",IF(E423&lt;$N$7,"Low",IF(E423&gt;$R$7,"High","Middle")))</x:f>
        <x:v>High</x:v>
      </x:c>
      <x:c r="M423" s="133" t="str">
        <x:f>IF(D423&lt;=0,"No EVM votes",IF(H423&lt;-20%,"Large deficit",IF(H423&lt;-5%,"Moderate deficit",IF(H423&lt;0,"Narrow deficit",IF(H423&lt;=5%,"Narrow lead/tie",IF(H423&lt;=20%,"Moderate lead","Large lead"))))))</x:f>
        <x:v>Large lead</x:v>
      </x:c>
    </x:row>
    <x:row r="424">
      <x:c r="A424" t="n">
        <x:v>365</x:v>
      </x:c>
      <x:c r="B424" t="str">
        <x:v>JANTA INTER COLLEGE JEWAR TOWN AREA ROOM NO 3</x:v>
      </x:c>
      <x:c r="C424" s="83" t="n">
        <x:f>'2022 Form20'!H373</x:f>
        <x:v>228</x:v>
      </x:c>
      <x:c r="D424" s="83" t="n">
        <x:f>'2022 Form20'!D373</x:f>
        <x:v>572</x:v>
      </x:c>
      <x:c r="E424" s="50" t="n">
        <x:f>'2022 Form20'!T373</x:f>
        <x:v>0.3986013986013986</x:v>
      </x:c>
      <x:c r="F424" t="n">
        <x:f>'2022 Form20'!U373</x:f>
        <x:v>298</x:v>
      </x:c>
      <x:c r="G424" t="n">
        <x:f>'2022 Form20'!V373</x:f>
        <x:v>-70</x:v>
      </x:c>
      <x:c r="H424" s="52" t="n">
        <x:f>'2022 Form20'!W373</x:f>
        <x:v>-0.12237762237762238</x:v>
      </x:c>
      <x:c r="I424" t="str">
        <x:v>DHIRENDRA SINGH</x:v>
      </x:c>
      <x:c r="J424" t="str">
        <x:v>Bharatiya Janata Party</x:v>
      </x:c>
      <x:c r="K424" t="str">
        <x:v>EVM row</x:v>
      </x:c>
      <x:c r="L424" s="133" t="str">
        <x:f>IF(D424&lt;=0,"No EVM votes",IF(E424&lt;$N$7,"Low",IF(E424&gt;$R$7,"High","Middle")))</x:f>
        <x:v>High</x:v>
      </x:c>
      <x:c r="M424" s="133" t="str">
        <x:f>IF(D424&lt;=0,"No EVM votes",IF(H424&lt;-20%,"Large deficit",IF(H424&lt;-5%,"Moderate deficit",IF(H424&lt;0,"Narrow deficit",IF(H424&lt;=5%,"Narrow lead/tie",IF(H424&lt;=20%,"Moderate lead","Large lead"))))))</x:f>
        <x:v>Moderate deficit</x:v>
      </x:c>
    </x:row>
    <x:row r="425">
      <x:c r="A425" t="n">
        <x:v>366</x:v>
      </x:c>
      <x:c r="B425" t="str">
        <x:v>JANTA INTER COLLEGE JEWAR TOWN AREA ROOM NO 4</x:v>
      </x:c>
      <x:c r="C425" s="83" t="n">
        <x:f>'2022 Form20'!H374</x:f>
        <x:v>74</x:v>
      </x:c>
      <x:c r="D425" s="83" t="n">
        <x:f>'2022 Form20'!D374</x:f>
        <x:v>429</x:v>
      </x:c>
      <x:c r="E425" s="50" t="n">
        <x:f>'2022 Form20'!T374</x:f>
        <x:v>0.17249417249417248</x:v>
      </x:c>
      <x:c r="F425" t="n">
        <x:f>'2022 Form20'!U374</x:f>
        <x:v>324</x:v>
      </x:c>
      <x:c r="G425" t="n">
        <x:f>'2022 Form20'!V374</x:f>
        <x:v>-250</x:v>
      </x:c>
      <x:c r="H425" s="52" t="n">
        <x:f>'2022 Form20'!W374</x:f>
        <x:v>-0.5827505827505828</x:v>
      </x:c>
      <x:c r="I425" t="str">
        <x:v>DHIRENDRA SINGH</x:v>
      </x:c>
      <x:c r="J425" t="str">
        <x:v>Bharatiya Janata Party</x:v>
      </x:c>
      <x:c r="K425" t="str">
        <x:v>EVM row</x:v>
      </x:c>
      <x:c r="L425" s="133" t="str">
        <x:f>IF(D425&lt;=0,"No EVM votes",IF(E425&lt;$N$7,"Low",IF(E425&gt;$R$7,"High","Middle")))</x:f>
        <x:v>Middle</x:v>
      </x:c>
      <x:c r="M425" s="133" t="str">
        <x:f>IF(D425&lt;=0,"No EVM votes",IF(H425&lt;-20%,"Large deficit",IF(H425&lt;-5%,"Moderate deficit",IF(H425&lt;0,"Narrow deficit",IF(H425&lt;=5%,"Narrow lead/tie",IF(H425&lt;=20%,"Moderate lead","Large lead"))))))</x:f>
        <x:v>Large deficit</x:v>
      </x:c>
    </x:row>
    <x:row r="426">
      <x:c r="A426" t="n">
        <x:v>367</x:v>
      </x:c>
      <x:c r="B426" t="str">
        <x:v>JANTA INTER COLLEGE JEWAR TOWN AREA ROOM NO 5</x:v>
      </x:c>
      <x:c r="C426" s="83" t="n">
        <x:f>'2022 Form20'!H375</x:f>
        <x:v>575</x:v>
      </x:c>
      <x:c r="D426" s="83" t="n">
        <x:f>'2022 Form20'!D375</x:f>
        <x:v>696</x:v>
      </x:c>
      <x:c r="E426" s="50" t="n">
        <x:f>'2022 Form20'!T375</x:f>
        <x:v>0.8261494252873564</x:v>
      </x:c>
      <x:c r="F426" t="n">
        <x:f>'2022 Form20'!U375</x:f>
        <x:v>56</x:v>
      </x:c>
      <x:c r="G426" t="n">
        <x:f>'2022 Form20'!V375</x:f>
        <x:v>519</x:v>
      </x:c>
      <x:c r="H426" s="52" t="n">
        <x:f>'2022 Form20'!W375</x:f>
        <x:v>0.7456896551724138</x:v>
      </x:c>
      <x:c r="I426" t="str">
        <x:v>AVTAR SINGH BHADANA</x:v>
      </x:c>
      <x:c r="J426" t="str">
        <x:v>Rashtriya Lok Dal</x:v>
      </x:c>
      <x:c r="K426" t="str">
        <x:v>EVM row</x:v>
      </x:c>
      <x:c r="L426" s="133" t="str">
        <x:f>IF(D426&lt;=0,"No EVM votes",IF(E426&lt;$N$7,"Low",IF(E426&gt;$R$7,"High","Middle")))</x:f>
        <x:v>High</x:v>
      </x:c>
      <x:c r="M426" s="133" t="str">
        <x:f>IF(D426&lt;=0,"No EVM votes",IF(H426&lt;-20%,"Large deficit",IF(H426&lt;-5%,"Moderate deficit",IF(H426&lt;0,"Narrow deficit",IF(H426&lt;=5%,"Narrow lead/tie",IF(H426&lt;=20%,"Moderate lead","Large lead"))))))</x:f>
        <x:v>Large lead</x:v>
      </x:c>
    </x:row>
    <x:row r="427">
      <x:c r="A427" t="n">
        <x:v>368</x:v>
      </x:c>
      <x:c r="B427" t="str">
        <x:v>JANTA INTER COLLEGE JEWAR TOWN AREA ROOM NO 6</x:v>
      </x:c>
      <x:c r="C427" s="83" t="n">
        <x:f>'2022 Form20'!H376</x:f>
        <x:v>328</x:v>
      </x:c>
      <x:c r="D427" s="83" t="n">
        <x:f>'2022 Form20'!D376</x:f>
        <x:v>514</x:v>
      </x:c>
      <x:c r="E427" s="50" t="n">
        <x:f>'2022 Form20'!T376</x:f>
        <x:v>0.6381322957198443</x:v>
      </x:c>
      <x:c r="F427" t="n">
        <x:f>'2022 Form20'!U376</x:f>
        <x:v>138</x:v>
      </x:c>
      <x:c r="G427" t="n">
        <x:f>'2022 Form20'!V376</x:f>
        <x:v>190</x:v>
      </x:c>
      <x:c r="H427" s="52" t="n">
        <x:f>'2022 Form20'!W376</x:f>
        <x:v>0.36964980544747084</x:v>
      </x:c>
      <x:c r="I427" t="str">
        <x:v>AVTAR SINGH BHADANA</x:v>
      </x:c>
      <x:c r="J427" t="str">
        <x:v>Rashtriya Lok Dal</x:v>
      </x:c>
      <x:c r="K427" t="str">
        <x:v>EVM row</x:v>
      </x:c>
      <x:c r="L427" s="133" t="str">
        <x:f>IF(D427&lt;=0,"No EVM votes",IF(E427&lt;$N$7,"Low",IF(E427&gt;$R$7,"High","Middle")))</x:f>
        <x:v>High</x:v>
      </x:c>
      <x:c r="M427" s="133" t="str">
        <x:f>IF(D427&lt;=0,"No EVM votes",IF(H427&lt;-20%,"Large deficit",IF(H427&lt;-5%,"Moderate deficit",IF(H427&lt;0,"Narrow deficit",IF(H427&lt;=5%,"Narrow lead/tie",IF(H427&lt;=20%,"Moderate lead","Large lead"))))))</x:f>
        <x:v>Large lead</x:v>
      </x:c>
    </x:row>
    <x:row r="428">
      <x:c r="A428" t="n">
        <x:v>369</x:v>
      </x:c>
      <x:c r="B428" t="str">
        <x:v>PRIMARY SCHOOL VAINA ROAD JEWAR ROOM NO 1</x:v>
      </x:c>
      <x:c r="C428" s="83" t="n">
        <x:f>'2022 Form20'!H377</x:f>
        <x:v>9</x:v>
      </x:c>
      <x:c r="D428" s="83" t="n">
        <x:f>'2022 Form20'!D377</x:f>
        <x:v>386</x:v>
      </x:c>
      <x:c r="E428" s="50" t="n">
        <x:f>'2022 Form20'!T377</x:f>
        <x:v>0.023316062176165803</x:v>
      </x:c>
      <x:c r="F428" t="n">
        <x:f>'2022 Form20'!U377</x:f>
        <x:v>359</x:v>
      </x:c>
      <x:c r="G428" t="n">
        <x:f>'2022 Form20'!V377</x:f>
        <x:v>-350</x:v>
      </x:c>
      <x:c r="H428" s="52" t="n">
        <x:f>'2022 Form20'!W377</x:f>
        <x:v>-0.9067357512953368</x:v>
      </x:c>
      <x:c r="I428" t="str">
        <x:v>NARENDER KUMAR</x:v>
      </x:c>
      <x:c r="J428" t="str">
        <x:v>Bahujan Samaj Party</x:v>
      </x:c>
      <x:c r="K428" t="str">
        <x:v>EVM row</x:v>
      </x:c>
      <x:c r="L428" s="133" t="str">
        <x:f>IF(D428&lt;=0,"No EVM votes",IF(E428&lt;$N$7,"Low",IF(E428&gt;$R$7,"High","Middle")))</x:f>
        <x:v>Low</x:v>
      </x:c>
      <x:c r="M428" s="133" t="str">
        <x:f>IF(D428&lt;=0,"No EVM votes",IF(H428&lt;-20%,"Large deficit",IF(H428&lt;-5%,"Moderate deficit",IF(H428&lt;0,"Narrow deficit",IF(H428&lt;=5%,"Narrow lead/tie",IF(H428&lt;=20%,"Moderate lead","Large lead"))))))</x:f>
        <x:v>Large deficit</x:v>
      </x:c>
    </x:row>
    <x:row r="429">
      <x:c r="A429" t="n">
        <x:v>370</x:v>
      </x:c>
      <x:c r="B429" t="str">
        <x:v>PRIMARY SCHOOL VAINA ROAD JEWAR ROOM NO 2</x:v>
      </x:c>
      <x:c r="C429" s="83" t="n">
        <x:f>'2022 Form20'!H378</x:f>
        <x:v>194</x:v>
      </x:c>
      <x:c r="D429" s="83" t="n">
        <x:f>'2022 Form20'!D378</x:f>
        <x:v>542</x:v>
      </x:c>
      <x:c r="E429" s="50" t="n">
        <x:f>'2022 Form20'!T378</x:f>
        <x:v>0.35793357933579334</x:v>
      </x:c>
      <x:c r="F429" t="n">
        <x:f>'2022 Form20'!U378</x:f>
        <x:v>293</x:v>
      </x:c>
      <x:c r="G429" t="n">
        <x:f>'2022 Form20'!V378</x:f>
        <x:v>-99</x:v>
      </x:c>
      <x:c r="H429" s="52" t="n">
        <x:f>'2022 Form20'!W378</x:f>
        <x:v>-0.18265682656826568</x:v>
      </x:c>
      <x:c r="I429" t="str">
        <x:v>DHIRENDRA SINGH</x:v>
      </x:c>
      <x:c r="J429" t="str">
        <x:v>Bharatiya Janata Party</x:v>
      </x:c>
      <x:c r="K429" t="str">
        <x:v>EVM row</x:v>
      </x:c>
      <x:c r="L429" s="133" t="str">
        <x:f>IF(D429&lt;=0,"No EVM votes",IF(E429&lt;$N$7,"Low",IF(E429&gt;$R$7,"High","Middle")))</x:f>
        <x:v>Middle</x:v>
      </x:c>
      <x:c r="M429" s="133" t="str">
        <x:f>IF(D429&lt;=0,"No EVM votes",IF(H429&lt;-20%,"Large deficit",IF(H429&lt;-5%,"Moderate deficit",IF(H429&lt;0,"Narrow deficit",IF(H429&lt;=5%,"Narrow lead/tie",IF(H429&lt;=20%,"Moderate lead","Large lead"))))))</x:f>
        <x:v>Moderate deficit</x:v>
      </x:c>
    </x:row>
    <x:row r="430">
      <x:c r="A430" t="n">
        <x:v>371</x:v>
      </x:c>
      <x:c r="B430" t="str">
        <x:v>PRIMARY SCHOOL VAINA ROAD JEWAR ROOM NO 3</x:v>
      </x:c>
      <x:c r="C430" s="83" t="n">
        <x:f>'2022 Form20'!H379</x:f>
        <x:v>457</x:v>
      </x:c>
      <x:c r="D430" s="83" t="n">
        <x:f>'2022 Form20'!D379</x:f>
        <x:v>689</x:v>
      </x:c>
      <x:c r="E430" s="50" t="n">
        <x:f>'2022 Form20'!T379</x:f>
        <x:v>0.6632801161103048</x:v>
      </x:c>
      <x:c r="F430" t="n">
        <x:f>'2022 Form20'!U379</x:f>
        <x:v>188</x:v>
      </x:c>
      <x:c r="G430" t="n">
        <x:f>'2022 Form20'!V379</x:f>
        <x:v>269</x:v>
      </x:c>
      <x:c r="H430" s="52" t="n">
        <x:f>'2022 Form20'!W379</x:f>
        <x:v>0.3904208998548621</x:v>
      </x:c>
      <x:c r="I430" t="str">
        <x:v>AVTAR SINGH BHADANA</x:v>
      </x:c>
      <x:c r="J430" t="str">
        <x:v>Rashtriya Lok Dal</x:v>
      </x:c>
      <x:c r="K430" t="str">
        <x:v>EVM row</x:v>
      </x:c>
      <x:c r="L430" s="133" t="str">
        <x:f>IF(D430&lt;=0,"No EVM votes",IF(E430&lt;$N$7,"Low",IF(E430&gt;$R$7,"High","Middle")))</x:f>
        <x:v>High</x:v>
      </x:c>
      <x:c r="M430" s="133" t="str">
        <x:f>IF(D430&lt;=0,"No EVM votes",IF(H430&lt;-20%,"Large deficit",IF(H430&lt;-5%,"Moderate deficit",IF(H430&lt;0,"Narrow deficit",IF(H430&lt;=5%,"Narrow lead/tie",IF(H430&lt;=20%,"Moderate lead","Large lead"))))))</x:f>
        <x:v>Large lead</x:v>
      </x:c>
    </x:row>
    <x:row r="431">
      <x:c r="A431" t="n">
        <x:v>372</x:v>
      </x:c>
      <x:c r="B431" t="str">
        <x:v>KANWAR TECHNICAL INTER COLLEGE JEWAR TOWN AREA ROOM NO 1</x:v>
      </x:c>
      <x:c r="C431" s="83" t="n">
        <x:f>'2022 Form20'!H380</x:f>
        <x:v>108</x:v>
      </x:c>
      <x:c r="D431" s="83" t="n">
        <x:f>'2022 Form20'!D380</x:f>
        <x:v>657</x:v>
      </x:c>
      <x:c r="E431" s="50" t="n">
        <x:f>'2022 Form20'!T380</x:f>
        <x:v>0.1643835616438356</x:v>
      </x:c>
      <x:c r="F431" t="n">
        <x:f>'2022 Form20'!U380</x:f>
        <x:v>528</x:v>
      </x:c>
      <x:c r="G431" t="n">
        <x:f>'2022 Form20'!V380</x:f>
        <x:v>-420</x:v>
      </x:c>
      <x:c r="H431" s="52" t="n">
        <x:f>'2022 Form20'!W380</x:f>
        <x:v>-0.639269406392694</x:v>
      </x:c>
      <x:c r="I431" t="str">
        <x:v>DHIRENDRA SINGH</x:v>
      </x:c>
      <x:c r="J431" t="str">
        <x:v>Bharatiya Janata Party</x:v>
      </x:c>
      <x:c r="K431" t="str">
        <x:v>EVM row</x:v>
      </x:c>
      <x:c r="L431" s="133" t="str">
        <x:f>IF(D431&lt;=0,"No EVM votes",IF(E431&lt;$N$7,"Low",IF(E431&gt;$R$7,"High","Middle")))</x:f>
        <x:v>Middle</x:v>
      </x:c>
      <x:c r="M431" s="133" t="str">
        <x:f>IF(D431&lt;=0,"No EVM votes",IF(H431&lt;-20%,"Large deficit",IF(H431&lt;-5%,"Moderate deficit",IF(H431&lt;0,"Narrow deficit",IF(H431&lt;=5%,"Narrow lead/tie",IF(H431&lt;=20%,"Moderate lead","Large lead"))))))</x:f>
        <x:v>Large deficit</x:v>
      </x:c>
    </x:row>
    <x:row r="432">
      <x:c r="A432" t="n">
        <x:v>373</x:v>
      </x:c>
      <x:c r="B432" t="str">
        <x:v>KANWAR TECHNICAL INTER COLLEGE JEWAR TOWN AREA ROOM NO 2</x:v>
      </x:c>
      <x:c r="C432" s="83" t="n">
        <x:f>'2022 Form20'!H381</x:f>
        <x:v>306</x:v>
      </x:c>
      <x:c r="D432" s="83" t="n">
        <x:f>'2022 Form20'!D381</x:f>
        <x:v>518</x:v>
      </x:c>
      <x:c r="E432" s="50" t="n">
        <x:f>'2022 Form20'!T381</x:f>
        <x:v>0.5907335907335908</x:v>
      </x:c>
      <x:c r="F432" t="n">
        <x:f>'2022 Form20'!U381</x:f>
        <x:v>193</x:v>
      </x:c>
      <x:c r="G432" t="n">
        <x:f>'2022 Form20'!V381</x:f>
        <x:v>113</x:v>
      </x:c>
      <x:c r="H432" s="52" t="n">
        <x:f>'2022 Form20'!W381</x:f>
        <x:v>0.21814671814671815</x:v>
      </x:c>
      <x:c r="I432" t="str">
        <x:v>AVTAR SINGH BHADANA</x:v>
      </x:c>
      <x:c r="J432" t="str">
        <x:v>Rashtriya Lok Dal</x:v>
      </x:c>
      <x:c r="K432" t="str">
        <x:v>EVM row</x:v>
      </x:c>
      <x:c r="L432" s="133" t="str">
        <x:f>IF(D432&lt;=0,"No EVM votes",IF(E432&lt;$N$7,"Low",IF(E432&gt;$R$7,"High","Middle")))</x:f>
        <x:v>High</x:v>
      </x:c>
      <x:c r="M432" s="133" t="str">
        <x:f>IF(D432&lt;=0,"No EVM votes",IF(H432&lt;-20%,"Large deficit",IF(H432&lt;-5%,"Moderate deficit",IF(H432&lt;0,"Narrow deficit",IF(H432&lt;=5%,"Narrow lead/tie",IF(H432&lt;=20%,"Moderate lead","Large lead"))))))</x:f>
        <x:v>Large lead</x:v>
      </x:c>
    </x:row>
    <x:row r="433">
      <x:c r="A433" t="n">
        <x:v>374</x:v>
      </x:c>
      <x:c r="B433" t="str">
        <x:v>KANWAR TECHNICAL INTER COLLEGE JEWAR TOWN AREA ROOM NO 3</x:v>
      </x:c>
      <x:c r="C433" s="83" t="n">
        <x:f>'2022 Form20'!H382</x:f>
        <x:v>475</x:v>
      </x:c>
      <x:c r="D433" s="83" t="n">
        <x:f>'2022 Form20'!D382</x:f>
        <x:v>717</x:v>
      </x:c>
      <x:c r="E433" s="50" t="n">
        <x:f>'2022 Form20'!T382</x:f>
        <x:v>0.6624825662482566</x:v>
      </x:c>
      <x:c r="F433" t="n">
        <x:f>'2022 Form20'!U382</x:f>
        <x:v>206</x:v>
      </x:c>
      <x:c r="G433" t="n">
        <x:f>'2022 Form20'!V382</x:f>
        <x:v>269</x:v>
      </x:c>
      <x:c r="H433" s="52" t="n">
        <x:f>'2022 Form20'!W382</x:f>
        <x:v>0.37517433751743373</x:v>
      </x:c>
      <x:c r="I433" t="str">
        <x:v>AVTAR SINGH BHADANA</x:v>
      </x:c>
      <x:c r="J433" t="str">
        <x:v>Rashtriya Lok Dal</x:v>
      </x:c>
      <x:c r="K433" t="str">
        <x:v>EVM row</x:v>
      </x:c>
      <x:c r="L433" s="133" t="str">
        <x:f>IF(D433&lt;=0,"No EVM votes",IF(E433&lt;$N$7,"Low",IF(E433&gt;$R$7,"High","Middle")))</x:f>
        <x:v>High</x:v>
      </x:c>
      <x:c r="M433" s="133" t="str">
        <x:f>IF(D433&lt;=0,"No EVM votes",IF(H433&lt;-20%,"Large deficit",IF(H433&lt;-5%,"Moderate deficit",IF(H433&lt;0,"Narrow deficit",IF(H433&lt;=5%,"Narrow lead/tie",IF(H433&lt;=20%,"Moderate lead","Large lead"))))))</x:f>
        <x:v>Large lead</x:v>
      </x:c>
    </x:row>
    <x:row r="434">
      <x:c r="A434" t="n">
        <x:v>375</x:v>
      </x:c>
      <x:c r="B434" t="str">
        <x:v>ANGANWADI CENTER ESTABLISHMENT AREA JEWAR BANGAR ROOM NO. 1</x:v>
      </x:c>
      <x:c r="C434" s="83" t="n">
        <x:f>'2022 Form20'!H383</x:f>
        <x:v>32</x:v>
      </x:c>
      <x:c r="D434" s="83" t="n">
        <x:f>'2022 Form20'!D383</x:f>
        <x:v>271</x:v>
      </x:c>
      <x:c r="E434" s="50" t="n">
        <x:f>'2022 Form20'!T383</x:f>
        <x:v>0.11808118081180811</x:v>
      </x:c>
      <x:c r="F434" t="n">
        <x:f>'2022 Form20'!U383</x:f>
        <x:v>230</x:v>
      </x:c>
      <x:c r="G434" t="n">
        <x:f>'2022 Form20'!V383</x:f>
        <x:v>-198</x:v>
      </x:c>
      <x:c r="H434" s="52" t="n">
        <x:f>'2022 Form20'!W383</x:f>
        <x:v>-0.7306273062730627</x:v>
      </x:c>
      <x:c r="I434" t="str">
        <x:v>DHIRENDRA SINGH</x:v>
      </x:c>
      <x:c r="J434" t="str">
        <x:v>Bharatiya Janata Party</x:v>
      </x:c>
      <x:c r="K434" t="str">
        <x:v>EVM row</x:v>
      </x:c>
      <x:c r="L434" s="133" t="str">
        <x:f>IF(D434&lt;=0,"No EVM votes",IF(E434&lt;$N$7,"Low",IF(E434&gt;$R$7,"High","Middle")))</x:f>
        <x:v>Middle</x:v>
      </x:c>
      <x:c r="M434" s="133" t="str">
        <x:f>IF(D434&lt;=0,"No EVM votes",IF(H434&lt;-20%,"Large deficit",IF(H434&lt;-5%,"Moderate deficit",IF(H434&lt;0,"Narrow deficit",IF(H434&lt;=5%,"Narrow lead/tie",IF(H434&lt;=20%,"Moderate lead","Large lead"))))))</x:f>
        <x:v>Large deficit</x:v>
      </x:c>
    </x:row>
    <x:row r="435">
      <x:c r="A435" t="n">
        <x:v>376</x:v>
      </x:c>
      <x:c r="B435" t="str">
        <x:v>ANGANWADI CENTER ESTABLISHMENT AREA JEWAR BANGAR ROOM NO. 2</x:v>
      </x:c>
      <x:c r="C435" s="83" t="n">
        <x:f>'2022 Form20'!H384</x:f>
        <x:v>51</x:v>
      </x:c>
      <x:c r="D435" s="83" t="n">
        <x:f>'2022 Form20'!D384</x:f>
        <x:v>591</x:v>
      </x:c>
      <x:c r="E435" s="50" t="n">
        <x:f>'2022 Form20'!T384</x:f>
        <x:v>0.08629441624365482</x:v>
      </x:c>
      <x:c r="F435" t="n">
        <x:f>'2022 Form20'!U384</x:f>
        <x:v>389</x:v>
      </x:c>
      <x:c r="G435" t="n">
        <x:f>'2022 Form20'!V384</x:f>
        <x:v>-338</x:v>
      </x:c>
      <x:c r="H435" s="52" t="n">
        <x:f>'2022 Form20'!W384</x:f>
        <x:v>-0.571912013536379</x:v>
      </x:c>
      <x:c r="I435" t="str">
        <x:v>DHIRENDRA SINGH</x:v>
      </x:c>
      <x:c r="J435" t="str">
        <x:v>Bharatiya Janata Party</x:v>
      </x:c>
      <x:c r="K435" t="str">
        <x:v>EVM row</x:v>
      </x:c>
      <x:c r="L435" s="133" t="str">
        <x:f>IF(D435&lt;=0,"No EVM votes",IF(E435&lt;$N$7,"Low",IF(E435&gt;$R$7,"High","Middle")))</x:f>
        <x:v>Low</x:v>
      </x:c>
      <x:c r="M435" s="133" t="str">
        <x:f>IF(D435&lt;=0,"No EVM votes",IF(H435&lt;-20%,"Large deficit",IF(H435&lt;-5%,"Moderate deficit",IF(H435&lt;0,"Narrow deficit",IF(H435&lt;=5%,"Narrow lead/tie",IF(H435&lt;=20%,"Moderate lead","Large lead"))))))</x:f>
        <x:v>Large deficit</x:v>
      </x:c>
    </x:row>
    <x:row r="436">
      <x:c r="A436" t="n">
        <x:v>377</x:v>
      </x:c>
      <x:c r="B436" t="str">
        <x:v>ANGANWADI CENTER ESTABLISHMENT AREA JEWAR BANGAR ROOM NO. 3</x:v>
      </x:c>
      <x:c r="C436" s="83" t="n">
        <x:f>'2022 Form20'!H385</x:f>
        <x:v>234</x:v>
      </x:c>
      <x:c r="D436" s="83" t="n">
        <x:f>'2022 Form20'!D385</x:f>
        <x:v>721</x:v>
      </x:c>
      <x:c r="E436" s="50" t="n">
        <x:f>'2022 Form20'!T385</x:f>
        <x:v>0.3245492371705964</x:v>
      </x:c>
      <x:c r="F436" t="n">
        <x:f>'2022 Form20'!U385</x:f>
        <x:v>471</x:v>
      </x:c>
      <x:c r="G436" t="n">
        <x:f>'2022 Form20'!V385</x:f>
        <x:v>-237</x:v>
      </x:c>
      <x:c r="H436" s="52" t="n">
        <x:f>'2022 Form20'!W385</x:f>
        <x:v>-0.3287101248266297</x:v>
      </x:c>
      <x:c r="I436" t="str">
        <x:v>DHIRENDRA SINGH</x:v>
      </x:c>
      <x:c r="J436" t="str">
        <x:v>Bharatiya Janata Party</x:v>
      </x:c>
      <x:c r="K436" t="str">
        <x:v>EVM row</x:v>
      </x:c>
      <x:c r="L436" s="133" t="str">
        <x:f>IF(D436&lt;=0,"No EVM votes",IF(E436&lt;$N$7,"Low",IF(E436&gt;$R$7,"High","Middle")))</x:f>
        <x:v>Middle</x:v>
      </x:c>
      <x:c r="M436" s="133" t="str">
        <x:f>IF(D436&lt;=0,"No EVM votes",IF(H436&lt;-20%,"Large deficit",IF(H436&lt;-5%,"Moderate deficit",IF(H436&lt;0,"Narrow deficit",IF(H436&lt;=5%,"Narrow lead/tie",IF(H436&lt;=20%,"Moderate lead","Large lead"))))))</x:f>
        <x:v>Large deficit</x:v>
      </x:c>
    </x:row>
    <x:row r="437">
      <x:c r="A437" t="n">
        <x:v>378</x:v>
      </x:c>
      <x:c r="B437" t="str">
        <x:v>ANGANWADI CENTER ESTABLISHMENT AREA JEWAR BANGAR ROOM NO. 4</x:v>
      </x:c>
      <x:c r="C437" s="83" t="n">
        <x:f>'2022 Form20'!H386</x:f>
        <x:v>497</x:v>
      </x:c>
      <x:c r="D437" s="83" t="n">
        <x:f>'2022 Form20'!D386</x:f>
        <x:v>838</x:v>
      </x:c>
      <x:c r="E437" s="50" t="n">
        <x:f>'2022 Form20'!T386</x:f>
        <x:v>0.5930787589498807</x:v>
      </x:c>
      <x:c r="F437" t="n">
        <x:f>'2022 Form20'!U386</x:f>
        <x:v>320</x:v>
      </x:c>
      <x:c r="G437" t="n">
        <x:f>'2022 Form20'!V386</x:f>
        <x:v>177</x:v>
      </x:c>
      <x:c r="H437" s="52" t="n">
        <x:f>'2022 Form20'!W386</x:f>
        <x:v>0.21121718377088305</x:v>
      </x:c>
      <x:c r="I437" t="str">
        <x:v>AVTAR SINGH BHADANA</x:v>
      </x:c>
      <x:c r="J437" t="str">
        <x:v>Rashtriya Lok Dal</x:v>
      </x:c>
      <x:c r="K437" t="str">
        <x:v>EVM row</x:v>
      </x:c>
      <x:c r="L437" s="133" t="str">
        <x:f>IF(D437&lt;=0,"No EVM votes",IF(E437&lt;$N$7,"Low",IF(E437&gt;$R$7,"High","Middle")))</x:f>
        <x:v>High</x:v>
      </x:c>
      <x:c r="M437" s="133" t="str">
        <x:f>IF(D437&lt;=0,"No EVM votes",IF(H437&lt;-20%,"Large deficit",IF(H437&lt;-5%,"Moderate deficit",IF(H437&lt;0,"Narrow deficit",IF(H437&lt;=5%,"Narrow lead/tie",IF(H437&lt;=20%,"Moderate lead","Large lead"))))))</x:f>
        <x:v>Large lead</x:v>
      </x:c>
    </x:row>
    <x:row r="438">
      <x:c r="A438" t="n">
        <x:v>379</x:v>
      </x:c>
      <x:c r="B438" t="str">
        <x:v>ANGANWADI CENTER ESTABLISHMENT AREA JEWAR BANGAR ROOM NO. 5</x:v>
      </x:c>
      <x:c r="C438" s="83" t="n">
        <x:f>'2022 Form20'!H387</x:f>
        <x:v>634</x:v>
      </x:c>
      <x:c r="D438" s="83" t="n">
        <x:f>'2022 Form20'!D387</x:f>
        <x:v>910</x:v>
      </x:c>
      <x:c r="E438" s="50" t="n">
        <x:f>'2022 Form20'!T387</x:f>
        <x:v>0.6967032967032967</x:v>
      </x:c>
      <x:c r="F438" t="n">
        <x:f>'2022 Form20'!U387</x:f>
        <x:v>155</x:v>
      </x:c>
      <x:c r="G438" t="n">
        <x:f>'2022 Form20'!V387</x:f>
        <x:v>479</x:v>
      </x:c>
      <x:c r="H438" s="52" t="n">
        <x:f>'2022 Form20'!W387</x:f>
        <x:v>0.5263736263736264</x:v>
      </x:c>
      <x:c r="I438" t="str">
        <x:v>AVTAR SINGH BHADANA</x:v>
      </x:c>
      <x:c r="J438" t="str">
        <x:v>Rashtriya Lok Dal</x:v>
      </x:c>
      <x:c r="K438" t="str">
        <x:v>EVM row</x:v>
      </x:c>
      <x:c r="L438" s="133" t="str">
        <x:f>IF(D438&lt;=0,"No EVM votes",IF(E438&lt;$N$7,"Low",IF(E438&gt;$R$7,"High","Middle")))</x:f>
        <x:v>High</x:v>
      </x:c>
      <x:c r="M438" s="133" t="str">
        <x:f>IF(D438&lt;=0,"No EVM votes",IF(H438&lt;-20%,"Large deficit",IF(H438&lt;-5%,"Moderate deficit",IF(H438&lt;0,"Narrow deficit",IF(H438&lt;=5%,"Narrow lead/tie",IF(H438&lt;=20%,"Moderate lead","Large lead"))))))</x:f>
        <x:v>Large lead</x:v>
      </x:c>
    </x:row>
    <x:row r="439">
      <x:c r="A439" t="n">
        <x:v>380</x:v>
      </x:c>
      <x:c r="B439" t="str">
        <x:v>PRIMARY SCHOOL MIRPUR KUTCH AKA KANIGARHI ROOM NO 1</x:v>
      </x:c>
      <x:c r="C439" s="83" t="n">
        <x:f>'2022 Form20'!H388</x:f>
        <x:v>184</x:v>
      </x:c>
      <x:c r="D439" s="83" t="n">
        <x:f>'2022 Form20'!D388</x:f>
        <x:v>792</x:v>
      </x:c>
      <x:c r="E439" s="50" t="n">
        <x:f>'2022 Form20'!T388</x:f>
        <x:v>0.23232323232323232</x:v>
      </x:c>
      <x:c r="F439" t="n">
        <x:f>'2022 Form20'!U388</x:f>
        <x:v>553</x:v>
      </x:c>
      <x:c r="G439" t="n">
        <x:f>'2022 Form20'!V388</x:f>
        <x:v>-369</x:v>
      </x:c>
      <x:c r="H439" s="52" t="n">
        <x:f>'2022 Form20'!W388</x:f>
        <x:v>-0.4659090909090909</x:v>
      </x:c>
      <x:c r="I439" t="str">
        <x:v>DHIRENDRA SINGH</x:v>
      </x:c>
      <x:c r="J439" t="str">
        <x:v>Bharatiya Janata Party</x:v>
      </x:c>
      <x:c r="K439" t="str">
        <x:v>EVM row</x:v>
      </x:c>
      <x:c r="L439" s="133" t="str">
        <x:f>IF(D439&lt;=0,"No EVM votes",IF(E439&lt;$N$7,"Low",IF(E439&gt;$R$7,"High","Middle")))</x:f>
        <x:v>Middle</x:v>
      </x:c>
      <x:c r="M439" s="133" t="str">
        <x:f>IF(D439&lt;=0,"No EVM votes",IF(H439&lt;-20%,"Large deficit",IF(H439&lt;-5%,"Moderate deficit",IF(H439&lt;0,"Narrow deficit",IF(H439&lt;=5%,"Narrow lead/tie",IF(H439&lt;=20%,"Moderate lead","Large lead"))))))</x:f>
        <x:v>Large deficit</x:v>
      </x:c>
    </x:row>
    <x:row r="440">
      <x:c r="A440" t="n">
        <x:v>381</x:v>
      </x:c>
      <x:c r="B440" t="str">
        <x:v>PRIMARY SCHOOL MIRPUR KUTCH AKA KANIGARHI ROOM NO 2</x:v>
      </x:c>
      <x:c r="C440" s="83" t="n">
        <x:f>'2022 Form20'!H389</x:f>
        <x:v>41</x:v>
      </x:c>
      <x:c r="D440" s="83" t="n">
        <x:f>'2022 Form20'!D389</x:f>
        <x:v>783</x:v>
      </x:c>
      <x:c r="E440" s="50" t="n">
        <x:f>'2022 Form20'!T389</x:f>
        <x:v>0.05236270753512133</x:v>
      </x:c>
      <x:c r="F440" t="n">
        <x:f>'2022 Form20'!U389</x:f>
        <x:v>504</x:v>
      </x:c>
      <x:c r="G440" t="n">
        <x:f>'2022 Form20'!V389</x:f>
        <x:v>-463</x:v>
      </x:c>
      <x:c r="H440" s="52" t="n">
        <x:f>'2022 Form20'!W389</x:f>
        <x:v>-0.5913154533844189</x:v>
      </x:c>
      <x:c r="I440" t="str">
        <x:v>DHIRENDRA SINGH</x:v>
      </x:c>
      <x:c r="J440" t="str">
        <x:v>Bharatiya Janata Party</x:v>
      </x:c>
      <x:c r="K440" t="str">
        <x:v>EVM row</x:v>
      </x:c>
      <x:c r="L440" s="133" t="str">
        <x:f>IF(D440&lt;=0,"No EVM votes",IF(E440&lt;$N$7,"Low",IF(E440&gt;$R$7,"High","Middle")))</x:f>
        <x:v>Low</x:v>
      </x:c>
      <x:c r="M440" s="133" t="str">
        <x:f>IF(D440&lt;=0,"No EVM votes",IF(H440&lt;-20%,"Large deficit",IF(H440&lt;-5%,"Moderate deficit",IF(H440&lt;0,"Narrow deficit",IF(H440&lt;=5%,"Narrow lead/tie",IF(H440&lt;=20%,"Moderate lead","Large lead"))))))</x:f>
        <x:v>Large deficit</x:v>
      </x:c>
    </x:row>
    <x:row r="441">
      <x:c r="A441" t="n">
        <x:v>382</x:v>
      </x:c>
      <x:c r="B441" t="str">
        <x:v>PRIMARY SCHOOL GOVINDSGARH ROOM NO 1</x:v>
      </x:c>
      <x:c r="C441" s="83" t="n">
        <x:f>'2022 Form20'!H390</x:f>
        <x:v>85</x:v>
      </x:c>
      <x:c r="D441" s="83" t="n">
        <x:f>'2022 Form20'!D390</x:f>
        <x:v>560</x:v>
      </x:c>
      <x:c r="E441" s="50" t="n">
        <x:f>'2022 Form20'!T390</x:f>
        <x:v>0.15178571428571427</x:v>
      </x:c>
      <x:c r="F441" t="n">
        <x:f>'2022 Form20'!U390</x:f>
        <x:v>429</x:v>
      </x:c>
      <x:c r="G441" t="n">
        <x:f>'2022 Form20'!V390</x:f>
        <x:v>-344</x:v>
      </x:c>
      <x:c r="H441" s="52" t="n">
        <x:f>'2022 Form20'!W390</x:f>
        <x:v>-0.6142857142857143</x:v>
      </x:c>
      <x:c r="I441" t="str">
        <x:v>DHIRENDRA SINGH</x:v>
      </x:c>
      <x:c r="J441" t="str">
        <x:v>Bharatiya Janata Party</x:v>
      </x:c>
      <x:c r="K441" t="str">
        <x:v>EVM row</x:v>
      </x:c>
      <x:c r="L441" s="133" t="str">
        <x:f>IF(D441&lt;=0,"No EVM votes",IF(E441&lt;$N$7,"Low",IF(E441&gt;$R$7,"High","Middle")))</x:f>
        <x:v>Middle</x:v>
      </x:c>
      <x:c r="M441" s="133" t="str">
        <x:f>IF(D441&lt;=0,"No EVM votes",IF(H441&lt;-20%,"Large deficit",IF(H441&lt;-5%,"Moderate deficit",IF(H441&lt;0,"Narrow deficit",IF(H441&lt;=5%,"Narrow lead/tie",IF(H441&lt;=20%,"Moderate lead","Large lead"))))))</x:f>
        <x:v>Large deficit</x:v>
      </x:c>
    </x:row>
    <x:row r="442">
      <x:c r="A442" t="n">
        <x:v>383</x:v>
      </x:c>
      <x:c r="B442" t="str">
        <x:v>PRIMARY SCHOOL SHAMSHMNAGAR ROOM NO 1</x:v>
      </x:c>
      <x:c r="C442" s="83" t="n">
        <x:f>'2022 Form20'!H391</x:f>
        <x:v>96</x:v>
      </x:c>
      <x:c r="D442" s="83" t="n">
        <x:f>'2022 Form20'!D391</x:f>
        <x:v>516</x:v>
      </x:c>
      <x:c r="E442" s="50" t="n">
        <x:f>'2022 Form20'!T391</x:f>
        <x:v>0.18604651162790697</x:v>
      </x:c>
      <x:c r="F442" t="n">
        <x:f>'2022 Form20'!U391</x:f>
        <x:v>284</x:v>
      </x:c>
      <x:c r="G442" t="n">
        <x:f>'2022 Form20'!V391</x:f>
        <x:v>-188</x:v>
      </x:c>
      <x:c r="H442" s="52" t="n">
        <x:f>'2022 Form20'!W391</x:f>
        <x:v>-0.3643410852713178</x:v>
      </x:c>
      <x:c r="I442" t="str">
        <x:v>DHIRENDRA SINGH</x:v>
      </x:c>
      <x:c r="J442" t="str">
        <x:v>Bharatiya Janata Party</x:v>
      </x:c>
      <x:c r="K442" t="str">
        <x:v>EVM row</x:v>
      </x:c>
      <x:c r="L442" s="133" t="str">
        <x:f>IF(D442&lt;=0,"No EVM votes",IF(E442&lt;$N$7,"Low",IF(E442&gt;$R$7,"High","Middle")))</x:f>
        <x:v>Middle</x:v>
      </x:c>
      <x:c r="M442" s="133" t="str">
        <x:f>IF(D442&lt;=0,"No EVM votes",IF(H442&lt;-20%,"Large deficit",IF(H442&lt;-5%,"Moderate deficit",IF(H442&lt;0,"Narrow deficit",IF(H442&lt;=5%,"Narrow lead/tie",IF(H442&lt;=20%,"Moderate lead","Large lead"))))))</x:f>
        <x:v>Large deficit</x:v>
      </x:c>
    </x:row>
    <x:row r="443">
      <x:c r="A443" t="n">
        <x:v>384</x:v>
      </x:c>
      <x:c r="B443" t="str">
        <x:v>PRIMARY SCHOOL BHAGWANTPUR CHHATANGA KHURD ROOM NO 1</x:v>
      </x:c>
      <x:c r="C443" s="83" t="n">
        <x:f>'2022 Form20'!H392</x:f>
        <x:v>26</x:v>
      </x:c>
      <x:c r="D443" s="83" t="n">
        <x:f>'2022 Form20'!D392</x:f>
        <x:v>698</x:v>
      </x:c>
      <x:c r="E443" s="50" t="n">
        <x:f>'2022 Form20'!T392</x:f>
        <x:v>0.03724928366762178</x:v>
      </x:c>
      <x:c r="F443" t="n">
        <x:f>'2022 Form20'!U392</x:f>
        <x:v>453</x:v>
      </x:c>
      <x:c r="G443" t="n">
        <x:f>'2022 Form20'!V392</x:f>
        <x:v>-427</x:v>
      </x:c>
      <x:c r="H443" s="52" t="n">
        <x:f>'2022 Form20'!W392</x:f>
        <x:v>-0.6117478510028653</x:v>
      </x:c>
      <x:c r="I443" t="str">
        <x:v>DHIRENDRA SINGH</x:v>
      </x:c>
      <x:c r="J443" t="str">
        <x:v>Bharatiya Janata Party</x:v>
      </x:c>
      <x:c r="K443" t="str">
        <x:v>EVM row</x:v>
      </x:c>
      <x:c r="L443" s="133" t="str">
        <x:f>IF(D443&lt;=0,"No EVM votes",IF(E443&lt;$N$7,"Low",IF(E443&gt;$R$7,"High","Middle")))</x:f>
        <x:v>Low</x:v>
      </x:c>
      <x:c r="M443" s="133" t="str">
        <x:f>IF(D443&lt;=0,"No EVM votes",IF(H443&lt;-20%,"Large deficit",IF(H443&lt;-5%,"Moderate deficit",IF(H443&lt;0,"Narrow deficit",IF(H443&lt;=5%,"Narrow lead/tie",IF(H443&lt;=20%,"Moderate lead","Large lead"))))))</x:f>
        <x:v>Large deficit</x:v>
      </x:c>
    </x:row>
    <x:row r="444">
      <x:c r="A444" t="n">
        <x:v>385</x:v>
      </x:c>
      <x:c r="B444" t="str">
        <x:v>PRIMARY SCHOOL CHHATANGA KHURD ROOM NO 1</x:v>
      </x:c>
      <x:c r="C444" s="83" t="n">
        <x:f>'2022 Form20'!H393</x:f>
        <x:v>93</x:v>
      </x:c>
      <x:c r="D444" s="83" t="n">
        <x:f>'2022 Form20'!D393</x:f>
        <x:v>440</x:v>
      </x:c>
      <x:c r="E444" s="50" t="n">
        <x:f>'2022 Form20'!T393</x:f>
        <x:v>0.21136363636363636</x:v>
      </x:c>
      <x:c r="F444" t="n">
        <x:f>'2022 Form20'!U393</x:f>
        <x:v>303</x:v>
      </x:c>
      <x:c r="G444" t="n">
        <x:f>'2022 Form20'!V393</x:f>
        <x:v>-210</x:v>
      </x:c>
      <x:c r="H444" s="52" t="n">
        <x:f>'2022 Form20'!W393</x:f>
        <x:v>-0.4772727272727273</x:v>
      </x:c>
      <x:c r="I444" t="str">
        <x:v>DHIRENDRA SINGH</x:v>
      </x:c>
      <x:c r="J444" t="str">
        <x:v>Bharatiya Janata Party</x:v>
      </x:c>
      <x:c r="K444" t="str">
        <x:v>EVM row</x:v>
      </x:c>
      <x:c r="L444" s="133" t="str">
        <x:f>IF(D444&lt;=0,"No EVM votes",IF(E444&lt;$N$7,"Low",IF(E444&gt;$R$7,"High","Middle")))</x:f>
        <x:v>Middle</x:v>
      </x:c>
      <x:c r="M444" s="133" t="str">
        <x:f>IF(D444&lt;=0,"No EVM votes",IF(H444&lt;-20%,"Large deficit",IF(H444&lt;-5%,"Moderate deficit",IF(H444&lt;0,"Narrow deficit",IF(H444&lt;=5%,"Narrow lead/tie",IF(H444&lt;=20%,"Moderate lead","Large lead"))))))</x:f>
        <x:v>Large deficit</x:v>
      </x:c>
    </x:row>
    <x:row r="445">
      <x:c r="A445" t="n">
        <x:v>386</x:v>
      </x:c>
      <x:c r="B445" t="str">
        <x:v>PRIMARY SCHOOL JHUPPA NARAYAN SINGH ROOM NO 1</x:v>
      </x:c>
      <x:c r="C445" s="83" t="n">
        <x:f>'2022 Form20'!H394</x:f>
        <x:v>166</x:v>
      </x:c>
      <x:c r="D445" s="83" t="n">
        <x:f>'2022 Form20'!D394</x:f>
        <x:v>682</x:v>
      </x:c>
      <x:c r="E445" s="50" t="n">
        <x:f>'2022 Form20'!T394</x:f>
        <x:v>0.2434017595307918</x:v>
      </x:c>
      <x:c r="F445" t="n">
        <x:f>'2022 Form20'!U394</x:f>
        <x:v>376</x:v>
      </x:c>
      <x:c r="G445" t="n">
        <x:f>'2022 Form20'!V394</x:f>
        <x:v>-210</x:v>
      </x:c>
      <x:c r="H445" s="52" t="n">
        <x:f>'2022 Form20'!W394</x:f>
        <x:v>-0.30791788856304986</x:v>
      </x:c>
      <x:c r="I445" t="str">
        <x:v>NARENDER KUMAR</x:v>
      </x:c>
      <x:c r="J445" t="str">
        <x:v>Bahujan Samaj Party</x:v>
      </x:c>
      <x:c r="K445" t="str">
        <x:v>EVM row</x:v>
      </x:c>
      <x:c r="L445" s="133" t="str">
        <x:f>IF(D445&lt;=0,"No EVM votes",IF(E445&lt;$N$7,"Low",IF(E445&gt;$R$7,"High","Middle")))</x:f>
        <x:v>Middle</x:v>
      </x:c>
      <x:c r="M445" s="133" t="str">
        <x:f>IF(D445&lt;=0,"No EVM votes",IF(H445&lt;-20%,"Large deficit",IF(H445&lt;-5%,"Moderate deficit",IF(H445&lt;0,"Narrow deficit",IF(H445&lt;=5%,"Narrow lead/tie",IF(H445&lt;=20%,"Moderate lead","Large lead"))))))</x:f>
        <x:v>Large deficit</x:v>
      </x:c>
    </x:row>
    <x:row r="446">
      <x:c r="A446" t="n">
        <x:v>387</x:v>
      </x:c>
      <x:c r="B446" t="str">
        <x:v>PRIMARY SCHOOL JHUPPA KALAN ROOM NO 1</x:v>
      </x:c>
      <x:c r="C446" s="83" t="n">
        <x:f>'2022 Form20'!H395</x:f>
        <x:v>351</x:v>
      </x:c>
      <x:c r="D446" s="83" t="n">
        <x:f>'2022 Form20'!D395</x:f>
        <x:v>416</x:v>
      </x:c>
      <x:c r="E446" s="50" t="n">
        <x:f>'2022 Form20'!T395</x:f>
        <x:v>0.84375</x:v>
      </x:c>
      <x:c r="F446" t="n">
        <x:f>'2022 Form20'!U395</x:f>
        <x:v>45</x:v>
      </x:c>
      <x:c r="G446" t="n">
        <x:f>'2022 Form20'!V395</x:f>
        <x:v>306</x:v>
      </x:c>
      <x:c r="H446" s="52" t="n">
        <x:f>'2022 Form20'!W395</x:f>
        <x:v>0.7355769230769231</x:v>
      </x:c>
      <x:c r="I446" t="str">
        <x:v>AVTAR SINGH BHADANA</x:v>
      </x:c>
      <x:c r="J446" t="str">
        <x:v>Rashtriya Lok Dal</x:v>
      </x:c>
      <x:c r="K446" t="str">
        <x:v>EVM row</x:v>
      </x:c>
      <x:c r="L446" s="133" t="str">
        <x:f>IF(D446&lt;=0,"No EVM votes",IF(E446&lt;$N$7,"Low",IF(E446&gt;$R$7,"High","Middle")))</x:f>
        <x:v>High</x:v>
      </x:c>
      <x:c r="M446" s="133" t="str">
        <x:f>IF(D446&lt;=0,"No EVM votes",IF(H446&lt;-20%,"Large deficit",IF(H446&lt;-5%,"Moderate deficit",IF(H446&lt;0,"Narrow deficit",IF(H446&lt;=5%,"Narrow lead/tie",IF(H446&lt;=20%,"Moderate lead","Large lead"))))))</x:f>
        <x:v>Large lead</x:v>
      </x:c>
    </x:row>
    <x:row r="447">
      <x:c r="A447" t="n">
        <x:v>388</x:v>
      </x:c>
      <x:c r="B447" t="str">
        <x:v>PRIMARY SCHOOL MEWLA GOPAL GARH ROOM NO 1</x:v>
      </x:c>
      <x:c r="C447" s="83" t="n">
        <x:f>'2022 Form20'!H396</x:f>
        <x:v>51</x:v>
      </x:c>
      <x:c r="D447" s="83" t="n">
        <x:f>'2022 Form20'!D396</x:f>
        <x:v>675</x:v>
      </x:c>
      <x:c r="E447" s="50" t="n">
        <x:f>'2022 Form20'!T396</x:f>
        <x:v>0.07555555555555556</x:v>
      </x:c>
      <x:c r="F447" t="n">
        <x:f>'2022 Form20'!U396</x:f>
        <x:v>414</x:v>
      </x:c>
      <x:c r="G447" t="n">
        <x:f>'2022 Form20'!V396</x:f>
        <x:v>-363</x:v>
      </x:c>
      <x:c r="H447" s="52" t="n">
        <x:f>'2022 Form20'!W396</x:f>
        <x:v>-0.5377777777777778</x:v>
      </x:c>
      <x:c r="I447" t="str">
        <x:v>DHIRENDRA SINGH</x:v>
      </x:c>
      <x:c r="J447" t="str">
        <x:v>Bharatiya Janata Party</x:v>
      </x:c>
      <x:c r="K447" t="str">
        <x:v>EVM row</x:v>
      </x:c>
      <x:c r="L447" s="133" t="str">
        <x:f>IF(D447&lt;=0,"No EVM votes",IF(E447&lt;$N$7,"Low",IF(E447&gt;$R$7,"High","Middle")))</x:f>
        <x:v>Low</x:v>
      </x:c>
      <x:c r="M447" s="133" t="str">
        <x:f>IF(D447&lt;=0,"No EVM votes",IF(H447&lt;-20%,"Large deficit",IF(H447&lt;-5%,"Moderate deficit",IF(H447&lt;0,"Narrow deficit",IF(H447&lt;=5%,"Narrow lead/tie",IF(H447&lt;=20%,"Moderate lead","Large lead"))))))</x:f>
        <x:v>Large deficit</x:v>
      </x:c>
    </x:row>
    <x:row r="448">
      <x:c r="A448" t="n">
        <x:v>389</x:v>
      </x:c>
      <x:c r="B448" t="str">
        <x:v>PRIMARY SCHOOL MEWLA GOPAL GARH ROOM NO 2</x:v>
      </x:c>
      <x:c r="C448" s="83" t="n">
        <x:f>'2022 Form20'!H397</x:f>
        <x:v>113</x:v>
      </x:c>
      <x:c r="D448" s="83" t="n">
        <x:f>'2022 Form20'!D397</x:f>
        <x:v>728</x:v>
      </x:c>
      <x:c r="E448" s="50" t="n">
        <x:f>'2022 Form20'!T397</x:f>
        <x:v>0.15521978021978022</x:v>
      </x:c>
      <x:c r="F448" t="n">
        <x:f>'2022 Form20'!U397</x:f>
        <x:v>589</x:v>
      </x:c>
      <x:c r="G448" t="n">
        <x:f>'2022 Form20'!V397</x:f>
        <x:v>-476</x:v>
      </x:c>
      <x:c r="H448" s="52" t="n">
        <x:f>'2022 Form20'!W397</x:f>
        <x:v>-0.6538461538461539</x:v>
      </x:c>
      <x:c r="I448" t="str">
        <x:v>DHIRENDRA SINGH</x:v>
      </x:c>
      <x:c r="J448" t="str">
        <x:v>Bharatiya Janata Party</x:v>
      </x:c>
      <x:c r="K448" t="str">
        <x:v>EVM row</x:v>
      </x:c>
      <x:c r="L448" s="133" t="str">
        <x:f>IF(D448&lt;=0,"No EVM votes",IF(E448&lt;$N$7,"Low",IF(E448&gt;$R$7,"High","Middle")))</x:f>
        <x:v>Middle</x:v>
      </x:c>
      <x:c r="M448" s="133" t="str">
        <x:f>IF(D448&lt;=0,"No EVM votes",IF(H448&lt;-20%,"Large deficit",IF(H448&lt;-5%,"Moderate deficit",IF(H448&lt;0,"Narrow deficit",IF(H448&lt;=5%,"Narrow lead/tie",IF(H448&lt;=20%,"Moderate lead","Large lead"))))))</x:f>
        <x:v>Large deficit</x:v>
      </x:c>
    </x:row>
    <x:row r="449">
      <x:c r="A449" t="n">
        <x:v>390</x:v>
      </x:c>
      <x:c r="B449" t="str">
        <x:v>PRIMARY SCHOOL ALIABAD URF MEHDIPUR ROOM NO 1</x:v>
      </x:c>
      <x:c r="C449" s="83" t="n">
        <x:f>'2022 Form20'!H398</x:f>
        <x:v>494</x:v>
      </x:c>
      <x:c r="D449" s="83" t="n">
        <x:f>'2022 Form20'!D398</x:f>
        <x:v>685</x:v>
      </x:c>
      <x:c r="E449" s="50" t="n">
        <x:f>'2022 Form20'!T398</x:f>
        <x:v>0.7211678832116788</x:v>
      </x:c>
      <x:c r="F449" t="n">
        <x:f>'2022 Form20'!U398</x:f>
        <x:v>158</x:v>
      </x:c>
      <x:c r="G449" t="n">
        <x:f>'2022 Form20'!V398</x:f>
        <x:v>336</x:v>
      </x:c>
      <x:c r="H449" s="52" t="n">
        <x:f>'2022 Form20'!W398</x:f>
        <x:v>0.4905109489051095</x:v>
      </x:c>
      <x:c r="I449" t="str">
        <x:v>AVTAR SINGH BHADANA</x:v>
      </x:c>
      <x:c r="J449" t="str">
        <x:v>Rashtriya Lok Dal</x:v>
      </x:c>
      <x:c r="K449" t="str">
        <x:v>EVM row</x:v>
      </x:c>
      <x:c r="L449" s="133" t="str">
        <x:f>IF(D449&lt;=0,"No EVM votes",IF(E449&lt;$N$7,"Low",IF(E449&gt;$R$7,"High","Middle")))</x:f>
        <x:v>High</x:v>
      </x:c>
      <x:c r="M449" s="133" t="str">
        <x:f>IF(D449&lt;=0,"No EVM votes",IF(H449&lt;-20%,"Large deficit",IF(H449&lt;-5%,"Moderate deficit",IF(H449&lt;0,"Narrow deficit",IF(H449&lt;=5%,"Narrow lead/tie",IF(H449&lt;=20%,"Moderate lead","Large lead"))))))</x:f>
        <x:v>Large lead</x:v>
      </x:c>
    </x:row>
    <x:row r="450">
      <x:c r="A450" t="n">
        <x:v>391</x:v>
      </x:c>
      <x:c r="B450" t="str">
        <x:v>PRIMARY SCHOOL MANGRAULI ROOM NO 1</x:v>
      </x:c>
      <x:c r="C450" s="83" t="n">
        <x:f>'2022 Form20'!H399</x:f>
        <x:v>140</x:v>
      </x:c>
      <x:c r="D450" s="83" t="n">
        <x:f>'2022 Form20'!D399</x:f>
        <x:v>449</x:v>
      </x:c>
      <x:c r="E450" s="50" t="n">
        <x:f>'2022 Form20'!T399</x:f>
        <x:v>0.311804008908686</x:v>
      </x:c>
      <x:c r="F450" t="n">
        <x:f>'2022 Form20'!U399</x:f>
        <x:v>278</x:v>
      </x:c>
      <x:c r="G450" t="n">
        <x:f>'2022 Form20'!V399</x:f>
        <x:v>-138</x:v>
      </x:c>
      <x:c r="H450" s="52" t="n">
        <x:f>'2022 Form20'!W399</x:f>
        <x:v>-0.30734966592427615</x:v>
      </x:c>
      <x:c r="I450" t="str">
        <x:v>DHIRENDRA SINGH</x:v>
      </x:c>
      <x:c r="J450" t="str">
        <x:v>Bharatiya Janata Party</x:v>
      </x:c>
      <x:c r="K450" t="str">
        <x:v>EVM row</x:v>
      </x:c>
      <x:c r="L450" s="133" t="str">
        <x:f>IF(D450&lt;=0,"No EVM votes",IF(E450&lt;$N$7,"Low",IF(E450&gt;$R$7,"High","Middle")))</x:f>
        <x:v>Middle</x:v>
      </x:c>
      <x:c r="M450" s="133" t="str">
        <x:f>IF(D450&lt;=0,"No EVM votes",IF(H450&lt;-20%,"Large deficit",IF(H450&lt;-5%,"Moderate deficit",IF(H450&lt;0,"Narrow deficit",IF(H450&lt;=5%,"Narrow lead/tie",IF(H450&lt;=20%,"Moderate lead","Large lead"))))))</x:f>
        <x:v>Large deficit</x:v>
      </x:c>
    </x:row>
    <x:row r="451">
      <x:c r="A451" t="n">
        <x:v>392</x:v>
      </x:c>
      <x:c r="B451" t="str">
        <x:v>PRIMARY SCHOOL MANGRAULI ROOM NO 2</x:v>
      </x:c>
      <x:c r="C451" s="83" t="n">
        <x:f>'2022 Form20'!H400</x:f>
        <x:v>105</x:v>
      </x:c>
      <x:c r="D451" s="83" t="n">
        <x:f>'2022 Form20'!D400</x:f>
        <x:v>577</x:v>
      </x:c>
      <x:c r="E451" s="50" t="n">
        <x:f>'2022 Form20'!T400</x:f>
        <x:v>0.18197573656845753</x:v>
      </x:c>
      <x:c r="F451" t="n">
        <x:f>'2022 Form20'!U400</x:f>
        <x:v>309</x:v>
      </x:c>
      <x:c r="G451" t="n">
        <x:f>'2022 Form20'!V400</x:f>
        <x:v>-204</x:v>
      </x:c>
      <x:c r="H451" s="52" t="n">
        <x:f>'2022 Form20'!W400</x:f>
        <x:v>-0.3535528596187175</x:v>
      </x:c>
      <x:c r="I451" t="str">
        <x:v>NARENDER KUMAR</x:v>
      </x:c>
      <x:c r="J451" t="str">
        <x:v>Bahujan Samaj Party</x:v>
      </x:c>
      <x:c r="K451" t="str">
        <x:v>EVM row</x:v>
      </x:c>
      <x:c r="L451" s="133" t="str">
        <x:f>IF(D451&lt;=0,"No EVM votes",IF(E451&lt;$N$7,"Low",IF(E451&gt;$R$7,"High","Middle")))</x:f>
        <x:v>Middle</x:v>
      </x:c>
      <x:c r="M451" s="133" t="str">
        <x:f>IF(D451&lt;=0,"No EVM votes",IF(H451&lt;-20%,"Large deficit",IF(H451&lt;-5%,"Moderate deficit",IF(H451&lt;0,"Narrow deficit",IF(H451&lt;=5%,"Narrow lead/tie",IF(H451&lt;=20%,"Moderate lead","Large lead"))))))</x:f>
        <x:v>Large deficit</x:v>
      </x:c>
    </x:row>
    <x:row r="452">
      <x:c r="A452" t="n">
        <x:v>393</x:v>
      </x:c>
      <x:c r="B452" t="str">
        <x:v>PRIMARY SCHOOL ALAWALPUR ROOM NO 1</x:v>
      </x:c>
      <x:c r="C452" s="83" t="n">
        <x:f>'2022 Form20'!H401</x:f>
        <x:v>31</x:v>
      </x:c>
      <x:c r="D452" s="83" t="n">
        <x:f>'2022 Form20'!D401</x:f>
        <x:v>432</x:v>
      </x:c>
      <x:c r="E452" s="50" t="n">
        <x:f>'2022 Form20'!T401</x:f>
        <x:v>0.07175925925925926</x:v>
      </x:c>
      <x:c r="F452" t="n">
        <x:f>'2022 Form20'!U401</x:f>
        <x:v>378</x:v>
      </x:c>
      <x:c r="G452" t="n">
        <x:f>'2022 Form20'!V401</x:f>
        <x:v>-347</x:v>
      </x:c>
      <x:c r="H452" s="52" t="n">
        <x:f>'2022 Form20'!W401</x:f>
        <x:v>-0.8032407407407407</x:v>
      </x:c>
      <x:c r="I452" t="str">
        <x:v>DHIRENDRA SINGH</x:v>
      </x:c>
      <x:c r="J452" t="str">
        <x:v>Bharatiya Janata Party</x:v>
      </x:c>
      <x:c r="K452" t="str">
        <x:v>EVM row</x:v>
      </x:c>
      <x:c r="L452" s="133" t="str">
        <x:f>IF(D452&lt;=0,"No EVM votes",IF(E452&lt;$N$7,"Low",IF(E452&gt;$R$7,"High","Middle")))</x:f>
        <x:v>Low</x:v>
      </x:c>
      <x:c r="M452" s="133" t="str">
        <x:f>IF(D452&lt;=0,"No EVM votes",IF(H452&lt;-20%,"Large deficit",IF(H452&lt;-5%,"Moderate deficit",IF(H452&lt;0,"Narrow deficit",IF(H452&lt;=5%,"Narrow lead/tie",IF(H452&lt;=20%,"Moderate lead","Large lead"))))))</x:f>
        <x:v>Large deficit</x:v>
      </x:c>
    </x:row>
    <x:row r="453">
      <x:c r="A453" t="n">
        <x:v>394</x:v>
      </x:c>
      <x:c r="B453" t="str">
        <x:v>PRIMARY SCHOOL AHMEDPUR CHAURAULI ROOM NO 1</x:v>
      </x:c>
      <x:c r="C453" s="83" t="n">
        <x:f>'2022 Form20'!H402</x:f>
        <x:v>175</x:v>
      </x:c>
      <x:c r="D453" s="83" t="n">
        <x:f>'2022 Form20'!D402</x:f>
        <x:v>552</x:v>
      </x:c>
      <x:c r="E453" s="50" t="n">
        <x:f>'2022 Form20'!T402</x:f>
        <x:v>0.3170289855072464</x:v>
      </x:c>
      <x:c r="F453" t="n">
        <x:f>'2022 Form20'!U402</x:f>
        <x:v>224</x:v>
      </x:c>
      <x:c r="G453" t="n">
        <x:f>'2022 Form20'!V402</x:f>
        <x:v>-49</x:v>
      </x:c>
      <x:c r="H453" s="52" t="n">
        <x:f>'2022 Form20'!W402</x:f>
        <x:v>-0.08876811594202899</x:v>
      </x:c>
      <x:c r="I453" t="str">
        <x:v>NARENDER KUMAR</x:v>
      </x:c>
      <x:c r="J453" t="str">
        <x:v>Bahujan Samaj Party</x:v>
      </x:c>
      <x:c r="K453" t="str">
        <x:v>EVM row</x:v>
      </x:c>
      <x:c r="L453" s="133" t="str">
        <x:f>IF(D453&lt;=0,"No EVM votes",IF(E453&lt;$N$7,"Low",IF(E453&gt;$R$7,"High","Middle")))</x:f>
        <x:v>Middle</x:v>
      </x:c>
      <x:c r="M453" s="133" t="str">
        <x:f>IF(D453&lt;=0,"No EVM votes",IF(H453&lt;-20%,"Large deficit",IF(H453&lt;-5%,"Moderate deficit",IF(H453&lt;0,"Narrow deficit",IF(H453&lt;=5%,"Narrow lead/tie",IF(H453&lt;=20%,"Moderate lead","Large lead"))))))</x:f>
        <x:v>Moderate deficit</x:v>
      </x:c>
    </x:row>
    <x:row r="454">
      <x:c r="A454" t="n">
        <x:v>395</x:v>
      </x:c>
      <x:c r="B454" t="str">
        <x:v>PRIMARY SCHOOL AHMEDPUR CHAURAULI ROOM NO 2</x:v>
      </x:c>
      <x:c r="C454" s="83" t="n">
        <x:f>'2022 Form20'!H403</x:f>
        <x:v>340</x:v>
      </x:c>
      <x:c r="D454" s="83" t="n">
        <x:f>'2022 Form20'!D403</x:f>
        <x:v>711</x:v>
      </x:c>
      <x:c r="E454" s="50" t="n">
        <x:f>'2022 Form20'!T403</x:f>
        <x:v>0.4781997187060478</x:v>
      </x:c>
      <x:c r="F454" t="n">
        <x:f>'2022 Form20'!U403</x:f>
        <x:v>298</x:v>
      </x:c>
      <x:c r="G454" t="n">
        <x:f>'2022 Form20'!V403</x:f>
        <x:v>42</x:v>
      </x:c>
      <x:c r="H454" s="52" t="n">
        <x:f>'2022 Form20'!W403</x:f>
        <x:v>0.05907172995780591</x:v>
      </x:c>
      <x:c r="I454" t="str">
        <x:v>AVTAR SINGH BHADANA</x:v>
      </x:c>
      <x:c r="J454" t="str">
        <x:v>Rashtriya Lok Dal</x:v>
      </x:c>
      <x:c r="K454" t="str">
        <x:v>EVM row</x:v>
      </x:c>
      <x:c r="L454" s="133" t="str">
        <x:f>IF(D454&lt;=0,"No EVM votes",IF(E454&lt;$N$7,"Low",IF(E454&gt;$R$7,"High","Middle")))</x:f>
        <x:v>High</x:v>
      </x:c>
      <x:c r="M454" s="133" t="str">
        <x:f>IF(D454&lt;=0,"No EVM votes",IF(H454&lt;-20%,"Large deficit",IF(H454&lt;-5%,"Moderate deficit",IF(H454&lt;0,"Narrow deficit",IF(H454&lt;=5%,"Narrow lead/tie",IF(H454&lt;=20%,"Moderate lead","Large lead"))))))</x:f>
        <x:v>Moderate lead</x:v>
      </x:c>
    </x:row>
    <x:row r="455">
      <x:c r="A455" t="n">
        <x:v>396</x:v>
      </x:c>
      <x:c r="B455" t="str">
        <x:v>PRIMARY SCHOOL AHMEDPUR CHAURAULI ROOM NO 3</x:v>
      </x:c>
      <x:c r="C455" s="83" t="n">
        <x:f>'2022 Form20'!H404</x:f>
        <x:v>331</x:v>
      </x:c>
      <x:c r="D455" s="83" t="n">
        <x:f>'2022 Form20'!D404</x:f>
        <x:v>689</x:v>
      </x:c>
      <x:c r="E455" s="50" t="n">
        <x:f>'2022 Form20'!T404</x:f>
        <x:v>0.48040638606676345</x:v>
      </x:c>
      <x:c r="F455" t="n">
        <x:f>'2022 Form20'!U404</x:f>
        <x:v>312</x:v>
      </x:c>
      <x:c r="G455" t="n">
        <x:f>'2022 Form20'!V404</x:f>
        <x:v>19</x:v>
      </x:c>
      <x:c r="H455" s="52" t="n">
        <x:f>'2022 Form20'!W404</x:f>
        <x:v>0.027576197387518143</x:v>
      </x:c>
      <x:c r="I455" t="str">
        <x:v>AVTAR SINGH BHADANA</x:v>
      </x:c>
      <x:c r="J455" t="str">
        <x:v>Rashtriya Lok Dal</x:v>
      </x:c>
      <x:c r="K455" t="str">
        <x:v>EVM row</x:v>
      </x:c>
      <x:c r="L455" s="133" t="str">
        <x:f>IF(D455&lt;=0,"No EVM votes",IF(E455&lt;$N$7,"Low",IF(E455&gt;$R$7,"High","Middle")))</x:f>
        <x:v>High</x:v>
      </x:c>
      <x:c r="M455" s="133" t="str">
        <x:f>IF(D455&lt;=0,"No EVM votes",IF(H455&lt;-20%,"Large deficit",IF(H455&lt;-5%,"Moderate deficit",IF(H455&lt;0,"Narrow deficit",IF(H455&lt;=5%,"Narrow lead/tie",IF(H455&lt;=20%,"Moderate lead","Large lead"))))))</x:f>
        <x:v>Narrow lead/tie</x:v>
      </x:c>
    </x:row>
    <x:row r="456">
      <x:c r="A456" t="n">
        <x:v>397</x:v>
      </x:c>
      <x:c r="B456" t="str">
        <x:v>JUNIOR HIGH SCHOOL AHMEDPUR CHAURAULI ROOM NO.1</x:v>
      </x:c>
      <x:c r="C456" s="83" t="n">
        <x:f>'2022 Form20'!H405</x:f>
        <x:v>244</x:v>
      </x:c>
      <x:c r="D456" s="83" t="n">
        <x:f>'2022 Form20'!D405</x:f>
        <x:v>588</x:v>
      </x:c>
      <x:c r="E456" s="50" t="n">
        <x:f>'2022 Form20'!T405</x:f>
        <x:v>0.41496598639455784</x:v>
      </x:c>
      <x:c r="F456" t="n">
        <x:f>'2022 Form20'!U405</x:f>
        <x:v>252</x:v>
      </x:c>
      <x:c r="G456" t="n">
        <x:f>'2022 Form20'!V405</x:f>
        <x:v>-8</x:v>
      </x:c>
      <x:c r="H456" s="52" t="n">
        <x:f>'2022 Form20'!W405</x:f>
        <x:v>-0.013605442176870748</x:v>
      </x:c>
      <x:c r="I456" t="str">
        <x:v>DHIRENDRA SINGH</x:v>
      </x:c>
      <x:c r="J456" t="str">
        <x:v>Bharatiya Janata Party</x:v>
      </x:c>
      <x:c r="K456" t="str">
        <x:v>EVM row</x:v>
      </x:c>
      <x:c r="L456" s="133" t="str">
        <x:f>IF(D456&lt;=0,"No EVM votes",IF(E456&lt;$N$7,"Low",IF(E456&gt;$R$7,"High","Middle")))</x:f>
        <x:v>High</x:v>
      </x:c>
      <x:c r="M456" s="133" t="str">
        <x:f>IF(D456&lt;=0,"No EVM votes",IF(H456&lt;-20%,"Large deficit",IF(H456&lt;-5%,"Moderate deficit",IF(H456&lt;0,"Narrow deficit",IF(H456&lt;=5%,"Narrow lead/tie",IF(H456&lt;=20%,"Moderate lead","Large lead"))))))</x:f>
        <x:v>Narrow deficit</x:v>
      </x:c>
    </x:row>
    <x:row r="457">
      <x:c r="A457" t="n">
        <x:v>398</x:v>
      </x:c>
      <x:c r="B457" t="str">
        <x:v>JUNIOR HIGH SCHOOL AHMEDPUR CHAURAULI ROOM NO.2</x:v>
      </x:c>
      <x:c r="C457" s="83" t="n">
        <x:f>'2022 Form20'!H406</x:f>
        <x:v>264</x:v>
      </x:c>
      <x:c r="D457" s="83" t="n">
        <x:f>'2022 Form20'!D406</x:f>
        <x:v>505</x:v>
      </x:c>
      <x:c r="E457" s="50" t="n">
        <x:f>'2022 Form20'!T406</x:f>
        <x:v>0.5227722772277228</x:v>
      </x:c>
      <x:c r="F457" t="n">
        <x:f>'2022 Form20'!U406</x:f>
        <x:v>121</x:v>
      </x:c>
      <x:c r="G457" t="n">
        <x:f>'2022 Form20'!V406</x:f>
        <x:v>143</x:v>
      </x:c>
      <x:c r="H457" s="52" t="n">
        <x:f>'2022 Form20'!W406</x:f>
        <x:v>0.28316831683168314</x:v>
      </x:c>
      <x:c r="I457" t="str">
        <x:v>AVTAR SINGH BHADANA</x:v>
      </x:c>
      <x:c r="J457" t="str">
        <x:v>Rashtriya Lok Dal</x:v>
      </x:c>
      <x:c r="K457" t="str">
        <x:v>EVM row</x:v>
      </x:c>
      <x:c r="L457" s="133" t="str">
        <x:f>IF(D457&lt;=0,"No EVM votes",IF(E457&lt;$N$7,"Low",IF(E457&gt;$R$7,"High","Middle")))</x:f>
        <x:v>High</x:v>
      </x:c>
      <x:c r="M457" s="133" t="str">
        <x:f>IF(D457&lt;=0,"No EVM votes",IF(H457&lt;-20%,"Large deficit",IF(H457&lt;-5%,"Moderate deficit",IF(H457&lt;0,"Narrow deficit",IF(H457&lt;=5%,"Narrow lead/tie",IF(H457&lt;=20%,"Moderate lead","Large lead"))))))</x:f>
        <x:v>Large lead</x:v>
      </x:c>
    </x:row>
    <x:row r="458">
      <x:c r="A458" t="n">
        <x:v>399</x:v>
      </x:c>
      <x:c r="B458" t="str">
        <x:v>PRIMARY SCHOOL BHAVOKARA ROOM NO 1</x:v>
      </x:c>
      <x:c r="C458" s="83" t="n">
        <x:f>'2022 Form20'!H407</x:f>
        <x:v>134</x:v>
      </x:c>
      <x:c r="D458" s="83" t="n">
        <x:f>'2022 Form20'!D407</x:f>
        <x:v>453</x:v>
      </x:c>
      <x:c r="E458" s="50" t="n">
        <x:f>'2022 Form20'!T407</x:f>
        <x:v>0.2958057395143488</x:v>
      </x:c>
      <x:c r="F458" t="n">
        <x:f>'2022 Form20'!U407</x:f>
        <x:v>230</x:v>
      </x:c>
      <x:c r="G458" t="n">
        <x:f>'2022 Form20'!V407</x:f>
        <x:v>-96</x:v>
      </x:c>
      <x:c r="H458" s="52" t="n">
        <x:f>'2022 Form20'!W407</x:f>
        <x:v>-0.2119205298013245</x:v>
      </x:c>
      <x:c r="I458" t="str">
        <x:v>DHIRENDRA SINGH</x:v>
      </x:c>
      <x:c r="J458" t="str">
        <x:v>Bharatiya Janata Party</x:v>
      </x:c>
      <x:c r="K458" t="str">
        <x:v>EVM row</x:v>
      </x:c>
      <x:c r="L458" s="133" t="str">
        <x:f>IF(D458&lt;=0,"No EVM votes",IF(E458&lt;$N$7,"Low",IF(E458&gt;$R$7,"High","Middle")))</x:f>
        <x:v>Middle</x:v>
      </x:c>
      <x:c r="M458" s="133" t="str">
        <x:f>IF(D458&lt;=0,"No EVM votes",IF(H458&lt;-20%,"Large deficit",IF(H458&lt;-5%,"Moderate deficit",IF(H458&lt;0,"Narrow deficit",IF(H458&lt;=5%,"Narrow lead/tie",IF(H458&lt;=20%,"Moderate lead","Large lead"))))))</x:f>
        <x:v>Large deficit</x:v>
      </x:c>
    </x:row>
    <x:row r="459">
      <x:c r="A459" t="n">
        <x:v>400</x:v>
      </x:c>
      <x:c r="B459" t="str">
        <x:v>PRIMARY SCHOOL BHAVOKARA ROOM NO 2</x:v>
      </x:c>
      <x:c r="C459" s="83" t="n">
        <x:f>'2022 Form20'!H408</x:f>
        <x:v>108</x:v>
      </x:c>
      <x:c r="D459" s="83" t="n">
        <x:f>'2022 Form20'!D408</x:f>
        <x:v>419</x:v>
      </x:c>
      <x:c r="E459" s="50" t="n">
        <x:f>'2022 Form20'!T408</x:f>
        <x:v>0.2577565632458234</x:v>
      </x:c>
      <x:c r="F459" t="n">
        <x:f>'2022 Form20'!U408</x:f>
        <x:v>219</x:v>
      </x:c>
      <x:c r="G459" t="n">
        <x:f>'2022 Form20'!V408</x:f>
        <x:v>-111</x:v>
      </x:c>
      <x:c r="H459" s="52" t="n">
        <x:f>'2022 Form20'!W408</x:f>
        <x:v>-0.2649164677804296</x:v>
      </x:c>
      <x:c r="I459" t="str">
        <x:v>DHIRENDRA SINGH</x:v>
      </x:c>
      <x:c r="J459" t="str">
        <x:v>Bharatiya Janata Party</x:v>
      </x:c>
      <x:c r="K459" t="str">
        <x:v>EVM row</x:v>
      </x:c>
      <x:c r="L459" s="133" t="str">
        <x:f>IF(D459&lt;=0,"No EVM votes",IF(E459&lt;$N$7,"Low",IF(E459&gt;$R$7,"High","Middle")))</x:f>
        <x:v>Middle</x:v>
      </x:c>
      <x:c r="M459" s="133" t="str">
        <x:f>IF(D459&lt;=0,"No EVM votes",IF(H459&lt;-20%,"Large deficit",IF(H459&lt;-5%,"Moderate deficit",IF(H459&lt;0,"Narrow deficit",IF(H459&lt;=5%,"Narrow lead/tie",IF(H459&lt;=20%,"Moderate lead","Large lead"))))))</x:f>
        <x:v>Large deficit</x:v>
      </x:c>
    </x:row>
    <x:row r="460">
      <x:c r="A460" t="n">
        <x:v>401</x:v>
      </x:c>
      <x:c r="B460" t="str">
        <x:v>PRIMARY SCHOOL DAYURAR ROOM NO 1</x:v>
      </x:c>
      <x:c r="C460" s="83" t="n">
        <x:f>'2022 Form20'!H409</x:f>
        <x:v>69</x:v>
      </x:c>
      <x:c r="D460" s="83" t="n">
        <x:f>'2022 Form20'!D409</x:f>
        <x:v>755</x:v>
      </x:c>
      <x:c r="E460" s="50" t="n">
        <x:f>'2022 Form20'!T409</x:f>
        <x:v>0.0913907284768212</x:v>
      </x:c>
      <x:c r="F460" t="n">
        <x:f>'2022 Form20'!U409</x:f>
        <x:v>532</x:v>
      </x:c>
      <x:c r="G460" t="n">
        <x:f>'2022 Form20'!V409</x:f>
        <x:v>-463</x:v>
      </x:c>
      <x:c r="H460" s="52" t="n">
        <x:f>'2022 Form20'!W409</x:f>
        <x:v>-0.6132450331125828</x:v>
      </x:c>
      <x:c r="I460" t="str">
        <x:v>DHIRENDRA SINGH</x:v>
      </x:c>
      <x:c r="J460" t="str">
        <x:v>Bharatiya Janata Party</x:v>
      </x:c>
      <x:c r="K460" t="str">
        <x:v>EVM row</x:v>
      </x:c>
      <x:c r="L460" s="133" t="str">
        <x:f>IF(D460&lt;=0,"No EVM votes",IF(E460&lt;$N$7,"Low",IF(E460&gt;$R$7,"High","Middle")))</x:f>
        <x:v>Low</x:v>
      </x:c>
      <x:c r="M460" s="133" t="str">
        <x:f>IF(D460&lt;=0,"No EVM votes",IF(H460&lt;-20%,"Large deficit",IF(H460&lt;-5%,"Moderate deficit",IF(H460&lt;0,"Narrow deficit",IF(H460&lt;=5%,"Narrow lead/tie",IF(H460&lt;=20%,"Moderate lead","Large lead"))))))</x:f>
        <x:v>Large deficit</x:v>
      </x:c>
    </x:row>
    <x:row r="461">
      <x:c r="A461" t="n">
        <x:v>402</x:v>
      </x:c>
      <x:c r="B461" t="str">
        <x:v>JUNIOR HIGH SCHOOL CHANCHLI ROOM NO 1</x:v>
      </x:c>
      <x:c r="C461" s="83" t="n">
        <x:f>'2022 Form20'!H410</x:f>
        <x:v>109</x:v>
      </x:c>
      <x:c r="D461" s="83" t="n">
        <x:f>'2022 Form20'!D410</x:f>
        <x:v>582</x:v>
      </x:c>
      <x:c r="E461" s="50" t="n">
        <x:f>'2022 Form20'!T410</x:f>
        <x:v>0.1872852233676976</x:v>
      </x:c>
      <x:c r="F461" t="n">
        <x:f>'2022 Form20'!U410</x:f>
        <x:v>442</x:v>
      </x:c>
      <x:c r="G461" t="n">
        <x:f>'2022 Form20'!V410</x:f>
        <x:v>-333</x:v>
      </x:c>
      <x:c r="H461" s="52" t="n">
        <x:f>'2022 Form20'!W410</x:f>
        <x:v>-0.5721649484536082</x:v>
      </x:c>
      <x:c r="I461" t="str">
        <x:v>DHIRENDRA SINGH</x:v>
      </x:c>
      <x:c r="J461" t="str">
        <x:v>Bharatiya Janata Party</x:v>
      </x:c>
      <x:c r="K461" t="str">
        <x:v>EVM row</x:v>
      </x:c>
      <x:c r="L461" s="133" t="str">
        <x:f>IF(D461&lt;=0,"No EVM votes",IF(E461&lt;$N$7,"Low",IF(E461&gt;$R$7,"High","Middle")))</x:f>
        <x:v>Middle</x:v>
      </x:c>
      <x:c r="M461" s="133" t="str">
        <x:f>IF(D461&lt;=0,"No EVM votes",IF(H461&lt;-20%,"Large deficit",IF(H461&lt;-5%,"Moderate deficit",IF(H461&lt;0,"Narrow deficit",IF(H461&lt;=5%,"Narrow lead/tie",IF(H461&lt;=20%,"Moderate lead","Large lead"))))))</x:f>
        <x:v>Large deficit</x:v>
      </x:c>
    </x:row>
    <x:row r="462">
      <x:c r="A462" t="n">
        <x:v>403</x:v>
      </x:c>
      <x:c r="B462" t="str">
        <x:v>JUNIOR HIGH SCHOOL CHANCHLI ROOM NO 2</x:v>
      </x:c>
      <x:c r="C462" s="83" t="n">
        <x:f>'2022 Form20'!H411</x:f>
        <x:v>42</x:v>
      </x:c>
      <x:c r="D462" s="83" t="n">
        <x:f>'2022 Form20'!D411</x:f>
        <x:v>603</x:v>
      </x:c>
      <x:c r="E462" s="50" t="n">
        <x:f>'2022 Form20'!T411</x:f>
        <x:v>0.06965174129353234</x:v>
      </x:c>
      <x:c r="F462" t="n">
        <x:f>'2022 Form20'!U411</x:f>
        <x:v>284</x:v>
      </x:c>
      <x:c r="G462" t="n">
        <x:f>'2022 Form20'!V411</x:f>
        <x:v>-242</x:v>
      </x:c>
      <x:c r="H462" s="52" t="n">
        <x:f>'2022 Form20'!W411</x:f>
        <x:v>-0.4013266998341625</x:v>
      </x:c>
      <x:c r="I462" t="str">
        <x:v>NARENDER KUMAR</x:v>
      </x:c>
      <x:c r="J462" t="str">
        <x:v>Bahujan Samaj Party</x:v>
      </x:c>
      <x:c r="K462" t="str">
        <x:v>EVM row</x:v>
      </x:c>
      <x:c r="L462" s="133" t="str">
        <x:f>IF(D462&lt;=0,"No EVM votes",IF(E462&lt;$N$7,"Low",IF(E462&gt;$R$7,"High","Middle")))</x:f>
        <x:v>Low</x:v>
      </x:c>
      <x:c r="M462" s="133" t="str">
        <x:f>IF(D462&lt;=0,"No EVM votes",IF(H462&lt;-20%,"Large deficit",IF(H462&lt;-5%,"Moderate deficit",IF(H462&lt;0,"Narrow deficit",IF(H462&lt;=5%,"Narrow lead/tie",IF(H462&lt;=20%,"Moderate lead","Large lead"))))))</x:f>
        <x:v>Large deficit</x:v>
      </x:c>
    </x:row>
    <x:row r="463">
      <x:c r="A463" t="n">
        <x:v>404</x:v>
      </x:c>
      <x:c r="B463" t="str">
        <x:v>PRIMARY SCHOOL AURANGABAD AKA HIMAYUPUR ROOM NO 1</x:v>
      </x:c>
      <x:c r="C463" s="83" t="n">
        <x:f>'2022 Form20'!H412</x:f>
        <x:v>163</x:v>
      </x:c>
      <x:c r="D463" s="83" t="n">
        <x:f>'2022 Form20'!D412</x:f>
        <x:v>450</x:v>
      </x:c>
      <x:c r="E463" s="50" t="n">
        <x:f>'2022 Form20'!T412</x:f>
        <x:v>0.3622222222222222</x:v>
      </x:c>
      <x:c r="F463" t="n">
        <x:f>'2022 Form20'!U412</x:f>
        <x:v>202</x:v>
      </x:c>
      <x:c r="G463" t="n">
        <x:f>'2022 Form20'!V412</x:f>
        <x:v>-39</x:v>
      </x:c>
      <x:c r="H463" s="52" t="n">
        <x:f>'2022 Form20'!W412</x:f>
        <x:v>-0.08666666666666667</x:v>
      </x:c>
      <x:c r="I463" t="str">
        <x:v>DHIRENDRA SINGH</x:v>
      </x:c>
      <x:c r="J463" t="str">
        <x:v>Bharatiya Janata Party</x:v>
      </x:c>
      <x:c r="K463" t="str">
        <x:v>EVM row</x:v>
      </x:c>
      <x:c r="L463" s="133" t="str">
        <x:f>IF(D463&lt;=0,"No EVM votes",IF(E463&lt;$N$7,"Low",IF(E463&gt;$R$7,"High","Middle")))</x:f>
        <x:v>Middle</x:v>
      </x:c>
      <x:c r="M463" s="133" t="str">
        <x:f>IF(D463&lt;=0,"No EVM votes",IF(H463&lt;-20%,"Large deficit",IF(H463&lt;-5%,"Moderate deficit",IF(H463&lt;0,"Narrow deficit",IF(H463&lt;=5%,"Narrow lead/tie",IF(H463&lt;=20%,"Moderate lead","Large lead"))))))</x:f>
        <x:v>Moderate deficit</x:v>
      </x:c>
    </x:row>
    <x:row r="464">
      <x:c r="A464" t="n">
        <x:v>405</x:v>
      </x:c>
      <x:c r="B464" t="str">
        <x:v>INTER COLLEGE TOWN AREA JAHANGIRPUR ROOM NO 1</x:v>
      </x:c>
      <x:c r="C464" s="83" t="n">
        <x:f>'2022 Form20'!H413</x:f>
        <x:v>120</x:v>
      </x:c>
      <x:c r="D464" s="83" t="n">
        <x:f>'2022 Form20'!D413</x:f>
        <x:v>473</x:v>
      </x:c>
      <x:c r="E464" s="50" t="n">
        <x:f>'2022 Form20'!T413</x:f>
        <x:v>0.2536997885835095</x:v>
      </x:c>
      <x:c r="F464" t="n">
        <x:f>'2022 Form20'!U413</x:f>
        <x:v>217</x:v>
      </x:c>
      <x:c r="G464" t="n">
        <x:f>'2022 Form20'!V413</x:f>
        <x:v>-97</x:v>
      </x:c>
      <x:c r="H464" s="52" t="n">
        <x:f>'2022 Form20'!W413</x:f>
        <x:v>-0.20507399577167018</x:v>
      </x:c>
      <x:c r="I464" t="str">
        <x:v>DHIRENDRA SINGH</x:v>
      </x:c>
      <x:c r="J464" t="str">
        <x:v>Bharatiya Janata Party</x:v>
      </x:c>
      <x:c r="K464" t="str">
        <x:v>EVM row</x:v>
      </x:c>
      <x:c r="L464" s="133" t="str">
        <x:f>IF(D464&lt;=0,"No EVM votes",IF(E464&lt;$N$7,"Low",IF(E464&gt;$R$7,"High","Middle")))</x:f>
        <x:v>Middle</x:v>
      </x:c>
      <x:c r="M464" s="133" t="str">
        <x:f>IF(D464&lt;=0,"No EVM votes",IF(H464&lt;-20%,"Large deficit",IF(H464&lt;-5%,"Moderate deficit",IF(H464&lt;0,"Narrow deficit",IF(H464&lt;=5%,"Narrow lead/tie",IF(H464&lt;=20%,"Moderate lead","Large lead"))))))</x:f>
        <x:v>Large deficit</x:v>
      </x:c>
    </x:row>
    <x:row r="465">
      <x:c r="A465" t="n">
        <x:v>406</x:v>
      </x:c>
      <x:c r="B465" t="str">
        <x:v>INTER COLLEGE TOWN AREA JAHANGIRPUR ROOM NO 2</x:v>
      </x:c>
      <x:c r="C465" s="83" t="n">
        <x:f>'2022 Form20'!H414</x:f>
        <x:v>121</x:v>
      </x:c>
      <x:c r="D465" s="83" t="n">
        <x:f>'2022 Form20'!D414</x:f>
        <x:v>427</x:v>
      </x:c>
      <x:c r="E465" s="50" t="n">
        <x:f>'2022 Form20'!T414</x:f>
        <x:v>0.28337236533957844</x:v>
      </x:c>
      <x:c r="F465" t="n">
        <x:f>'2022 Form20'!U414</x:f>
        <x:v>178</x:v>
      </x:c>
      <x:c r="G465" t="n">
        <x:f>'2022 Form20'!V414</x:f>
        <x:v>-57</x:v>
      </x:c>
      <x:c r="H465" s="52" t="n">
        <x:f>'2022 Form20'!W414</x:f>
        <x:v>-0.13348946135831383</x:v>
      </x:c>
      <x:c r="I465" t="str">
        <x:v>DHIRENDRA SINGH</x:v>
      </x:c>
      <x:c r="J465" t="str">
        <x:v>Bharatiya Janata Party</x:v>
      </x:c>
      <x:c r="K465" t="str">
        <x:v>EVM row</x:v>
      </x:c>
      <x:c r="L465" s="133" t="str">
        <x:f>IF(D465&lt;=0,"No EVM votes",IF(E465&lt;$N$7,"Low",IF(E465&gt;$R$7,"High","Middle")))</x:f>
        <x:v>Middle</x:v>
      </x:c>
      <x:c r="M465" s="133" t="str">
        <x:f>IF(D465&lt;=0,"No EVM votes",IF(H465&lt;-20%,"Large deficit",IF(H465&lt;-5%,"Moderate deficit",IF(H465&lt;0,"Narrow deficit",IF(H465&lt;=5%,"Narrow lead/tie",IF(H465&lt;=20%,"Moderate lead","Large lead"))))))</x:f>
        <x:v>Moderate deficit</x:v>
      </x:c>
    </x:row>
    <x:row r="466">
      <x:c r="A466" t="n">
        <x:v>407</x:v>
      </x:c>
      <x:c r="B466" t="str">
        <x:v>INTER COLLEGE TOWN AREA JAHANGIRPUR ROOM NO 3</x:v>
      </x:c>
      <x:c r="C466" s="83" t="n">
        <x:f>'2022 Form20'!H415</x:f>
        <x:v>86</x:v>
      </x:c>
      <x:c r="D466" s="83" t="n">
        <x:f>'2022 Form20'!D415</x:f>
        <x:v>400</x:v>
      </x:c>
      <x:c r="E466" s="50" t="n">
        <x:f>'2022 Form20'!T415</x:f>
        <x:v>0.215</x:v>
      </x:c>
      <x:c r="F466" t="n">
        <x:f>'2022 Form20'!U415</x:f>
        <x:v>304</x:v>
      </x:c>
      <x:c r="G466" t="n">
        <x:f>'2022 Form20'!V415</x:f>
        <x:v>-218</x:v>
      </x:c>
      <x:c r="H466" s="52" t="n">
        <x:f>'2022 Form20'!W415</x:f>
        <x:v>-0.545</x:v>
      </x:c>
      <x:c r="I466" t="str">
        <x:v>DHIRENDRA SINGH</x:v>
      </x:c>
      <x:c r="J466" t="str">
        <x:v>Bharatiya Janata Party</x:v>
      </x:c>
      <x:c r="K466" t="str">
        <x:v>EVM row</x:v>
      </x:c>
      <x:c r="L466" s="133" t="str">
        <x:f>IF(D466&lt;=0,"No EVM votes",IF(E466&lt;$N$7,"Low",IF(E466&gt;$R$7,"High","Middle")))</x:f>
        <x:v>Middle</x:v>
      </x:c>
      <x:c r="M466" s="133" t="str">
        <x:f>IF(D466&lt;=0,"No EVM votes",IF(H466&lt;-20%,"Large deficit",IF(H466&lt;-5%,"Moderate deficit",IF(H466&lt;0,"Narrow deficit",IF(H466&lt;=5%,"Narrow lead/tie",IF(H466&lt;=20%,"Moderate lead","Large lead"))))))</x:f>
        <x:v>Large deficit</x:v>
      </x:c>
    </x:row>
    <x:row r="467">
      <x:c r="A467" t="n">
        <x:v>408</x:v>
      </x:c>
      <x:c r="B467" t="str">
        <x:v>INTER COLLEGE TOWN AREA JAHANGIRPUR ROOM NO 4</x:v>
      </x:c>
      <x:c r="C467" s="83" t="n">
        <x:f>'2022 Form20'!H416</x:f>
        <x:v>65</x:v>
      </x:c>
      <x:c r="D467" s="83" t="n">
        <x:f>'2022 Form20'!D416</x:f>
        <x:v>613</x:v>
      </x:c>
      <x:c r="E467" s="50" t="n">
        <x:f>'2022 Form20'!T416</x:f>
        <x:v>0.10603588907014681</x:v>
      </x:c>
      <x:c r="F467" t="n">
        <x:f>'2022 Form20'!U416</x:f>
        <x:v>539</x:v>
      </x:c>
      <x:c r="G467" t="n">
        <x:f>'2022 Form20'!V416</x:f>
        <x:v>-474</x:v>
      </x:c>
      <x:c r="H467" s="52" t="n">
        <x:f>'2022 Form20'!W416</x:f>
        <x:v>-0.7732463295269169</x:v>
      </x:c>
      <x:c r="I467" t="str">
        <x:v>DHIRENDRA SINGH</x:v>
      </x:c>
      <x:c r="J467" t="str">
        <x:v>Bharatiya Janata Party</x:v>
      </x:c>
      <x:c r="K467" t="str">
        <x:v>EVM row</x:v>
      </x:c>
      <x:c r="L467" s="133" t="str">
        <x:f>IF(D467&lt;=0,"No EVM votes",IF(E467&lt;$N$7,"Low",IF(E467&gt;$R$7,"High","Middle")))</x:f>
        <x:v>Middle</x:v>
      </x:c>
      <x:c r="M467" s="133" t="str">
        <x:f>IF(D467&lt;=0,"No EVM votes",IF(H467&lt;-20%,"Large deficit",IF(H467&lt;-5%,"Moderate deficit",IF(H467&lt;0,"Narrow deficit",IF(H467&lt;=5%,"Narrow lead/tie",IF(H467&lt;=20%,"Moderate lead","Large lead"))))))</x:f>
        <x:v>Large deficit</x:v>
      </x:c>
    </x:row>
    <x:row r="468">
      <x:c r="A468" t="n">
        <x:v>409</x:v>
      </x:c>
      <x:c r="B468" t="str">
        <x:v>INTER COLLEGE TOWN AREA JAHANGIRPUR ROOM NO 5</x:v>
      </x:c>
      <x:c r="C468" s="83" t="n">
        <x:f>'2022 Form20'!H417</x:f>
        <x:v>217</x:v>
      </x:c>
      <x:c r="D468" s="83" t="n">
        <x:f>'2022 Form20'!D417</x:f>
        <x:v>615</x:v>
      </x:c>
      <x:c r="E468" s="50" t="n">
        <x:f>'2022 Form20'!T417</x:f>
        <x:v>0.35284552845528455</x:v>
      </x:c>
      <x:c r="F468" t="n">
        <x:f>'2022 Form20'!U417</x:f>
        <x:v>383</x:v>
      </x:c>
      <x:c r="G468" t="n">
        <x:f>'2022 Form20'!V417</x:f>
        <x:v>-166</x:v>
      </x:c>
      <x:c r="H468" s="52" t="n">
        <x:f>'2022 Form20'!W417</x:f>
        <x:v>-0.26991869918699185</x:v>
      </x:c>
      <x:c r="I468" t="str">
        <x:v>DHIRENDRA SINGH</x:v>
      </x:c>
      <x:c r="J468" t="str">
        <x:v>Bharatiya Janata Party</x:v>
      </x:c>
      <x:c r="K468" t="str">
        <x:v>EVM row</x:v>
      </x:c>
      <x:c r="L468" s="133" t="str">
        <x:f>IF(D468&lt;=0,"No EVM votes",IF(E468&lt;$N$7,"Low",IF(E468&gt;$R$7,"High","Middle")))</x:f>
        <x:v>Middle</x:v>
      </x:c>
      <x:c r="M468" s="133" t="str">
        <x:f>IF(D468&lt;=0,"No EVM votes",IF(H468&lt;-20%,"Large deficit",IF(H468&lt;-5%,"Moderate deficit",IF(H468&lt;0,"Narrow deficit",IF(H468&lt;=5%,"Narrow lead/tie",IF(H468&lt;=20%,"Moderate lead","Large lead"))))))</x:f>
        <x:v>Large deficit</x:v>
      </x:c>
    </x:row>
    <x:row r="469">
      <x:c r="A469" t="n">
        <x:v>410</x:v>
      </x:c>
      <x:c r="B469" t="str">
        <x:v>KANYA PATHSHALA TOWN AREA ROOM NO 1</x:v>
      </x:c>
      <x:c r="C469" s="83" t="n">
        <x:f>'2022 Form20'!H418</x:f>
        <x:v>234</x:v>
      </x:c>
      <x:c r="D469" s="83" t="n">
        <x:f>'2022 Form20'!D418</x:f>
        <x:v>703</x:v>
      </x:c>
      <x:c r="E469" s="50" t="n">
        <x:f>'2022 Form20'!T418</x:f>
        <x:v>0.3328591749644381</x:v>
      </x:c>
      <x:c r="F469" t="n">
        <x:f>'2022 Form20'!U418</x:f>
        <x:v>444</x:v>
      </x:c>
      <x:c r="G469" t="n">
        <x:f>'2022 Form20'!V418</x:f>
        <x:v>-210</x:v>
      </x:c>
      <x:c r="H469" s="52" t="n">
        <x:f>'2022 Form20'!W418</x:f>
        <x:v>-0.29871977240398295</x:v>
      </x:c>
      <x:c r="I469" t="str">
        <x:v>DHIRENDRA SINGH</x:v>
      </x:c>
      <x:c r="J469" t="str">
        <x:v>Bharatiya Janata Party</x:v>
      </x:c>
      <x:c r="K469" t="str">
        <x:v>EVM row</x:v>
      </x:c>
      <x:c r="L469" s="133" t="str">
        <x:f>IF(D469&lt;=0,"No EVM votes",IF(E469&lt;$N$7,"Low",IF(E469&gt;$R$7,"High","Middle")))</x:f>
        <x:v>Middle</x:v>
      </x:c>
      <x:c r="M469" s="133" t="str">
        <x:f>IF(D469&lt;=0,"No EVM votes",IF(H469&lt;-20%,"Large deficit",IF(H469&lt;-5%,"Moderate deficit",IF(H469&lt;0,"Narrow deficit",IF(H469&lt;=5%,"Narrow lead/tie",IF(H469&lt;=20%,"Moderate lead","Large lead"))))))</x:f>
        <x:v>Large deficit</x:v>
      </x:c>
    </x:row>
    <x:row r="470">
      <x:c r="A470" t="n">
        <x:v>411</x:v>
      </x:c>
      <x:c r="B470" t="str">
        <x:v>KANYA PATHSHALA TOWN AREA ROOM NO 2</x:v>
      </x:c>
      <x:c r="C470" s="83" t="n">
        <x:f>'2022 Form20'!H419</x:f>
        <x:v>59</x:v>
      </x:c>
      <x:c r="D470" s="83" t="n">
        <x:f>'2022 Form20'!D419</x:f>
        <x:v>282</x:v>
      </x:c>
      <x:c r="E470" s="50" t="n">
        <x:f>'2022 Form20'!T419</x:f>
        <x:v>0.20921985815602837</x:v>
      </x:c>
      <x:c r="F470" t="n">
        <x:f>'2022 Form20'!U419</x:f>
        <x:v>222</x:v>
      </x:c>
      <x:c r="G470" t="n">
        <x:f>'2022 Form20'!V419</x:f>
        <x:v>-163</x:v>
      </x:c>
      <x:c r="H470" s="52" t="n">
        <x:f>'2022 Form20'!W419</x:f>
        <x:v>-0.5780141843971631</x:v>
      </x:c>
      <x:c r="I470" t="str">
        <x:v>DHIRENDRA SINGH</x:v>
      </x:c>
      <x:c r="J470" t="str">
        <x:v>Bharatiya Janata Party</x:v>
      </x:c>
      <x:c r="K470" t="str">
        <x:v>EVM row</x:v>
      </x:c>
      <x:c r="L470" s="133" t="str">
        <x:f>IF(D470&lt;=0,"No EVM votes",IF(E470&lt;$N$7,"Low",IF(E470&gt;$R$7,"High","Middle")))</x:f>
        <x:v>Middle</x:v>
      </x:c>
      <x:c r="M470" s="133" t="str">
        <x:f>IF(D470&lt;=0,"No EVM votes",IF(H470&lt;-20%,"Large deficit",IF(H470&lt;-5%,"Moderate deficit",IF(H470&lt;0,"Narrow deficit",IF(H470&lt;=5%,"Narrow lead/tie",IF(H470&lt;=20%,"Moderate lead","Large lead"))))))</x:f>
        <x:v>Large deficit</x:v>
      </x:c>
    </x:row>
    <x:row r="471">
      <x:c r="A471" t="n">
        <x:v>412</x:v>
      </x:c>
      <x:c r="B471" t="str">
        <x:v>PRIMARY SCHOOL TOWN AREA JAHANGIRPUR ROOM NO 1</x:v>
      </x:c>
      <x:c r="C471" s="83" t="n">
        <x:f>'2022 Form20'!H420</x:f>
        <x:v>232</x:v>
      </x:c>
      <x:c r="D471" s="83" t="n">
        <x:f>'2022 Form20'!D420</x:f>
        <x:v>731</x:v>
      </x:c>
      <x:c r="E471" s="50" t="n">
        <x:f>'2022 Form20'!T420</x:f>
        <x:v>0.3173734610123119</x:v>
      </x:c>
      <x:c r="F471" t="n">
        <x:f>'2022 Form20'!U420</x:f>
        <x:v>477</x:v>
      </x:c>
      <x:c r="G471" t="n">
        <x:f>'2022 Form20'!V420</x:f>
        <x:v>-245</x:v>
      </x:c>
      <x:c r="H471" s="52" t="n">
        <x:f>'2022 Form20'!W420</x:f>
        <x:v>-0.33515731874145005</x:v>
      </x:c>
      <x:c r="I471" t="str">
        <x:v>DHIRENDRA SINGH</x:v>
      </x:c>
      <x:c r="J471" t="str">
        <x:v>Bharatiya Janata Party</x:v>
      </x:c>
      <x:c r="K471" t="str">
        <x:v>EVM row</x:v>
      </x:c>
      <x:c r="L471" s="133" t="str">
        <x:f>IF(D471&lt;=0,"No EVM votes",IF(E471&lt;$N$7,"Low",IF(E471&gt;$R$7,"High","Middle")))</x:f>
        <x:v>Middle</x:v>
      </x:c>
      <x:c r="M471" s="133" t="str">
        <x:f>IF(D471&lt;=0,"No EVM votes",IF(H471&lt;-20%,"Large deficit",IF(H471&lt;-5%,"Moderate deficit",IF(H471&lt;0,"Narrow deficit",IF(H471&lt;=5%,"Narrow lead/tie",IF(H471&lt;=20%,"Moderate lead","Large lead"))))))</x:f>
        <x:v>Large deficit</x:v>
      </x:c>
    </x:row>
    <x:row r="472">
      <x:c r="A472" t="n">
        <x:v>413</x:v>
      </x:c>
      <x:c r="B472" t="str">
        <x:v>PRIMARY SCHOOL TOWN AREA JAHANGIRPUR ROOM NO 2</x:v>
      </x:c>
      <x:c r="C472" s="83" t="n">
        <x:f>'2022 Form20'!H421</x:f>
        <x:v>341</x:v>
      </x:c>
      <x:c r="D472" s="83" t="n">
        <x:f>'2022 Form20'!D421</x:f>
        <x:v>414</x:v>
      </x:c>
      <x:c r="E472" s="50" t="n">
        <x:f>'2022 Form20'!T421</x:f>
        <x:v>0.8236714975845411</x:v>
      </x:c>
      <x:c r="F472" t="n">
        <x:f>'2022 Form20'!U421</x:f>
        <x:v>44</x:v>
      </x:c>
      <x:c r="G472" t="n">
        <x:f>'2022 Form20'!V421</x:f>
        <x:v>297</x:v>
      </x:c>
      <x:c r="H472" s="52" t="n">
        <x:f>'2022 Form20'!W421</x:f>
        <x:v>0.717391304347826</x:v>
      </x:c>
      <x:c r="I472" t="str">
        <x:v>AVTAR SINGH BHADANA</x:v>
      </x:c>
      <x:c r="J472" t="str">
        <x:v>Rashtriya Lok Dal</x:v>
      </x:c>
      <x:c r="K472" t="str">
        <x:v>EVM row</x:v>
      </x:c>
      <x:c r="L472" s="133" t="str">
        <x:f>IF(D472&lt;=0,"No EVM votes",IF(E472&lt;$N$7,"Low",IF(E472&gt;$R$7,"High","Middle")))</x:f>
        <x:v>High</x:v>
      </x:c>
      <x:c r="M472" s="133" t="str">
        <x:f>IF(D472&lt;=0,"No EVM votes",IF(H472&lt;-20%,"Large deficit",IF(H472&lt;-5%,"Moderate deficit",IF(H472&lt;0,"Narrow deficit",IF(H472&lt;=5%,"Narrow lead/tie",IF(H472&lt;=20%,"Moderate lead","Large lead"))))))</x:f>
        <x:v>Large lead</x:v>
      </x:c>
    </x:row>
    <x:row r="473">
      <x:c r="A473" t="n">
        <x:v>414</x:v>
      </x:c>
      <x:c r="B473" t="str">
        <x:v>PRIMARY SCHOOL TOWN AREA JAHANGIRPUR ROOM NO 3</x:v>
      </x:c>
      <x:c r="C473" s="83" t="n">
        <x:f>'2022 Form20'!H422</x:f>
        <x:v>567</x:v>
      </x:c>
      <x:c r="D473" s="83" t="n">
        <x:f>'2022 Form20'!D422</x:f>
        <x:v>650</x:v>
      </x:c>
      <x:c r="E473" s="50" t="n">
        <x:f>'2022 Form20'!T422</x:f>
        <x:v>0.8723076923076923</x:v>
      </x:c>
      <x:c r="F473" t="n">
        <x:f>'2022 Form20'!U422</x:f>
        <x:v>63</x:v>
      </x:c>
      <x:c r="G473" t="n">
        <x:f>'2022 Form20'!V422</x:f>
        <x:v>504</x:v>
      </x:c>
      <x:c r="H473" s="52" t="n">
        <x:f>'2022 Form20'!W422</x:f>
        <x:v>0.7753846153846153</x:v>
      </x:c>
      <x:c r="I473" t="str">
        <x:v>AVTAR SINGH BHADANA</x:v>
      </x:c>
      <x:c r="J473" t="str">
        <x:v>Rashtriya Lok Dal</x:v>
      </x:c>
      <x:c r="K473" t="str">
        <x:v>EVM row</x:v>
      </x:c>
      <x:c r="L473" s="133" t="str">
        <x:f>IF(D473&lt;=0,"No EVM votes",IF(E473&lt;$N$7,"Low",IF(E473&gt;$R$7,"High","Middle")))</x:f>
        <x:v>High</x:v>
      </x:c>
      <x:c r="M473" s="133" t="str">
        <x:f>IF(D473&lt;=0,"No EVM votes",IF(H473&lt;-20%,"Large deficit",IF(H473&lt;-5%,"Moderate deficit",IF(H473&lt;0,"Narrow deficit",IF(H473&lt;=5%,"Narrow lead/tie",IF(H473&lt;=20%,"Moderate lead","Large lead"))))))</x:f>
        <x:v>Large lead</x:v>
      </x:c>
    </x:row>
    <x:row r="474">
      <x:c r="A474" t="n">
        <x:v>415</x:v>
      </x:c>
      <x:c r="B474" t="str">
        <x:v>PRIMARY SCHOOL CHAK JAHANGIRPUR ROOM NO 1</x:v>
      </x:c>
      <x:c r="C474" s="83" t="n">
        <x:f>'2022 Form20'!H423</x:f>
        <x:v>114</x:v>
      </x:c>
      <x:c r="D474" s="83" t="n">
        <x:f>'2022 Form20'!D423</x:f>
        <x:v>209</x:v>
      </x:c>
      <x:c r="E474" s="50" t="n">
        <x:f>'2022 Form20'!T423</x:f>
        <x:v>0.5454545454545454</x:v>
      </x:c>
      <x:c r="F474" t="n">
        <x:f>'2022 Form20'!U423</x:f>
        <x:v>95</x:v>
      </x:c>
      <x:c r="G474" t="n">
        <x:f>'2022 Form20'!V423</x:f>
        <x:v>19</x:v>
      </x:c>
      <x:c r="H474" s="52" t="n">
        <x:f>'2022 Form20'!W423</x:f>
        <x:v>0.09090909090909091</x:v>
      </x:c>
      <x:c r="I474" t="str">
        <x:v>AVTAR SINGH BHADANA</x:v>
      </x:c>
      <x:c r="J474" t="str">
        <x:v>Rashtriya Lok Dal</x:v>
      </x:c>
      <x:c r="K474" t="str">
        <x:v>EVM row</x:v>
      </x:c>
      <x:c r="L474" s="133" t="str">
        <x:f>IF(D474&lt;=0,"No EVM votes",IF(E474&lt;$N$7,"Low",IF(E474&gt;$R$7,"High","Middle")))</x:f>
        <x:v>High</x:v>
      </x:c>
      <x:c r="M474" s="133" t="str">
        <x:f>IF(D474&lt;=0,"No EVM votes",IF(H474&lt;-20%,"Large deficit",IF(H474&lt;-5%,"Moderate deficit",IF(H474&lt;0,"Narrow deficit",IF(H474&lt;=5%,"Narrow lead/tie",IF(H474&lt;=20%,"Moderate lead","Large lead"))))))</x:f>
        <x:v>Moderate lead</x:v>
      </x:c>
    </x:row>
    <x:row r="475">
      <x:c r="A475" t="n">
        <x:v>416</x:v>
      </x:c>
      <x:c r="B475" t="str">
        <x:v>PRIMARY SCHOOL JAFARGARH MAJRA JAHANGIRPUR ROOM NO 1</x:v>
      </x:c>
      <x:c r="C475" s="83" t="n">
        <x:f>'2022 Form20'!H424</x:f>
        <x:v>6</x:v>
      </x:c>
      <x:c r="D475" s="83" t="n">
        <x:f>'2022 Form20'!D424</x:f>
        <x:v>328</x:v>
      </x:c>
      <x:c r="E475" s="50" t="n">
        <x:f>'2022 Form20'!T424</x:f>
        <x:v>0.018292682926829267</x:v>
      </x:c>
      <x:c r="F475" t="n">
        <x:f>'2022 Form20'!U424</x:f>
        <x:v>281</x:v>
      </x:c>
      <x:c r="G475" t="n">
        <x:f>'2022 Form20'!V424</x:f>
        <x:v>-275</x:v>
      </x:c>
      <x:c r="H475" s="52" t="n">
        <x:f>'2022 Form20'!W424</x:f>
        <x:v>-0.8384146341463414</x:v>
      </x:c>
      <x:c r="I475" t="str">
        <x:v>NARENDER KUMAR</x:v>
      </x:c>
      <x:c r="J475" t="str">
        <x:v>Bahujan Samaj Party</x:v>
      </x:c>
      <x:c r="K475" t="str">
        <x:v>EVM row</x:v>
      </x:c>
      <x:c r="L475" s="133" t="str">
        <x:f>IF(D475&lt;=0,"No EVM votes",IF(E475&lt;$N$7,"Low",IF(E475&gt;$R$7,"High","Middle")))</x:f>
        <x:v>Low</x:v>
      </x:c>
      <x:c r="M475" s="133" t="str">
        <x:f>IF(D475&lt;=0,"No EVM votes",IF(H475&lt;-20%,"Large deficit",IF(H475&lt;-5%,"Moderate deficit",IF(H475&lt;0,"Narrow deficit",IF(H475&lt;=5%,"Narrow lead/tie",IF(H475&lt;=20%,"Moderate lead","Large lead"))))))</x:f>
        <x:v>Large deficit</x:v>
      </x:c>
    </x:row>
    <x:row r="476">
      <x:c r="A476" t="n">
        <x:v>417</x:v>
      </x:c>
      <x:c r="B476" t="str">
        <x:v>PRIMARY SCHOOL CHAK NAGLIA ROOM NO. 1</x:v>
      </x:c>
      <x:c r="C476" s="83" t="n">
        <x:f>'2022 Form20'!H425</x:f>
        <x:v>13</x:v>
      </x:c>
      <x:c r="D476" s="83" t="n">
        <x:f>'2022 Form20'!D425</x:f>
        <x:v>579</x:v>
      </x:c>
      <x:c r="E476" s="50" t="n">
        <x:f>'2022 Form20'!T425</x:f>
        <x:v>0.022452504317789293</x:v>
      </x:c>
      <x:c r="F476" t="n">
        <x:f>'2022 Form20'!U425</x:f>
        <x:v>556</x:v>
      </x:c>
      <x:c r="G476" t="n">
        <x:f>'2022 Form20'!V425</x:f>
        <x:v>-543</x:v>
      </x:c>
      <x:c r="H476" s="52" t="n">
        <x:f>'2022 Form20'!W425</x:f>
        <x:v>-0.9378238341968912</x:v>
      </x:c>
      <x:c r="I476" t="str">
        <x:v>DHIRENDRA SINGH</x:v>
      </x:c>
      <x:c r="J476" t="str">
        <x:v>Bharatiya Janata Party</x:v>
      </x:c>
      <x:c r="K476" t="str">
        <x:v>EVM row</x:v>
      </x:c>
      <x:c r="L476" s="133" t="str">
        <x:f>IF(D476&lt;=0,"No EVM votes",IF(E476&lt;$N$7,"Low",IF(E476&gt;$R$7,"High","Middle")))</x:f>
        <x:v>Low</x:v>
      </x:c>
      <x:c r="M476" s="133" t="str">
        <x:f>IF(D476&lt;=0,"No EVM votes",IF(H476&lt;-20%,"Large deficit",IF(H476&lt;-5%,"Moderate deficit",IF(H476&lt;0,"Narrow deficit",IF(H476&lt;=5%,"Narrow lead/tie",IF(H476&lt;=20%,"Moderate lead","Large lead"))))))</x:f>
        <x:v>Large deficit</x:v>
      </x:c>
    </x:row>
    <x:row r="477">
      <x:c r="A477" t="n">
        <x:v>418</x:v>
      </x:c>
      <x:c r="B477" t="str">
        <x:v>PRIMARY SCHOOL ALAMPUR HATHALA ALIAS LAUDENA ROOM NO 1</x:v>
      </x:c>
      <x:c r="C477" s="83" t="n">
        <x:f>'2022 Form20'!H426</x:f>
        <x:v>118</x:v>
      </x:c>
      <x:c r="D477" s="83" t="n">
        <x:f>'2022 Form20'!D426</x:f>
        <x:v>601</x:v>
      </x:c>
      <x:c r="E477" s="50" t="n">
        <x:f>'2022 Form20'!T426</x:f>
        <x:v>0.19633943427620631</x:v>
      </x:c>
      <x:c r="F477" t="n">
        <x:f>'2022 Form20'!U426</x:f>
        <x:v>373</x:v>
      </x:c>
      <x:c r="G477" t="n">
        <x:f>'2022 Form20'!V426</x:f>
        <x:v>-255</x:v>
      </x:c>
      <x:c r="H477" s="52" t="n">
        <x:f>'2022 Form20'!W426</x:f>
        <x:v>-0.4242928452579035</x:v>
      </x:c>
      <x:c r="I477" t="str">
        <x:v>DHIRENDRA SINGH</x:v>
      </x:c>
      <x:c r="J477" t="str">
        <x:v>Bharatiya Janata Party</x:v>
      </x:c>
      <x:c r="K477" t="str">
        <x:v>EVM row</x:v>
      </x:c>
      <x:c r="L477" s="133" t="str">
        <x:f>IF(D477&lt;=0,"No EVM votes",IF(E477&lt;$N$7,"Low",IF(E477&gt;$R$7,"High","Middle")))</x:f>
        <x:v>Middle</x:v>
      </x:c>
      <x:c r="M477" s="133" t="str">
        <x:f>IF(D477&lt;=0,"No EVM votes",IF(H477&lt;-20%,"Large deficit",IF(H477&lt;-5%,"Moderate deficit",IF(H477&lt;0,"Narrow deficit",IF(H477&lt;=5%,"Narrow lead/tie",IF(H477&lt;=20%,"Moderate lead","Large lead"))))))</x:f>
        <x:v>Large deficit</x:v>
      </x:c>
    </x:row>
    <x:row r="478">
      <x:c r="A478" t="n">
        <x:v>419</x:v>
      </x:c>
      <x:c r="B478" t="str">
        <x:v>PRIMARY SCHOOL ALAMPUR HATHALA ALIAS LAUDENA ROOM NO 2</x:v>
      </x:c>
      <x:c r="C478" s="83" t="n">
        <x:f>'2022 Form20'!H427</x:f>
        <x:v>186</x:v>
      </x:c>
      <x:c r="D478" s="83" t="n">
        <x:f>'2022 Form20'!D427</x:f>
        <x:v>587</x:v>
      </x:c>
      <x:c r="E478" s="50" t="n">
        <x:f>'2022 Form20'!T427</x:f>
        <x:v>0.31686541737649065</x:v>
      </x:c>
      <x:c r="F478" t="n">
        <x:f>'2022 Form20'!U427</x:f>
        <x:v>373</x:v>
      </x:c>
      <x:c r="G478" t="n">
        <x:f>'2022 Form20'!V427</x:f>
        <x:v>-187</x:v>
      </x:c>
      <x:c r="H478" s="52" t="n">
        <x:f>'2022 Form20'!W427</x:f>
        <x:v>-0.3185689948892675</x:v>
      </x:c>
      <x:c r="I478" t="str">
        <x:v>DHIRENDRA SINGH</x:v>
      </x:c>
      <x:c r="J478" t="str">
        <x:v>Bharatiya Janata Party</x:v>
      </x:c>
      <x:c r="K478" t="str">
        <x:v>EVM row</x:v>
      </x:c>
      <x:c r="L478" s="133" t="str">
        <x:f>IF(D478&lt;=0,"No EVM votes",IF(E478&lt;$N$7,"Low",IF(E478&gt;$R$7,"High","Middle")))</x:f>
        <x:v>Middle</x:v>
      </x:c>
      <x:c r="M478" s="133" t="str">
        <x:f>IF(D478&lt;=0,"No EVM votes",IF(H478&lt;-20%,"Large deficit",IF(H478&lt;-5%,"Moderate deficit",IF(H478&lt;0,"Narrow deficit",IF(H478&lt;=5%,"Narrow lead/tie",IF(H478&lt;=20%,"Moderate lead","Large lead"))))))</x:f>
        <x:v>Large deficit</x:v>
      </x:c>
    </x:row>
  </x:sheetData>
  <x:mergeCells>
    <x:mergeCell ref="A5:G5"/>
    <x:mergeCell ref="A9:G9"/>
    <x:mergeCell ref="A26:F26"/>
    <x:mergeCell ref="A37:F37"/>
    <x:mergeCell ref="D27:J27"/>
    <x:mergeCell ref="A58:K58"/>
    <x:mergeCell ref="A4:K4"/>
    <x:mergeCell ref="M5:T5"/>
    <x:mergeCell ref="M16:T16"/>
    <x:mergeCell ref="M17:T17"/>
    <x:mergeCell ref="M18:T18"/>
    <x:mergeCell ref="M19:T19"/>
    <x:mergeCell ref="M21:T21"/>
    <x:mergeCell ref="M22:T22"/>
    <x:mergeCell ref="M26:T26"/>
    <x:mergeCell ref="M28:T28"/>
    <x:mergeCell ref="M35:T35"/>
    <x:mergeCell ref="M36:T36"/>
    <x:mergeCell ref="M37:T37"/>
    <x:mergeCell ref="M39:T39"/>
    <x:mergeCell ref="R42:T42"/>
    <x:mergeCell ref="A1:K2"/>
    <x:mergeCell ref="A3:K3"/>
    <x:mergeCell ref="H7:K9"/>
  </x:mergeCells>
  <x:conditionalFormatting sqref="D11:D22">
    <x:cfRule type="dataBar" priority="1">
      <x:dataBar>
        <x:cfvo type="min"/>
        <x:cfvo type="max"/>
        <x:color rgb="FF44B4AC"/>
      </x:dataBar>
      <x:extLst>
        <x:ext xmlns:x14="http://schemas.microsoft.com/office/spreadsheetml/2009/9/main" uri="{B025F937-C7B1-47D3-B67F-A62EFF666E3E}">
          <x14:id>{96D718B7-7EC5-C438-1263-BA65B2E89B3A}</x14:id>
        </x:ext>
      </x:extLst>
    </x:cfRule>
  </x:conditionalFormatting>
  <x:conditionalFormatting sqref="E11:E22">
    <x:cfRule type="dataBar" priority="2">
      <x:dataBar>
        <x:cfvo type="min"/>
        <x:cfvo type="max"/>
        <x:color rgb="FF7EA5CB"/>
      </x:dataBar>
      <x:extLst>
        <x:ext xmlns:x14="http://schemas.microsoft.com/office/spreadsheetml/2009/9/main" uri="{B025F937-C7B1-47D3-B67F-A62EFF666E3E}">
          <x14:id>{76C08305-DDD0-7CF0-9ADE-FE59BBF24BF9}</x14:id>
        </x:ext>
      </x:extLst>
    </x:cfRule>
  </x:conditionalFormatting>
  <x:conditionalFormatting sqref="E60:E478">
    <x:cfRule type="dataBar" priority="3">
      <x:dataBar>
        <x:cfvo type="min"/>
        <x:cfvo type="max"/>
        <x:color rgb="FF6EBBAE"/>
      </x:dataBar>
      <x:extLst>
        <x:ext xmlns:x14="http://schemas.microsoft.com/office/spreadsheetml/2009/9/main" uri="{B025F937-C7B1-47D3-B67F-A62EFF666E3E}">
          <x14:id>{9DEA9BAD-4C6E-4460-18D1-2B13ECA358EA}</x14:id>
        </x:ext>
      </x:extLst>
    </x:cfRule>
  </x:conditionalFormatting>
  <x:conditionalFormatting sqref="H60:H478">
    <x:cfRule type="colorScale" priority="4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N30:S32">
    <x:cfRule type="colorScale" priority="5">
      <x:colorScale>
        <x:cfvo type="min"/>
        <x:cfvo type="percentile" val="50"/>
        <x:cfvo type="max"/>
        <x:color rgb="FFFFFFFF"/>
        <x:color rgb="FFD5EEF5"/>
        <x:color rgb="FF3D8AA5"/>
      </x:colorScale>
    </x:cfRule>
  </x:conditionalFormatting>
  <x:conditionalFormatting sqref="L60:L478">
    <x:cfRule type="expression" dxfId="9" priority="6">
      <x:formula>L60="High"</x:formula>
    </x:cfRule>
    <x:cfRule type="expression" dxfId="10" priority="7">
      <x:formula>L60="Low"</x:formula>
    </x:cfRule>
  </x:conditionalFormatting>
  <x:conditionalFormatting sqref="T44:T63">
    <x:cfRule type="dataBar" priority="8">
      <x:dataBar>
        <x:cfvo type="min"/>
        <x:cfvo type="max"/>
        <x:color rgb="FF4C96AF"/>
      </x:dataBar>
      <x:extLst>
        <x:ext xmlns:x14="http://schemas.microsoft.com/office/spreadsheetml/2009/9/main" uri="{B025F937-C7B1-47D3-B67F-A62EFF666E3E}">
          <x14:id>{228692E6-7825-AD92-A830-26D04075A06D}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42c535da0364f0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6D718B7-7EC5-C438-1263-BA65B2E89B3A}">
            <x14:dataBar gradient="1">
              <x14:cfvo type="min"/>
              <x14:cfvo type="max"/>
              <x14:fillColor rgb="FF44B4AC"/>
            </x14:dataBar>
          </x14:cfRule>
          <xm:sqref>D11:D22</xm:sqref>
        </x14:conditionalFormatting>
        <x14:conditionalFormatting>
          <x14:cfRule type="dataBar" priority="2" id="{76C08305-DDD0-7CF0-9ADE-FE59BBF24BF9}">
            <x14:dataBar gradient="1">
              <x14:cfvo type="min"/>
              <x14:cfvo type="max"/>
              <x14:fillColor rgb="FF7EA5CB"/>
            </x14:dataBar>
          </x14:cfRule>
          <xm:sqref>E11:E22</xm:sqref>
        </x14:conditionalFormatting>
        <x14:conditionalFormatting>
          <x14:cfRule type="dataBar" priority="3" id="{9DEA9BAD-4C6E-4460-18D1-2B13ECA358EA}">
            <x14:dataBar gradient="1">
              <x14:cfvo type="min"/>
              <x14:cfvo type="max"/>
              <x14:fillColor rgb="FF6EBBAE"/>
            </x14:dataBar>
          </x14:cfRule>
          <xm:sqref>E60:E478</xm:sqref>
        </x14:conditionalFormatting>
        <x14:conditionalFormatting>
          <x14:cfRule type="dataBar" priority="8" id="{228692E6-7825-AD92-A830-26D04075A06D}">
            <x14:dataBar gradient="0">
              <x14:cfvo type="min"/>
              <x14:cfvo type="max"/>
              <x14:fillColor rgb="FF4C96AF"/>
            </x14:dataBar>
          </x14:cfRule>
          <xm:sqref>T44:T63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35" hidden="0" customWidth="1"/>
    <x:col min="10" max="10" width="18" hidden="0" customWidth="1"/>
    <x:col min="11" max="11" width="18" hidden="0" customWidth="1"/>
    <x:col min="12" max="12" width="17" hidden="0" customWidth="1"/>
    <x:col min="13" max="13" width="22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" hidden="0" customWidth="1"/>
    <x:col min="22" max="22" width="3" hidden="0" customWidth="1"/>
    <x:col min="23" max="23" width="3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</x:cols>
  <x:sheetData>
    <x:row r="1" ht="27" customHeight="1">
      <x:c r="A1" s="4" t="str">
        <x:v>2024 | BOOTH PERFORMANCE LAB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37" t="str">
        <x:v>2024  |  QUARTILE • VOTE-MARGIN MATRIX</x:v>
      </x:c>
      <x:c r="N1" s="137"/>
      <x:c r="O1" s="137"/>
      <x:c r="P1" s="137"/>
      <x:c r="Q1" s="137"/>
      <x:c r="R1" s="137"/>
      <x:c r="S1" s="137"/>
      <x:c r="T1" s="137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4" customHeight="1">
      <x:c r="A3" s="10" t="str">
        <x:v>FOCUS: Dr. Mahendra Singh Nagar • Actual polling-station EVM counts • lead = focal votes minus strongest other candidate • 2027 outcome NOT inferred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43" t="str">
        <x:v>FOCUS: Dr. Mahendra Singh Nagar (SP, Lok Sabha)  •  station-level EVM votes  •  historic descriptive analysis</x:v>
      </x:c>
      <x:c r="N3" s="143"/>
      <x:c r="O3" s="143"/>
      <x:c r="P3" s="143"/>
      <x:c r="Q3" s="143"/>
      <x:c r="R3" s="143"/>
      <x:c r="S3" s="143"/>
      <x:c r="T3" s="143"/>
    </x:row>
    <x:row r="4" ht="24" customHeight="1">
      <x:c r="A4" s="95" t="str">
        <x:v>NEW →  Quartiles (Q1 / Median / Q3) • share × margin matrix • continuous histogram • talking-point insights. Scroll RIGHT to columns M–AJ.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</x:row>
    <x:row r="5" ht="27" customHeight="1">
      <x:c r="A5" s="16" t="str">
        <x:v>AT A GLANCE — FOCAL CANDIDATE / ALLIANCE CANDIDATE</x:v>
      </x:c>
      <x:c r="B5" s="16"/>
      <x:c r="C5" s="16"/>
      <x:c r="D5" s="16"/>
      <x:c r="E5" s="16"/>
      <x:c r="F5" s="16"/>
      <x:c r="G5" s="16"/>
      <x:c r="M5" s="113" t="str">
        <x:v>01   VOTE-SHARE DISTRIBUTION  |  Q1 • MEDIAN • Q3</x:v>
      </x:c>
      <x:c r="N5" s="113"/>
      <x:c r="O5" s="113"/>
      <x:c r="P5" s="113"/>
      <x:c r="Q5" s="113"/>
      <x:c r="R5" s="113"/>
      <x:c r="S5" s="113"/>
      <x:c r="T5" s="113"/>
    </x:row>
    <x:row r="6" ht="46" customHeight="1">
      <x:c r="A6" s="57" t="str">
        <x:v>Focus EVM votes</x:v>
      </x:c>
      <x:c r="B6" s="57" t="str">
        <x:v>Focus vote share</x:v>
      </x:c>
      <x:c r="C6" s="57" t="str">
        <x:v>Outright station leads</x:v>
      </x:c>
      <x:c r="D6" s="57" t="str">
        <x:v>Number of stations</x:v>
      </x:c>
    </x:row>
    <x:row r="7" ht="33" customHeight="1">
      <x:c r="A7" s="80" t="n">
        <x:f>C11</x:f>
        <x:v>31228</x:v>
      </x:c>
      <x:c r="B7" s="62" t="n">
        <x:f>D11</x:f>
        <x:v>0.15342664970005454</x:v>
      </x:c>
      <x:c r="C7" s="60" t="n">
        <x:v>27</x:v>
      </x:c>
      <x:c r="D7" s="60" t="n">
        <x:v>398</x:v>
      </x:c>
      <x:c r="H7" s="67" t="str">
        <x:v>How to read: 'lead' means the most votes at that station, NOT a 2027 forecast. For 2019 and 2022 the focal candidate represented a party allied with SP, not an SP-symbol contest.</x:v>
      </x:c>
      <x:c r="I7" s="67"/>
      <x:c r="J7" s="67"/>
      <x:c r="K7" s="67"/>
      <x:c r="L7" s="67"/>
      <x:c r="M7" s="96" t="str">
        <x:v>Q1 · 25th</x:v>
      </x:c>
      <x:c r="N7" s="100" t="n">
        <x:f>_xlfn.PERCENTILE.INC($E$60:$E$457,0.25)</x:f>
        <x:v>0.03048780487805</x:v>
      </x:c>
      <x:c r="O7" s="96" t="str">
        <x:v>Median · 50th</x:v>
      </x:c>
      <x:c r="P7" s="100" t="n">
        <x:f>MEDIAN($E$60:$E$457)</x:f>
        <x:v>0.11392405063291139</x:v>
      </x:c>
      <x:c r="Q7" s="96" t="str">
        <x:v>Q3 · 75th</x:v>
      </x:c>
      <x:c r="R7" s="100" t="n">
        <x:f>_xlfn.PERCENTILE.INC($E$60:$E$457,0.75)</x:f>
        <x:v>0.22558139534884</x:v>
      </x:c>
      <x:c r="S7" s="67"/>
      <x:c r="T7" s="67"/>
      <x:c r="U7" s="67"/>
    </x:row>
    <x:row r="8"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</x:row>
    <x:row r="9" ht="34" customHeight="1">
      <x:c r="A9" s="16" t="str">
        <x:v>CANDIDATE SCORECARD — VOTES, SHARE AND POLLING-STATION LEADS</x:v>
      </x:c>
      <x:c r="B9" s="16"/>
      <x:c r="C9" s="16"/>
      <x:c r="D9" s="16"/>
      <x:c r="E9" s="16"/>
      <x:c r="F9" s="16"/>
      <x:c r="G9" s="16"/>
      <x:c r="H9" s="67"/>
      <x:c r="I9" s="67"/>
      <x:c r="J9" s="67"/>
      <x:c r="K9" s="67"/>
      <x:c r="L9" s="67"/>
      <x:c r="M9" s="142" t="str">
        <x:v>Tulsipur method: Low &lt; Q1  |  Middle = Q1 to Q3 inclusive  |  High &gt; Q3. Relative to THIS election only.</x:v>
      </x:c>
      <x:c r="N9" s="142"/>
      <x:c r="O9" s="142"/>
      <x:c r="P9" s="142"/>
      <x:c r="Q9" s="142"/>
      <x:c r="R9" s="142"/>
      <x:c r="S9" s="142"/>
      <x:c r="T9" s="142"/>
      <x:c r="U9" s="67"/>
    </x:row>
    <x:row r="10" ht="38" customHeight="1">
      <x:c r="A10" s="45" t="str">
        <x:v>Candidate</x:v>
      </x:c>
      <x:c r="B10" s="45" t="str">
        <x:v>Party</x:v>
      </x:c>
      <x:c r="C10" s="45" t="str">
        <x:v>EVM votes</x:v>
      </x:c>
      <x:c r="D10" s="45" t="str">
        <x:v>EVM share</x:v>
      </x:c>
      <x:c r="E10" s="45" t="str">
        <x:v>Station leads</x:v>
      </x:c>
      <x:c r="F10" s="45" t="str">
        <x:v>Tied for lead</x:v>
      </x:c>
      <x:c r="G10" s="45" t="str">
        <x:v>Lead share of PS</x:v>
      </x:c>
    </x:row>
    <x:row r="11" ht="28" customHeight="1">
      <x:c r="A11" s="36" t="str">
        <x:v>Dr. Mahendra Singh Nagar</x:v>
      </x:c>
      <x:c r="B11" s="36" t="str">
        <x:v>SP</x:v>
      </x:c>
      <x:c r="C11" s="82" t="n">
        <x:f>SUM('2024 Form20'!H9:H406)</x:f>
        <x:v>31228</x:v>
      </x:c>
      <x:c r="D11" s="64" t="n">
        <x:f>IFERROR(C11/SUM('2024 Form20'!D9:D406),0)</x:f>
        <x:v>0.15342664970005454</x:v>
      </x:c>
      <x:c r="E11" s="36" t="n">
        <x:v>27</x:v>
      </x:c>
      <x:c r="F11" s="36" t="n">
        <x:v>1</x:v>
      </x:c>
      <x:c r="G11" s="64" t="n">
        <x:f>IFERROR(E11/398,0)</x:f>
        <x:v>0.0678391959798995</x:v>
      </x:c>
      <x:c r="M11" s="104" t="str">
        <x:v>Share band</x:v>
      </x:c>
      <x:c r="N11" s="104" t="str">
        <x:v>Stations</x:v>
      </x:c>
      <x:c r="O11" s="104" t="str">
        <x:v>% valid PS</x:v>
      </x:c>
      <x:c r="P11" s="104" t="str">
        <x:v>Avg share</x:v>
      </x:c>
      <x:c r="Q11" s="104" t="str">
        <x:v>Avg margin</x:v>
      </x:c>
    </x:row>
    <x:row r="12" ht="24" customHeight="1">
      <x:c r="A12" t="str">
        <x:v>Dr. Mahesh Sharma</x:v>
      </x:c>
      <x:c r="B12" t="str">
        <x:v>BJP</x:v>
      </x:c>
      <x:c r="C12" s="83" t="n">
        <x:f>SUM('2024 Form20'!I9:I406)</x:f>
        <x:v>104759</x:v>
      </x:c>
      <x:c r="D12" s="50" t="n">
        <x:f>IFERROR(C12/SUM('2024 Form20'!D9:D406),0)</x:f>
        <x:v>0.5146926603025495</x:v>
      </x:c>
      <x:c r="E12" t="n">
        <x:v>273</x:v>
      </x:c>
      <x:c r="F12" t="n">
        <x:v>1</x:v>
      </x:c>
      <x:c r="G12" s="50" t="n">
        <x:f>IFERROR(E12/398,0)</x:f>
        <x:v>0.6859296482412061</x:v>
      </x:c>
      <x:c r="M12" s="106" t="str">
        <x:v>Low</x:v>
      </x:c>
      <x:c r="N12" s="108" t="n">
        <x:f>COUNTIF($L$60:$L$457,M12)</x:f>
        <x:v>99</x:v>
      </x:c>
      <x:c r="O12" s="107" t="n">
        <x:f>IFERROR(N12/COUNT($E$60:$E$457),0)</x:f>
        <x:v>0.24937027707808565</x:v>
      </x:c>
      <x:c r="P12" s="107" t="n">
        <x:f>IFERROR(AVERAGEIF($L$60:$L$457,M12,$E$60:$E$457),0)</x:f>
        <x:v>0.014828937593712337</x:v>
      </x:c>
      <x:c r="Q12" s="107" t="n">
        <x:f>IFERROR(AVERAGEIF($L$60:$L$457,M12,$H$60:$H$457),0)</x:f>
        <x:v>-0.681629491669498</x:v>
      </x:c>
    </x:row>
    <x:row r="13" ht="24" customHeight="1">
      <x:c r="A13" t="str">
        <x:v>Rajendra Singh Solanki</x:v>
      </x:c>
      <x:c r="B13" t="str">
        <x:v>BSP</x:v>
      </x:c>
      <x:c r="C13" s="83" t="n">
        <x:f>SUM('2024 Form20'!J9:J406)</x:f>
        <x:v>62662</x:v>
      </x:c>
      <x:c r="D13" s="50" t="n">
        <x:f>IFERROR(C13/SUM('2024 Form20'!D9:D406),0)</x:f>
        <x:v>0.30786540039403154</x:v>
      </x:c>
      <x:c r="E13" t="n">
        <x:v>96</x:v>
      </x:c>
      <x:c r="F13" t="n">
        <x:v>0</x:v>
      </x:c>
      <x:c r="G13" s="50" t="n">
        <x:f>IFERROR(E13/398,0)</x:f>
        <x:v>0.24120603015075376</x:v>
      </x:c>
      <x:c r="M13" s="106" t="str">
        <x:v>Middle</x:v>
      </x:c>
      <x:c r="N13" s="108" t="n">
        <x:f>COUNTIF($L$60:$L$457,M13)</x:f>
        <x:v>199</x:v>
      </x:c>
      <x:c r="O13" s="107" t="n">
        <x:f>IFERROR(N13/COUNT($E$60:$E$457),0)</x:f>
        <x:v>0.5012594458438288</x:v>
      </x:c>
      <x:c r="P13" s="107" t="n">
        <x:f>IFERROR(AVERAGEIF($L$60:$L$457,M13,$E$60:$E$457),0)</x:f>
        <x:v>0.11776968960934633</x:v>
      </x:c>
      <x:c r="Q13" s="107" t="n">
        <x:f>IFERROR(AVERAGEIF($L$60:$L$457,M13,$H$60:$H$457),0)</x:f>
        <x:v>-0.5400958914866401</x:v>
      </x:c>
    </x:row>
    <x:row r="14" ht="24" customHeight="1">
      <x:c r="A14" t="str">
        <x:v>Naravedashvar</x:v>
      </x:c>
      <x:c r="B14" t="str">
        <x:v>SBSPSP</x:v>
      </x:c>
      <x:c r="C14" s="83" t="n">
        <x:f>SUM('2024 Form20'!K9:K406)</x:f>
        <x:v>101</x:v>
      </x:c>
      <x:c r="D14" s="50" t="n">
        <x:f>IFERROR(C14/SUM('2024 Form20'!D9:D406),0)</x:f>
        <x:v>0.0004962242737192746</x:v>
      </x:c>
      <x:c r="E14" t="n">
        <x:v>0</x:v>
      </x:c>
      <x:c r="F14" t="n">
        <x:v>0</x:v>
      </x:c>
      <x:c r="G14" s="50" t="n">
        <x:f>IFERROR(E14/398,0)</x:f>
        <x:v>0</x:v>
      </x:c>
      <x:c r="M14" s="109" t="str">
        <x:v>High</x:v>
      </x:c>
      <x:c r="N14" s="110" t="n">
        <x:f>COUNTIF($L$60:$L$457,M14)</x:f>
        <x:v>99</x:v>
      </x:c>
      <x:c r="O14" s="111" t="n">
        <x:f>IFERROR(N14/COUNT($E$60:$E$457),0)</x:f>
        <x:v>0.24937027707808565</x:v>
      </x:c>
      <x:c r="P14" s="111" t="n">
        <x:f>IFERROR(AVERAGEIF($L$60:$L$457,M14,$E$60:$E$457),0)</x:f>
        <x:v>0.3579248437607745</x:v>
      </x:c>
      <x:c r="Q14" s="111" t="n">
        <x:f>IFERROR(AVERAGEIF($L$60:$L$457,M14,$H$60:$H$457),0)</x:f>
        <x:v>-0.11335007511991604</x:v>
      </x:c>
    </x:row>
    <x:row r="15" ht="29" customHeight="1">
      <x:c r="A15" t="str">
        <x:v>Kishor Singh</x:v>
      </x:c>
      <x:c r="B15" t="str">
        <x:v>NPA</x:v>
      </x:c>
      <x:c r="C15" s="83" t="n">
        <x:f>SUM('2024 Form20'!L9:L406)</x:f>
        <x:v>393</x:v>
      </x:c>
      <x:c r="D15" s="50" t="n">
        <x:f>IFERROR(C15/SUM('2024 Form20'!D9:D406),0)</x:f>
        <x:v>0.0019308528670462864</x:v>
      </x:c>
      <x:c r="E15" t="n">
        <x:v>0</x:v>
      </x:c>
      <x:c r="F15" t="n">
        <x:v>0</x:v>
      </x:c>
      <x:c r="G15" s="50" t="n">
        <x:f>IFERROR(E15/398,0)</x:f>
        <x:v>0</x:v>
      </x:c>
    </x:row>
    <x:row r="16" ht="27" customHeight="1">
      <x:c r="A16" t="str">
        <x:v>Naresh Nautiyal</x:v>
      </x:c>
      <x:c r="B16" t="str">
        <x:v>BRJ</x:v>
      </x:c>
      <x:c r="C16" s="83" t="n">
        <x:f>SUM('2024 Form20'!M9:M406)</x:f>
        <x:v>117</x:v>
      </x:c>
      <x:c r="D16" s="50" t="n">
        <x:f>IFERROR(C16/SUM('2024 Form20'!D9:D406),0)</x:f>
        <x:v>0.0005748340596550013</x:v>
      </x:c>
      <x:c r="E16" t="n">
        <x:v>0</x:v>
      </x:c>
      <x:c r="F16" t="n">
        <x:v>0</x:v>
      </x:c>
      <x:c r="G16" s="50" t="n">
        <x:f>IFERROR(E16/398,0)</x:f>
        <x:v>0</x:v>
      </x:c>
      <x:c r="M16" s="113" t="str">
        <x:v>READ THE DISTRIBUTION — HISTORICAL INSIGHTS</x:v>
      </x:c>
      <x:c r="N16" s="113"/>
      <x:c r="O16" s="113"/>
      <x:c r="P16" s="113"/>
      <x:c r="Q16" s="113"/>
      <x:c r="R16" s="113"/>
      <x:c r="S16" s="113"/>
      <x:c r="T16" s="113"/>
    </x:row>
    <x:row r="17" ht="43" customHeight="1">
      <x:c r="A17" t="str">
        <x:v>Bhim Prakash Jigyasu</x:v>
      </x:c>
      <x:c r="B17" t="str">
        <x:v>VKVIP</x:v>
      </x:c>
      <x:c r="C17" s="83" t="n">
        <x:f>SUM('2024 Form20'!N9:N406)</x:f>
        <x:v>680</x:v>
      </x:c>
      <x:c r="D17" s="50" t="n">
        <x:f>IFERROR(C17/SUM('2024 Form20'!D9:D406),0)</x:f>
        <x:v>0.0033409159022683836</x:v>
      </x:c>
      <x:c r="E17" t="n">
        <x:v>0</x:v>
      </x:c>
      <x:c r="F17" t="n">
        <x:v>0</x:v>
      </x:c>
      <x:c r="G17" s="50" t="n">
        <x:f>IFERROR(E17/398,0)</x:f>
        <x:v>0</x:v>
      </x:c>
      <x:c r="M17" s="116" t="str">
        <x:v>Vote share quartiles: Q1 3.0%; median 11.4%; Q3 22.6%. Low / Middle / High contains 99 / 199 / 99 stations. These are station percentiles, not voter demographics.</x:v>
      </x:c>
      <x:c r="N17" s="116"/>
      <x:c r="O17" s="116"/>
      <x:c r="P17" s="116"/>
      <x:c r="Q17" s="116"/>
      <x:c r="R17" s="116"/>
      <x:c r="S17" s="116"/>
      <x:c r="T17" s="116"/>
    </x:row>
    <x:row r="18" ht="43" customHeight="1">
      <x:c r="A18" t="str">
        <x:v>Manish Kumar Dwivedi</x:v>
      </x:c>
      <x:c r="B18" t="str">
        <x:v>AKBRPRVP</x:v>
      </x:c>
      <x:c r="C18" s="83" t="n">
        <x:f>SUM('2024 Form20'!O9:O406)</x:f>
        <x:v>279</x:v>
      </x:c>
      <x:c r="D18" s="50" t="n">
        <x:f>IFERROR(C18/SUM('2024 Form20'!D9:D406),0)</x:f>
        <x:v>0.001370758142254234</x:v>
      </x:c>
      <x:c r="E18" t="n">
        <x:v>0</x:v>
      </x:c>
      <x:c r="F18" t="n">
        <x:v>0</x:v>
      </x:c>
      <x:c r="G18" s="50" t="n">
        <x:f>IFERROR(E18/398,0)</x:f>
        <x:v>0</x:v>
      </x:c>
      <x:c r="M18" s="116" t="str">
        <x:v>131 of 397 valid EVM stations (33%) had focal share below 5%. Median signed margin vs the strongest rival was -51.2% (-51.2 percentage points).</x:v>
      </x:c>
      <x:c r="N18" s="116"/>
      <x:c r="O18" s="116"/>
      <x:c r="P18" s="116"/>
      <x:c r="Q18" s="116"/>
      <x:c r="R18" s="116"/>
      <x:c r="S18" s="116"/>
      <x:c r="T18" s="116"/>
    </x:row>
    <x:row r="19" ht="43" customHeight="1">
      <x:c r="A19" t="str">
        <x:v>Ran Singh Dudee</x:v>
      </x:c>
      <x:c r="B19" t="str">
        <x:v>SPIP</x:v>
      </x:c>
      <x:c r="C19" s="83" t="n">
        <x:f>SUM('2024 Form20'!P9:P406)</x:f>
        <x:v>196</x:v>
      </x:c>
      <x:c r="D19" s="50" t="n">
        <x:f>IFERROR(C19/SUM('2024 Form20'!D9:D406),0)</x:f>
        <x:v>0.0009629698777126517</x:v>
      </x:c>
      <x:c r="E19" t="n">
        <x:v>0</x:v>
      </x:c>
      <x:c r="F19" t="n">
        <x:v>0</x:v>
      </x:c>
      <x:c r="G19" s="50" t="n">
        <x:f>IFERROR(E19/398,0)</x:f>
        <x:v>0</x:v>
      </x:c>
      <x:c r="M19" s="119" t="str">
        <x:v>2017 isolates Narender Nagar personally. Other years feature DIFFERENT candidates/alliances; their counts are context, not his personal historic or future votes.</x:v>
      </x:c>
      <x:c r="N19" s="119"/>
      <x:c r="O19" s="119"/>
      <x:c r="P19" s="119"/>
      <x:c r="Q19" s="119"/>
      <x:c r="R19" s="119"/>
      <x:c r="S19" s="119"/>
      <x:c r="T19" s="119"/>
    </x:row>
    <x:row r="20" ht="29" customHeight="1">
      <x:c r="A20" t="str">
        <x:v>Rajeev Mishra</x:v>
      </x:c>
      <x:c r="B20" t="str">
        <x:v>JIHNDNTLP</x:v>
      </x:c>
      <x:c r="C20" s="83" t="n">
        <x:f>SUM('2024 Form20'!Q9:Q406)</x:f>
        <x:v>114</x:v>
      </x:c>
      <x:c r="D20" s="50" t="n">
        <x:f>IFERROR(C20/SUM('2024 Form20'!D9:D406),0)</x:f>
        <x:v>0.0005600947247920526</x:v>
      </x:c>
      <x:c r="E20" t="n">
        <x:v>0</x:v>
      </x:c>
      <x:c r="F20" t="n">
        <x:v>0</x:v>
      </x:c>
      <x:c r="G20" s="50" t="n">
        <x:f>IFERROR(E20/398,0)</x:f>
        <x:v>0</x:v>
      </x:c>
    </x:row>
    <x:row r="21" ht="27" customHeight="1">
      <x:c r="A21" t="str">
        <x:v>Km. Shalu</x:v>
      </x:c>
      <x:c r="B21" t="str">
        <x:v>LOKJANP</x:v>
      </x:c>
      <x:c r="C21" s="83" t="n">
        <x:f>SUM('2024 Form20'!R9:R406)</x:f>
        <x:v>201</x:v>
      </x:c>
      <x:c r="D21" s="50" t="n">
        <x:f>IFERROR(C21/SUM('2024 Form20'!D9:D406),0)</x:f>
        <x:v>0.0009875354358175664</x:v>
      </x:c>
      <x:c r="E21" t="n">
        <x:v>0</x:v>
      </x:c>
      <x:c r="F21" t="n">
        <x:v>0</x:v>
      </x:c>
      <x:c r="G21" s="50" t="n">
        <x:f>IFERROR(E21/398,0)</x:f>
        <x:v>0</x:v>
      </x:c>
      <x:c r="M21" s="113" t="str">
        <x:v>02   SHARE MARGIN  |  DIFFERENCE FROM STRONGEST RIVAL</x:v>
      </x:c>
      <x:c r="N21" s="113"/>
      <x:c r="O21" s="113"/>
      <x:c r="P21" s="113"/>
      <x:c r="Q21" s="113"/>
      <x:c r="R21" s="113"/>
      <x:c r="S21" s="113"/>
      <x:c r="T21" s="113"/>
    </x:row>
    <x:row r="22" ht="27" customHeight="1">
      <x:c r="A22" t="str">
        <x:v>Parag Kaushik</x:v>
      </x:c>
      <x:c r="B22" t="str">
        <x:v>IND</x:v>
      </x:c>
      <x:c r="C22" s="83" t="n">
        <x:f>SUM('2024 Form20'!S9:S406)</x:f>
        <x:v>203</x:v>
      </x:c>
      <x:c r="D22" s="50" t="n">
        <x:f>IFERROR(C22/SUM('2024 Form20'!D9:D406),0)</x:f>
        <x:v>0.0009973616590595322</x:v>
      </x:c>
      <x:c r="E22" t="n">
        <x:v>0</x:v>
      </x:c>
      <x:c r="F22" t="n">
        <x:v>0</x:v>
      </x:c>
      <x:c r="G22" s="50" t="n">
        <x:f>IFERROR(E22/398,0)</x:f>
        <x:v>0</x:v>
      </x:c>
      <x:c r="M22" s="120" t="str">
        <x:v>Signed margin (percentage points) = (focal candidate votes − highest OTHER candidate votes) ÷ total EVM votes. A negative value means trailing.</x:v>
      </x:c>
      <x:c r="N22" s="120"/>
      <x:c r="O22" s="120"/>
      <x:c r="P22" s="120"/>
      <x:c r="Q22" s="120"/>
      <x:c r="R22" s="120"/>
      <x:c r="S22" s="120"/>
      <x:c r="T22" s="120"/>
    </x:row>
    <x:row r="23" ht="29" customHeight="1">
      <x:c r="A23" t="str">
        <x:v>Mahkar Singh</x:v>
      </x:c>
      <x:c r="B23" t="str">
        <x:v>IND</x:v>
      </x:c>
      <x:c r="C23" s="83" t="n">
        <x:f>SUM('2024 Form20'!T9:T406)</x:f>
        <x:v>230</x:v>
      </x:c>
      <x:c r="D23" s="50" t="n">
        <x:f>IFERROR(C23/SUM('2024 Form20'!D9:D406),0)</x:f>
        <x:v>0.001130015672826071</x:v>
      </x:c>
      <x:c r="E23" t="n">
        <x:v>0</x:v>
      </x:c>
      <x:c r="F23" t="n">
        <x:v>0</x:v>
      </x:c>
      <x:c r="G23" s="50" t="n">
        <x:f>IFERROR(E23/398,0)</x:f>
        <x:v>0</x:v>
      </x:c>
    </x:row>
    <x:row r="24" ht="32" customHeight="1">
      <x:c r="A24" t="str">
        <x:v>Mohd. Mumtaj Aalam</x:v>
      </x:c>
      <x:c r="B24" t="str">
        <x:v>IND</x:v>
      </x:c>
      <x:c r="C24" s="83" t="n">
        <x:f>SUM('2024 Form20'!U9:U406)</x:f>
        <x:v>791</x:v>
      </x:c>
      <x:c r="D24" s="50" t="n">
        <x:f>IFERROR(C24/SUM('2024 Form20'!D9:D406),0)</x:f>
        <x:v>0.0038862712921974873</x:v>
      </x:c>
      <x:c r="E24" t="n">
        <x:v>0</x:v>
      </x:c>
      <x:c r="F24" t="n">
        <x:v>0</x:v>
      </x:c>
      <x:c r="G24" s="50" t="n">
        <x:f>IFERROR(E24/398,0)</x:f>
        <x:v>0</x:v>
      </x:c>
      <x:c r="M24" s="123" t="str">
        <x:v>Median margin</x:v>
      </x:c>
      <x:c r="N24" s="124" t="n">
        <x:f>MEDIAN($H$60:$H$457)</x:f>
        <x:v>-0.5117056856187291</x:v>
      </x:c>
      <x:c r="O24" s="123" t="str">
        <x:v>Trail stations</x:v>
      </x:c>
      <x:c r="P24" s="123" t="n">
        <x:f>COUNTIF($H$60:$H$457,"&lt;0")</x:f>
        <x:v>369</x:v>
      </x:c>
      <x:c r="Q24" s="123" t="str">
        <x:v>Lead stations</x:v>
      </x:c>
      <x:c r="R24" s="123" t="n">
        <x:f>COUNTIF($H$60:$H$457,"&gt;0")</x:f>
        <x:v>27</x:v>
      </x:c>
      <x:c r="S24" s="123" t="str">
        <x:v>Near 5pp</x:v>
      </x:c>
      <x:c r="T24" s="123" t="n">
        <x:f>COUNTIFS($H$60:$H$457,"&gt;=-0.05",$H$60:$H$457,"&lt;=0.05",$D$60:$D$457,"&gt;0")</x:f>
        <x:v>16</x:v>
      </x:c>
    </x:row>
    <x:row r="25" ht="29" customHeight="1">
      <x:c r="A25" t="str">
        <x:v>Shivam Ashutosh</x:v>
      </x:c>
      <x:c r="B25" t="str">
        <x:v>IND</x:v>
      </x:c>
      <x:c r="C25" s="83" t="n">
        <x:f>SUM('2024 Form20'!V9:V406)</x:f>
        <x:v>652</x:v>
      </x:c>
      <x:c r="D25" s="50" t="n">
        <x:f>IFERROR(C25/SUM('2024 Form20'!D9:D406),0)</x:f>
        <x:v>0.003203348776880862</x:v>
      </x:c>
      <x:c r="E25" t="n">
        <x:v>0</x:v>
      </x:c>
      <x:c r="F25" t="n">
        <x:v>0</x:v>
      </x:c>
      <x:c r="G25" s="50" t="n">
        <x:f>IFERROR(E25/398,0)</x:f>
        <x:v>0</x:v>
      </x:c>
    </x:row>
    <x:row r="26" ht="43" customHeight="1">
      <x:c r="A26" s="16" t="str">
        <x:v>FOCAL CANDIDATE — VOTE-SHARE HISTOGRAM</x:v>
      </x:c>
      <x:c r="B26" s="16"/>
      <x:c r="C26" s="16"/>
      <x:c r="D26" s="16"/>
      <x:c r="E26" s="16"/>
      <x:c r="F26" s="16"/>
      <x:c r="M26" s="116" t="str">
        <x:v>On 369 valid stations, the focus candidate trailed the strongest rival; on 27, the candidate led. This is candidate-versus-best-rival margin, not the constituency-wide winner–runner-up margin.</x:v>
      </x:c>
      <x:c r="N26" s="116"/>
      <x:c r="O26" s="116"/>
      <x:c r="P26" s="116"/>
      <x:c r="Q26" s="116"/>
      <x:c r="R26" s="116"/>
      <x:c r="S26" s="116"/>
      <x:c r="T26" s="116"/>
    </x:row>
    <x:row r="27" ht="27" customHeight="1">
      <x:c r="A27" s="45" t="str">
        <x:v>Vote-share band</x:v>
      </x:c>
      <x:c r="B27" s="45" t="str">
        <x:v>Station count</x:v>
      </x:c>
      <x:c r="C27" s="45" t="str">
        <x:v>% stations</x:v>
      </x:c>
      <x:c r="D27" s="16" t="str">
        <x:v>VOTE-SHARE × STATION LEADER MATRIX</x:v>
      </x:c>
      <x:c r="E27" s="16"/>
      <x:c r="F27" s="16"/>
      <x:c r="G27" s="16"/>
      <x:c r="H27" s="16"/>
      <x:c r="I27" s="16"/>
      <x:c r="J27" s="16"/>
    </x:row>
    <x:row r="28" ht="27" customHeight="1">
      <x:c r="A28" t="str">
        <x:v>0–5%</x:v>
      </x:c>
      <x:c r="B28" t="n">
        <x:v>132</x:v>
      </x:c>
      <x:c r="C28" s="50" t="n">
        <x:f>IFERROR(B28/$D$7,0)</x:f>
        <x:v>0.3316582914572864</x:v>
      </x:c>
      <x:c r="D28" s="45" t="str">
        <x:v>Focus share</x:v>
      </x:c>
      <x:c r="E28" s="45" t="str">
        <x:v>Focus</x:v>
      </x:c>
      <x:c r="F28" s="45" t="str">
        <x:v>BJP</x:v>
      </x:c>
      <x:c r="G28" s="45" t="str">
        <x:v>BSP</x:v>
      </x:c>
      <x:c r="H28" s="45" t="str">
        <x:v>Other</x:v>
      </x:c>
      <x:c r="I28" s="45" t="str">
        <x:v>All</x:v>
      </x:c>
      <x:c r="M28" s="113" t="str">
        <x:v>03   VOTE SHARE  ×  VOTE MARGIN MATRIX</x:v>
      </x:c>
      <x:c r="N28" s="113"/>
      <x:c r="O28" s="113"/>
      <x:c r="P28" s="113"/>
      <x:c r="Q28" s="113"/>
      <x:c r="R28" s="113"/>
      <x:c r="S28" s="113"/>
      <x:c r="T28" s="113"/>
    </x:row>
    <x:row r="29" ht="42" customHeight="1">
      <x:c r="A29" t="str">
        <x:v>5–10%</x:v>
      </x:c>
      <x:c r="B29" t="n">
        <x:v>53</x:v>
      </x:c>
      <x:c r="C29" s="50" t="n">
        <x:f>IFERROR(B29/$D$7,0)</x:f>
        <x:v>0.13316582914572864</x:v>
      </x:c>
      <x:c r="D29" t="str">
        <x:v>0–5%</x:v>
      </x:c>
      <x:c r="E29" t="n">
        <x:v>0</x:v>
      </x:c>
      <x:c r="F29" t="n">
        <x:v>87</x:v>
      </x:c>
      <x:c r="G29" t="n">
        <x:v>44</x:v>
      </x:c>
      <x:c r="H29" t="n">
        <x:v>1</x:v>
      </x:c>
      <x:c r="I29" t="n">
        <x:v>132</x:v>
      </x:c>
      <x:c r="M29" s="126" t="str">
        <x:v>Share band</x:v>
      </x:c>
      <x:c r="N29" s="126" t="str">
        <x:v>Large deficit</x:v>
      </x:c>
      <x:c r="O29" s="126" t="str">
        <x:v>Moderate deficit</x:v>
      </x:c>
      <x:c r="P29" s="126" t="str">
        <x:v>Narrow deficit</x:v>
      </x:c>
      <x:c r="Q29" s="126" t="str">
        <x:v>Narrow lead/tie</x:v>
      </x:c>
      <x:c r="R29" s="126" t="str">
        <x:v>Moderate lead</x:v>
      </x:c>
      <x:c r="S29" s="126" t="str">
        <x:v>Large lead</x:v>
      </x:c>
      <x:c r="T29" s="126" t="str">
        <x:v>TOTAL</x:v>
      </x:c>
    </x:row>
    <x:row r="30" ht="27" customHeight="1">
      <x:c r="A30" t="str">
        <x:v>10–20%</x:v>
      </x:c>
      <x:c r="B30" t="n">
        <x:v>89</x:v>
      </x:c>
      <x:c r="C30" s="50" t="n">
        <x:f>IFERROR(B30/$D$7,0)</x:f>
        <x:v>0.2236180904522613</x:v>
      </x:c>
      <x:c r="D30" t="str">
        <x:v>5–10%</x:v>
      </x:c>
      <x:c r="E30" t="n">
        <x:v>0</x:v>
      </x:c>
      <x:c r="F30" t="n">
        <x:v>42</x:v>
      </x:c>
      <x:c r="G30" t="n">
        <x:v>11</x:v>
      </x:c>
      <x:c r="H30" t="n">
        <x:v>0</x:v>
      </x:c>
      <x:c r="I30" t="n">
        <x:v>53</x:v>
      </x:c>
      <x:c r="M30" s="127" t="str">
        <x:v>Low</x:v>
      </x:c>
      <x:c r="N30" s="127" t="n">
        <x:f>COUNTIFS($L$60:$L$457,$M30,$M$60:$M$457,N$29)</x:f>
        <x:v>99</x:v>
      </x:c>
      <x:c r="O30" s="127" t="n">
        <x:f>COUNTIFS($L$60:$L$457,$M30,$M$60:$M$457,O$29)</x:f>
        <x:v>0</x:v>
      </x:c>
      <x:c r="P30" s="127" t="n">
        <x:f>COUNTIFS($L$60:$L$457,$M30,$M$60:$M$457,P$29)</x:f>
        <x:v>0</x:v>
      </x:c>
      <x:c r="Q30" s="127" t="n">
        <x:f>COUNTIFS($L$60:$L$457,$M30,$M$60:$M$457,Q$29)</x:f>
        <x:v>0</x:v>
      </x:c>
      <x:c r="R30" s="127" t="n">
        <x:f>COUNTIFS($L$60:$L$457,$M30,$M$60:$M$457,R$29)</x:f>
        <x:v>0</x:v>
      </x:c>
      <x:c r="S30" s="127" t="n">
        <x:f>COUNTIFS($L$60:$L$457,$M30,$M$60:$M$457,S$29)</x:f>
        <x:v>0</x:v>
      </x:c>
      <x:c r="T30" s="127" t="n">
        <x:f>SUM(N30:S30)</x:f>
        <x:v>99</x:v>
      </x:c>
    </x:row>
    <x:row r="31" ht="27" customHeight="1">
      <x:c r="A31" t="str">
        <x:v>20–35%</x:v>
      </x:c>
      <x:c r="B31" t="n">
        <x:v>80</x:v>
      </x:c>
      <x:c r="C31" s="50" t="n">
        <x:f>IFERROR(B31/$D$7,0)</x:f>
        <x:v>0.20100502512562815</x:v>
      </x:c>
      <x:c r="D31" t="str">
        <x:v>10–20%</x:v>
      </x:c>
      <x:c r="E31" t="n">
        <x:v>0</x:v>
      </x:c>
      <x:c r="F31" t="n">
        <x:v>68</x:v>
      </x:c>
      <x:c r="G31" t="n">
        <x:v>21</x:v>
      </x:c>
      <x:c r="H31" t="n">
        <x:v>0</x:v>
      </x:c>
      <x:c r="I31" t="n">
        <x:v>89</x:v>
      </x:c>
      <x:c r="M31" s="128" t="str">
        <x:v>Middle</x:v>
      </x:c>
      <x:c r="N31" s="128" t="n">
        <x:f>COUNTIFS($L$60:$L$457,$M31,$M$60:$M$457,N$29)</x:f>
        <x:v>198</x:v>
      </x:c>
      <x:c r="O31" s="128" t="n">
        <x:f>COUNTIFS($L$60:$L$457,$M31,$M$60:$M$457,O$29)</x:f>
        <x:v>1</x:v>
      </x:c>
      <x:c r="P31" s="128" t="n">
        <x:f>COUNTIFS($L$60:$L$457,$M31,$M$60:$M$457,P$29)</x:f>
        <x:v>0</x:v>
      </x:c>
      <x:c r="Q31" s="128" t="n">
        <x:f>COUNTIFS($L$60:$L$457,$M31,$M$60:$M$457,Q$29)</x:f>
        <x:v>0</x:v>
      </x:c>
      <x:c r="R31" s="128" t="n">
        <x:f>COUNTIFS($L$60:$L$457,$M31,$M$60:$M$457,R$29)</x:f>
        <x:v>0</x:v>
      </x:c>
      <x:c r="S31" s="128" t="n">
        <x:f>COUNTIFS($L$60:$L$457,$M31,$M$60:$M$457,S$29)</x:f>
        <x:v>0</x:v>
      </x:c>
      <x:c r="T31" s="128" t="n">
        <x:f>SUM(N31:S31)</x:f>
        <x:v>199</x:v>
      </x:c>
    </x:row>
    <x:row r="32" ht="27" customHeight="1">
      <x:c r="A32" t="str">
        <x:v>35–50%</x:v>
      </x:c>
      <x:c r="B32" t="n">
        <x:v>33</x:v>
      </x:c>
      <x:c r="C32" s="50" t="n">
        <x:f>IFERROR(B32/$D$7,0)</x:f>
        <x:v>0.0829145728643216</x:v>
      </x:c>
      <x:c r="D32" t="str">
        <x:v>20–35%</x:v>
      </x:c>
      <x:c r="E32" t="n">
        <x:v>0</x:v>
      </x:c>
      <x:c r="F32" t="n">
        <x:v>62</x:v>
      </x:c>
      <x:c r="G32" t="n">
        <x:v>18</x:v>
      </x:c>
      <x:c r="H32" t="n">
        <x:v>0</x:v>
      </x:c>
      <x:c r="I32" t="n">
        <x:v>80</x:v>
      </x:c>
      <x:c r="M32" s="127" t="str">
        <x:v>High</x:v>
      </x:c>
      <x:c r="N32" s="127" t="n">
        <x:f>COUNTIFS($L$60:$L$457,$M32,$M$60:$M$457,N$29)</x:f>
        <x:v>36</x:v>
      </x:c>
      <x:c r="O32" s="127" t="n">
        <x:f>COUNTIFS($L$60:$L$457,$M32,$M$60:$M$457,O$29)</x:f>
        <x:v>27</x:v>
      </x:c>
      <x:c r="P32" s="127" t="n">
        <x:f>COUNTIFS($L$60:$L$457,$M32,$M$60:$M$457,P$29)</x:f>
        <x:v>8</x:v>
      </x:c>
      <x:c r="Q32" s="127" t="n">
        <x:f>COUNTIFS($L$60:$L$457,$M32,$M$60:$M$457,Q$29)</x:f>
        <x:v>8</x:v>
      </x:c>
      <x:c r="R32" s="127" t="n">
        <x:f>COUNTIFS($L$60:$L$457,$M32,$M$60:$M$457,R$29)</x:f>
        <x:v>13</x:v>
      </x:c>
      <x:c r="S32" s="127" t="n">
        <x:f>COUNTIFS($L$60:$L$457,$M32,$M$60:$M$457,S$29)</x:f>
        <x:v>7</x:v>
      </x:c>
      <x:c r="T32" s="127" t="n">
        <x:f>SUM(N32:S32)</x:f>
        <x:v>99</x:v>
      </x:c>
    </x:row>
    <x:row r="33" ht="27" customHeight="1">
      <x:c r="A33" t="str">
        <x:v>50–100%</x:v>
      </x:c>
      <x:c r="B33" t="n">
        <x:v>11</x:v>
      </x:c>
      <x:c r="C33" s="50" t="n">
        <x:f>IFERROR(B33/$D$7,0)</x:f>
        <x:v>0.02763819095477387</x:v>
      </x:c>
      <x:c r="D33" t="str">
        <x:v>35–50%</x:v>
      </x:c>
      <x:c r="E33" t="n">
        <x:v>17</x:v>
      </x:c>
      <x:c r="F33" t="n">
        <x:v>14</x:v>
      </x:c>
      <x:c r="G33" t="n">
        <x:v>2</x:v>
      </x:c>
      <x:c r="H33" t="n">
        <x:v>0</x:v>
      </x:c>
      <x:c r="I33" t="n">
        <x:v>33</x:v>
      </x:c>
      <x:c r="M33" s="129" t="str">
        <x:v>TOTAL</x:v>
      </x:c>
      <x:c r="N33" s="129" t="n">
        <x:f>SUM(N30:N32)</x:f>
        <x:v>333</x:v>
      </x:c>
      <x:c r="O33" s="129" t="n">
        <x:f>SUM(O30:O32)</x:f>
        <x:v>28</x:v>
      </x:c>
      <x:c r="P33" s="129" t="n">
        <x:f>SUM(P30:P32)</x:f>
        <x:v>8</x:v>
      </x:c>
      <x:c r="Q33" s="129" t="n">
        <x:f>SUM(Q30:Q32)</x:f>
        <x:v>8</x:v>
      </x:c>
      <x:c r="R33" s="129" t="n">
        <x:f>SUM(R30:R32)</x:f>
        <x:v>13</x:v>
      </x:c>
      <x:c r="S33" s="129" t="n">
        <x:f>SUM(S30:S32)</x:f>
        <x:v>7</x:v>
      </x:c>
      <x:c r="T33" s="129" t="n">
        <x:f>SUM(T30:T32)</x:f>
        <x:v>397</x:v>
      </x:c>
    </x:row>
    <x:row r="34">
      <x:c r="D34" t="str">
        <x:v>50–100%</x:v>
      </x:c>
      <x:c r="E34" t="n">
        <x:v>11</x:v>
      </x:c>
      <x:c r="F34" t="n">
        <x:v>0</x:v>
      </x:c>
      <x:c r="G34" t="n">
        <x:v>0</x:v>
      </x:c>
      <x:c r="H34" t="n">
        <x:v>0</x:v>
      </x:c>
      <x:c r="I34" t="n">
        <x:v>11</x:v>
      </x:c>
    </x:row>
    <x:row r="35" ht="43" customHeight="1">
      <x:c r="M35" s="116" t="str">
        <x:v>Matrix reading: even among 99 High-share stations (&gt;Q3), 71 trailed the best rival. High SHARE and positive MARGIN describe different things.</x:v>
      </x:c>
      <x:c r="N35" s="116"/>
      <x:c r="O35" s="116"/>
      <x:c r="P35" s="116"/>
      <x:c r="Q35" s="116"/>
      <x:c r="R35" s="116"/>
      <x:c r="S35" s="116"/>
      <x:c r="T35" s="116"/>
    </x:row>
    <x:row r="36" ht="43" customHeight="1">
      <x:c r="M36" s="116" t="str">
        <x:v>Historical pattern: 99 Low-share stations were also Large-deficit stations; 198 Middle-share stations were Large-deficit stations. These are counts, not reasons for voting.</x:v>
      </x:c>
      <x:c r="N36" s="116"/>
      <x:c r="O36" s="116"/>
      <x:c r="P36" s="116"/>
      <x:c r="Q36" s="116"/>
      <x:c r="R36" s="116"/>
      <x:c r="S36" s="116"/>
      <x:c r="T36" s="116"/>
    </x:row>
    <x:row r="37" ht="43" customHeight="1">
      <x:c r="A37" s="16" t="str">
        <x:v>FOCAL CANDIDATE — LEAD / TRAIL MARGIN HISTOGRAM</x:v>
      </x:c>
      <x:c r="B37" s="16"/>
      <x:c r="C37" s="16"/>
      <x:c r="D37" s="16"/>
      <x:c r="E37" s="16"/>
      <x:c r="F37" s="16"/>
      <x:c r="M37" s="119" t="str">
        <x:v>2027 relevance: old booth identifiers, candidate and alliance changes, and local issues need independent verification before making any current claims. Research gaps can be addressed through records reconciliation and transparent constituency monitoring.</x:v>
      </x:c>
      <x:c r="N37" s="119"/>
      <x:c r="O37" s="119"/>
      <x:c r="P37" s="119"/>
      <x:c r="Q37" s="119"/>
      <x:c r="R37" s="119"/>
      <x:c r="S37" s="119"/>
      <x:c r="T37" s="119"/>
    </x:row>
    <x:row r="38" ht="38" customHeight="1">
      <x:c r="A38" s="45" t="str">
        <x:v>Margin (percentage points)</x:v>
      </x:c>
      <x:c r="B38" s="45" t="str">
        <x:v>Stations</x:v>
      </x:c>
    </x:row>
    <x:row r="39" ht="25" customHeight="1">
      <x:c r="A39" t="str">
        <x:v>Trail &gt;30pp</x:v>
      </x:c>
      <x:c r="B39" t="n">
        <x:v>300</x:v>
      </x:c>
      <x:c r="M39" s="131" t="str">
        <x:v>Margin classes: &lt;−20pp, −20 to −5pp, −5 to &lt;0pp, 0 to +5pp (ties included), &gt;+5 to +20pp, &gt;+20pp.</x:v>
      </x:c>
      <x:c r="N39" s="131"/>
      <x:c r="O39" s="131"/>
      <x:c r="P39" s="131"/>
      <x:c r="Q39" s="131"/>
      <x:c r="R39" s="131"/>
      <x:c r="S39" s="131"/>
      <x:c r="T39" s="131"/>
    </x:row>
    <x:row r="40">
      <x:c r="A40" t="str">
        <x:v>Trail 10–30pp</x:v>
      </x:c>
      <x:c r="B40" t="n">
        <x:v>55</x:v>
      </x:c>
    </x:row>
    <x:row r="41">
      <x:c r="A41" t="str">
        <x:v>Trail 3–10pp</x:v>
      </x:c>
      <x:c r="B41" t="n">
        <x:v>11</x:v>
      </x:c>
    </x:row>
    <x:row r="42" ht="27" customHeight="1">
      <x:c r="A42" t="str">
        <x:v>Within ±3pp</x:v>
      </x:c>
      <x:c r="B42" t="n">
        <x:v>10</x:v>
      </x:c>
      <x:c r="R42" s="135" t="str">
        <x:v>04   CONTINUOUS SHARE HISTOGRAM SOURCE (5pp BINS)</x:v>
      </x:c>
      <x:c r="S42" s="135"/>
      <x:c r="T42" s="135"/>
    </x:row>
    <x:row r="43" ht="28" customHeight="1">
      <x:c r="A43" t="str">
        <x:v>Lead 3–10pp</x:v>
      </x:c>
      <x:c r="B43" t="n">
        <x:v>7</x:v>
      </x:c>
      <x:c r="R43" s="104" t="str">
        <x:v>Vote share band</x:v>
      </x:c>
      <x:c r="S43" s="104" t="str">
        <x:v>Lower bound</x:v>
      </x:c>
      <x:c r="T43" s="104" t="str">
        <x:v>Stations</x:v>
      </x:c>
    </x:row>
    <x:row r="44" ht="20" customHeight="1">
      <x:c r="A44" t="str">
        <x:v>Lead 10–30pp</x:v>
      </x:c>
      <x:c r="B44" t="n">
        <x:v>13</x:v>
      </x:c>
      <x:c r="R44" s="114" t="str">
        <x:v>00–05%</x:v>
      </x:c>
      <x:c r="S44" s="136" t="n">
        <x:v>0</x:v>
      </x:c>
      <x:c r="T44" s="114" t="n">
        <x:f>COUNTIFS($D$60:$D$457,"&gt;0",$E$60:$E$457,"&gt;="&amp;S44,$E$60:$E$457,"&lt;"&amp;S45)</x:f>
        <x:v>131</x:v>
      </x:c>
    </x:row>
    <x:row r="45" ht="20" customHeight="1">
      <x:c r="A45" t="str">
        <x:v>Lead &gt;30pp</x:v>
      </x:c>
      <x:c r="B45" t="n">
        <x:v>2</x:v>
      </x:c>
      <x:c r="R45" s="114" t="str">
        <x:v>05–10%</x:v>
      </x:c>
      <x:c r="S45" s="136" t="n">
        <x:v>0.05</x:v>
      </x:c>
      <x:c r="T45" s="114" t="n">
        <x:f>COUNTIFS($D$60:$D$457,"&gt;0",$E$60:$E$457,"&gt;="&amp;S45,$E$60:$E$457,"&lt;"&amp;S46)</x:f>
        <x:v>53</x:v>
      </x:c>
    </x:row>
    <x:row r="46" ht="20" customHeight="1">
      <x:c r="R46" s="114" t="str">
        <x:v>10–15%</x:v>
      </x:c>
      <x:c r="S46" s="136" t="n">
        <x:v>0.1</x:v>
      </x:c>
      <x:c r="T46" s="114" t="n">
        <x:f>COUNTIFS($D$60:$D$457,"&gt;0",$E$60:$E$457,"&gt;="&amp;S46,$E$60:$E$457,"&lt;"&amp;S47)</x:f>
        <x:v>54</x:v>
      </x:c>
    </x:row>
    <x:row r="47" ht="20" customHeight="1">
      <x:c r="R47" s="114" t="str">
        <x:v>15–20%</x:v>
      </x:c>
      <x:c r="S47" s="136" t="n">
        <x:v>0.15</x:v>
      </x:c>
      <x:c r="T47" s="114" t="n">
        <x:f>COUNTIFS($D$60:$D$457,"&gt;0",$E$60:$E$457,"&gt;="&amp;S47,$E$60:$E$457,"&lt;"&amp;S48)</x:f>
        <x:v>35</x:v>
      </x:c>
    </x:row>
    <x:row r="48" ht="20" customHeight="1">
      <x:c r="R48" s="114" t="str">
        <x:v>20–25%</x:v>
      </x:c>
      <x:c r="S48" s="136" t="n">
        <x:v>0.2</x:v>
      </x:c>
      <x:c r="T48" s="114" t="n">
        <x:f>COUNTIFS($D$60:$D$457,"&gt;0",$E$60:$E$457,"&gt;="&amp;S48,$E$60:$E$457,"&lt;"&amp;S49)</x:f>
        <x:v>37</x:v>
      </x:c>
    </x:row>
    <x:row r="49" ht="20" customHeight="1">
      <x:c r="R49" s="114" t="str">
        <x:v>25–30%</x:v>
      </x:c>
      <x:c r="S49" s="136" t="n">
        <x:v>0.25</x:v>
      </x:c>
      <x:c r="T49" s="114" t="n">
        <x:f>COUNTIFS($D$60:$D$457,"&gt;0",$E$60:$E$457,"&gt;="&amp;S49,$E$60:$E$457,"&lt;"&amp;S50)</x:f>
        <x:v>25</x:v>
      </x:c>
    </x:row>
    <x:row r="50" ht="20" customHeight="1">
      <x:c r="R50" s="114" t="str">
        <x:v>30–35%</x:v>
      </x:c>
      <x:c r="S50" s="136" t="n">
        <x:v>0.3</x:v>
      </x:c>
      <x:c r="T50" s="114" t="n">
        <x:f>COUNTIFS($D$60:$D$457,"&gt;0",$E$60:$E$457,"&gt;="&amp;S50,$E$60:$E$457,"&lt;"&amp;S51)</x:f>
        <x:v>18</x:v>
      </x:c>
    </x:row>
    <x:row r="51" ht="20" customHeight="1">
      <x:c r="R51" s="114" t="str">
        <x:v>35–40%</x:v>
      </x:c>
      <x:c r="S51" s="136" t="n">
        <x:v>0.35</x:v>
      </x:c>
      <x:c r="T51" s="114" t="n">
        <x:f>COUNTIFS($D$60:$D$457,"&gt;0",$E$60:$E$457,"&gt;="&amp;S51,$E$60:$E$457,"&lt;"&amp;S52)</x:f>
        <x:v>14</x:v>
      </x:c>
    </x:row>
    <x:row r="52" ht="20" customHeight="1">
      <x:c r="R52" s="114" t="str">
        <x:v>40–45%</x:v>
      </x:c>
      <x:c r="S52" s="136" t="n">
        <x:v>0.4</x:v>
      </x:c>
      <x:c r="T52" s="114" t="n">
        <x:f>COUNTIFS($D$60:$D$457,"&gt;0",$E$60:$E$457,"&gt;="&amp;S52,$E$60:$E$457,"&lt;"&amp;S53)</x:f>
        <x:v>9</x:v>
      </x:c>
    </x:row>
    <x:row r="53" ht="20" customHeight="1">
      <x:c r="R53" s="114" t="str">
        <x:v>45–50%</x:v>
      </x:c>
      <x:c r="S53" s="136" t="n">
        <x:v>0.45</x:v>
      </x:c>
      <x:c r="T53" s="114" t="n">
        <x:f>COUNTIFS($D$60:$D$457,"&gt;0",$E$60:$E$457,"&gt;="&amp;S53,$E$60:$E$457,"&lt;"&amp;S54)</x:f>
        <x:v>10</x:v>
      </x:c>
    </x:row>
    <x:row r="54" ht="20" customHeight="1">
      <x:c r="R54" s="114" t="str">
        <x:v>50–55%</x:v>
      </x:c>
      <x:c r="S54" s="136" t="n">
        <x:v>0.5</x:v>
      </x:c>
      <x:c r="T54" s="114" t="n">
        <x:f>COUNTIFS($D$60:$D$457,"&gt;0",$E$60:$E$457,"&gt;="&amp;S54,$E$60:$E$457,"&lt;"&amp;S55)</x:f>
        <x:v>6</x:v>
      </x:c>
    </x:row>
    <x:row r="55" ht="20" customHeight="1">
      <x:c r="R55" s="114" t="str">
        <x:v>55–60%</x:v>
      </x:c>
      <x:c r="S55" s="136" t="n">
        <x:v>0.55</x:v>
      </x:c>
      <x:c r="T55" s="114" t="n">
        <x:f>COUNTIFS($D$60:$D$457,"&gt;0",$E$60:$E$457,"&gt;="&amp;S55,$E$60:$E$457,"&lt;"&amp;S56)</x:f>
        <x:v>3</x:v>
      </x:c>
    </x:row>
    <x:row r="56" ht="20" customHeight="1">
      <x:c r="R56" s="114" t="str">
        <x:v>60–65%</x:v>
      </x:c>
      <x:c r="S56" s="136" t="n">
        <x:v>0.6</x:v>
      </x:c>
      <x:c r="T56" s="114" t="n">
        <x:f>COUNTIFS($D$60:$D$457,"&gt;0",$E$60:$E$457,"&gt;="&amp;S56,$E$60:$E$457,"&lt;"&amp;S57)</x:f>
        <x:v>1</x:v>
      </x:c>
    </x:row>
    <x:row r="57" ht="20" customHeight="1">
      <x:c r="R57" s="114" t="str">
        <x:v>65–70%</x:v>
      </x:c>
      <x:c r="S57" s="136" t="n">
        <x:v>0.65</x:v>
      </x:c>
      <x:c r="T57" s="114" t="n">
        <x:f>COUNTIFS($D$60:$D$457,"&gt;0",$E$60:$E$457,"&gt;="&amp;S57,$E$60:$E$457,"&lt;"&amp;S58)</x:f>
        <x:v>1</x:v>
      </x:c>
    </x:row>
    <x:row r="58" ht="20" customHeight="1">
      <x:c r="A58" s="16" t="str">
        <x:v>POLLING-STATION DETAIL — SORT / FILTER BY FOCAL SHARE, MARGIN OR EVM LEADER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R58" s="114" t="str">
        <x:v>70–75%</x:v>
      </x:c>
      <x:c r="S58" s="136" t="n">
        <x:v>0.7</x:v>
      </x:c>
      <x:c r="T58" s="114" t="n">
        <x:f>COUNTIFS($D$60:$D$457,"&gt;0",$E$60:$E$457,"&gt;="&amp;S58,$E$60:$E$457,"&lt;"&amp;S59)</x:f>
        <x:v>0</x:v>
      </x:c>
    </x:row>
    <x:row r="59" ht="20" customHeight="1">
      <x:c r="A59" s="45" t="str">
        <x:v>Station #</x:v>
      </x:c>
      <x:c r="B59" s="45" t="str">
        <x:v>Name (source or unavailable)</x:v>
      </x:c>
      <x:c r="C59" s="45" t="str">
        <x:v>Focus votes</x:v>
      </x:c>
      <x:c r="D59" s="45" t="str">
        <x:v>Total EVM</x:v>
      </x:c>
      <x:c r="E59" s="45" t="str">
        <x:v>Focus share</x:v>
      </x:c>
      <x:c r="F59" s="45" t="str">
        <x:v>Max rival votes</x:v>
      </x:c>
      <x:c r="G59" s="45" t="str">
        <x:v>Lead votes</x:v>
      </x:c>
      <x:c r="H59" s="45" t="str">
        <x:v>Lead pp</x:v>
      </x:c>
      <x:c r="I59" s="45" t="str">
        <x:v>Top candidate (EVM)</x:v>
      </x:c>
      <x:c r="J59" s="45" t="str">
        <x:v>Top party (EVM)</x:v>
      </x:c>
      <x:c r="K59" s="45" t="str">
        <x:v>Data status</x:v>
      </x:c>
      <x:c r="L59" s="132" t="str">
        <x:v>Q1/Q3 Share group</x:v>
      </x:c>
      <x:c r="M59" s="132" t="str">
        <x:v>Signed margin class</x:v>
      </x:c>
      <x:c r="R59" s="114" t="str">
        <x:v>75–80%</x:v>
      </x:c>
      <x:c r="S59" s="136" t="n">
        <x:v>0.75</x:v>
      </x:c>
      <x:c r="T59" s="114" t="n">
        <x:f>COUNTIFS($D$60:$D$457,"&gt;0",$E$60:$E$457,"&gt;="&amp;S59,$E$60:$E$457,"&lt;"&amp;S60)</x:f>
        <x:v>0</x:v>
      </x:c>
    </x:row>
    <x:row r="60" ht="20" customHeight="1">
      <x:c r="A60" t="n">
        <x:v>1</x:v>
      </x:c>
      <x:c r="B60" t="str">
        <x:v>[Location not in Form 20 PDF]</x:v>
      </x:c>
      <x:c r="C60" s="83" t="n">
        <x:f>'2024 Form20'!H9</x:f>
        <x:v>70</x:v>
      </x:c>
      <x:c r="D60" s="83" t="n">
        <x:f>'2024 Form20'!D9</x:f>
        <x:v>576</x:v>
      </x:c>
      <x:c r="E60" s="50" t="n">
        <x:f>'2024 Form20'!W9</x:f>
        <x:v>0.12152777777777778</x:v>
      </x:c>
      <x:c r="F60" t="n">
        <x:f>'2024 Form20'!X9</x:f>
        <x:v>387</x:v>
      </x:c>
      <x:c r="G60" t="n">
        <x:f>'2024 Form20'!Y9</x:f>
        <x:v>-317</x:v>
      </x:c>
      <x:c r="H60" s="52" t="n">
        <x:f>'2024 Form20'!Z9</x:f>
        <x:v>-0.5503472222222222</x:v>
      </x:c>
      <x:c r="I60" t="str">
        <x:v>Dr. Mahesh Sharma</x:v>
      </x:c>
      <x:c r="J60" t="str">
        <x:v>BJP</x:v>
      </x:c>
      <x:c r="K60" t="str">
        <x:v>EVM row</x:v>
      </x:c>
      <x:c r="L60" s="133" t="str">
        <x:f>IF(D60&lt;=0,"No EVM votes",IF(E60&lt;$N$7,"Low",IF(E60&gt;$R$7,"High","Middle")))</x:f>
        <x:v>Middle</x:v>
      </x:c>
      <x:c r="M60" s="133" t="str">
        <x:f>IF(D60&lt;=0,"No EVM votes",IF(H60&lt;-20%,"Large deficit",IF(H60&lt;-5%,"Moderate deficit",IF(H60&lt;0,"Narrow deficit",IF(H60&lt;=5%,"Narrow lead/tie",IF(H60&lt;=20%,"Moderate lead","Large lead"))))))</x:f>
        <x:v>Large deficit</x:v>
      </x:c>
      <x:c r="R60" s="114" t="str">
        <x:v>80–85%</x:v>
      </x:c>
      <x:c r="S60" s="136" t="n">
        <x:v>0.8</x:v>
      </x:c>
      <x:c r="T60" s="114" t="n">
        <x:f>COUNTIFS($D$60:$D$457,"&gt;0",$E$60:$E$457,"&gt;="&amp;S60,$E$60:$E$457,"&lt;"&amp;S61)</x:f>
        <x:v>0</x:v>
      </x:c>
    </x:row>
    <x:row r="61" ht="20" customHeight="1">
      <x:c r="A61" t="n">
        <x:v>2</x:v>
      </x:c>
      <x:c r="B61" t="str">
        <x:v>[Location not in Form 20 PDF]</x:v>
      </x:c>
      <x:c r="C61" s="83" t="n">
        <x:f>'2024 Form20'!H10</x:f>
        <x:v>73</x:v>
      </x:c>
      <x:c r="D61" s="83" t="n">
        <x:f>'2024 Form20'!D10</x:f>
        <x:v>564</x:v>
      </x:c>
      <x:c r="E61" s="50" t="n">
        <x:f>'2024 Form20'!W10</x:f>
        <x:v>0.12943262411347517</x:v>
      </x:c>
      <x:c r="F61" t="n">
        <x:f>'2024 Form20'!X10</x:f>
        <x:v>330</x:v>
      </x:c>
      <x:c r="G61" t="n">
        <x:f>'2024 Form20'!Y10</x:f>
        <x:v>-257</x:v>
      </x:c>
      <x:c r="H61" s="52" t="n">
        <x:f>'2024 Form20'!Z10</x:f>
        <x:v>-0.45567375886524825</x:v>
      </x:c>
      <x:c r="I61" t="str">
        <x:v>Dr. Mahesh Sharma</x:v>
      </x:c>
      <x:c r="J61" t="str">
        <x:v>BJP</x:v>
      </x:c>
      <x:c r="K61" t="str">
        <x:v>EVM row</x:v>
      </x:c>
      <x:c r="L61" s="133" t="str">
        <x:f>IF(D61&lt;=0,"No EVM votes",IF(E61&lt;$N$7,"Low",IF(E61&gt;$R$7,"High","Middle")))</x:f>
        <x:v>Middle</x:v>
      </x:c>
      <x:c r="M61" s="133" t="str">
        <x:f>IF(D61&lt;=0,"No EVM votes",IF(H61&lt;-20%,"Large deficit",IF(H61&lt;-5%,"Moderate deficit",IF(H61&lt;0,"Narrow deficit",IF(H61&lt;=5%,"Narrow lead/tie",IF(H61&lt;=20%,"Moderate lead","Large lead"))))))</x:f>
        <x:v>Large deficit</x:v>
      </x:c>
      <x:c r="R61" s="114" t="str">
        <x:v>85–90%</x:v>
      </x:c>
      <x:c r="S61" s="136" t="n">
        <x:v>0.85</x:v>
      </x:c>
      <x:c r="T61" s="114" t="n">
        <x:f>COUNTIFS($D$60:$D$457,"&gt;0",$E$60:$E$457,"&gt;="&amp;S61,$E$60:$E$457,"&lt;"&amp;S62)</x:f>
        <x:v>0</x:v>
      </x:c>
    </x:row>
    <x:row r="62" ht="20" customHeight="1">
      <x:c r="A62" t="n">
        <x:v>3</x:v>
      </x:c>
      <x:c r="B62" t="str">
        <x:v>[Location not in Form 20 PDF]</x:v>
      </x:c>
      <x:c r="C62" s="83" t="n">
        <x:f>'2024 Form20'!H11</x:f>
        <x:v>53</x:v>
      </x:c>
      <x:c r="D62" s="83" t="n">
        <x:f>'2024 Form20'!D11</x:f>
        <x:v>713</x:v>
      </x:c>
      <x:c r="E62" s="50" t="n">
        <x:f>'2024 Form20'!W11</x:f>
        <x:v>0.07433380084151472</x:v>
      </x:c>
      <x:c r="F62" t="n">
        <x:f>'2024 Form20'!X11</x:f>
        <x:v>494</x:v>
      </x:c>
      <x:c r="G62" t="n">
        <x:f>'2024 Form20'!Y11</x:f>
        <x:v>-441</x:v>
      </x:c>
      <x:c r="H62" s="52" t="n">
        <x:f>'2024 Form20'!Z11</x:f>
        <x:v>-0.6185133239831697</x:v>
      </x:c>
      <x:c r="I62" t="str">
        <x:v>Rajendra Singh Solanki</x:v>
      </x:c>
      <x:c r="J62" t="str">
        <x:v>BSP</x:v>
      </x:c>
      <x:c r="K62" t="str">
        <x:v>EVM row</x:v>
      </x:c>
      <x:c r="L62" s="133" t="str">
        <x:f>IF(D62&lt;=0,"No EVM votes",IF(E62&lt;$N$7,"Low",IF(E62&gt;$R$7,"High","Middle")))</x:f>
        <x:v>Middle</x:v>
      </x:c>
      <x:c r="M62" s="133" t="str">
        <x:f>IF(D62&lt;=0,"No EVM votes",IF(H62&lt;-20%,"Large deficit",IF(H62&lt;-5%,"Moderate deficit",IF(H62&lt;0,"Narrow deficit",IF(H62&lt;=5%,"Narrow lead/tie",IF(H62&lt;=20%,"Moderate lead","Large lead"))))))</x:f>
        <x:v>Large deficit</x:v>
      </x:c>
      <x:c r="R62" s="114" t="str">
        <x:v>90–95%</x:v>
      </x:c>
      <x:c r="S62" s="136" t="n">
        <x:v>0.9</x:v>
      </x:c>
      <x:c r="T62" s="114" t="n">
        <x:f>COUNTIFS($D$60:$D$457,"&gt;0",$E$60:$E$457,"&gt;="&amp;S62,$E$60:$E$457,"&lt;"&amp;S63)</x:f>
        <x:v>0</x:v>
      </x:c>
    </x:row>
    <x:row r="63" ht="20" customHeight="1">
      <x:c r="A63" t="n">
        <x:v>4</x:v>
      </x:c>
      <x:c r="B63" t="str">
        <x:v>[Location not in Form 20 PDF]</x:v>
      </x:c>
      <x:c r="C63" s="83" t="n">
        <x:f>'2024 Form20'!H12</x:f>
        <x:v>42</x:v>
      </x:c>
      <x:c r="D63" s="83" t="n">
        <x:f>'2024 Form20'!D12</x:f>
        <x:v>489</x:v>
      </x:c>
      <x:c r="E63" s="50" t="n">
        <x:f>'2024 Form20'!W12</x:f>
        <x:v>0.08588957055214724</x:v>
      </x:c>
      <x:c r="F63" t="n">
        <x:f>'2024 Form20'!X12</x:f>
        <x:v>290</x:v>
      </x:c>
      <x:c r="G63" t="n">
        <x:f>'2024 Form20'!Y12</x:f>
        <x:v>-248</x:v>
      </x:c>
      <x:c r="H63" s="52" t="n">
        <x:f>'2024 Form20'!Z12</x:f>
        <x:v>-0.5071574642126789</x:v>
      </x:c>
      <x:c r="I63" t="str">
        <x:v>Dr. Mahesh Sharma</x:v>
      </x:c>
      <x:c r="J63" t="str">
        <x:v>BJP</x:v>
      </x:c>
      <x:c r="K63" t="str">
        <x:v>EVM row</x:v>
      </x:c>
      <x:c r="L63" s="133" t="str">
        <x:f>IF(D63&lt;=0,"No EVM votes",IF(E63&lt;$N$7,"Low",IF(E63&gt;$R$7,"High","Middle")))</x:f>
        <x:v>Middle</x:v>
      </x:c>
      <x:c r="M63" s="133" t="str">
        <x:f>IF(D63&lt;=0,"No EVM votes",IF(H63&lt;-20%,"Large deficit",IF(H63&lt;-5%,"Moderate deficit",IF(H63&lt;0,"Narrow deficit",IF(H63&lt;=5%,"Narrow lead/tie",IF(H63&lt;=20%,"Moderate lead","Large lead"))))))</x:f>
        <x:v>Large deficit</x:v>
      </x:c>
      <x:c r="R63" s="114" t="str">
        <x:v>95–100%</x:v>
      </x:c>
      <x:c r="S63" s="136" t="n">
        <x:v>0.95</x:v>
      </x:c>
      <x:c r="T63" s="114" t="n">
        <x:f>COUNTIFS($D$60:$D$457,"&gt;0",$E$60:$E$457,"&gt;="&amp;S63,$E$60:$E$457,"&lt;=1")</x:f>
        <x:v>0</x:v>
      </x:c>
    </x:row>
    <x:row r="64">
      <x:c r="A64" t="n">
        <x:v>5</x:v>
      </x:c>
      <x:c r="B64" t="str">
        <x:v>[Location not in Form 20 PDF]</x:v>
      </x:c>
      <x:c r="C64" s="83" t="n">
        <x:f>'2024 Form20'!H13</x:f>
        <x:v>41</x:v>
      </x:c>
      <x:c r="D64" s="83" t="n">
        <x:f>'2024 Form20'!D13</x:f>
        <x:v>296</x:v>
      </x:c>
      <x:c r="E64" s="50" t="n">
        <x:f>'2024 Form20'!W13</x:f>
        <x:v>0.13851351351351351</x:v>
      </x:c>
      <x:c r="F64" t="n">
        <x:f>'2024 Form20'!X13</x:f>
        <x:v>192</x:v>
      </x:c>
      <x:c r="G64" t="n">
        <x:f>'2024 Form20'!Y13</x:f>
        <x:v>-151</x:v>
      </x:c>
      <x:c r="H64" s="52" t="n">
        <x:f>'2024 Form20'!Z13</x:f>
        <x:v>-0.5101351351351351</x:v>
      </x:c>
      <x:c r="I64" t="str">
        <x:v>Dr. Mahesh Sharma</x:v>
      </x:c>
      <x:c r="J64" t="str">
        <x:v>BJP</x:v>
      </x:c>
      <x:c r="K64" t="str">
        <x:v>EVM row</x:v>
      </x:c>
      <x:c r="L64" s="133" t="str">
        <x:f>IF(D64&lt;=0,"No EVM votes",IF(E64&lt;$N$7,"Low",IF(E64&gt;$R$7,"High","Middle")))</x:f>
        <x:v>Middle</x:v>
      </x:c>
      <x:c r="M64" s="133" t="str">
        <x:f>IF(D64&lt;=0,"No EVM votes",IF(H64&lt;-20%,"Large deficit",IF(H64&lt;-5%,"Moderate deficit",IF(H64&lt;0,"Narrow deficit",IF(H64&lt;=5%,"Narrow lead/tie",IF(H64&lt;=20%,"Moderate lead","Large lead"))))))</x:f>
        <x:v>Large deficit</x:v>
      </x:c>
    </x:row>
    <x:row r="65">
      <x:c r="A65" t="n">
        <x:v>6</x:v>
      </x:c>
      <x:c r="B65" t="str">
        <x:v>[Location not in Form 20 PDF]</x:v>
      </x:c>
      <x:c r="C65" s="83" t="n">
        <x:f>'2024 Form20'!H14</x:f>
        <x:v>25</x:v>
      </x:c>
      <x:c r="D65" s="83" t="n">
        <x:f>'2024 Form20'!D14</x:f>
        <x:v>251</x:v>
      </x:c>
      <x:c r="E65" s="50" t="n">
        <x:f>'2024 Form20'!W14</x:f>
        <x:v>0.099601593625498</x:v>
      </x:c>
      <x:c r="F65" t="n">
        <x:f>'2024 Form20'!X14</x:f>
        <x:v>155</x:v>
      </x:c>
      <x:c r="G65" t="n">
        <x:f>'2024 Form20'!Y14</x:f>
        <x:v>-130</x:v>
      </x:c>
      <x:c r="H65" s="52" t="n">
        <x:f>'2024 Form20'!Z14</x:f>
        <x:v>-0.5179282868525896</x:v>
      </x:c>
      <x:c r="I65" t="str">
        <x:v>Dr. Mahesh Sharma</x:v>
      </x:c>
      <x:c r="J65" t="str">
        <x:v>BJP</x:v>
      </x:c>
      <x:c r="K65" t="str">
        <x:v>EVM row</x:v>
      </x:c>
      <x:c r="L65" s="133" t="str">
        <x:f>IF(D65&lt;=0,"No EVM votes",IF(E65&lt;$N$7,"Low",IF(E65&gt;$R$7,"High","Middle")))</x:f>
        <x:v>Middle</x:v>
      </x:c>
      <x:c r="M65" s="133" t="str">
        <x:f>IF(D65&lt;=0,"No EVM votes",IF(H65&lt;-20%,"Large deficit",IF(H65&lt;-5%,"Moderate deficit",IF(H65&lt;0,"Narrow deficit",IF(H65&lt;=5%,"Narrow lead/tie",IF(H65&lt;=20%,"Moderate lead","Large lead"))))))</x:f>
        <x:v>Large deficit</x:v>
      </x:c>
    </x:row>
    <x:row r="66">
      <x:c r="A66" t="n">
        <x:v>7</x:v>
      </x:c>
      <x:c r="B66" t="str">
        <x:v>[Location not in Form 20 PDF]</x:v>
      </x:c>
      <x:c r="C66" s="83" t="n">
        <x:f>'2024 Form20'!H15</x:f>
        <x:v>64</x:v>
      </x:c>
      <x:c r="D66" s="83" t="n">
        <x:f>'2024 Form20'!D15</x:f>
        <x:v>372</x:v>
      </x:c>
      <x:c r="E66" s="50" t="n">
        <x:f>'2024 Form20'!W15</x:f>
        <x:v>0.17204301075268819</x:v>
      </x:c>
      <x:c r="F66" t="n">
        <x:f>'2024 Form20'!X15</x:f>
        <x:v>289</x:v>
      </x:c>
      <x:c r="G66" t="n">
        <x:f>'2024 Form20'!Y15</x:f>
        <x:v>-225</x:v>
      </x:c>
      <x:c r="H66" s="52" t="n">
        <x:f>'2024 Form20'!Z15</x:f>
        <x:v>-0.6048387096774194</x:v>
      </x:c>
      <x:c r="I66" t="str">
        <x:v>Dr. Mahesh Sharma</x:v>
      </x:c>
      <x:c r="J66" t="str">
        <x:v>BJP</x:v>
      </x:c>
      <x:c r="K66" t="str">
        <x:v>EVM row</x:v>
      </x:c>
      <x:c r="L66" s="133" t="str">
        <x:f>IF(D66&lt;=0,"No EVM votes",IF(E66&lt;$N$7,"Low",IF(E66&gt;$R$7,"High","Middle")))</x:f>
        <x:v>Middle</x:v>
      </x:c>
      <x:c r="M66" s="133" t="str">
        <x:f>IF(D66&lt;=0,"No EVM votes",IF(H66&lt;-20%,"Large deficit",IF(H66&lt;-5%,"Moderate deficit",IF(H66&lt;0,"Narrow deficit",IF(H66&lt;=5%,"Narrow lead/tie",IF(H66&lt;=20%,"Moderate lead","Large lead"))))))</x:f>
        <x:v>Large deficit</x:v>
      </x:c>
    </x:row>
    <x:row r="67">
      <x:c r="A67" t="n">
        <x:v>8</x:v>
      </x:c>
      <x:c r="B67" t="str">
        <x:v>[Location not in Form 20 PDF]</x:v>
      </x:c>
      <x:c r="C67" s="83" t="n">
        <x:f>'2024 Form20'!H16</x:f>
        <x:v>48</x:v>
      </x:c>
      <x:c r="D67" s="83" t="n">
        <x:f>'2024 Form20'!D16</x:f>
        <x:v>410</x:v>
      </x:c>
      <x:c r="E67" s="50" t="n">
        <x:f>'2024 Form20'!W16</x:f>
        <x:v>0.11707317073170732</x:v>
      </x:c>
      <x:c r="F67" t="n">
        <x:f>'2024 Form20'!X16</x:f>
        <x:v>349</x:v>
      </x:c>
      <x:c r="G67" t="n">
        <x:f>'2024 Form20'!Y16</x:f>
        <x:v>-301</x:v>
      </x:c>
      <x:c r="H67" s="52" t="n">
        <x:f>'2024 Form20'!Z16</x:f>
        <x:v>-0.7341463414634146</x:v>
      </x:c>
      <x:c r="I67" t="str">
        <x:v>Dr. Mahesh Sharma</x:v>
      </x:c>
      <x:c r="J67" t="str">
        <x:v>BJP</x:v>
      </x:c>
      <x:c r="K67" t="str">
        <x:v>EVM row</x:v>
      </x:c>
      <x:c r="L67" s="133" t="str">
        <x:f>IF(D67&lt;=0,"No EVM votes",IF(E67&lt;$N$7,"Low",IF(E67&gt;$R$7,"High","Middle")))</x:f>
        <x:v>Middle</x:v>
      </x:c>
      <x:c r="M67" s="133" t="str">
        <x:f>IF(D67&lt;=0,"No EVM votes",IF(H67&lt;-20%,"Large deficit",IF(H67&lt;-5%,"Moderate deficit",IF(H67&lt;0,"Narrow deficit",IF(H67&lt;=5%,"Narrow lead/tie",IF(H67&lt;=20%,"Moderate lead","Large lead"))))))</x:f>
        <x:v>Large deficit</x:v>
      </x:c>
    </x:row>
    <x:row r="68">
      <x:c r="A68" t="n">
        <x:v>9</x:v>
      </x:c>
      <x:c r="B68" t="str">
        <x:v>[Location not in Form 20 PDF]</x:v>
      </x:c>
      <x:c r="C68" s="83" t="n">
        <x:f>'2024 Form20'!H17</x:f>
        <x:v>41</x:v>
      </x:c>
      <x:c r="D68" s="83" t="n">
        <x:f>'2024 Form20'!D17</x:f>
        <x:v>509</x:v>
      </x:c>
      <x:c r="E68" s="50" t="n">
        <x:f>'2024 Form20'!W17</x:f>
        <x:v>0.08055009823182711</x:v>
      </x:c>
      <x:c r="F68" t="n">
        <x:f>'2024 Form20'!X17</x:f>
        <x:v>434</x:v>
      </x:c>
      <x:c r="G68" t="n">
        <x:f>'2024 Form20'!Y17</x:f>
        <x:v>-393</x:v>
      </x:c>
      <x:c r="H68" s="52" t="n">
        <x:f>'2024 Form20'!Z17</x:f>
        <x:v>-0.7721021611001965</x:v>
      </x:c>
      <x:c r="I68" t="str">
        <x:v>Dr. Mahesh Sharma</x:v>
      </x:c>
      <x:c r="J68" t="str">
        <x:v>BJP</x:v>
      </x:c>
      <x:c r="K68" t="str">
        <x:v>EVM row</x:v>
      </x:c>
      <x:c r="L68" s="133" t="str">
        <x:f>IF(D68&lt;=0,"No EVM votes",IF(E68&lt;$N$7,"Low",IF(E68&gt;$R$7,"High","Middle")))</x:f>
        <x:v>Middle</x:v>
      </x:c>
      <x:c r="M68" s="133" t="str">
        <x:f>IF(D68&lt;=0,"No EVM votes",IF(H68&lt;-20%,"Large deficit",IF(H68&lt;-5%,"Moderate deficit",IF(H68&lt;0,"Narrow deficit",IF(H68&lt;=5%,"Narrow lead/tie",IF(H68&lt;=20%,"Moderate lead","Large lead"))))))</x:f>
        <x:v>Large deficit</x:v>
      </x:c>
    </x:row>
    <x:row r="69">
      <x:c r="A69" t="n">
        <x:v>10</x:v>
      </x:c>
      <x:c r="B69" t="str">
        <x:v>[Location not in Form 20 PDF]</x:v>
      </x:c>
      <x:c r="C69" s="83" t="n">
        <x:f>'2024 Form20'!H18</x:f>
        <x:v>32</x:v>
      </x:c>
      <x:c r="D69" s="83" t="n">
        <x:f>'2024 Form20'!D18</x:f>
        <x:v>481</x:v>
      </x:c>
      <x:c r="E69" s="50" t="n">
        <x:f>'2024 Form20'!W18</x:f>
        <x:v>0.06652806652806653</x:v>
      </x:c>
      <x:c r="F69" t="n">
        <x:f>'2024 Form20'!X18</x:f>
        <x:v>427</x:v>
      </x:c>
      <x:c r="G69" t="n">
        <x:f>'2024 Form20'!Y18</x:f>
        <x:v>-395</x:v>
      </x:c>
      <x:c r="H69" s="52" t="n">
        <x:f>'2024 Form20'!Z18</x:f>
        <x:v>-0.8212058212058212</x:v>
      </x:c>
      <x:c r="I69" t="str">
        <x:v>Dr. Mahesh Sharma</x:v>
      </x:c>
      <x:c r="J69" t="str">
        <x:v>BJP</x:v>
      </x:c>
      <x:c r="K69" t="str">
        <x:v>EVM row</x:v>
      </x:c>
      <x:c r="L69" s="133" t="str">
        <x:f>IF(D69&lt;=0,"No EVM votes",IF(E69&lt;$N$7,"Low",IF(E69&gt;$R$7,"High","Middle")))</x:f>
        <x:v>Middle</x:v>
      </x:c>
      <x:c r="M69" s="133" t="str">
        <x:f>IF(D69&lt;=0,"No EVM votes",IF(H69&lt;-20%,"Large deficit",IF(H69&lt;-5%,"Moderate deficit",IF(H69&lt;0,"Narrow deficit",IF(H69&lt;=5%,"Narrow lead/tie",IF(H69&lt;=20%,"Moderate lead","Large lead"))))))</x:f>
        <x:v>Large deficit</x:v>
      </x:c>
    </x:row>
    <x:row r="70">
      <x:c r="A70" t="n">
        <x:v>11</x:v>
      </x:c>
      <x:c r="B70" t="str">
        <x:v>[Location not in Form 20 PDF]</x:v>
      </x:c>
      <x:c r="C70" s="83" t="n">
        <x:f>'2024 Form20'!H19</x:f>
        <x:v>133</x:v>
      </x:c>
      <x:c r="D70" s="83" t="n">
        <x:f>'2024 Form20'!D19</x:f>
        <x:v>463</x:v>
      </x:c>
      <x:c r="E70" s="50" t="n">
        <x:f>'2024 Form20'!W19</x:f>
        <x:v>0.28725701943844495</x:v>
      </x:c>
      <x:c r="F70" t="n">
        <x:f>'2024 Form20'!X19</x:f>
        <x:v>224</x:v>
      </x:c>
      <x:c r="G70" t="n">
        <x:f>'2024 Form20'!Y19</x:f>
        <x:v>-91</x:v>
      </x:c>
      <x:c r="H70" s="52" t="n">
        <x:f>'2024 Form20'!Z19</x:f>
        <x:v>-0.19654427645788336</x:v>
      </x:c>
      <x:c r="I70" t="str">
        <x:v>Dr. Mahesh Sharma</x:v>
      </x:c>
      <x:c r="J70" t="str">
        <x:v>BJP</x:v>
      </x:c>
      <x:c r="K70" t="str">
        <x:v>EVM row</x:v>
      </x:c>
      <x:c r="L70" s="133" t="str">
        <x:f>IF(D70&lt;=0,"No EVM votes",IF(E70&lt;$N$7,"Low",IF(E70&gt;$R$7,"High","Middle")))</x:f>
        <x:v>High</x:v>
      </x:c>
      <x:c r="M70" s="133" t="str">
        <x:f>IF(D70&lt;=0,"No EVM votes",IF(H70&lt;-20%,"Large deficit",IF(H70&lt;-5%,"Moderate deficit",IF(H70&lt;0,"Narrow deficit",IF(H70&lt;=5%,"Narrow lead/tie",IF(H70&lt;=20%,"Moderate lead","Large lead"))))))</x:f>
        <x:v>Moderate deficit</x:v>
      </x:c>
    </x:row>
    <x:row r="71">
      <x:c r="A71" t="n">
        <x:v>12</x:v>
      </x:c>
      <x:c r="B71" t="str">
        <x:v>[Location not in Form 20 PDF]</x:v>
      </x:c>
      <x:c r="C71" s="83" t="n">
        <x:f>'2024 Form20'!H20</x:f>
        <x:v>117</x:v>
      </x:c>
      <x:c r="D71" s="83" t="n">
        <x:f>'2024 Form20'!D20</x:f>
        <x:v>323</x:v>
      </x:c>
      <x:c r="E71" s="50" t="n">
        <x:f>'2024 Form20'!W20</x:f>
        <x:v>0.3622291021671827</x:v>
      </x:c>
      <x:c r="F71" t="n">
        <x:f>'2024 Form20'!X20</x:f>
        <x:v>183</x:v>
      </x:c>
      <x:c r="G71" t="n">
        <x:f>'2024 Form20'!Y20</x:f>
        <x:v>-66</x:v>
      </x:c>
      <x:c r="H71" s="52" t="n">
        <x:f>'2024 Form20'!Z20</x:f>
        <x:v>-0.2043343653250774</x:v>
      </x:c>
      <x:c r="I71" t="str">
        <x:v>Dr. Mahesh Sharma</x:v>
      </x:c>
      <x:c r="J71" t="str">
        <x:v>BJP</x:v>
      </x:c>
      <x:c r="K71" t="str">
        <x:v>EVM row</x:v>
      </x:c>
      <x:c r="L71" s="133" t="str">
        <x:f>IF(D71&lt;=0,"No EVM votes",IF(E71&lt;$N$7,"Low",IF(E71&gt;$R$7,"High","Middle")))</x:f>
        <x:v>High</x:v>
      </x:c>
      <x:c r="M71" s="133" t="str">
        <x:f>IF(D71&lt;=0,"No EVM votes",IF(H71&lt;-20%,"Large deficit",IF(H71&lt;-5%,"Moderate deficit",IF(H71&lt;0,"Narrow deficit",IF(H71&lt;=5%,"Narrow lead/tie",IF(H71&lt;=20%,"Moderate lead","Large lead"))))))</x:f>
        <x:v>Large deficit</x:v>
      </x:c>
    </x:row>
    <x:row r="72">
      <x:c r="A72" t="n">
        <x:v>13</x:v>
      </x:c>
      <x:c r="B72" t="str">
        <x:v>[Location not in Form 20 PDF]</x:v>
      </x:c>
      <x:c r="C72" s="83" t="n">
        <x:f>'2024 Form20'!H21</x:f>
        <x:v>52</x:v>
      </x:c>
      <x:c r="D72" s="83" t="n">
        <x:f>'2024 Form20'!D21</x:f>
        <x:v>366</x:v>
      </x:c>
      <x:c r="E72" s="50" t="n">
        <x:f>'2024 Form20'!W21</x:f>
        <x:v>0.14207650273224043</x:v>
      </x:c>
      <x:c r="F72" t="n">
        <x:f>'2024 Form20'!X21</x:f>
        <x:v>303</x:v>
      </x:c>
      <x:c r="G72" t="n">
        <x:f>'2024 Form20'!Y21</x:f>
        <x:v>-251</x:v>
      </x:c>
      <x:c r="H72" s="52" t="n">
        <x:f>'2024 Form20'!Z21</x:f>
        <x:v>-0.6857923497267759</x:v>
      </x:c>
      <x:c r="I72" t="str">
        <x:v>Dr. Mahesh Sharma</x:v>
      </x:c>
      <x:c r="J72" t="str">
        <x:v>BJP</x:v>
      </x:c>
      <x:c r="K72" t="str">
        <x:v>EVM row</x:v>
      </x:c>
      <x:c r="L72" s="133" t="str">
        <x:f>IF(D72&lt;=0,"No EVM votes",IF(E72&lt;$N$7,"Low",IF(E72&gt;$R$7,"High","Middle")))</x:f>
        <x:v>Middle</x:v>
      </x:c>
      <x:c r="M72" s="133" t="str">
        <x:f>IF(D72&lt;=0,"No EVM votes",IF(H72&lt;-20%,"Large deficit",IF(H72&lt;-5%,"Moderate deficit",IF(H72&lt;0,"Narrow deficit",IF(H72&lt;=5%,"Narrow lead/tie",IF(H72&lt;=20%,"Moderate lead","Large lead"))))))</x:f>
        <x:v>Large deficit</x:v>
      </x:c>
    </x:row>
    <x:row r="73">
      <x:c r="A73" t="n">
        <x:v>14</x:v>
      </x:c>
      <x:c r="B73" t="str">
        <x:v>[Location not in Form 20 PDF]</x:v>
      </x:c>
      <x:c r="C73" s="83" t="n">
        <x:f>'2024 Form20'!H22</x:f>
        <x:v>61</x:v>
      </x:c>
      <x:c r="D73" s="83" t="n">
        <x:f>'2024 Form20'!D22</x:f>
        <x:v>382</x:v>
      </x:c>
      <x:c r="E73" s="50" t="n">
        <x:f>'2024 Form20'!W22</x:f>
        <x:v>0.15968586387434555</x:v>
      </x:c>
      <x:c r="F73" t="n">
        <x:f>'2024 Form20'!X22</x:f>
        <x:v>298</x:v>
      </x:c>
      <x:c r="G73" t="n">
        <x:f>'2024 Form20'!Y22</x:f>
        <x:v>-237</x:v>
      </x:c>
      <x:c r="H73" s="52" t="n">
        <x:f>'2024 Form20'!Z22</x:f>
        <x:v>-0.6204188481675392</x:v>
      </x:c>
      <x:c r="I73" t="str">
        <x:v>Dr. Mahesh Sharma</x:v>
      </x:c>
      <x:c r="J73" t="str">
        <x:v>BJP</x:v>
      </x:c>
      <x:c r="K73" t="str">
        <x:v>EVM row</x:v>
      </x:c>
      <x:c r="L73" s="133" t="str">
        <x:f>IF(D73&lt;=0,"No EVM votes",IF(E73&lt;$N$7,"Low",IF(E73&gt;$R$7,"High","Middle")))</x:f>
        <x:v>Middle</x:v>
      </x:c>
      <x:c r="M73" s="133" t="str">
        <x:f>IF(D73&lt;=0,"No EVM votes",IF(H73&lt;-20%,"Large deficit",IF(H73&lt;-5%,"Moderate deficit",IF(H73&lt;0,"Narrow deficit",IF(H73&lt;=5%,"Narrow lead/tie",IF(H73&lt;=20%,"Moderate lead","Large lead"))))))</x:f>
        <x:v>Large deficit</x:v>
      </x:c>
    </x:row>
    <x:row r="74">
      <x:c r="A74" t="n">
        <x:v>15</x:v>
      </x:c>
      <x:c r="B74" t="str">
        <x:v>[Location not in Form 20 PDF]</x:v>
      </x:c>
      <x:c r="C74" s="83" t="n">
        <x:f>'2024 Form20'!H23</x:f>
        <x:v>51</x:v>
      </x:c>
      <x:c r="D74" s="83" t="n">
        <x:f>'2024 Form20'!D23</x:f>
        <x:v>366</x:v>
      </x:c>
      <x:c r="E74" s="50" t="n">
        <x:f>'2024 Form20'!W23</x:f>
        <x:v>0.13934426229508196</x:v>
      </x:c>
      <x:c r="F74" t="n">
        <x:f>'2024 Form20'!X23</x:f>
        <x:v>298</x:v>
      </x:c>
      <x:c r="G74" t="n">
        <x:f>'2024 Form20'!Y23</x:f>
        <x:v>-247</x:v>
      </x:c>
      <x:c r="H74" s="52" t="n">
        <x:f>'2024 Form20'!Z23</x:f>
        <x:v>-0.674863387978142</x:v>
      </x:c>
      <x:c r="I74" t="str">
        <x:v>Dr. Mahesh Sharma</x:v>
      </x:c>
      <x:c r="J74" t="str">
        <x:v>BJP</x:v>
      </x:c>
      <x:c r="K74" t="str">
        <x:v>EVM row</x:v>
      </x:c>
      <x:c r="L74" s="133" t="str">
        <x:f>IF(D74&lt;=0,"No EVM votes",IF(E74&lt;$N$7,"Low",IF(E74&gt;$R$7,"High","Middle")))</x:f>
        <x:v>Middle</x:v>
      </x:c>
      <x:c r="M74" s="133" t="str">
        <x:f>IF(D74&lt;=0,"No EVM votes",IF(H74&lt;-20%,"Large deficit",IF(H74&lt;-5%,"Moderate deficit",IF(H74&lt;0,"Narrow deficit",IF(H74&lt;=5%,"Narrow lead/tie",IF(H74&lt;=20%,"Moderate lead","Large lead"))))))</x:f>
        <x:v>Large deficit</x:v>
      </x:c>
    </x:row>
    <x:row r="75">
      <x:c r="A75" t="n">
        <x:v>16</x:v>
      </x:c>
      <x:c r="B75" t="str">
        <x:v>[Location not in Form 20 PDF]</x:v>
      </x:c>
      <x:c r="C75" s="83" t="n">
        <x:f>'2024 Form20'!H24</x:f>
        <x:v>79</x:v>
      </x:c>
      <x:c r="D75" s="83" t="n">
        <x:f>'2024 Form20'!D24</x:f>
        <x:v>425</x:v>
      </x:c>
      <x:c r="E75" s="50" t="n">
        <x:f>'2024 Form20'!W24</x:f>
        <x:v>0.18588235294117647</x:v>
      </x:c>
      <x:c r="F75" t="n">
        <x:f>'2024 Form20'!X24</x:f>
        <x:v>332</x:v>
      </x:c>
      <x:c r="G75" t="n">
        <x:f>'2024 Form20'!Y24</x:f>
        <x:v>-253</x:v>
      </x:c>
      <x:c r="H75" s="52" t="n">
        <x:f>'2024 Form20'!Z24</x:f>
        <x:v>-0.5952941176470589</x:v>
      </x:c>
      <x:c r="I75" t="str">
        <x:v>Dr. Mahesh Sharma</x:v>
      </x:c>
      <x:c r="J75" t="str">
        <x:v>BJP</x:v>
      </x:c>
      <x:c r="K75" t="str">
        <x:v>EVM row</x:v>
      </x:c>
      <x:c r="L75" s="133" t="str">
        <x:f>IF(D75&lt;=0,"No EVM votes",IF(E75&lt;$N$7,"Low",IF(E75&gt;$R$7,"High","Middle")))</x:f>
        <x:v>Middle</x:v>
      </x:c>
      <x:c r="M75" s="133" t="str">
        <x:f>IF(D75&lt;=0,"No EVM votes",IF(H75&lt;-20%,"Large deficit",IF(H75&lt;-5%,"Moderate deficit",IF(H75&lt;0,"Narrow deficit",IF(H75&lt;=5%,"Narrow lead/tie",IF(H75&lt;=20%,"Moderate lead","Large lead"))))))</x:f>
        <x:v>Large deficit</x:v>
      </x:c>
    </x:row>
    <x:row r="76">
      <x:c r="A76" t="n">
        <x:v>17</x:v>
      </x:c>
      <x:c r="B76" t="str">
        <x:v>[Location not in Form 20 PDF]</x:v>
      </x:c>
      <x:c r="C76" s="83" t="n">
        <x:f>'2024 Form20'!H25</x:f>
        <x:v>53</x:v>
      </x:c>
      <x:c r="D76" s="83" t="n">
        <x:f>'2024 Form20'!D25</x:f>
        <x:v>405</x:v>
      </x:c>
      <x:c r="E76" s="50" t="n">
        <x:f>'2024 Form20'!W25</x:f>
        <x:v>0.1308641975308642</x:v>
      </x:c>
      <x:c r="F76" t="n">
        <x:f>'2024 Form20'!X25</x:f>
        <x:v>333</x:v>
      </x:c>
      <x:c r="G76" t="n">
        <x:f>'2024 Form20'!Y25</x:f>
        <x:v>-280</x:v>
      </x:c>
      <x:c r="H76" s="52" t="n">
        <x:f>'2024 Form20'!Z25</x:f>
        <x:v>-0.691358024691358</x:v>
      </x:c>
      <x:c r="I76" t="str">
        <x:v>Dr. Mahesh Sharma</x:v>
      </x:c>
      <x:c r="J76" t="str">
        <x:v>BJP</x:v>
      </x:c>
      <x:c r="K76" t="str">
        <x:v>EVM row</x:v>
      </x:c>
      <x:c r="L76" s="133" t="str">
        <x:f>IF(D76&lt;=0,"No EVM votes",IF(E76&lt;$N$7,"Low",IF(E76&gt;$R$7,"High","Middle")))</x:f>
        <x:v>Middle</x:v>
      </x:c>
      <x:c r="M76" s="133" t="str">
        <x:f>IF(D76&lt;=0,"No EVM votes",IF(H76&lt;-20%,"Large deficit",IF(H76&lt;-5%,"Moderate deficit",IF(H76&lt;0,"Narrow deficit",IF(H76&lt;=5%,"Narrow lead/tie",IF(H76&lt;=20%,"Moderate lead","Large lead"))))))</x:f>
        <x:v>Large deficit</x:v>
      </x:c>
    </x:row>
    <x:row r="77">
      <x:c r="A77" t="n">
        <x:v>18</x:v>
      </x:c>
      <x:c r="B77" t="str">
        <x:v>[Location not in Form 20 PDF]</x:v>
      </x:c>
      <x:c r="C77" s="83" t="n">
        <x:f>'2024 Form20'!H26</x:f>
        <x:v>111</x:v>
      </x:c>
      <x:c r="D77" s="83" t="n">
        <x:f>'2024 Form20'!D26</x:f>
        <x:v>643</x:v>
      </x:c>
      <x:c r="E77" s="50" t="n">
        <x:f>'2024 Form20'!W26</x:f>
        <x:v>0.17262830482115085</x:v>
      </x:c>
      <x:c r="F77" t="n">
        <x:f>'2024 Form20'!X26</x:f>
        <x:v>507</x:v>
      </x:c>
      <x:c r="G77" t="n">
        <x:f>'2024 Form20'!Y26</x:f>
        <x:v>-396</x:v>
      </x:c>
      <x:c r="H77" s="52" t="n">
        <x:f>'2024 Form20'!Z26</x:f>
        <x:v>-0.6158631415241057</x:v>
      </x:c>
      <x:c r="I77" t="str">
        <x:v>Dr. Mahesh Sharma</x:v>
      </x:c>
      <x:c r="J77" t="str">
        <x:v>BJP</x:v>
      </x:c>
      <x:c r="K77" t="str">
        <x:v>EVM row</x:v>
      </x:c>
      <x:c r="L77" s="133" t="str">
        <x:f>IF(D77&lt;=0,"No EVM votes",IF(E77&lt;$N$7,"Low",IF(E77&gt;$R$7,"High","Middle")))</x:f>
        <x:v>Middle</x:v>
      </x:c>
      <x:c r="M77" s="133" t="str">
        <x:f>IF(D77&lt;=0,"No EVM votes",IF(H77&lt;-20%,"Large deficit",IF(H77&lt;-5%,"Moderate deficit",IF(H77&lt;0,"Narrow deficit",IF(H77&lt;=5%,"Narrow lead/tie",IF(H77&lt;=20%,"Moderate lead","Large lead"))))))</x:f>
        <x:v>Large deficit</x:v>
      </x:c>
    </x:row>
    <x:row r="78">
      <x:c r="A78" t="n">
        <x:v>19</x:v>
      </x:c>
      <x:c r="B78" t="str">
        <x:v>[Location not in Form 20 PDF]</x:v>
      </x:c>
      <x:c r="C78" s="83" t="n">
        <x:f>'2024 Form20'!H27</x:f>
        <x:v>47</x:v>
      </x:c>
      <x:c r="D78" s="83" t="n">
        <x:f>'2024 Form20'!D27</x:f>
        <x:v>288</x:v>
      </x:c>
      <x:c r="E78" s="50" t="n">
        <x:f>'2024 Form20'!W27</x:f>
        <x:v>0.16319444444444445</x:v>
      </x:c>
      <x:c r="F78" t="n">
        <x:f>'2024 Form20'!X27</x:f>
        <x:v>219</x:v>
      </x:c>
      <x:c r="G78" t="n">
        <x:f>'2024 Form20'!Y27</x:f>
        <x:v>-172</x:v>
      </x:c>
      <x:c r="H78" s="52" t="n">
        <x:f>'2024 Form20'!Z27</x:f>
        <x:v>-0.5972222222222222</x:v>
      </x:c>
      <x:c r="I78" t="str">
        <x:v>Dr. Mahesh Sharma</x:v>
      </x:c>
      <x:c r="J78" t="str">
        <x:v>BJP</x:v>
      </x:c>
      <x:c r="K78" t="str">
        <x:v>EVM row</x:v>
      </x:c>
      <x:c r="L78" s="133" t="str">
        <x:f>IF(D78&lt;=0,"No EVM votes",IF(E78&lt;$N$7,"Low",IF(E78&gt;$R$7,"High","Middle")))</x:f>
        <x:v>Middle</x:v>
      </x:c>
      <x:c r="M78" s="133" t="str">
        <x:f>IF(D78&lt;=0,"No EVM votes",IF(H78&lt;-20%,"Large deficit",IF(H78&lt;-5%,"Moderate deficit",IF(H78&lt;0,"Narrow deficit",IF(H78&lt;=5%,"Narrow lead/tie",IF(H78&lt;=20%,"Moderate lead","Large lead"))))))</x:f>
        <x:v>Large deficit</x:v>
      </x:c>
    </x:row>
    <x:row r="79">
      <x:c r="A79" t="n">
        <x:v>20</x:v>
      </x:c>
      <x:c r="B79" t="str">
        <x:v>[Location not in Form 20 PDF]</x:v>
      </x:c>
      <x:c r="C79" s="83" t="n">
        <x:f>'2024 Form20'!H28</x:f>
        <x:v>58</x:v>
      </x:c>
      <x:c r="D79" s="83" t="n">
        <x:f>'2024 Form20'!D28</x:f>
        <x:v>515</x:v>
      </x:c>
      <x:c r="E79" s="50" t="n">
        <x:f>'2024 Form20'!W28</x:f>
        <x:v>0.11262135922330097</x:v>
      </x:c>
      <x:c r="F79" t="n">
        <x:f>'2024 Form20'!X28</x:f>
        <x:v>423</x:v>
      </x:c>
      <x:c r="G79" t="n">
        <x:f>'2024 Form20'!Y28</x:f>
        <x:v>-365</x:v>
      </x:c>
      <x:c r="H79" s="52" t="n">
        <x:f>'2024 Form20'!Z28</x:f>
        <x:v>-0.7087378640776699</x:v>
      </x:c>
      <x:c r="I79" t="str">
        <x:v>Dr. Mahesh Sharma</x:v>
      </x:c>
      <x:c r="J79" t="str">
        <x:v>BJP</x:v>
      </x:c>
      <x:c r="K79" t="str">
        <x:v>EVM row</x:v>
      </x:c>
      <x:c r="L79" s="133" t="str">
        <x:f>IF(D79&lt;=0,"No EVM votes",IF(E79&lt;$N$7,"Low",IF(E79&gt;$R$7,"High","Middle")))</x:f>
        <x:v>Middle</x:v>
      </x:c>
      <x:c r="M79" s="133" t="str">
        <x:f>IF(D79&lt;=0,"No EVM votes",IF(H79&lt;-20%,"Large deficit",IF(H79&lt;-5%,"Moderate deficit",IF(H79&lt;0,"Narrow deficit",IF(H79&lt;=5%,"Narrow lead/tie",IF(H79&lt;=20%,"Moderate lead","Large lead"))))))</x:f>
        <x:v>Large deficit</x:v>
      </x:c>
    </x:row>
    <x:row r="80">
      <x:c r="A80" t="n">
        <x:v>21</x:v>
      </x:c>
      <x:c r="B80" t="str">
        <x:v>[Location not in Form 20 PDF]</x:v>
      </x:c>
      <x:c r="C80" s="83" t="n">
        <x:f>'2024 Form20'!H29</x:f>
        <x:v>145</x:v>
      </x:c>
      <x:c r="D80" s="83" t="n">
        <x:f>'2024 Form20'!D29</x:f>
        <x:v>457</x:v>
      </x:c>
      <x:c r="E80" s="50" t="n">
        <x:f>'2024 Form20'!W29</x:f>
        <x:v>0.3172866520787746</x:v>
      </x:c>
      <x:c r="F80" t="n">
        <x:f>'2024 Form20'!X29</x:f>
        <x:v>235</x:v>
      </x:c>
      <x:c r="G80" t="n">
        <x:f>'2024 Form20'!Y29</x:f>
        <x:v>-90</x:v>
      </x:c>
      <x:c r="H80" s="52" t="n">
        <x:f>'2024 Form20'!Z29</x:f>
        <x:v>-0.19693654266958424</x:v>
      </x:c>
      <x:c r="I80" t="str">
        <x:v>Dr. Mahesh Sharma</x:v>
      </x:c>
      <x:c r="J80" t="str">
        <x:v>BJP</x:v>
      </x:c>
      <x:c r="K80" t="str">
        <x:v>EVM row</x:v>
      </x:c>
      <x:c r="L80" s="133" t="str">
        <x:f>IF(D80&lt;=0,"No EVM votes",IF(E80&lt;$N$7,"Low",IF(E80&gt;$R$7,"High","Middle")))</x:f>
        <x:v>High</x:v>
      </x:c>
      <x:c r="M80" s="133" t="str">
        <x:f>IF(D80&lt;=0,"No EVM votes",IF(H80&lt;-20%,"Large deficit",IF(H80&lt;-5%,"Moderate deficit",IF(H80&lt;0,"Narrow deficit",IF(H80&lt;=5%,"Narrow lead/tie",IF(H80&lt;=20%,"Moderate lead","Large lead"))))))</x:f>
        <x:v>Moderate deficit</x:v>
      </x:c>
    </x:row>
    <x:row r="81">
      <x:c r="A81" t="n">
        <x:v>22</x:v>
      </x:c>
      <x:c r="B81" t="str">
        <x:v>[Location not in Form 20 PDF]</x:v>
      </x:c>
      <x:c r="C81" s="83" t="n">
        <x:f>'2024 Form20'!H30</x:f>
        <x:v>88</x:v>
      </x:c>
      <x:c r="D81" s="83" t="n">
        <x:f>'2024 Form20'!D30</x:f>
        <x:v>490</x:v>
      </x:c>
      <x:c r="E81" s="50" t="n">
        <x:f>'2024 Form20'!W30</x:f>
        <x:v>0.17959183673469387</x:v>
      </x:c>
      <x:c r="F81" t="n">
        <x:f>'2024 Form20'!X30</x:f>
        <x:v>382</x:v>
      </x:c>
      <x:c r="G81" t="n">
        <x:f>'2024 Form20'!Y30</x:f>
        <x:v>-294</x:v>
      </x:c>
      <x:c r="H81" s="52" t="n">
        <x:f>'2024 Form20'!Z30</x:f>
        <x:v>-0.6</x:v>
      </x:c>
      <x:c r="I81" t="str">
        <x:v>Dr. Mahesh Sharma</x:v>
      </x:c>
      <x:c r="J81" t="str">
        <x:v>BJP</x:v>
      </x:c>
      <x:c r="K81" t="str">
        <x:v>EVM row</x:v>
      </x:c>
      <x:c r="L81" s="133" t="str">
        <x:f>IF(D81&lt;=0,"No EVM votes",IF(E81&lt;$N$7,"Low",IF(E81&gt;$R$7,"High","Middle")))</x:f>
        <x:v>Middle</x:v>
      </x:c>
      <x:c r="M81" s="133" t="str">
        <x:f>IF(D81&lt;=0,"No EVM votes",IF(H81&lt;-20%,"Large deficit",IF(H81&lt;-5%,"Moderate deficit",IF(H81&lt;0,"Narrow deficit",IF(H81&lt;=5%,"Narrow lead/tie",IF(H81&lt;=20%,"Moderate lead","Large lead"))))))</x:f>
        <x:v>Large deficit</x:v>
      </x:c>
    </x:row>
    <x:row r="82">
      <x:c r="A82" t="n">
        <x:v>23</x:v>
      </x:c>
      <x:c r="B82" t="str">
        <x:v>[Location not in Form 20 PDF]</x:v>
      </x:c>
      <x:c r="C82" s="83" t="n">
        <x:f>'2024 Form20'!H31</x:f>
        <x:v>44</x:v>
      </x:c>
      <x:c r="D82" s="83" t="n">
        <x:f>'2024 Form20'!D31</x:f>
        <x:v>325</x:v>
      </x:c>
      <x:c r="E82" s="50" t="n">
        <x:f>'2024 Form20'!W31</x:f>
        <x:v>0.13538461538461538</x:v>
      </x:c>
      <x:c r="F82" t="n">
        <x:f>'2024 Form20'!X31</x:f>
        <x:v>269</x:v>
      </x:c>
      <x:c r="G82" t="n">
        <x:f>'2024 Form20'!Y31</x:f>
        <x:v>-225</x:v>
      </x:c>
      <x:c r="H82" s="52" t="n">
        <x:f>'2024 Form20'!Z31</x:f>
        <x:v>-0.6923076923076923</x:v>
      </x:c>
      <x:c r="I82" t="str">
        <x:v>Dr. Mahesh Sharma</x:v>
      </x:c>
      <x:c r="J82" t="str">
        <x:v>BJP</x:v>
      </x:c>
      <x:c r="K82" t="str">
        <x:v>EVM row</x:v>
      </x:c>
      <x:c r="L82" s="133" t="str">
        <x:f>IF(D82&lt;=0,"No EVM votes",IF(E82&lt;$N$7,"Low",IF(E82&gt;$R$7,"High","Middle")))</x:f>
        <x:v>Middle</x:v>
      </x:c>
      <x:c r="M82" s="133" t="str">
        <x:f>IF(D82&lt;=0,"No EVM votes",IF(H82&lt;-20%,"Large deficit",IF(H82&lt;-5%,"Moderate deficit",IF(H82&lt;0,"Narrow deficit",IF(H82&lt;=5%,"Narrow lead/tie",IF(H82&lt;=20%,"Moderate lead","Large lead"))))))</x:f>
        <x:v>Large deficit</x:v>
      </x:c>
    </x:row>
    <x:row r="83">
      <x:c r="A83" t="n">
        <x:v>24</x:v>
      </x:c>
      <x:c r="B83" t="str">
        <x:v>[Location not in Form 20 PDF]</x:v>
      </x:c>
      <x:c r="C83" s="83" t="n">
        <x:f>'2024 Form20'!H32</x:f>
        <x:v>101</x:v>
      </x:c>
      <x:c r="D83" s="83" t="n">
        <x:f>'2024 Form20'!D32</x:f>
        <x:v>743</x:v>
      </x:c>
      <x:c r="E83" s="50" t="n">
        <x:f>'2024 Form20'!W32</x:f>
        <x:v>0.13593539703903096</x:v>
      </x:c>
      <x:c r="F83" t="n">
        <x:f>'2024 Form20'!X32</x:f>
        <x:v>619</x:v>
      </x:c>
      <x:c r="G83" t="n">
        <x:f>'2024 Form20'!Y32</x:f>
        <x:v>-518</x:v>
      </x:c>
      <x:c r="H83" s="52" t="n">
        <x:f>'2024 Form20'!Z32</x:f>
        <x:v>-0.6971736204576043</x:v>
      </x:c>
      <x:c r="I83" t="str">
        <x:v>Dr. Mahesh Sharma</x:v>
      </x:c>
      <x:c r="J83" t="str">
        <x:v>BJP</x:v>
      </x:c>
      <x:c r="K83" t="str">
        <x:v>EVM row</x:v>
      </x:c>
      <x:c r="L83" s="133" t="str">
        <x:f>IF(D83&lt;=0,"No EVM votes",IF(E83&lt;$N$7,"Low",IF(E83&gt;$R$7,"High","Middle")))</x:f>
        <x:v>Middle</x:v>
      </x:c>
      <x:c r="M83" s="133" t="str">
        <x:f>IF(D83&lt;=0,"No EVM votes",IF(H83&lt;-20%,"Large deficit",IF(H83&lt;-5%,"Moderate deficit",IF(H83&lt;0,"Narrow deficit",IF(H83&lt;=5%,"Narrow lead/tie",IF(H83&lt;=20%,"Moderate lead","Large lead"))))))</x:f>
        <x:v>Large deficit</x:v>
      </x:c>
    </x:row>
    <x:row r="84">
      <x:c r="A84" t="n">
        <x:v>25</x:v>
      </x:c>
      <x:c r="B84" t="str">
        <x:v>[Location not in Form 20 PDF]</x:v>
      </x:c>
      <x:c r="C84" s="83" t="n">
        <x:f>'2024 Form20'!H33</x:f>
        <x:v>66</x:v>
      </x:c>
      <x:c r="D84" s="83" t="n">
        <x:f>'2024 Form20'!D33</x:f>
        <x:v>363</x:v>
      </x:c>
      <x:c r="E84" s="50" t="n">
        <x:f>'2024 Form20'!W33</x:f>
        <x:v>0.18181818181818182</x:v>
      </x:c>
      <x:c r="F84" t="n">
        <x:f>'2024 Form20'!X33</x:f>
        <x:v>273</x:v>
      </x:c>
      <x:c r="G84" t="n">
        <x:f>'2024 Form20'!Y33</x:f>
        <x:v>-207</x:v>
      </x:c>
      <x:c r="H84" s="52" t="n">
        <x:f>'2024 Form20'!Z33</x:f>
        <x:v>-0.5702479338842975</x:v>
      </x:c>
      <x:c r="I84" t="str">
        <x:v>Dr. Mahesh Sharma</x:v>
      </x:c>
      <x:c r="J84" t="str">
        <x:v>BJP</x:v>
      </x:c>
      <x:c r="K84" t="str">
        <x:v>EVM row</x:v>
      </x:c>
      <x:c r="L84" s="133" t="str">
        <x:f>IF(D84&lt;=0,"No EVM votes",IF(E84&lt;$N$7,"Low",IF(E84&gt;$R$7,"High","Middle")))</x:f>
        <x:v>Middle</x:v>
      </x:c>
      <x:c r="M84" s="133" t="str">
        <x:f>IF(D84&lt;=0,"No EVM votes",IF(H84&lt;-20%,"Large deficit",IF(H84&lt;-5%,"Moderate deficit",IF(H84&lt;0,"Narrow deficit",IF(H84&lt;=5%,"Narrow lead/tie",IF(H84&lt;=20%,"Moderate lead","Large lead"))))))</x:f>
        <x:v>Large deficit</x:v>
      </x:c>
    </x:row>
    <x:row r="85">
      <x:c r="A85" t="n">
        <x:v>26</x:v>
      </x:c>
      <x:c r="B85" t="str">
        <x:v>[Location not in Form 20 PDF]</x:v>
      </x:c>
      <x:c r="C85" s="83" t="n">
        <x:f>'2024 Form20'!H34</x:f>
        <x:v>72</x:v>
      </x:c>
      <x:c r="D85" s="83" t="n">
        <x:f>'2024 Form20'!D34</x:f>
        <x:v>588</x:v>
      </x:c>
      <x:c r="E85" s="50" t="n">
        <x:f>'2024 Form20'!W34</x:f>
        <x:v>0.12244897959183673</x:v>
      </x:c>
      <x:c r="F85" t="n">
        <x:f>'2024 Form20'!X34</x:f>
        <x:v>486</x:v>
      </x:c>
      <x:c r="G85" t="n">
        <x:f>'2024 Form20'!Y34</x:f>
        <x:v>-414</x:v>
      </x:c>
      <x:c r="H85" s="52" t="n">
        <x:f>'2024 Form20'!Z34</x:f>
        <x:v>-0.7040816326530612</x:v>
      </x:c>
      <x:c r="I85" t="str">
        <x:v>Dr. Mahesh Sharma</x:v>
      </x:c>
      <x:c r="J85" t="str">
        <x:v>BJP</x:v>
      </x:c>
      <x:c r="K85" t="str">
        <x:v>EVM row</x:v>
      </x:c>
      <x:c r="L85" s="133" t="str">
        <x:f>IF(D85&lt;=0,"No EVM votes",IF(E85&lt;$N$7,"Low",IF(E85&gt;$R$7,"High","Middle")))</x:f>
        <x:v>Middle</x:v>
      </x:c>
      <x:c r="M85" s="133" t="str">
        <x:f>IF(D85&lt;=0,"No EVM votes",IF(H85&lt;-20%,"Large deficit",IF(H85&lt;-5%,"Moderate deficit",IF(H85&lt;0,"Narrow deficit",IF(H85&lt;=5%,"Narrow lead/tie",IF(H85&lt;=20%,"Moderate lead","Large lead"))))))</x:f>
        <x:v>Large deficit</x:v>
      </x:c>
    </x:row>
    <x:row r="86">
      <x:c r="A86" t="n">
        <x:v>27</x:v>
      </x:c>
      <x:c r="B86" t="str">
        <x:v>[Location not in Form 20 PDF]</x:v>
      </x:c>
      <x:c r="C86" s="83" t="n">
        <x:f>'2024 Form20'!H35</x:f>
        <x:v>142</x:v>
      </x:c>
      <x:c r="D86" s="83" t="n">
        <x:f>'2024 Form20'!D35</x:f>
        <x:v>708</x:v>
      </x:c>
      <x:c r="E86" s="50" t="n">
        <x:f>'2024 Form20'!W35</x:f>
        <x:v>0.20056497175141244</x:v>
      </x:c>
      <x:c r="F86" t="n">
        <x:f>'2024 Form20'!X35</x:f>
        <x:v>422</x:v>
      </x:c>
      <x:c r="G86" t="n">
        <x:f>'2024 Form20'!Y35</x:f>
        <x:v>-280</x:v>
      </x:c>
      <x:c r="H86" s="52" t="n">
        <x:f>'2024 Form20'!Z35</x:f>
        <x:v>-0.3954802259887006</x:v>
      </x:c>
      <x:c r="I86" t="str">
        <x:v>Dr. Mahesh Sharma</x:v>
      </x:c>
      <x:c r="J86" t="str">
        <x:v>BJP</x:v>
      </x:c>
      <x:c r="K86" t="str">
        <x:v>EVM row</x:v>
      </x:c>
      <x:c r="L86" s="133" t="str">
        <x:f>IF(D86&lt;=0,"No EVM votes",IF(E86&lt;$N$7,"Low",IF(E86&gt;$R$7,"High","Middle")))</x:f>
        <x:v>Middle</x:v>
      </x:c>
      <x:c r="M86" s="133" t="str">
        <x:f>IF(D86&lt;=0,"No EVM votes",IF(H86&lt;-20%,"Large deficit",IF(H86&lt;-5%,"Moderate deficit",IF(H86&lt;0,"Narrow deficit",IF(H86&lt;=5%,"Narrow lead/tie",IF(H86&lt;=20%,"Moderate lead","Large lead"))))))</x:f>
        <x:v>Large deficit</x:v>
      </x:c>
    </x:row>
    <x:row r="87">
      <x:c r="A87" t="n">
        <x:v>28</x:v>
      </x:c>
      <x:c r="B87" t="str">
        <x:v>[Location not in Form 20 PDF]</x:v>
      </x:c>
      <x:c r="C87" s="83" t="n">
        <x:f>'2024 Form20'!H36</x:f>
        <x:v>151</x:v>
      </x:c>
      <x:c r="D87" s="83" t="n">
        <x:f>'2024 Form20'!D36</x:f>
        <x:v>724</x:v>
      </x:c>
      <x:c r="E87" s="50" t="n">
        <x:f>'2024 Form20'!W36</x:f>
        <x:v>0.2085635359116022</x:v>
      </x:c>
      <x:c r="F87" t="n">
        <x:f>'2024 Form20'!X36</x:f>
        <x:v>458</x:v>
      </x:c>
      <x:c r="G87" t="n">
        <x:f>'2024 Form20'!Y36</x:f>
        <x:v>-307</x:v>
      </x:c>
      <x:c r="H87" s="52" t="n">
        <x:f>'2024 Form20'!Z36</x:f>
        <x:v>-0.4240331491712707</x:v>
      </x:c>
      <x:c r="I87" t="str">
        <x:v>Dr. Mahesh Sharma</x:v>
      </x:c>
      <x:c r="J87" t="str">
        <x:v>BJP</x:v>
      </x:c>
      <x:c r="K87" t="str">
        <x:v>EVM row</x:v>
      </x:c>
      <x:c r="L87" s="133" t="str">
        <x:f>IF(D87&lt;=0,"No EVM votes",IF(E87&lt;$N$7,"Low",IF(E87&gt;$R$7,"High","Middle")))</x:f>
        <x:v>Middle</x:v>
      </x:c>
      <x:c r="M87" s="133" t="str">
        <x:f>IF(D87&lt;=0,"No EVM votes",IF(H87&lt;-20%,"Large deficit",IF(H87&lt;-5%,"Moderate deficit",IF(H87&lt;0,"Narrow deficit",IF(H87&lt;=5%,"Narrow lead/tie",IF(H87&lt;=20%,"Moderate lead","Large lead"))))))</x:f>
        <x:v>Large deficit</x:v>
      </x:c>
    </x:row>
    <x:row r="88">
      <x:c r="A88" t="n">
        <x:v>29</x:v>
      </x:c>
      <x:c r="B88" t="str">
        <x:v>[Location not in Form 20 PDF]</x:v>
      </x:c>
      <x:c r="C88" s="83" t="n">
        <x:f>'2024 Form20'!H37</x:f>
        <x:v>49</x:v>
      </x:c>
      <x:c r="D88" s="83" t="n">
        <x:f>'2024 Form20'!D37</x:f>
        <x:v>483</x:v>
      </x:c>
      <x:c r="E88" s="50" t="n">
        <x:f>'2024 Form20'!W37</x:f>
        <x:v>0.10144927536231885</x:v>
      </x:c>
      <x:c r="F88" t="n">
        <x:f>'2024 Form20'!X37</x:f>
        <x:v>386</x:v>
      </x:c>
      <x:c r="G88" t="n">
        <x:f>'2024 Form20'!Y37</x:f>
        <x:v>-337</x:v>
      </x:c>
      <x:c r="H88" s="52" t="n">
        <x:f>'2024 Form20'!Z37</x:f>
        <x:v>-0.6977225672877847</x:v>
      </x:c>
      <x:c r="I88" t="str">
        <x:v>Dr. Mahesh Sharma</x:v>
      </x:c>
      <x:c r="J88" t="str">
        <x:v>BJP</x:v>
      </x:c>
      <x:c r="K88" t="str">
        <x:v>EVM row</x:v>
      </x:c>
      <x:c r="L88" s="133" t="str">
        <x:f>IF(D88&lt;=0,"No EVM votes",IF(E88&lt;$N$7,"Low",IF(E88&gt;$R$7,"High","Middle")))</x:f>
        <x:v>Middle</x:v>
      </x:c>
      <x:c r="M88" s="133" t="str">
        <x:f>IF(D88&lt;=0,"No EVM votes",IF(H88&lt;-20%,"Large deficit",IF(H88&lt;-5%,"Moderate deficit",IF(H88&lt;0,"Narrow deficit",IF(H88&lt;=5%,"Narrow lead/tie",IF(H88&lt;=20%,"Moderate lead","Large lead"))))))</x:f>
        <x:v>Large deficit</x:v>
      </x:c>
    </x:row>
    <x:row r="89">
      <x:c r="A89" t="n">
        <x:v>30</x:v>
      </x:c>
      <x:c r="B89" t="str">
        <x:v>[Location not in Form 20 PDF]</x:v>
      </x:c>
      <x:c r="C89" s="83" t="n">
        <x:f>'2024 Form20'!H38</x:f>
        <x:v>46</x:v>
      </x:c>
      <x:c r="D89" s="83" t="n">
        <x:f>'2024 Form20'!D38</x:f>
        <x:v>550</x:v>
      </x:c>
      <x:c r="E89" s="50" t="n">
        <x:f>'2024 Form20'!W38</x:f>
        <x:v>0.08363636363636363</x:v>
      </x:c>
      <x:c r="F89" t="n">
        <x:f>'2024 Form20'!X38</x:f>
        <x:v>391</x:v>
      </x:c>
      <x:c r="G89" t="n">
        <x:f>'2024 Form20'!Y38</x:f>
        <x:v>-345</x:v>
      </x:c>
      <x:c r="H89" s="52" t="n">
        <x:f>'2024 Form20'!Z38</x:f>
        <x:v>-0.6272727272727273</x:v>
      </x:c>
      <x:c r="I89" t="str">
        <x:v>Dr. Mahesh Sharma</x:v>
      </x:c>
      <x:c r="J89" t="str">
        <x:v>BJP</x:v>
      </x:c>
      <x:c r="K89" t="str">
        <x:v>EVM row</x:v>
      </x:c>
      <x:c r="L89" s="133" t="str">
        <x:f>IF(D89&lt;=0,"No EVM votes",IF(E89&lt;$N$7,"Low",IF(E89&gt;$R$7,"High","Middle")))</x:f>
        <x:v>Middle</x:v>
      </x:c>
      <x:c r="M89" s="133" t="str">
        <x:f>IF(D89&lt;=0,"No EVM votes",IF(H89&lt;-20%,"Large deficit",IF(H89&lt;-5%,"Moderate deficit",IF(H89&lt;0,"Narrow deficit",IF(H89&lt;=5%,"Narrow lead/tie",IF(H89&lt;=20%,"Moderate lead","Large lead"))))))</x:f>
        <x:v>Large deficit</x:v>
      </x:c>
    </x:row>
    <x:row r="90">
      <x:c r="A90" t="n">
        <x:v>31</x:v>
      </x:c>
      <x:c r="B90" t="str">
        <x:v>[Location not in Form 20 PDF]</x:v>
      </x:c>
      <x:c r="C90" s="83" t="n">
        <x:f>'2024 Form20'!H39</x:f>
        <x:v>136</x:v>
      </x:c>
      <x:c r="D90" s="83" t="n">
        <x:f>'2024 Form20'!D39</x:f>
        <x:v>576</x:v>
      </x:c>
      <x:c r="E90" s="50" t="n">
        <x:f>'2024 Form20'!W39</x:f>
        <x:v>0.2361111111111111</x:v>
      </x:c>
      <x:c r="F90" t="n">
        <x:f>'2024 Form20'!X39</x:f>
        <x:v>412</x:v>
      </x:c>
      <x:c r="G90" t="n">
        <x:f>'2024 Form20'!Y39</x:f>
        <x:v>-276</x:v>
      </x:c>
      <x:c r="H90" s="52" t="n">
        <x:f>'2024 Form20'!Z39</x:f>
        <x:v>-0.4791666666666667</x:v>
      </x:c>
      <x:c r="I90" t="str">
        <x:v>Dr. Mahesh Sharma</x:v>
      </x:c>
      <x:c r="J90" t="str">
        <x:v>BJP</x:v>
      </x:c>
      <x:c r="K90" t="str">
        <x:v>EVM row</x:v>
      </x:c>
      <x:c r="L90" s="133" t="str">
        <x:f>IF(D90&lt;=0,"No EVM votes",IF(E90&lt;$N$7,"Low",IF(E90&gt;$R$7,"High","Middle")))</x:f>
        <x:v>High</x:v>
      </x:c>
      <x:c r="M90" s="133" t="str">
        <x:f>IF(D90&lt;=0,"No EVM votes",IF(H90&lt;-20%,"Large deficit",IF(H90&lt;-5%,"Moderate deficit",IF(H90&lt;0,"Narrow deficit",IF(H90&lt;=5%,"Narrow lead/tie",IF(H90&lt;=20%,"Moderate lead","Large lead"))))))</x:f>
        <x:v>Large deficit</x:v>
      </x:c>
    </x:row>
    <x:row r="91">
      <x:c r="A91" t="n">
        <x:v>32</x:v>
      </x:c>
      <x:c r="B91" t="str">
        <x:v>[Location not in Form 20 PDF]</x:v>
      </x:c>
      <x:c r="C91" s="83" t="n">
        <x:f>'2024 Form20'!H40</x:f>
        <x:v>183</x:v>
      </x:c>
      <x:c r="D91" s="83" t="n">
        <x:f>'2024 Form20'!D40</x:f>
        <x:v>651</x:v>
      </x:c>
      <x:c r="E91" s="50" t="n">
        <x:f>'2024 Form20'!W40</x:f>
        <x:v>0.28110599078341014</x:v>
      </x:c>
      <x:c r="F91" t="n">
        <x:f>'2024 Form20'!X40</x:f>
        <x:v>315</x:v>
      </x:c>
      <x:c r="G91" t="n">
        <x:f>'2024 Form20'!Y40</x:f>
        <x:v>-132</x:v>
      </x:c>
      <x:c r="H91" s="52" t="n">
        <x:f>'2024 Form20'!Z40</x:f>
        <x:v>-0.20276497695852536</x:v>
      </x:c>
      <x:c r="I91" t="str">
        <x:v>Dr. Mahesh Sharma</x:v>
      </x:c>
      <x:c r="J91" t="str">
        <x:v>BJP</x:v>
      </x:c>
      <x:c r="K91" t="str">
        <x:v>EVM row</x:v>
      </x:c>
      <x:c r="L91" s="133" t="str">
        <x:f>IF(D91&lt;=0,"No EVM votes",IF(E91&lt;$N$7,"Low",IF(E91&gt;$R$7,"High","Middle")))</x:f>
        <x:v>High</x:v>
      </x:c>
      <x:c r="M91" s="133" t="str">
        <x:f>IF(D91&lt;=0,"No EVM votes",IF(H91&lt;-20%,"Large deficit",IF(H91&lt;-5%,"Moderate deficit",IF(H91&lt;0,"Narrow deficit",IF(H91&lt;=5%,"Narrow lead/tie",IF(H91&lt;=20%,"Moderate lead","Large lead"))))))</x:f>
        <x:v>Large deficit</x:v>
      </x:c>
    </x:row>
    <x:row r="92">
      <x:c r="A92" t="n">
        <x:v>33</x:v>
      </x:c>
      <x:c r="B92" t="str">
        <x:v>[Location not in Form 20 PDF]</x:v>
      </x:c>
      <x:c r="C92" s="83" t="n">
        <x:f>'2024 Form20'!H41</x:f>
        <x:v>156</x:v>
      </x:c>
      <x:c r="D92" s="83" t="n">
        <x:f>'2024 Form20'!D41</x:f>
        <x:v>749</x:v>
      </x:c>
      <x:c r="E92" s="50" t="n">
        <x:f>'2024 Form20'!W41</x:f>
        <x:v>0.2082777036048064</x:v>
      </x:c>
      <x:c r="F92" t="n">
        <x:f>'2024 Form20'!X41</x:f>
        <x:v>496</x:v>
      </x:c>
      <x:c r="G92" t="n">
        <x:f>'2024 Form20'!Y41</x:f>
        <x:v>-340</x:v>
      </x:c>
      <x:c r="H92" s="52" t="n">
        <x:f>'2024 Form20'!Z41</x:f>
        <x:v>-0.4539385847797063</x:v>
      </x:c>
      <x:c r="I92" t="str">
        <x:v>Dr. Mahesh Sharma</x:v>
      </x:c>
      <x:c r="J92" t="str">
        <x:v>BJP</x:v>
      </x:c>
      <x:c r="K92" t="str">
        <x:v>EVM row</x:v>
      </x:c>
      <x:c r="L92" s="133" t="str">
        <x:f>IF(D92&lt;=0,"No EVM votes",IF(E92&lt;$N$7,"Low",IF(E92&gt;$R$7,"High","Middle")))</x:f>
        <x:v>Middle</x:v>
      </x:c>
      <x:c r="M92" s="133" t="str">
        <x:f>IF(D92&lt;=0,"No EVM votes",IF(H92&lt;-20%,"Large deficit",IF(H92&lt;-5%,"Moderate deficit",IF(H92&lt;0,"Narrow deficit",IF(H92&lt;=5%,"Narrow lead/tie",IF(H92&lt;=20%,"Moderate lead","Large lead"))))))</x:f>
        <x:v>Large deficit</x:v>
      </x:c>
    </x:row>
    <x:row r="93">
      <x:c r="A93" t="n">
        <x:v>34</x:v>
      </x:c>
      <x:c r="B93" t="str">
        <x:v>[Location not in Form 20 PDF]</x:v>
      </x:c>
      <x:c r="C93" s="83" t="n">
        <x:f>'2024 Form20'!H42</x:f>
        <x:v>59</x:v>
      </x:c>
      <x:c r="D93" s="83" t="n">
        <x:f>'2024 Form20'!D42</x:f>
        <x:v>471</x:v>
      </x:c>
      <x:c r="E93" s="50" t="n">
        <x:f>'2024 Form20'!W42</x:f>
        <x:v>0.12526539278131635</x:v>
      </x:c>
      <x:c r="F93" t="n">
        <x:f>'2024 Form20'!X42</x:f>
        <x:v>336</x:v>
      </x:c>
      <x:c r="G93" t="n">
        <x:f>'2024 Form20'!Y42</x:f>
        <x:v>-277</x:v>
      </x:c>
      <x:c r="H93" s="52" t="n">
        <x:f>'2024 Form20'!Z42</x:f>
        <x:v>-0.5881104033970276</x:v>
      </x:c>
      <x:c r="I93" t="str">
        <x:v>Dr. Mahesh Sharma</x:v>
      </x:c>
      <x:c r="J93" t="str">
        <x:v>BJP</x:v>
      </x:c>
      <x:c r="K93" t="str">
        <x:v>EVM row</x:v>
      </x:c>
      <x:c r="L93" s="133" t="str">
        <x:f>IF(D93&lt;=0,"No EVM votes",IF(E93&lt;$N$7,"Low",IF(E93&gt;$R$7,"High","Middle")))</x:f>
        <x:v>Middle</x:v>
      </x:c>
      <x:c r="M93" s="133" t="str">
        <x:f>IF(D93&lt;=0,"No EVM votes",IF(H93&lt;-20%,"Large deficit",IF(H93&lt;-5%,"Moderate deficit",IF(H93&lt;0,"Narrow deficit",IF(H93&lt;=5%,"Narrow lead/tie",IF(H93&lt;=20%,"Moderate lead","Large lead"))))))</x:f>
        <x:v>Large deficit</x:v>
      </x:c>
    </x:row>
    <x:row r="94">
      <x:c r="A94" t="n">
        <x:v>35</x:v>
      </x:c>
      <x:c r="B94" t="str">
        <x:v>[Location not in Form 20 PDF]</x:v>
      </x:c>
      <x:c r="C94" s="83" t="n">
        <x:f>'2024 Form20'!H43</x:f>
        <x:v>214</x:v>
      </x:c>
      <x:c r="D94" s="83" t="n">
        <x:f>'2024 Form20'!D43</x:f>
        <x:v>579</x:v>
      </x:c>
      <x:c r="E94" s="50" t="n">
        <x:f>'2024 Form20'!W43</x:f>
        <x:v>0.3696027633851468</x:v>
      </x:c>
      <x:c r="F94" t="n">
        <x:f>'2024 Form20'!X43</x:f>
        <x:v>241</x:v>
      </x:c>
      <x:c r="G94" t="n">
        <x:f>'2024 Form20'!Y43</x:f>
        <x:v>-27</x:v>
      </x:c>
      <x:c r="H94" s="52" t="n">
        <x:f>'2024 Form20'!Z43</x:f>
        <x:v>-0.046632124352331605</x:v>
      </x:c>
      <x:c r="I94" t="str">
        <x:v>Dr. Mahesh Sharma</x:v>
      </x:c>
      <x:c r="J94" t="str">
        <x:v>BJP</x:v>
      </x:c>
      <x:c r="K94" t="str">
        <x:v>EVM row</x:v>
      </x:c>
      <x:c r="L94" s="133" t="str">
        <x:f>IF(D94&lt;=0,"No EVM votes",IF(E94&lt;$N$7,"Low",IF(E94&gt;$R$7,"High","Middle")))</x:f>
        <x:v>High</x:v>
      </x:c>
      <x:c r="M94" s="133" t="str">
        <x:f>IF(D94&lt;=0,"No EVM votes",IF(H94&lt;-20%,"Large deficit",IF(H94&lt;-5%,"Moderate deficit",IF(H94&lt;0,"Narrow deficit",IF(H94&lt;=5%,"Narrow lead/tie",IF(H94&lt;=20%,"Moderate lead","Large lead"))))))</x:f>
        <x:v>Narrow deficit</x:v>
      </x:c>
    </x:row>
    <x:row r="95">
      <x:c r="A95" t="n">
        <x:v>36</x:v>
      </x:c>
      <x:c r="B95" t="str">
        <x:v>[Location not in Form 20 PDF]</x:v>
      </x:c>
      <x:c r="C95" s="83" t="n">
        <x:f>'2024 Form20'!H44</x:f>
        <x:v>175</x:v>
      </x:c>
      <x:c r="D95" s="83" t="n">
        <x:f>'2024 Form20'!D44</x:f>
        <x:v>484</x:v>
      </x:c>
      <x:c r="E95" s="50" t="n">
        <x:f>'2024 Form20'!W44</x:f>
        <x:v>0.3615702479338843</x:v>
      </x:c>
      <x:c r="F95" t="n">
        <x:f>'2024 Form20'!X44</x:f>
        <x:v>287</x:v>
      </x:c>
      <x:c r="G95" t="n">
        <x:f>'2024 Form20'!Y44</x:f>
        <x:v>-112</x:v>
      </x:c>
      <x:c r="H95" s="52" t="n">
        <x:f>'2024 Form20'!Z44</x:f>
        <x:v>-0.23140495867768596</x:v>
      </x:c>
      <x:c r="I95" t="str">
        <x:v>Dr. Mahesh Sharma</x:v>
      </x:c>
      <x:c r="J95" t="str">
        <x:v>BJP</x:v>
      </x:c>
      <x:c r="K95" t="str">
        <x:v>EVM row</x:v>
      </x:c>
      <x:c r="L95" s="133" t="str">
        <x:f>IF(D95&lt;=0,"No EVM votes",IF(E95&lt;$N$7,"Low",IF(E95&gt;$R$7,"High","Middle")))</x:f>
        <x:v>High</x:v>
      </x:c>
      <x:c r="M95" s="133" t="str">
        <x:f>IF(D95&lt;=0,"No EVM votes",IF(H95&lt;-20%,"Large deficit",IF(H95&lt;-5%,"Moderate deficit",IF(H95&lt;0,"Narrow deficit",IF(H95&lt;=5%,"Narrow lead/tie",IF(H95&lt;=20%,"Moderate lead","Large lead"))))))</x:f>
        <x:v>Large deficit</x:v>
      </x:c>
    </x:row>
    <x:row r="96">
      <x:c r="A96" t="n">
        <x:v>37</x:v>
      </x:c>
      <x:c r="B96" t="str">
        <x:v>[Location not in Form 20 PDF]</x:v>
      </x:c>
      <x:c r="C96" s="83" t="n">
        <x:f>'2024 Form20'!H45</x:f>
        <x:v>95</x:v>
      </x:c>
      <x:c r="D96" s="83" t="n">
        <x:f>'2024 Form20'!D45</x:f>
        <x:v>417</x:v>
      </x:c>
      <x:c r="E96" s="50" t="n">
        <x:f>'2024 Form20'!W45</x:f>
        <x:v>0.2278177458033573</x:v>
      </x:c>
      <x:c r="F96" t="n">
        <x:f>'2024 Form20'!X45</x:f>
        <x:v>281</x:v>
      </x:c>
      <x:c r="G96" t="n">
        <x:f>'2024 Form20'!Y45</x:f>
        <x:v>-186</x:v>
      </x:c>
      <x:c r="H96" s="52" t="n">
        <x:f>'2024 Form20'!Z45</x:f>
        <x:v>-0.4460431654676259</x:v>
      </x:c>
      <x:c r="I96" t="str">
        <x:v>Dr. Mahesh Sharma</x:v>
      </x:c>
      <x:c r="J96" t="str">
        <x:v>BJP</x:v>
      </x:c>
      <x:c r="K96" t="str">
        <x:v>EVM row</x:v>
      </x:c>
      <x:c r="L96" s="133" t="str">
        <x:f>IF(D96&lt;=0,"No EVM votes",IF(E96&lt;$N$7,"Low",IF(E96&gt;$R$7,"High","Middle")))</x:f>
        <x:v>High</x:v>
      </x:c>
      <x:c r="M96" s="133" t="str">
        <x:f>IF(D96&lt;=0,"No EVM votes",IF(H96&lt;-20%,"Large deficit",IF(H96&lt;-5%,"Moderate deficit",IF(H96&lt;0,"Narrow deficit",IF(H96&lt;=5%,"Narrow lead/tie",IF(H96&lt;=20%,"Moderate lead","Large lead"))))))</x:f>
        <x:v>Large deficit</x:v>
      </x:c>
    </x:row>
    <x:row r="97">
      <x:c r="A97" t="n">
        <x:v>38</x:v>
      </x:c>
      <x:c r="B97" t="str">
        <x:v>[Location not in Form 20 PDF]</x:v>
      </x:c>
      <x:c r="C97" s="83" t="n">
        <x:f>'2024 Form20'!H46</x:f>
        <x:v>273</x:v>
      </x:c>
      <x:c r="D97" s="83" t="n">
        <x:f>'2024 Form20'!D46</x:f>
        <x:v>583</x:v>
      </x:c>
      <x:c r="E97" s="50" t="n">
        <x:f>'2024 Form20'!W46</x:f>
        <x:v>0.46826758147512865</x:v>
      </x:c>
      <x:c r="F97" t="n">
        <x:f>'2024 Form20'!X46</x:f>
        <x:v>293</x:v>
      </x:c>
      <x:c r="G97" t="n">
        <x:f>'2024 Form20'!Y46</x:f>
        <x:v>-20</x:v>
      </x:c>
      <x:c r="H97" s="52" t="n">
        <x:f>'2024 Form20'!Z46</x:f>
        <x:v>-0.03430531732418525</x:v>
      </x:c>
      <x:c r="I97" t="str">
        <x:v>Dr. Mahesh Sharma</x:v>
      </x:c>
      <x:c r="J97" t="str">
        <x:v>BJP</x:v>
      </x:c>
      <x:c r="K97" t="str">
        <x:v>EVM row</x:v>
      </x:c>
      <x:c r="L97" s="133" t="str">
        <x:f>IF(D97&lt;=0,"No EVM votes",IF(E97&lt;$N$7,"Low",IF(E97&gt;$R$7,"High","Middle")))</x:f>
        <x:v>High</x:v>
      </x:c>
      <x:c r="M97" s="133" t="str">
        <x:f>IF(D97&lt;=0,"No EVM votes",IF(H97&lt;-20%,"Large deficit",IF(H97&lt;-5%,"Moderate deficit",IF(H97&lt;0,"Narrow deficit",IF(H97&lt;=5%,"Narrow lead/tie",IF(H97&lt;=20%,"Moderate lead","Large lead"))))))</x:f>
        <x:v>Narrow deficit</x:v>
      </x:c>
    </x:row>
    <x:row r="98">
      <x:c r="A98" t="n">
        <x:v>39</x:v>
      </x:c>
      <x:c r="B98" t="str">
        <x:v>[Location not in Form 20 PDF]</x:v>
      </x:c>
      <x:c r="C98" s="83" t="n">
        <x:f>'2024 Form20'!H47</x:f>
        <x:v>374</x:v>
      </x:c>
      <x:c r="D98" s="83" t="n">
        <x:f>'2024 Form20'!D47</x:f>
        <x:v>632</x:v>
      </x:c>
      <x:c r="E98" s="50" t="n">
        <x:f>'2024 Form20'!W47</x:f>
        <x:v>0.5917721518987342</x:v>
      </x:c>
      <x:c r="F98" t="n">
        <x:f>'2024 Form20'!X47</x:f>
        <x:v>249</x:v>
      </x:c>
      <x:c r="G98" t="n">
        <x:f>'2024 Form20'!Y47</x:f>
        <x:v>125</x:v>
      </x:c>
      <x:c r="H98" s="52" t="n">
        <x:f>'2024 Form20'!Z47</x:f>
        <x:v>0.19778481012658228</x:v>
      </x:c>
      <x:c r="I98" t="str">
        <x:v>Dr. Mahendra Singh Nagar</x:v>
      </x:c>
      <x:c r="J98" t="str">
        <x:v>SP</x:v>
      </x:c>
      <x:c r="K98" t="str">
        <x:v>EVM row</x:v>
      </x:c>
      <x:c r="L98" s="133" t="str">
        <x:f>IF(D98&lt;=0,"No EVM votes",IF(E98&lt;$N$7,"Low",IF(E98&gt;$R$7,"High","Middle")))</x:f>
        <x:v>High</x:v>
      </x:c>
      <x:c r="M98" s="133" t="str">
        <x:f>IF(D98&lt;=0,"No EVM votes",IF(H98&lt;-20%,"Large deficit",IF(H98&lt;-5%,"Moderate deficit",IF(H98&lt;0,"Narrow deficit",IF(H98&lt;=5%,"Narrow lead/tie",IF(H98&lt;=20%,"Moderate lead","Large lead"))))))</x:f>
        <x:v>Moderate lead</x:v>
      </x:c>
    </x:row>
    <x:row r="99">
      <x:c r="A99" t="n">
        <x:v>40</x:v>
      </x:c>
      <x:c r="B99" t="str">
        <x:v>[Location not in Form 20 PDF]</x:v>
      </x:c>
      <x:c r="C99" s="83" t="n">
        <x:f>'2024 Form20'!H48</x:f>
        <x:v>190</x:v>
      </x:c>
      <x:c r="D99" s="83" t="n">
        <x:f>'2024 Form20'!D48</x:f>
        <x:v>744</x:v>
      </x:c>
      <x:c r="E99" s="50" t="n">
        <x:f>'2024 Form20'!W48</x:f>
        <x:v>0.2553763440860215</x:v>
      </x:c>
      <x:c r="F99" t="n">
        <x:f>'2024 Form20'!X48</x:f>
        <x:v>515</x:v>
      </x:c>
      <x:c r="G99" t="n">
        <x:f>'2024 Form20'!Y48</x:f>
        <x:v>-325</x:v>
      </x:c>
      <x:c r="H99" s="52" t="n">
        <x:f>'2024 Form20'!Z48</x:f>
        <x:v>-0.4368279569892473</x:v>
      </x:c>
      <x:c r="I99" t="str">
        <x:v>Dr. Mahesh Sharma</x:v>
      </x:c>
      <x:c r="J99" t="str">
        <x:v>BJP</x:v>
      </x:c>
      <x:c r="K99" t="str">
        <x:v>EVM row</x:v>
      </x:c>
      <x:c r="L99" s="133" t="str">
        <x:f>IF(D99&lt;=0,"No EVM votes",IF(E99&lt;$N$7,"Low",IF(E99&gt;$R$7,"High","Middle")))</x:f>
        <x:v>High</x:v>
      </x:c>
      <x:c r="M99" s="133" t="str">
        <x:f>IF(D99&lt;=0,"No EVM votes",IF(H99&lt;-20%,"Large deficit",IF(H99&lt;-5%,"Moderate deficit",IF(H99&lt;0,"Narrow deficit",IF(H99&lt;=5%,"Narrow lead/tie",IF(H99&lt;=20%,"Moderate lead","Large lead"))))))</x:f>
        <x:v>Large deficit</x:v>
      </x:c>
    </x:row>
    <x:row r="100">
      <x:c r="A100" t="n">
        <x:v>41</x:v>
      </x:c>
      <x:c r="B100" t="str">
        <x:v>[Location not in Form 20 PDF]</x:v>
      </x:c>
      <x:c r="C100" s="83" t="n">
        <x:f>'2024 Form20'!H49</x:f>
        <x:v>159</x:v>
      </x:c>
      <x:c r="D100" s="83" t="n">
        <x:f>'2024 Form20'!D49</x:f>
        <x:v>634</x:v>
      </x:c>
      <x:c r="E100" s="50" t="n">
        <x:f>'2024 Form20'!W49</x:f>
        <x:v>0.250788643533123</x:v>
      </x:c>
      <x:c r="F100" t="n">
        <x:f>'2024 Form20'!X49</x:f>
        <x:v>326</x:v>
      </x:c>
      <x:c r="G100" t="n">
        <x:f>'2024 Form20'!Y49</x:f>
        <x:v>-167</x:v>
      </x:c>
      <x:c r="H100" s="52" t="n">
        <x:f>'2024 Form20'!Z49</x:f>
        <x:v>-0.2634069400630915</x:v>
      </x:c>
      <x:c r="I100" t="str">
        <x:v>Dr. Mahesh Sharma</x:v>
      </x:c>
      <x:c r="J100" t="str">
        <x:v>BJP</x:v>
      </x:c>
      <x:c r="K100" t="str">
        <x:v>EVM row</x:v>
      </x:c>
      <x:c r="L100" s="133" t="str">
        <x:f>IF(D100&lt;=0,"No EVM votes",IF(E100&lt;$N$7,"Low",IF(E100&gt;$R$7,"High","Middle")))</x:f>
        <x:v>High</x:v>
      </x:c>
      <x:c r="M100" s="133" t="str">
        <x:f>IF(D100&lt;=0,"No EVM votes",IF(H100&lt;-20%,"Large deficit",IF(H100&lt;-5%,"Moderate deficit",IF(H100&lt;0,"Narrow deficit",IF(H100&lt;=5%,"Narrow lead/tie",IF(H100&lt;=20%,"Moderate lead","Large lead"))))))</x:f>
        <x:v>Large deficit</x:v>
      </x:c>
    </x:row>
    <x:row r="101">
      <x:c r="A101" t="n">
        <x:v>42</x:v>
      </x:c>
      <x:c r="B101" t="str">
        <x:v>[Location not in Form 20 PDF]</x:v>
      </x:c>
      <x:c r="C101" s="83" t="n">
        <x:f>'2024 Form20'!H50</x:f>
        <x:v>140</x:v>
      </x:c>
      <x:c r="D101" s="83" t="n">
        <x:f>'2024 Form20'!D50</x:f>
        <x:v>477</x:v>
      </x:c>
      <x:c r="E101" s="50" t="n">
        <x:f>'2024 Form20'!W50</x:f>
        <x:v>0.29350104821802936</x:v>
      </x:c>
      <x:c r="F101" t="n">
        <x:f>'2024 Form20'!X50</x:f>
        <x:v>214</x:v>
      </x:c>
      <x:c r="G101" t="n">
        <x:f>'2024 Form20'!Y50</x:f>
        <x:v>-74</x:v>
      </x:c>
      <x:c r="H101" s="52" t="n">
        <x:f>'2024 Form20'!Z50</x:f>
        <x:v>-0.15513626834381553</x:v>
      </x:c>
      <x:c r="I101" t="str">
        <x:v>Dr. Mahesh Sharma</x:v>
      </x:c>
      <x:c r="J101" t="str">
        <x:v>BJP</x:v>
      </x:c>
      <x:c r="K101" t="str">
        <x:v>EVM row</x:v>
      </x:c>
      <x:c r="L101" s="133" t="str">
        <x:f>IF(D101&lt;=0,"No EVM votes",IF(E101&lt;$N$7,"Low",IF(E101&gt;$R$7,"High","Middle")))</x:f>
        <x:v>High</x:v>
      </x:c>
      <x:c r="M101" s="133" t="str">
        <x:f>IF(D101&lt;=0,"No EVM votes",IF(H101&lt;-20%,"Large deficit",IF(H101&lt;-5%,"Moderate deficit",IF(H101&lt;0,"Narrow deficit",IF(H101&lt;=5%,"Narrow lead/tie",IF(H101&lt;=20%,"Moderate lead","Large lead"))))))</x:f>
        <x:v>Moderate deficit</x:v>
      </x:c>
    </x:row>
    <x:row r="102">
      <x:c r="A102" t="n">
        <x:v>43</x:v>
      </x:c>
      <x:c r="B102" t="str">
        <x:v>[Location not in Form 20 PDF]</x:v>
      </x:c>
      <x:c r="C102" s="83" t="n">
        <x:f>'2024 Form20'!H51</x:f>
        <x:v>140</x:v>
      </x:c>
      <x:c r="D102" s="83" t="n">
        <x:f>'2024 Form20'!D51</x:f>
        <x:v>431</x:v>
      </x:c>
      <x:c r="E102" s="50" t="n">
        <x:f>'2024 Form20'!W51</x:f>
        <x:v>0.3248259860788863</x:v>
      </x:c>
      <x:c r="F102" t="n">
        <x:f>'2024 Form20'!X51</x:f>
        <x:v>264</x:v>
      </x:c>
      <x:c r="G102" t="n">
        <x:f>'2024 Form20'!Y51</x:f>
        <x:v>-124</x:v>
      </x:c>
      <x:c r="H102" s="52" t="n">
        <x:f>'2024 Form20'!Z51</x:f>
        <x:v>-0.2877030162412993</x:v>
      </x:c>
      <x:c r="I102" t="str">
        <x:v>Dr. Mahesh Sharma</x:v>
      </x:c>
      <x:c r="J102" t="str">
        <x:v>BJP</x:v>
      </x:c>
      <x:c r="K102" t="str">
        <x:v>EVM row</x:v>
      </x:c>
      <x:c r="L102" s="133" t="str">
        <x:f>IF(D102&lt;=0,"No EVM votes",IF(E102&lt;$N$7,"Low",IF(E102&gt;$R$7,"High","Middle")))</x:f>
        <x:v>High</x:v>
      </x:c>
      <x:c r="M102" s="133" t="str">
        <x:f>IF(D102&lt;=0,"No EVM votes",IF(H102&lt;-20%,"Large deficit",IF(H102&lt;-5%,"Moderate deficit",IF(H102&lt;0,"Narrow deficit",IF(H102&lt;=5%,"Narrow lead/tie",IF(H102&lt;=20%,"Moderate lead","Large lead"))))))</x:f>
        <x:v>Large deficit</x:v>
      </x:c>
    </x:row>
    <x:row r="103">
      <x:c r="A103" t="n">
        <x:v>44</x:v>
      </x:c>
      <x:c r="B103" t="str">
        <x:v>[Location not in Form 20 PDF]</x:v>
      </x:c>
      <x:c r="C103" s="83" t="n">
        <x:f>'2024 Form20'!H52</x:f>
        <x:v>86</x:v>
      </x:c>
      <x:c r="D103" s="83" t="n">
        <x:f>'2024 Form20'!D52</x:f>
        <x:v>436</x:v>
      </x:c>
      <x:c r="E103" s="50" t="n">
        <x:f>'2024 Form20'!W52</x:f>
        <x:v>0.19724770642201836</x:v>
      </x:c>
      <x:c r="F103" t="n">
        <x:f>'2024 Form20'!X52</x:f>
        <x:v>251</x:v>
      </x:c>
      <x:c r="G103" t="n">
        <x:f>'2024 Form20'!Y52</x:f>
        <x:v>-165</x:v>
      </x:c>
      <x:c r="H103" s="52" t="n">
        <x:f>'2024 Form20'!Z52</x:f>
        <x:v>-0.37844036697247707</x:v>
      </x:c>
      <x:c r="I103" t="str">
        <x:v>Dr. Mahesh Sharma</x:v>
      </x:c>
      <x:c r="J103" t="str">
        <x:v>BJP</x:v>
      </x:c>
      <x:c r="K103" t="str">
        <x:v>EVM row</x:v>
      </x:c>
      <x:c r="L103" s="133" t="str">
        <x:f>IF(D103&lt;=0,"No EVM votes",IF(E103&lt;$N$7,"Low",IF(E103&gt;$R$7,"High","Middle")))</x:f>
        <x:v>Middle</x:v>
      </x:c>
      <x:c r="M103" s="133" t="str">
        <x:f>IF(D103&lt;=0,"No EVM votes",IF(H103&lt;-20%,"Large deficit",IF(H103&lt;-5%,"Moderate deficit",IF(H103&lt;0,"Narrow deficit",IF(H103&lt;=5%,"Narrow lead/tie",IF(H103&lt;=20%,"Moderate lead","Large lead"))))))</x:f>
        <x:v>Large deficit</x:v>
      </x:c>
    </x:row>
    <x:row r="104">
      <x:c r="A104" t="n">
        <x:v>45</x:v>
      </x:c>
      <x:c r="B104" t="str">
        <x:v>[Location not in Form 20 PDF]</x:v>
      </x:c>
      <x:c r="C104" s="83" t="n">
        <x:f>'2024 Form20'!H53</x:f>
        <x:v>76</x:v>
      </x:c>
      <x:c r="D104" s="83" t="n">
        <x:f>'2024 Form20'!D53</x:f>
        <x:v>358</x:v>
      </x:c>
      <x:c r="E104" s="50" t="n">
        <x:f>'2024 Form20'!W53</x:f>
        <x:v>0.2122905027932961</x:v>
      </x:c>
      <x:c r="F104" t="n">
        <x:f>'2024 Form20'!X53</x:f>
        <x:v>196</x:v>
      </x:c>
      <x:c r="G104" t="n">
        <x:f>'2024 Form20'!Y53</x:f>
        <x:v>-120</x:v>
      </x:c>
      <x:c r="H104" s="52" t="n">
        <x:f>'2024 Form20'!Z53</x:f>
        <x:v>-0.33519553072625696</x:v>
      </x:c>
      <x:c r="I104" t="str">
        <x:v>Dr. Mahesh Sharma</x:v>
      </x:c>
      <x:c r="J104" t="str">
        <x:v>BJP</x:v>
      </x:c>
      <x:c r="K104" t="str">
        <x:v>EVM row</x:v>
      </x:c>
      <x:c r="L104" s="133" t="str">
        <x:f>IF(D104&lt;=0,"No EVM votes",IF(E104&lt;$N$7,"Low",IF(E104&gt;$R$7,"High","Middle")))</x:f>
        <x:v>Middle</x:v>
      </x:c>
      <x:c r="M104" s="133" t="str">
        <x:f>IF(D104&lt;=0,"No EVM votes",IF(H104&lt;-20%,"Large deficit",IF(H104&lt;-5%,"Moderate deficit",IF(H104&lt;0,"Narrow deficit",IF(H104&lt;=5%,"Narrow lead/tie",IF(H104&lt;=20%,"Moderate lead","Large lead"))))))</x:f>
        <x:v>Large deficit</x:v>
      </x:c>
    </x:row>
    <x:row r="105">
      <x:c r="A105" t="n">
        <x:v>46</x:v>
      </x:c>
      <x:c r="B105" t="str">
        <x:v>[Location not in Form 20 PDF]</x:v>
      </x:c>
      <x:c r="C105" s="83" t="n">
        <x:f>'2024 Form20'!H54</x:f>
        <x:v>140</x:v>
      </x:c>
      <x:c r="D105" s="83" t="n">
        <x:f>'2024 Form20'!D54</x:f>
        <x:v>822</x:v>
      </x:c>
      <x:c r="E105" s="50" t="n">
        <x:f>'2024 Form20'!W54</x:f>
        <x:v>0.170316301703163</x:v>
      </x:c>
      <x:c r="F105" t="n">
        <x:f>'2024 Form20'!X54</x:f>
        <x:v>548</x:v>
      </x:c>
      <x:c r="G105" t="n">
        <x:f>'2024 Form20'!Y54</x:f>
        <x:v>-408</x:v>
      </x:c>
      <x:c r="H105" s="52" t="n">
        <x:f>'2024 Form20'!Z54</x:f>
        <x:v>-0.49635036496350365</x:v>
      </x:c>
      <x:c r="I105" t="str">
        <x:v>Dr. Mahesh Sharma</x:v>
      </x:c>
      <x:c r="J105" t="str">
        <x:v>BJP</x:v>
      </x:c>
      <x:c r="K105" t="str">
        <x:v>EVM row</x:v>
      </x:c>
      <x:c r="L105" s="133" t="str">
        <x:f>IF(D105&lt;=0,"No EVM votes",IF(E105&lt;$N$7,"Low",IF(E105&gt;$R$7,"High","Middle")))</x:f>
        <x:v>Middle</x:v>
      </x:c>
      <x:c r="M105" s="133" t="str">
        <x:f>IF(D105&lt;=0,"No EVM votes",IF(H105&lt;-20%,"Large deficit",IF(H105&lt;-5%,"Moderate deficit",IF(H105&lt;0,"Narrow deficit",IF(H105&lt;=5%,"Narrow lead/tie",IF(H105&lt;=20%,"Moderate lead","Large lead"))))))</x:f>
        <x:v>Large deficit</x:v>
      </x:c>
    </x:row>
    <x:row r="106">
      <x:c r="A106" t="n">
        <x:v>47</x:v>
      </x:c>
      <x:c r="B106" t="str">
        <x:v>[Location not in Form 20 PDF]</x:v>
      </x:c>
      <x:c r="C106" s="83" t="n">
        <x:f>'2024 Form20'!H55</x:f>
        <x:v>220</x:v>
      </x:c>
      <x:c r="D106" s="83" t="n">
        <x:f>'2024 Form20'!D55</x:f>
        <x:v>491</x:v>
      </x:c>
      <x:c r="E106" s="50" t="n">
        <x:f>'2024 Form20'!W55</x:f>
        <x:v>0.4480651731160896</x:v>
      </x:c>
      <x:c r="F106" t="n">
        <x:f>'2024 Form20'!X55</x:f>
        <x:v>220</x:v>
      </x:c>
      <x:c r="G106" t="n">
        <x:f>'2024 Form20'!Y55</x:f>
        <x:v>0</x:v>
      </x:c>
      <x:c r="H106" s="52" t="n">
        <x:f>'2024 Form20'!Z55</x:f>
        <x:v>0</x:v>
      </x:c>
      <x:c r="I106" t="str">
        <x:v>Dr. Mahendra Singh Nagar</x:v>
      </x:c>
      <x:c r="J106" t="str">
        <x:v>SP</x:v>
      </x:c>
      <x:c r="K106" t="str">
        <x:v>EVM row</x:v>
      </x:c>
      <x:c r="L106" s="133" t="str">
        <x:f>IF(D106&lt;=0,"No EVM votes",IF(E106&lt;$N$7,"Low",IF(E106&gt;$R$7,"High","Middle")))</x:f>
        <x:v>High</x:v>
      </x:c>
      <x:c r="M106" s="133" t="str">
        <x:f>IF(D106&lt;=0,"No EVM votes",IF(H106&lt;-20%,"Large deficit",IF(H106&lt;-5%,"Moderate deficit",IF(H106&lt;0,"Narrow deficit",IF(H106&lt;=5%,"Narrow lead/tie",IF(H106&lt;=20%,"Moderate lead","Large lead"))))))</x:f>
        <x:v>Narrow lead/tie</x:v>
      </x:c>
    </x:row>
    <x:row r="107">
      <x:c r="A107" t="n">
        <x:v>48</x:v>
      </x:c>
      <x:c r="B107" t="str">
        <x:v>[Location not in Form 20 PDF]</x:v>
      </x:c>
      <x:c r="C107" s="83" t="n">
        <x:f>'2024 Form20'!H56</x:f>
        <x:v>87</x:v>
      </x:c>
      <x:c r="D107" s="83" t="n">
        <x:f>'2024 Form20'!D56</x:f>
        <x:v>440</x:v>
      </x:c>
      <x:c r="E107" s="50" t="n">
        <x:f>'2024 Form20'!W56</x:f>
        <x:v>0.19772727272727272</x:v>
      </x:c>
      <x:c r="F107" t="n">
        <x:f>'2024 Form20'!X56</x:f>
        <x:v>237</x:v>
      </x:c>
      <x:c r="G107" t="n">
        <x:f>'2024 Form20'!Y56</x:f>
        <x:v>-150</x:v>
      </x:c>
      <x:c r="H107" s="52" t="n">
        <x:f>'2024 Form20'!Z56</x:f>
        <x:v>-0.3409090909090909</x:v>
      </x:c>
      <x:c r="I107" t="str">
        <x:v>Dr. Mahesh Sharma</x:v>
      </x:c>
      <x:c r="J107" t="str">
        <x:v>BJP</x:v>
      </x:c>
      <x:c r="K107" t="str">
        <x:v>EVM row</x:v>
      </x:c>
      <x:c r="L107" s="133" t="str">
        <x:f>IF(D107&lt;=0,"No EVM votes",IF(E107&lt;$N$7,"Low",IF(E107&gt;$R$7,"High","Middle")))</x:f>
        <x:v>Middle</x:v>
      </x:c>
      <x:c r="M107" s="133" t="str">
        <x:f>IF(D107&lt;=0,"No EVM votes",IF(H107&lt;-20%,"Large deficit",IF(H107&lt;-5%,"Moderate deficit",IF(H107&lt;0,"Narrow deficit",IF(H107&lt;=5%,"Narrow lead/tie",IF(H107&lt;=20%,"Moderate lead","Large lead"))))))</x:f>
        <x:v>Large deficit</x:v>
      </x:c>
    </x:row>
    <x:row r="108">
      <x:c r="A108" t="n">
        <x:v>49</x:v>
      </x:c>
      <x:c r="B108" t="str">
        <x:v>[Location not in Form 20 PDF]</x:v>
      </x:c>
      <x:c r="C108" s="83" t="n">
        <x:f>'2024 Form20'!H57</x:f>
        <x:v>182</x:v>
      </x:c>
      <x:c r="D108" s="83" t="n">
        <x:f>'2024 Form20'!D57</x:f>
        <x:v>743</x:v>
      </x:c>
      <x:c r="E108" s="50" t="n">
        <x:f>'2024 Form20'!W57</x:f>
        <x:v>0.2449528936742934</x:v>
      </x:c>
      <x:c r="F108" t="n">
        <x:f>'2024 Form20'!X57</x:f>
        <x:v>420</x:v>
      </x:c>
      <x:c r="G108" t="n">
        <x:f>'2024 Form20'!Y57</x:f>
        <x:v>-238</x:v>
      </x:c>
      <x:c r="H108" s="52" t="n">
        <x:f>'2024 Form20'!Z57</x:f>
        <x:v>-0.3203230148048452</x:v>
      </x:c>
      <x:c r="I108" t="str">
        <x:v>Rajendra Singh Solanki</x:v>
      </x:c>
      <x:c r="J108" t="str">
        <x:v>BSP</x:v>
      </x:c>
      <x:c r="K108" t="str">
        <x:v>EVM row</x:v>
      </x:c>
      <x:c r="L108" s="133" t="str">
        <x:f>IF(D108&lt;=0,"No EVM votes",IF(E108&lt;$N$7,"Low",IF(E108&gt;$R$7,"High","Middle")))</x:f>
        <x:v>High</x:v>
      </x:c>
      <x:c r="M108" s="133" t="str">
        <x:f>IF(D108&lt;=0,"No EVM votes",IF(H108&lt;-20%,"Large deficit",IF(H108&lt;-5%,"Moderate deficit",IF(H108&lt;0,"Narrow deficit",IF(H108&lt;=5%,"Narrow lead/tie",IF(H108&lt;=20%,"Moderate lead","Large lead"))))))</x:f>
        <x:v>Large deficit</x:v>
      </x:c>
    </x:row>
    <x:row r="109">
      <x:c r="A109" t="n">
        <x:v>50</x:v>
      </x:c>
      <x:c r="B109" t="str">
        <x:v>[Location not in Form 20 PDF]</x:v>
      </x:c>
      <x:c r="C109" s="83" t="n">
        <x:f>'2024 Form20'!H58</x:f>
        <x:v>256</x:v>
      </x:c>
      <x:c r="D109" s="83" t="n">
        <x:f>'2024 Form20'!D58</x:f>
        <x:v>740</x:v>
      </x:c>
      <x:c r="E109" s="50" t="n">
        <x:f>'2024 Form20'!W58</x:f>
        <x:v>0.34594594594594597</x:v>
      </x:c>
      <x:c r="F109" t="n">
        <x:f>'2024 Form20'!X58</x:f>
        <x:v>419</x:v>
      </x:c>
      <x:c r="G109" t="n">
        <x:f>'2024 Form20'!Y58</x:f>
        <x:v>-163</x:v>
      </x:c>
      <x:c r="H109" s="52" t="n">
        <x:f>'2024 Form20'!Z58</x:f>
        <x:v>-0.22027027027027027</x:v>
      </x:c>
      <x:c r="I109" t="str">
        <x:v>Rajendra Singh Solanki</x:v>
      </x:c>
      <x:c r="J109" t="str">
        <x:v>BSP</x:v>
      </x:c>
      <x:c r="K109" t="str">
        <x:v>EVM row</x:v>
      </x:c>
      <x:c r="L109" s="133" t="str">
        <x:f>IF(D109&lt;=0,"No EVM votes",IF(E109&lt;$N$7,"Low",IF(E109&gt;$R$7,"High","Middle")))</x:f>
        <x:v>High</x:v>
      </x:c>
      <x:c r="M109" s="133" t="str">
        <x:f>IF(D109&lt;=0,"No EVM votes",IF(H109&lt;-20%,"Large deficit",IF(H109&lt;-5%,"Moderate deficit",IF(H109&lt;0,"Narrow deficit",IF(H109&lt;=5%,"Narrow lead/tie",IF(H109&lt;=20%,"Moderate lead","Large lead"))))))</x:f>
        <x:v>Large deficit</x:v>
      </x:c>
    </x:row>
    <x:row r="110">
      <x:c r="A110" t="n">
        <x:v>51</x:v>
      </x:c>
      <x:c r="B110" t="str">
        <x:v>[Location not in Form 20 PDF]</x:v>
      </x:c>
      <x:c r="C110" s="83" t="n">
        <x:f>'2024 Form20'!H59</x:f>
        <x:v>13</x:v>
      </x:c>
      <x:c r="D110" s="83" t="n">
        <x:f>'2024 Form20'!D59</x:f>
        <x:v>662</x:v>
      </x:c>
      <x:c r="E110" s="50" t="n">
        <x:f>'2024 Form20'!W59</x:f>
        <x:v>0.019637462235649546</x:v>
      </x:c>
      <x:c r="F110" t="n">
        <x:f>'2024 Form20'!X59</x:f>
        <x:v>579</x:v>
      </x:c>
      <x:c r="G110" t="n">
        <x:f>'2024 Form20'!Y59</x:f>
        <x:v>-566</x:v>
      </x:c>
      <x:c r="H110" s="52" t="n">
        <x:f>'2024 Form20'!Z59</x:f>
        <x:v>-0.8549848942598187</x:v>
      </x:c>
      <x:c r="I110" t="str">
        <x:v>Dr. Mahesh Sharma</x:v>
      </x:c>
      <x:c r="J110" t="str">
        <x:v>BJP</x:v>
      </x:c>
      <x:c r="K110" t="str">
        <x:v>EVM row</x:v>
      </x:c>
      <x:c r="L110" s="133" t="str">
        <x:f>IF(D110&lt;=0,"No EVM votes",IF(E110&lt;$N$7,"Low",IF(E110&gt;$R$7,"High","Middle")))</x:f>
        <x:v>Low</x:v>
      </x:c>
      <x:c r="M110" s="133" t="str">
        <x:f>IF(D110&lt;=0,"No EVM votes",IF(H110&lt;-20%,"Large deficit",IF(H110&lt;-5%,"Moderate deficit",IF(H110&lt;0,"Narrow deficit",IF(H110&lt;=5%,"Narrow lead/tie",IF(H110&lt;=20%,"Moderate lead","Large lead"))))))</x:f>
        <x:v>Large deficit</x:v>
      </x:c>
    </x:row>
    <x:row r="111">
      <x:c r="A111" t="n">
        <x:v>52</x:v>
      </x:c>
      <x:c r="B111" t="str">
        <x:v>[Location not in Form 20 PDF]</x:v>
      </x:c>
      <x:c r="C111" s="83" t="n">
        <x:f>'2024 Form20'!H60</x:f>
        <x:v>290</x:v>
      </x:c>
      <x:c r="D111" s="83" t="n">
        <x:f>'2024 Form20'!D60</x:f>
        <x:v>759</x:v>
      </x:c>
      <x:c r="E111" s="50" t="n">
        <x:f>'2024 Form20'!W60</x:f>
        <x:v>0.3820816864295125</x:v>
      </x:c>
      <x:c r="F111" t="n">
        <x:f>'2024 Form20'!X60</x:f>
        <x:v>393</x:v>
      </x:c>
      <x:c r="G111" t="n">
        <x:f>'2024 Form20'!Y60</x:f>
        <x:v>-103</x:v>
      </x:c>
      <x:c r="H111" s="52" t="n">
        <x:f>'2024 Form20'!Z60</x:f>
        <x:v>-0.13570487483530963</x:v>
      </x:c>
      <x:c r="I111" t="str">
        <x:v>Rajendra Singh Solanki</x:v>
      </x:c>
      <x:c r="J111" t="str">
        <x:v>BSP</x:v>
      </x:c>
      <x:c r="K111" t="str">
        <x:v>EVM row</x:v>
      </x:c>
      <x:c r="L111" s="133" t="str">
        <x:f>IF(D111&lt;=0,"No EVM votes",IF(E111&lt;$N$7,"Low",IF(E111&gt;$R$7,"High","Middle")))</x:f>
        <x:v>High</x:v>
      </x:c>
      <x:c r="M111" s="133" t="str">
        <x:f>IF(D111&lt;=0,"No EVM votes",IF(H111&lt;-20%,"Large deficit",IF(H111&lt;-5%,"Moderate deficit",IF(H111&lt;0,"Narrow deficit",IF(H111&lt;=5%,"Narrow lead/tie",IF(H111&lt;=20%,"Moderate lead","Large lead"))))))</x:f>
        <x:v>Moderate deficit</x:v>
      </x:c>
    </x:row>
    <x:row r="112">
      <x:c r="A112" t="n">
        <x:v>53</x:v>
      </x:c>
      <x:c r="B112" t="str">
        <x:v>[Location not in Form 20 PDF]</x:v>
      </x:c>
      <x:c r="C112" s="83" t="n">
        <x:f>'2024 Form20'!H61</x:f>
        <x:v>246</x:v>
      </x:c>
      <x:c r="D112" s="83" t="n">
        <x:f>'2024 Form20'!D61</x:f>
        <x:v>798</x:v>
      </x:c>
      <x:c r="E112" s="50" t="n">
        <x:f>'2024 Form20'!W61</x:f>
        <x:v>0.3082706766917293</x:v>
      </x:c>
      <x:c r="F112" t="n">
        <x:f>'2024 Form20'!X61</x:f>
        <x:v>445</x:v>
      </x:c>
      <x:c r="G112" t="n">
        <x:f>'2024 Form20'!Y61</x:f>
        <x:v>-199</x:v>
      </x:c>
      <x:c r="H112" s="52" t="n">
        <x:f>'2024 Form20'!Z61</x:f>
        <x:v>-0.24937343358395989</x:v>
      </x:c>
      <x:c r="I112" t="str">
        <x:v>Rajendra Singh Solanki</x:v>
      </x:c>
      <x:c r="J112" t="str">
        <x:v>BSP</x:v>
      </x:c>
      <x:c r="K112" t="str">
        <x:v>EVM row</x:v>
      </x:c>
      <x:c r="L112" s="133" t="str">
        <x:f>IF(D112&lt;=0,"No EVM votes",IF(E112&lt;$N$7,"Low",IF(E112&gt;$R$7,"High","Middle")))</x:f>
        <x:v>High</x:v>
      </x:c>
      <x:c r="M112" s="133" t="str">
        <x:f>IF(D112&lt;=0,"No EVM votes",IF(H112&lt;-20%,"Large deficit",IF(H112&lt;-5%,"Moderate deficit",IF(H112&lt;0,"Narrow deficit",IF(H112&lt;=5%,"Narrow lead/tie",IF(H112&lt;=20%,"Moderate lead","Large lead"))))))</x:f>
        <x:v>Large deficit</x:v>
      </x:c>
    </x:row>
    <x:row r="113">
      <x:c r="A113" t="n">
        <x:v>54</x:v>
      </x:c>
      <x:c r="B113" t="str">
        <x:v>[Location not in Form 20 PDF]</x:v>
      </x:c>
      <x:c r="C113" s="83" t="n">
        <x:f>'2024 Form20'!H62</x:f>
        <x:v>232</x:v>
      </x:c>
      <x:c r="D113" s="83" t="n">
        <x:f>'2024 Form20'!D62</x:f>
        <x:v>483</x:v>
      </x:c>
      <x:c r="E113" s="50" t="n">
        <x:f>'2024 Form20'!W62</x:f>
        <x:v>0.4803312629399586</x:v>
      </x:c>
      <x:c r="F113" t="n">
        <x:f>'2024 Form20'!X62</x:f>
        <x:v>231</x:v>
      </x:c>
      <x:c r="G113" t="n">
        <x:f>'2024 Form20'!Y62</x:f>
        <x:v>1</x:v>
      </x:c>
      <x:c r="H113" s="52" t="n">
        <x:f>'2024 Form20'!Z62</x:f>
        <x:v>0.002070393374741201</x:v>
      </x:c>
      <x:c r="I113" t="str">
        <x:v>Dr. Mahendra Singh Nagar</x:v>
      </x:c>
      <x:c r="J113" t="str">
        <x:v>SP</x:v>
      </x:c>
      <x:c r="K113" t="str">
        <x:v>EVM row</x:v>
      </x:c>
      <x:c r="L113" s="133" t="str">
        <x:f>IF(D113&lt;=0,"No EVM votes",IF(E113&lt;$N$7,"Low",IF(E113&gt;$R$7,"High","Middle")))</x:f>
        <x:v>High</x:v>
      </x:c>
      <x:c r="M113" s="133" t="str">
        <x:f>IF(D113&lt;=0,"No EVM votes",IF(H113&lt;-20%,"Large deficit",IF(H113&lt;-5%,"Moderate deficit",IF(H113&lt;0,"Narrow deficit",IF(H113&lt;=5%,"Narrow lead/tie",IF(H113&lt;=20%,"Moderate lead","Large lead"))))))</x:f>
        <x:v>Narrow lead/tie</x:v>
      </x:c>
    </x:row>
    <x:row r="114">
      <x:c r="A114" t="n">
        <x:v>55</x:v>
      </x:c>
      <x:c r="B114" t="str">
        <x:v>[Location not in Form 20 PDF]</x:v>
      </x:c>
      <x:c r="C114" s="83" t="n">
        <x:f>'2024 Form20'!H63</x:f>
        <x:v>113</x:v>
      </x:c>
      <x:c r="D114" s="83" t="n">
        <x:f>'2024 Form20'!D63</x:f>
        <x:v>368</x:v>
      </x:c>
      <x:c r="E114" s="50" t="n">
        <x:f>'2024 Form20'!W63</x:f>
        <x:v>0.3070652173913043</x:v>
      </x:c>
      <x:c r="F114" t="n">
        <x:f>'2024 Form20'!X63</x:f>
        <x:v>131</x:v>
      </x:c>
      <x:c r="G114" t="n">
        <x:f>'2024 Form20'!Y63</x:f>
        <x:v>-18</x:v>
      </x:c>
      <x:c r="H114" s="52" t="n">
        <x:f>'2024 Form20'!Z63</x:f>
        <x:v>-0.04891304347826087</x:v>
      </x:c>
      <x:c r="I114" t="str">
        <x:v>Rajendra Singh Solanki</x:v>
      </x:c>
      <x:c r="J114" t="str">
        <x:v>BSP</x:v>
      </x:c>
      <x:c r="K114" t="str">
        <x:v>EVM row</x:v>
      </x:c>
      <x:c r="L114" s="133" t="str">
        <x:f>IF(D114&lt;=0,"No EVM votes",IF(E114&lt;$N$7,"Low",IF(E114&gt;$R$7,"High","Middle")))</x:f>
        <x:v>High</x:v>
      </x:c>
      <x:c r="M114" s="133" t="str">
        <x:f>IF(D114&lt;=0,"No EVM votes",IF(H114&lt;-20%,"Large deficit",IF(H114&lt;-5%,"Moderate deficit",IF(H114&lt;0,"Narrow deficit",IF(H114&lt;=5%,"Narrow lead/tie",IF(H114&lt;=20%,"Moderate lead","Large lead"))))))</x:f>
        <x:v>Narrow deficit</x:v>
      </x:c>
    </x:row>
    <x:row r="115">
      <x:c r="A115" t="n">
        <x:v>56</x:v>
      </x:c>
      <x:c r="B115" t="str">
        <x:v>[Location not in Form 20 PDF]</x:v>
      </x:c>
      <x:c r="C115" s="83" t="n">
        <x:f>'2024 Form20'!H64</x:f>
        <x:v>251</x:v>
      </x:c>
      <x:c r="D115" s="83" t="n">
        <x:f>'2024 Form20'!D64</x:f>
        <x:v>627</x:v>
      </x:c>
      <x:c r="E115" s="50" t="n">
        <x:f>'2024 Form20'!W64</x:f>
        <x:v>0.4003189792663477</x:v>
      </x:c>
      <x:c r="F115" t="n">
        <x:f>'2024 Form20'!X64</x:f>
        <x:v>290</x:v>
      </x:c>
      <x:c r="G115" t="n">
        <x:f>'2024 Form20'!Y64</x:f>
        <x:v>-39</x:v>
      </x:c>
      <x:c r="H115" s="52" t="n">
        <x:f>'2024 Form20'!Z64</x:f>
        <x:v>-0.06220095693779904</x:v>
      </x:c>
      <x:c r="I115" t="str">
        <x:v>Dr. Mahesh Sharma</x:v>
      </x:c>
      <x:c r="J115" t="str">
        <x:v>BJP</x:v>
      </x:c>
      <x:c r="K115" t="str">
        <x:v>EVM row</x:v>
      </x:c>
      <x:c r="L115" s="133" t="str">
        <x:f>IF(D115&lt;=0,"No EVM votes",IF(E115&lt;$N$7,"Low",IF(E115&gt;$R$7,"High","Middle")))</x:f>
        <x:v>High</x:v>
      </x:c>
      <x:c r="M115" s="133" t="str">
        <x:f>IF(D115&lt;=0,"No EVM votes",IF(H115&lt;-20%,"Large deficit",IF(H115&lt;-5%,"Moderate deficit",IF(H115&lt;0,"Narrow deficit",IF(H115&lt;=5%,"Narrow lead/tie",IF(H115&lt;=20%,"Moderate lead","Large lead"))))))</x:f>
        <x:v>Moderate deficit</x:v>
      </x:c>
    </x:row>
    <x:row r="116">
      <x:c r="A116" t="n">
        <x:v>57</x:v>
      </x:c>
      <x:c r="B116" t="str">
        <x:v>[Location not in Form 20 PDF]</x:v>
      </x:c>
      <x:c r="C116" s="83" t="n">
        <x:f>'2024 Form20'!H65</x:f>
        <x:v>47</x:v>
      </x:c>
      <x:c r="D116" s="83" t="n">
        <x:f>'2024 Form20'!D65</x:f>
        <x:v>545</x:v>
      </x:c>
      <x:c r="E116" s="50" t="n">
        <x:f>'2024 Form20'!W65</x:f>
        <x:v>0.08623853211009175</x:v>
      </x:c>
      <x:c r="F116" t="n">
        <x:f>'2024 Form20'!X65</x:f>
        <x:v>268</x:v>
      </x:c>
      <x:c r="G116" t="n">
        <x:f>'2024 Form20'!Y65</x:f>
        <x:v>-221</x:v>
      </x:c>
      <x:c r="H116" s="52" t="n">
        <x:f>'2024 Form20'!Z65</x:f>
        <x:v>-0.4055045871559633</x:v>
      </x:c>
      <x:c r="I116" t="str">
        <x:v>Dr. Mahesh Sharma</x:v>
      </x:c>
      <x:c r="J116" t="str">
        <x:v>BJP</x:v>
      </x:c>
      <x:c r="K116" t="str">
        <x:v>EVM row</x:v>
      </x:c>
      <x:c r="L116" s="133" t="str">
        <x:f>IF(D116&lt;=0,"No EVM votes",IF(E116&lt;$N$7,"Low",IF(E116&gt;$R$7,"High","Middle")))</x:f>
        <x:v>Middle</x:v>
      </x:c>
      <x:c r="M116" s="133" t="str">
        <x:f>IF(D116&lt;=0,"No EVM votes",IF(H116&lt;-20%,"Large deficit",IF(H116&lt;-5%,"Moderate deficit",IF(H116&lt;0,"Narrow deficit",IF(H116&lt;=5%,"Narrow lead/tie",IF(H116&lt;=20%,"Moderate lead","Large lead"))))))</x:f>
        <x:v>Large deficit</x:v>
      </x:c>
    </x:row>
    <x:row r="117">
      <x:c r="A117" t="n">
        <x:v>58</x:v>
      </x:c>
      <x:c r="B117" t="str">
        <x:v>[Location not in Form 20 PDF]</x:v>
      </x:c>
      <x:c r="C117" s="83" t="n">
        <x:f>'2024 Form20'!H66</x:f>
        <x:v>71</x:v>
      </x:c>
      <x:c r="D117" s="83" t="n">
        <x:f>'2024 Form20'!D66</x:f>
        <x:v>450</x:v>
      </x:c>
      <x:c r="E117" s="50" t="n">
        <x:f>'2024 Form20'!W66</x:f>
        <x:v>0.15777777777777777</x:v>
      </x:c>
      <x:c r="F117" t="n">
        <x:f>'2024 Form20'!X66</x:f>
        <x:v>329</x:v>
      </x:c>
      <x:c r="G117" t="n">
        <x:f>'2024 Form20'!Y66</x:f>
        <x:v>-258</x:v>
      </x:c>
      <x:c r="H117" s="52" t="n">
        <x:f>'2024 Form20'!Z66</x:f>
        <x:v>-0.5733333333333334</x:v>
      </x:c>
      <x:c r="I117" t="str">
        <x:v>Dr. Mahesh Sharma</x:v>
      </x:c>
      <x:c r="J117" t="str">
        <x:v>BJP</x:v>
      </x:c>
      <x:c r="K117" t="str">
        <x:v>EVM row</x:v>
      </x:c>
      <x:c r="L117" s="133" t="str">
        <x:f>IF(D117&lt;=0,"No EVM votes",IF(E117&lt;$N$7,"Low",IF(E117&gt;$R$7,"High","Middle")))</x:f>
        <x:v>Middle</x:v>
      </x:c>
      <x:c r="M117" s="133" t="str">
        <x:f>IF(D117&lt;=0,"No EVM votes",IF(H117&lt;-20%,"Large deficit",IF(H117&lt;-5%,"Moderate deficit",IF(H117&lt;0,"Narrow deficit",IF(H117&lt;=5%,"Narrow lead/tie",IF(H117&lt;=20%,"Moderate lead","Large lead"))))))</x:f>
        <x:v>Large deficit</x:v>
      </x:c>
    </x:row>
    <x:row r="118">
      <x:c r="A118" t="n">
        <x:v>59</x:v>
      </x:c>
      <x:c r="B118" t="str">
        <x:v>[Location not in Form 20 PDF]</x:v>
      </x:c>
      <x:c r="C118" s="83" t="n">
        <x:f>'2024 Form20'!H67</x:f>
        <x:v>132</x:v>
      </x:c>
      <x:c r="D118" s="83" t="n">
        <x:f>'2024 Form20'!D67</x:f>
        <x:v>468</x:v>
      </x:c>
      <x:c r="E118" s="50" t="n">
        <x:f>'2024 Form20'!W67</x:f>
        <x:v>0.28205128205128205</x:v>
      </x:c>
      <x:c r="F118" t="n">
        <x:f>'2024 Form20'!X67</x:f>
        <x:v>304</x:v>
      </x:c>
      <x:c r="G118" t="n">
        <x:f>'2024 Form20'!Y67</x:f>
        <x:v>-172</x:v>
      </x:c>
      <x:c r="H118" s="52" t="n">
        <x:f>'2024 Form20'!Z67</x:f>
        <x:v>-0.36752136752136755</x:v>
      </x:c>
      <x:c r="I118" t="str">
        <x:v>Dr. Mahesh Sharma</x:v>
      </x:c>
      <x:c r="J118" t="str">
        <x:v>BJP</x:v>
      </x:c>
      <x:c r="K118" t="str">
        <x:v>EVM row</x:v>
      </x:c>
      <x:c r="L118" s="133" t="str">
        <x:f>IF(D118&lt;=0,"No EVM votes",IF(E118&lt;$N$7,"Low",IF(E118&gt;$R$7,"High","Middle")))</x:f>
        <x:v>High</x:v>
      </x:c>
      <x:c r="M118" s="133" t="str">
        <x:f>IF(D118&lt;=0,"No EVM votes",IF(H118&lt;-20%,"Large deficit",IF(H118&lt;-5%,"Moderate deficit",IF(H118&lt;0,"Narrow deficit",IF(H118&lt;=5%,"Narrow lead/tie",IF(H118&lt;=20%,"Moderate lead","Large lead"))))))</x:f>
        <x:v>Large deficit</x:v>
      </x:c>
    </x:row>
    <x:row r="119">
      <x:c r="A119" t="n">
        <x:v>60</x:v>
      </x:c>
      <x:c r="B119" t="str">
        <x:v>[Location not in Form 20 PDF]</x:v>
      </x:c>
      <x:c r="C119" s="83" t="n">
        <x:f>'2024 Form20'!H68</x:f>
        <x:v>130</x:v>
      </x:c>
      <x:c r="D119" s="83" t="n">
        <x:f>'2024 Form20'!D68</x:f>
        <x:v>283</x:v>
      </x:c>
      <x:c r="E119" s="50" t="n">
        <x:f>'2024 Form20'!W68</x:f>
        <x:v>0.45936395759717313</x:v>
      </x:c>
      <x:c r="F119" t="n">
        <x:f>'2024 Form20'!X68</x:f>
        <x:v>142</x:v>
      </x:c>
      <x:c r="G119" t="n">
        <x:f>'2024 Form20'!Y68</x:f>
        <x:v>-12</x:v>
      </x:c>
      <x:c r="H119" s="52" t="n">
        <x:f>'2024 Form20'!Z68</x:f>
        <x:v>-0.04240282685512368</x:v>
      </x:c>
      <x:c r="I119" t="str">
        <x:v>Dr. Mahesh Sharma</x:v>
      </x:c>
      <x:c r="J119" t="str">
        <x:v>BJP</x:v>
      </x:c>
      <x:c r="K119" t="str">
        <x:v>EVM row</x:v>
      </x:c>
      <x:c r="L119" s="133" t="str">
        <x:f>IF(D119&lt;=0,"No EVM votes",IF(E119&lt;$N$7,"Low",IF(E119&gt;$R$7,"High","Middle")))</x:f>
        <x:v>High</x:v>
      </x:c>
      <x:c r="M119" s="133" t="str">
        <x:f>IF(D119&lt;=0,"No EVM votes",IF(H119&lt;-20%,"Large deficit",IF(H119&lt;-5%,"Moderate deficit",IF(H119&lt;0,"Narrow deficit",IF(H119&lt;=5%,"Narrow lead/tie",IF(H119&lt;=20%,"Moderate lead","Large lead"))))))</x:f>
        <x:v>Narrow deficit</x:v>
      </x:c>
    </x:row>
    <x:row r="120">
      <x:c r="A120" t="n">
        <x:v>61</x:v>
      </x:c>
      <x:c r="B120" t="str">
        <x:v>[Location not in Form 20 PDF]</x:v>
      </x:c>
      <x:c r="C120" s="83" t="n">
        <x:f>'2024 Form20'!H69</x:f>
        <x:v>162</x:v>
      </x:c>
      <x:c r="D120" s="83" t="n">
        <x:f>'2024 Form20'!D69</x:f>
        <x:v>536</x:v>
      </x:c>
      <x:c r="E120" s="50" t="n">
        <x:f>'2024 Form20'!W69</x:f>
        <x:v>0.30223880597014924</x:v>
      </x:c>
      <x:c r="F120" t="n">
        <x:f>'2024 Form20'!X69</x:f>
        <x:v>299</x:v>
      </x:c>
      <x:c r="G120" t="n">
        <x:f>'2024 Form20'!Y69</x:f>
        <x:v>-137</x:v>
      </x:c>
      <x:c r="H120" s="52" t="n">
        <x:f>'2024 Form20'!Z69</x:f>
        <x:v>-0.2555970149253731</x:v>
      </x:c>
      <x:c r="I120" t="str">
        <x:v>Dr. Mahesh Sharma</x:v>
      </x:c>
      <x:c r="J120" t="str">
        <x:v>BJP</x:v>
      </x:c>
      <x:c r="K120" t="str">
        <x:v>EVM row</x:v>
      </x:c>
      <x:c r="L120" s="133" t="str">
        <x:f>IF(D120&lt;=0,"No EVM votes",IF(E120&lt;$N$7,"Low",IF(E120&gt;$R$7,"High","Middle")))</x:f>
        <x:v>High</x:v>
      </x:c>
      <x:c r="M120" s="133" t="str">
        <x:f>IF(D120&lt;=0,"No EVM votes",IF(H120&lt;-20%,"Large deficit",IF(H120&lt;-5%,"Moderate deficit",IF(H120&lt;0,"Narrow deficit",IF(H120&lt;=5%,"Narrow lead/tie",IF(H120&lt;=20%,"Moderate lead","Large lead"))))))</x:f>
        <x:v>Large deficit</x:v>
      </x:c>
    </x:row>
    <x:row r="121">
      <x:c r="A121" t="n">
        <x:v>62</x:v>
      </x:c>
      <x:c r="B121" t="str">
        <x:v>[Location not in Form 20 PDF]</x:v>
      </x:c>
      <x:c r="C121" s="83" t="n">
        <x:f>'2024 Form20'!H70</x:f>
        <x:v>293</x:v>
      </x:c>
      <x:c r="D121" s="83" t="n">
        <x:f>'2024 Form20'!D70</x:f>
        <x:v>581</x:v>
      </x:c>
      <x:c r="E121" s="50" t="n">
        <x:f>'2024 Form20'!W70</x:f>
        <x:v>0.504302925989673</x:v>
      </x:c>
      <x:c r="F121" t="n">
        <x:f>'2024 Form20'!X70</x:f>
        <x:v>226</x:v>
      </x:c>
      <x:c r="G121" t="n">
        <x:f>'2024 Form20'!Y70</x:f>
        <x:v>67</x:v>
      </x:c>
      <x:c r="H121" s="52" t="n">
        <x:f>'2024 Form20'!Z70</x:f>
        <x:v>0.1153184165232358</x:v>
      </x:c>
      <x:c r="I121" t="str">
        <x:v>Dr. Mahendra Singh Nagar</x:v>
      </x:c>
      <x:c r="J121" t="str">
        <x:v>SP</x:v>
      </x:c>
      <x:c r="K121" t="str">
        <x:v>EVM row</x:v>
      </x:c>
      <x:c r="L121" s="133" t="str">
        <x:f>IF(D121&lt;=0,"No EVM votes",IF(E121&lt;$N$7,"Low",IF(E121&gt;$R$7,"High","Middle")))</x:f>
        <x:v>High</x:v>
      </x:c>
      <x:c r="M121" s="133" t="str">
        <x:f>IF(D121&lt;=0,"No EVM votes",IF(H121&lt;-20%,"Large deficit",IF(H121&lt;-5%,"Moderate deficit",IF(H121&lt;0,"Narrow deficit",IF(H121&lt;=5%,"Narrow lead/tie",IF(H121&lt;=20%,"Moderate lead","Large lead"))))))</x:f>
        <x:v>Moderate lead</x:v>
      </x:c>
    </x:row>
    <x:row r="122">
      <x:c r="A122" t="n">
        <x:v>63</x:v>
      </x:c>
      <x:c r="B122" t="str">
        <x:v>[Location not in Form 20 PDF]</x:v>
      </x:c>
      <x:c r="C122" s="83" t="n">
        <x:f>'2024 Form20'!H71</x:f>
        <x:v>82</x:v>
      </x:c>
      <x:c r="D122" s="83" t="n">
        <x:f>'2024 Form20'!D71</x:f>
        <x:v>547</x:v>
      </x:c>
      <x:c r="E122" s="50" t="n">
        <x:f>'2024 Form20'!W71</x:f>
        <x:v>0.14990859232175502</x:v>
      </x:c>
      <x:c r="F122" t="n">
        <x:f>'2024 Form20'!X71</x:f>
        <x:v>245</x:v>
      </x:c>
      <x:c r="G122" t="n">
        <x:f>'2024 Form20'!Y71</x:f>
        <x:v>-163</x:v>
      </x:c>
      <x:c r="H122" s="52" t="n">
        <x:f>'2024 Form20'!Z71</x:f>
        <x:v>-0.2979890310786106</x:v>
      </x:c>
      <x:c r="I122" t="str">
        <x:v>Rajendra Singh Solanki</x:v>
      </x:c>
      <x:c r="J122" t="str">
        <x:v>BSP</x:v>
      </x:c>
      <x:c r="K122" t="str">
        <x:v>EVM row</x:v>
      </x:c>
      <x:c r="L122" s="133" t="str">
        <x:f>IF(D122&lt;=0,"No EVM votes",IF(E122&lt;$N$7,"Low",IF(E122&gt;$R$7,"High","Middle")))</x:f>
        <x:v>Middle</x:v>
      </x:c>
      <x:c r="M122" s="133" t="str">
        <x:f>IF(D122&lt;=0,"No EVM votes",IF(H122&lt;-20%,"Large deficit",IF(H122&lt;-5%,"Moderate deficit",IF(H122&lt;0,"Narrow deficit",IF(H122&lt;=5%,"Narrow lead/tie",IF(H122&lt;=20%,"Moderate lead","Large lead"))))))</x:f>
        <x:v>Large deficit</x:v>
      </x:c>
    </x:row>
    <x:row r="123">
      <x:c r="A123" t="n">
        <x:v>64</x:v>
      </x:c>
      <x:c r="B123" t="str">
        <x:v>[Location not in Form 20 PDF]</x:v>
      </x:c>
      <x:c r="C123" s="83" t="n">
        <x:f>'2024 Form20'!H72</x:f>
        <x:v>204</x:v>
      </x:c>
      <x:c r="D123" s="83" t="n">
        <x:f>'2024 Form20'!D72</x:f>
        <x:v>628</x:v>
      </x:c>
      <x:c r="E123" s="50" t="n">
        <x:f>'2024 Form20'!W72</x:f>
        <x:v>0.3248407643312102</x:v>
      </x:c>
      <x:c r="F123" t="n">
        <x:f>'2024 Form20'!X72</x:f>
        <x:v>380</x:v>
      </x:c>
      <x:c r="G123" t="n">
        <x:f>'2024 Form20'!Y72</x:f>
        <x:v>-176</x:v>
      </x:c>
      <x:c r="H123" s="52" t="n">
        <x:f>'2024 Form20'!Z72</x:f>
        <x:v>-0.2802547770700637</x:v>
      </x:c>
      <x:c r="I123" t="str">
        <x:v>Dr. Mahesh Sharma</x:v>
      </x:c>
      <x:c r="J123" t="str">
        <x:v>BJP</x:v>
      </x:c>
      <x:c r="K123" t="str">
        <x:v>EVM row</x:v>
      </x:c>
      <x:c r="L123" s="133" t="str">
        <x:f>IF(D123&lt;=0,"No EVM votes",IF(E123&lt;$N$7,"Low",IF(E123&gt;$R$7,"High","Middle")))</x:f>
        <x:v>High</x:v>
      </x:c>
      <x:c r="M123" s="133" t="str">
        <x:f>IF(D123&lt;=0,"No EVM votes",IF(H123&lt;-20%,"Large deficit",IF(H123&lt;-5%,"Moderate deficit",IF(H123&lt;0,"Narrow deficit",IF(H123&lt;=5%,"Narrow lead/tie",IF(H123&lt;=20%,"Moderate lead","Large lead"))))))</x:f>
        <x:v>Large deficit</x:v>
      </x:c>
    </x:row>
    <x:row r="124">
      <x:c r="A124" t="n">
        <x:v>65</x:v>
      </x:c>
      <x:c r="B124" t="str">
        <x:v>[Location not in Form 20 PDF]</x:v>
      </x:c>
      <x:c r="C124" s="83" t="n">
        <x:f>'2024 Form20'!H73</x:f>
        <x:v>83</x:v>
      </x:c>
      <x:c r="D124" s="83" t="n">
        <x:f>'2024 Form20'!D73</x:f>
        <x:v>344</x:v>
      </x:c>
      <x:c r="E124" s="50" t="n">
        <x:f>'2024 Form20'!W73</x:f>
        <x:v>0.24127906976744187</x:v>
      </x:c>
      <x:c r="F124" t="n">
        <x:f>'2024 Form20'!X73</x:f>
        <x:v>239</x:v>
      </x:c>
      <x:c r="G124" t="n">
        <x:f>'2024 Form20'!Y73</x:f>
        <x:v>-156</x:v>
      </x:c>
      <x:c r="H124" s="52" t="n">
        <x:f>'2024 Form20'!Z73</x:f>
        <x:v>-0.45348837209302323</x:v>
      </x:c>
      <x:c r="I124" t="str">
        <x:v>Dr. Mahesh Sharma</x:v>
      </x:c>
      <x:c r="J124" t="str">
        <x:v>BJP</x:v>
      </x:c>
      <x:c r="K124" t="str">
        <x:v>EVM row</x:v>
      </x:c>
      <x:c r="L124" s="133" t="str">
        <x:f>IF(D124&lt;=0,"No EVM votes",IF(E124&lt;$N$7,"Low",IF(E124&gt;$R$7,"High","Middle")))</x:f>
        <x:v>High</x:v>
      </x:c>
      <x:c r="M124" s="133" t="str">
        <x:f>IF(D124&lt;=0,"No EVM votes",IF(H124&lt;-20%,"Large deficit",IF(H124&lt;-5%,"Moderate deficit",IF(H124&lt;0,"Narrow deficit",IF(H124&lt;=5%,"Narrow lead/tie",IF(H124&lt;=20%,"Moderate lead","Large lead"))))))</x:f>
        <x:v>Large deficit</x:v>
      </x:c>
    </x:row>
    <x:row r="125">
      <x:c r="A125" t="n">
        <x:v>66</x:v>
      </x:c>
      <x:c r="B125" t="str">
        <x:v>[Location not in Form 20 PDF]</x:v>
      </x:c>
      <x:c r="C125" s="83" t="n">
        <x:f>'2024 Form20'!H74</x:f>
        <x:v>80</x:v>
      </x:c>
      <x:c r="D125" s="83" t="n">
        <x:f>'2024 Form20'!D74</x:f>
        <x:v>463</x:v>
      </x:c>
      <x:c r="E125" s="50" t="n">
        <x:f>'2024 Form20'!W74</x:f>
        <x:v>0.17278617710583152</x:v>
      </x:c>
      <x:c r="F125" t="n">
        <x:f>'2024 Form20'!X74</x:f>
        <x:v>254</x:v>
      </x:c>
      <x:c r="G125" t="n">
        <x:f>'2024 Form20'!Y74</x:f>
        <x:v>-174</x:v>
      </x:c>
      <x:c r="H125" s="52" t="n">
        <x:f>'2024 Form20'!Z74</x:f>
        <x:v>-0.3758099352051836</x:v>
      </x:c>
      <x:c r="I125" t="str">
        <x:v>Dr. Mahesh Sharma</x:v>
      </x:c>
      <x:c r="J125" t="str">
        <x:v>BJP</x:v>
      </x:c>
      <x:c r="K125" t="str">
        <x:v>EVM row</x:v>
      </x:c>
      <x:c r="L125" s="133" t="str">
        <x:f>IF(D125&lt;=0,"No EVM votes",IF(E125&lt;$N$7,"Low",IF(E125&gt;$R$7,"High","Middle")))</x:f>
        <x:v>Middle</x:v>
      </x:c>
      <x:c r="M125" s="133" t="str">
        <x:f>IF(D125&lt;=0,"No EVM votes",IF(H125&lt;-20%,"Large deficit",IF(H125&lt;-5%,"Moderate deficit",IF(H125&lt;0,"Narrow deficit",IF(H125&lt;=5%,"Narrow lead/tie",IF(H125&lt;=20%,"Moderate lead","Large lead"))))))</x:f>
        <x:v>Large deficit</x:v>
      </x:c>
    </x:row>
    <x:row r="126">
      <x:c r="A126" t="n">
        <x:v>67</x:v>
      </x:c>
      <x:c r="B126" t="str">
        <x:v>[Location not in Form 20 PDF]</x:v>
      </x:c>
      <x:c r="C126" s="83" t="n">
        <x:f>'2024 Form20'!H75</x:f>
        <x:v>33</x:v>
      </x:c>
      <x:c r="D126" s="83" t="n">
        <x:f>'2024 Form20'!D75</x:f>
        <x:v>428</x:v>
      </x:c>
      <x:c r="E126" s="50" t="n">
        <x:f>'2024 Form20'!W75</x:f>
        <x:v>0.07710280373831775</x:v>
      </x:c>
      <x:c r="F126" t="n">
        <x:f>'2024 Form20'!X75</x:f>
        <x:v>343</x:v>
      </x:c>
      <x:c r="G126" t="n">
        <x:f>'2024 Form20'!Y75</x:f>
        <x:v>-310</x:v>
      </x:c>
      <x:c r="H126" s="52" t="n">
        <x:f>'2024 Form20'!Z75</x:f>
        <x:v>-0.7242990654205608</x:v>
      </x:c>
      <x:c r="I126" t="str">
        <x:v>Dr. Mahesh Sharma</x:v>
      </x:c>
      <x:c r="J126" t="str">
        <x:v>BJP</x:v>
      </x:c>
      <x:c r="K126" t="str">
        <x:v>EVM row</x:v>
      </x:c>
      <x:c r="L126" s="133" t="str">
        <x:f>IF(D126&lt;=0,"No EVM votes",IF(E126&lt;$N$7,"Low",IF(E126&gt;$R$7,"High","Middle")))</x:f>
        <x:v>Middle</x:v>
      </x:c>
      <x:c r="M126" s="133" t="str">
        <x:f>IF(D126&lt;=0,"No EVM votes",IF(H126&lt;-20%,"Large deficit",IF(H126&lt;-5%,"Moderate deficit",IF(H126&lt;0,"Narrow deficit",IF(H126&lt;=5%,"Narrow lead/tie",IF(H126&lt;=20%,"Moderate lead","Large lead"))))))</x:f>
        <x:v>Large deficit</x:v>
      </x:c>
    </x:row>
    <x:row r="127">
      <x:c r="A127" t="n">
        <x:v>68</x:v>
      </x:c>
      <x:c r="B127" t="str">
        <x:v>[Location not in Form 20 PDF]</x:v>
      </x:c>
      <x:c r="C127" s="83" t="n">
        <x:f>'2024 Form20'!H76</x:f>
        <x:v>37</x:v>
      </x:c>
      <x:c r="D127" s="83" t="n">
        <x:f>'2024 Form20'!D76</x:f>
        <x:v>328</x:v>
      </x:c>
      <x:c r="E127" s="50" t="n">
        <x:f>'2024 Form20'!W76</x:f>
        <x:v>0.11280487804878049</x:v>
      </x:c>
      <x:c r="F127" t="n">
        <x:f>'2024 Form20'!X76</x:f>
        <x:v>250</x:v>
      </x:c>
      <x:c r="G127" t="n">
        <x:f>'2024 Form20'!Y76</x:f>
        <x:v>-213</x:v>
      </x:c>
      <x:c r="H127" s="52" t="n">
        <x:f>'2024 Form20'!Z76</x:f>
        <x:v>-0.649390243902439</x:v>
      </x:c>
      <x:c r="I127" t="str">
        <x:v>Dr. Mahesh Sharma</x:v>
      </x:c>
      <x:c r="J127" t="str">
        <x:v>BJP</x:v>
      </x:c>
      <x:c r="K127" t="str">
        <x:v>EVM row</x:v>
      </x:c>
      <x:c r="L127" s="133" t="str">
        <x:f>IF(D127&lt;=0,"No EVM votes",IF(E127&lt;$N$7,"Low",IF(E127&gt;$R$7,"High","Middle")))</x:f>
        <x:v>Middle</x:v>
      </x:c>
      <x:c r="M127" s="133" t="str">
        <x:f>IF(D127&lt;=0,"No EVM votes",IF(H127&lt;-20%,"Large deficit",IF(H127&lt;-5%,"Moderate deficit",IF(H127&lt;0,"Narrow deficit",IF(H127&lt;=5%,"Narrow lead/tie",IF(H127&lt;=20%,"Moderate lead","Large lead"))))))</x:f>
        <x:v>Large deficit</x:v>
      </x:c>
    </x:row>
    <x:row r="128">
      <x:c r="A128" t="n">
        <x:v>69</x:v>
      </x:c>
      <x:c r="B128" t="str">
        <x:v>[Location not in Form 20 PDF]</x:v>
      </x:c>
      <x:c r="C128" s="83" t="n">
        <x:f>'2024 Form20'!H77</x:f>
        <x:v>46</x:v>
      </x:c>
      <x:c r="D128" s="83" t="n">
        <x:f>'2024 Form20'!D77</x:f>
        <x:v>608</x:v>
      </x:c>
      <x:c r="E128" s="50" t="n">
        <x:f>'2024 Form20'!W77</x:f>
        <x:v>0.0756578947368421</x:v>
      </x:c>
      <x:c r="F128" t="n">
        <x:f>'2024 Form20'!X77</x:f>
        <x:v>507</x:v>
      </x:c>
      <x:c r="G128" t="n">
        <x:f>'2024 Form20'!Y77</x:f>
        <x:v>-461</x:v>
      </x:c>
      <x:c r="H128" s="52" t="n">
        <x:f>'2024 Form20'!Z77</x:f>
        <x:v>-0.7582236842105263</x:v>
      </x:c>
      <x:c r="I128" t="str">
        <x:v>Dr. Mahesh Sharma</x:v>
      </x:c>
      <x:c r="J128" t="str">
        <x:v>BJP</x:v>
      </x:c>
      <x:c r="K128" t="str">
        <x:v>EVM row</x:v>
      </x:c>
      <x:c r="L128" s="133" t="str">
        <x:f>IF(D128&lt;=0,"No EVM votes",IF(E128&lt;$N$7,"Low",IF(E128&gt;$R$7,"High","Middle")))</x:f>
        <x:v>Middle</x:v>
      </x:c>
      <x:c r="M128" s="133" t="str">
        <x:f>IF(D128&lt;=0,"No EVM votes",IF(H128&lt;-20%,"Large deficit",IF(H128&lt;-5%,"Moderate deficit",IF(H128&lt;0,"Narrow deficit",IF(H128&lt;=5%,"Narrow lead/tie",IF(H128&lt;=20%,"Moderate lead","Large lead"))))))</x:f>
        <x:v>Large deficit</x:v>
      </x:c>
    </x:row>
    <x:row r="129">
      <x:c r="A129" t="n">
        <x:v>70</x:v>
      </x:c>
      <x:c r="B129" t="str">
        <x:v>[Location not in Form 20 PDF]</x:v>
      </x:c>
      <x:c r="C129" s="83" t="n">
        <x:f>'2024 Form20'!H78</x:f>
        <x:v>29</x:v>
      </x:c>
      <x:c r="D129" s="83" t="n">
        <x:f>'2024 Form20'!D78</x:f>
        <x:v>574</x:v>
      </x:c>
      <x:c r="E129" s="50" t="n">
        <x:f>'2024 Form20'!W78</x:f>
        <x:v>0.050522648083623695</x:v>
      </x:c>
      <x:c r="F129" t="n">
        <x:f>'2024 Form20'!X78</x:f>
        <x:v>469</x:v>
      </x:c>
      <x:c r="G129" t="n">
        <x:f>'2024 Form20'!Y78</x:f>
        <x:v>-440</x:v>
      </x:c>
      <x:c r="H129" s="52" t="n">
        <x:f>'2024 Form20'!Z78</x:f>
        <x:v>-0.7665505226480837</x:v>
      </x:c>
      <x:c r="I129" t="str">
        <x:v>Dr. Mahesh Sharma</x:v>
      </x:c>
      <x:c r="J129" t="str">
        <x:v>BJP</x:v>
      </x:c>
      <x:c r="K129" t="str">
        <x:v>EVM row</x:v>
      </x:c>
      <x:c r="L129" s="133" t="str">
        <x:f>IF(D129&lt;=0,"No EVM votes",IF(E129&lt;$N$7,"Low",IF(E129&gt;$R$7,"High","Middle")))</x:f>
        <x:v>Middle</x:v>
      </x:c>
      <x:c r="M129" s="133" t="str">
        <x:f>IF(D129&lt;=0,"No EVM votes",IF(H129&lt;-20%,"Large deficit",IF(H129&lt;-5%,"Moderate deficit",IF(H129&lt;0,"Narrow deficit",IF(H129&lt;=5%,"Narrow lead/tie",IF(H129&lt;=20%,"Moderate lead","Large lead"))))))</x:f>
        <x:v>Large deficit</x:v>
      </x:c>
    </x:row>
    <x:row r="130">
      <x:c r="A130" t="n">
        <x:v>71</x:v>
      </x:c>
      <x:c r="B130" t="str">
        <x:v>[Location not in Form 20 PDF]</x:v>
      </x:c>
      <x:c r="C130" s="83" t="n">
        <x:f>'2024 Form20'!H79</x:f>
        <x:v>49</x:v>
      </x:c>
      <x:c r="D130" s="83" t="n">
        <x:f>'2024 Form20'!D79</x:f>
        <x:v>562</x:v>
      </x:c>
      <x:c r="E130" s="50" t="n">
        <x:f>'2024 Form20'!W79</x:f>
        <x:v>0.08718861209964412</x:v>
      </x:c>
      <x:c r="F130" t="n">
        <x:f>'2024 Form20'!X79</x:f>
        <x:v>423</x:v>
      </x:c>
      <x:c r="G130" t="n">
        <x:f>'2024 Form20'!Y79</x:f>
        <x:v>-374</x:v>
      </x:c>
      <x:c r="H130" s="52" t="n">
        <x:f>'2024 Form20'!Z79</x:f>
        <x:v>-0.6654804270462633</x:v>
      </x:c>
      <x:c r="I130" t="str">
        <x:v>Dr. Mahesh Sharma</x:v>
      </x:c>
      <x:c r="J130" t="str">
        <x:v>BJP</x:v>
      </x:c>
      <x:c r="K130" t="str">
        <x:v>EVM row</x:v>
      </x:c>
      <x:c r="L130" s="133" t="str">
        <x:f>IF(D130&lt;=0,"No EVM votes",IF(E130&lt;$N$7,"Low",IF(E130&gt;$R$7,"High","Middle")))</x:f>
        <x:v>Middle</x:v>
      </x:c>
      <x:c r="M130" s="133" t="str">
        <x:f>IF(D130&lt;=0,"No EVM votes",IF(H130&lt;-20%,"Large deficit",IF(H130&lt;-5%,"Moderate deficit",IF(H130&lt;0,"Narrow deficit",IF(H130&lt;=5%,"Narrow lead/tie",IF(H130&lt;=20%,"Moderate lead","Large lead"))))))</x:f>
        <x:v>Large deficit</x:v>
      </x:c>
    </x:row>
    <x:row r="131">
      <x:c r="A131" t="n">
        <x:v>72</x:v>
      </x:c>
      <x:c r="B131" t="str">
        <x:v>[Location not in Form 20 PDF]</x:v>
      </x:c>
      <x:c r="C131" s="83" t="n">
        <x:f>'2024 Form20'!H80</x:f>
        <x:v>61</x:v>
      </x:c>
      <x:c r="D131" s="83" t="n">
        <x:f>'2024 Form20'!D80</x:f>
        <x:v>478</x:v>
      </x:c>
      <x:c r="E131" s="50" t="n">
        <x:f>'2024 Form20'!W80</x:f>
        <x:v>0.12761506276150628</x:v>
      </x:c>
      <x:c r="F131" t="n">
        <x:f>'2024 Form20'!X80</x:f>
        <x:v>236</x:v>
      </x:c>
      <x:c r="G131" t="n">
        <x:f>'2024 Form20'!Y80</x:f>
        <x:v>-175</x:v>
      </x:c>
      <x:c r="H131" s="52" t="n">
        <x:f>'2024 Form20'!Z80</x:f>
        <x:v>-0.36610878661087864</x:v>
      </x:c>
      <x:c r="I131" t="str">
        <x:v>Dr. Mahesh Sharma</x:v>
      </x:c>
      <x:c r="J131" t="str">
        <x:v>BJP</x:v>
      </x:c>
      <x:c r="K131" t="str">
        <x:v>EVM row</x:v>
      </x:c>
      <x:c r="L131" s="133" t="str">
        <x:f>IF(D131&lt;=0,"No EVM votes",IF(E131&lt;$N$7,"Low",IF(E131&gt;$R$7,"High","Middle")))</x:f>
        <x:v>Middle</x:v>
      </x:c>
      <x:c r="M131" s="133" t="str">
        <x:f>IF(D131&lt;=0,"No EVM votes",IF(H131&lt;-20%,"Large deficit",IF(H131&lt;-5%,"Moderate deficit",IF(H131&lt;0,"Narrow deficit",IF(H131&lt;=5%,"Narrow lead/tie",IF(H131&lt;=20%,"Moderate lead","Large lead"))))))</x:f>
        <x:v>Large deficit</x:v>
      </x:c>
    </x:row>
    <x:row r="132">
      <x:c r="A132" t="n">
        <x:v>73</x:v>
      </x:c>
      <x:c r="B132" t="str">
        <x:v>[Location not in Form 20 PDF]</x:v>
      </x:c>
      <x:c r="C132" s="83" t="n">
        <x:f>'2024 Form20'!H81</x:f>
        <x:v>79</x:v>
      </x:c>
      <x:c r="D132" s="83" t="n">
        <x:f>'2024 Form20'!D81</x:f>
        <x:v>422</x:v>
      </x:c>
      <x:c r="E132" s="50" t="n">
        <x:f>'2024 Form20'!W81</x:f>
        <x:v>0.1872037914691943</x:v>
      </x:c>
      <x:c r="F132" t="n">
        <x:f>'2024 Form20'!X81</x:f>
        <x:v>325</x:v>
      </x:c>
      <x:c r="G132" t="n">
        <x:f>'2024 Form20'!Y81</x:f>
        <x:v>-246</x:v>
      </x:c>
      <x:c r="H132" s="52" t="n">
        <x:f>'2024 Form20'!Z81</x:f>
        <x:v>-0.5829383886255924</x:v>
      </x:c>
      <x:c r="I132" t="str">
        <x:v>Dr. Mahesh Sharma</x:v>
      </x:c>
      <x:c r="J132" t="str">
        <x:v>BJP</x:v>
      </x:c>
      <x:c r="K132" t="str">
        <x:v>EVM row</x:v>
      </x:c>
      <x:c r="L132" s="133" t="str">
        <x:f>IF(D132&lt;=0,"No EVM votes",IF(E132&lt;$N$7,"Low",IF(E132&gt;$R$7,"High","Middle")))</x:f>
        <x:v>Middle</x:v>
      </x:c>
      <x:c r="M132" s="133" t="str">
        <x:f>IF(D132&lt;=0,"No EVM votes",IF(H132&lt;-20%,"Large deficit",IF(H132&lt;-5%,"Moderate deficit",IF(H132&lt;0,"Narrow deficit",IF(H132&lt;=5%,"Narrow lead/tie",IF(H132&lt;=20%,"Moderate lead","Large lead"))))))</x:f>
        <x:v>Large deficit</x:v>
      </x:c>
    </x:row>
    <x:row r="133">
      <x:c r="A133" t="n">
        <x:v>74</x:v>
      </x:c>
      <x:c r="B133" t="str">
        <x:v>[Location not in Form 20 PDF]</x:v>
      </x:c>
      <x:c r="C133" s="83" t="n">
        <x:f>'2024 Form20'!H82</x:f>
        <x:v>87</x:v>
      </x:c>
      <x:c r="D133" s="83" t="n">
        <x:f>'2024 Form20'!D82</x:f>
        <x:v>481</x:v>
      </x:c>
      <x:c r="E133" s="50" t="n">
        <x:f>'2024 Form20'!W82</x:f>
        <x:v>0.18087318087318088</x:v>
      </x:c>
      <x:c r="F133" t="n">
        <x:f>'2024 Form20'!X82</x:f>
        <x:v>318</x:v>
      </x:c>
      <x:c r="G133" t="n">
        <x:f>'2024 Form20'!Y82</x:f>
        <x:v>-231</x:v>
      </x:c>
      <x:c r="H133" s="52" t="n">
        <x:f>'2024 Form20'!Z82</x:f>
        <x:v>-0.4802494802494803</x:v>
      </x:c>
      <x:c r="I133" t="str">
        <x:v>Dr. Mahesh Sharma</x:v>
      </x:c>
      <x:c r="J133" t="str">
        <x:v>BJP</x:v>
      </x:c>
      <x:c r="K133" t="str">
        <x:v>EVM row</x:v>
      </x:c>
      <x:c r="L133" s="133" t="str">
        <x:f>IF(D133&lt;=0,"No EVM votes",IF(E133&lt;$N$7,"Low",IF(E133&gt;$R$7,"High","Middle")))</x:f>
        <x:v>Middle</x:v>
      </x:c>
      <x:c r="M133" s="133" t="str">
        <x:f>IF(D133&lt;=0,"No EVM votes",IF(H133&lt;-20%,"Large deficit",IF(H133&lt;-5%,"Moderate deficit",IF(H133&lt;0,"Narrow deficit",IF(H133&lt;=5%,"Narrow lead/tie",IF(H133&lt;=20%,"Moderate lead","Large lead"))))))</x:f>
        <x:v>Large deficit</x:v>
      </x:c>
    </x:row>
    <x:row r="134">
      <x:c r="A134" t="n">
        <x:v>75</x:v>
      </x:c>
      <x:c r="B134" t="str">
        <x:v>[Location not in Form 20 PDF]</x:v>
      </x:c>
      <x:c r="C134" s="83" t="n">
        <x:f>'2024 Form20'!H83</x:f>
        <x:v>119</x:v>
      </x:c>
      <x:c r="D134" s="83" t="n">
        <x:f>'2024 Form20'!D83</x:f>
        <x:v>413</x:v>
      </x:c>
      <x:c r="E134" s="50" t="n">
        <x:f>'2024 Form20'!W83</x:f>
        <x:v>0.288135593220339</x:v>
      </x:c>
      <x:c r="F134" t="n">
        <x:f>'2024 Form20'!X83</x:f>
        <x:v>276</x:v>
      </x:c>
      <x:c r="G134" t="n">
        <x:f>'2024 Form20'!Y83</x:f>
        <x:v>-157</x:v>
      </x:c>
      <x:c r="H134" s="52" t="n">
        <x:f>'2024 Form20'!Z83</x:f>
        <x:v>-0.3801452784503632</x:v>
      </x:c>
      <x:c r="I134" t="str">
        <x:v>Dr. Mahesh Sharma</x:v>
      </x:c>
      <x:c r="J134" t="str">
        <x:v>BJP</x:v>
      </x:c>
      <x:c r="K134" t="str">
        <x:v>EVM row</x:v>
      </x:c>
      <x:c r="L134" s="133" t="str">
        <x:f>IF(D134&lt;=0,"No EVM votes",IF(E134&lt;$N$7,"Low",IF(E134&gt;$R$7,"High","Middle")))</x:f>
        <x:v>High</x:v>
      </x:c>
      <x:c r="M134" s="133" t="str">
        <x:f>IF(D134&lt;=0,"No EVM votes",IF(H134&lt;-20%,"Large deficit",IF(H134&lt;-5%,"Moderate deficit",IF(H134&lt;0,"Narrow deficit",IF(H134&lt;=5%,"Narrow lead/tie",IF(H134&lt;=20%,"Moderate lead","Large lead"))))))</x:f>
        <x:v>Large deficit</x:v>
      </x:c>
    </x:row>
    <x:row r="135">
      <x:c r="A135" t="n">
        <x:v>76</x:v>
      </x:c>
      <x:c r="B135" t="str">
        <x:v>[Location not in Form 20 PDF]</x:v>
      </x:c>
      <x:c r="C135" s="83" t="n">
        <x:f>'2024 Form20'!H84</x:f>
        <x:v>136</x:v>
      </x:c>
      <x:c r="D135" s="83" t="n">
        <x:f>'2024 Form20'!D84</x:f>
        <x:v>513</x:v>
      </x:c>
      <x:c r="E135" s="50" t="n">
        <x:f>'2024 Form20'!W84</x:f>
        <x:v>0.2651072124756335</x:v>
      </x:c>
      <x:c r="F135" t="n">
        <x:f>'2024 Form20'!X84</x:f>
        <x:v>194</x:v>
      </x:c>
      <x:c r="G135" t="n">
        <x:f>'2024 Form20'!Y84</x:f>
        <x:v>-58</x:v>
      </x:c>
      <x:c r="H135" s="52" t="n">
        <x:f>'2024 Form20'!Z84</x:f>
        <x:v>-0.11306042884990253</x:v>
      </x:c>
      <x:c r="I135" t="str">
        <x:v>Rajendra Singh Solanki</x:v>
      </x:c>
      <x:c r="J135" t="str">
        <x:v>BSP</x:v>
      </x:c>
      <x:c r="K135" t="str">
        <x:v>EVM row</x:v>
      </x:c>
      <x:c r="L135" s="133" t="str">
        <x:f>IF(D135&lt;=0,"No EVM votes",IF(E135&lt;$N$7,"Low",IF(E135&gt;$R$7,"High","Middle")))</x:f>
        <x:v>High</x:v>
      </x:c>
      <x:c r="M135" s="133" t="str">
        <x:f>IF(D135&lt;=0,"No EVM votes",IF(H135&lt;-20%,"Large deficit",IF(H135&lt;-5%,"Moderate deficit",IF(H135&lt;0,"Narrow deficit",IF(H135&lt;=5%,"Narrow lead/tie",IF(H135&lt;=20%,"Moderate lead","Large lead"))))))</x:f>
        <x:v>Moderate deficit</x:v>
      </x:c>
    </x:row>
    <x:row r="136">
      <x:c r="A136" t="n">
        <x:v>77</x:v>
      </x:c>
      <x:c r="B136" t="str">
        <x:v>[Location not in Form 20 PDF]</x:v>
      </x:c>
      <x:c r="C136" s="83" t="n">
        <x:f>'2024 Form20'!H85</x:f>
        <x:v>257</x:v>
      </x:c>
      <x:c r="D136" s="83" t="n">
        <x:f>'2024 Form20'!D85</x:f>
        <x:v>688</x:v>
      </x:c>
      <x:c r="E136" s="50" t="n">
        <x:f>'2024 Form20'!W85</x:f>
        <x:v>0.373546511627907</x:v>
      </x:c>
      <x:c r="F136" t="n">
        <x:f>'2024 Form20'!X85</x:f>
        <x:v>369</x:v>
      </x:c>
      <x:c r="G136" t="n">
        <x:f>'2024 Form20'!Y85</x:f>
        <x:v>-112</x:v>
      </x:c>
      <x:c r="H136" s="52" t="n">
        <x:f>'2024 Form20'!Z85</x:f>
        <x:v>-0.16279069767441862</x:v>
      </x:c>
      <x:c r="I136" t="str">
        <x:v>Dr. Mahesh Sharma</x:v>
      </x:c>
      <x:c r="J136" t="str">
        <x:v>BJP</x:v>
      </x:c>
      <x:c r="K136" t="str">
        <x:v>EVM row</x:v>
      </x:c>
      <x:c r="L136" s="133" t="str">
        <x:f>IF(D136&lt;=0,"No EVM votes",IF(E136&lt;$N$7,"Low",IF(E136&gt;$R$7,"High","Middle")))</x:f>
        <x:v>High</x:v>
      </x:c>
      <x:c r="M136" s="133" t="str">
        <x:f>IF(D136&lt;=0,"No EVM votes",IF(H136&lt;-20%,"Large deficit",IF(H136&lt;-5%,"Moderate deficit",IF(H136&lt;0,"Narrow deficit",IF(H136&lt;=5%,"Narrow lead/tie",IF(H136&lt;=20%,"Moderate lead","Large lead"))))))</x:f>
        <x:v>Moderate deficit</x:v>
      </x:c>
    </x:row>
    <x:row r="137">
      <x:c r="A137" t="n">
        <x:v>78</x:v>
      </x:c>
      <x:c r="B137" t="str">
        <x:v>[Location not in Form 20 PDF]</x:v>
      </x:c>
      <x:c r="C137" s="83" t="n">
        <x:f>'2024 Form20'!H86</x:f>
        <x:v>196</x:v>
      </x:c>
      <x:c r="D137" s="83" t="n">
        <x:f>'2024 Form20'!D86</x:f>
        <x:v>520</x:v>
      </x:c>
      <x:c r="E137" s="50" t="n">
        <x:f>'2024 Form20'!W86</x:f>
        <x:v>0.3769230769230769</x:v>
      </x:c>
      <x:c r="F137" t="n">
        <x:f>'2024 Form20'!X86</x:f>
        <x:v>251</x:v>
      </x:c>
      <x:c r="G137" t="n">
        <x:f>'2024 Form20'!Y86</x:f>
        <x:v>-55</x:v>
      </x:c>
      <x:c r="H137" s="52" t="n">
        <x:f>'2024 Form20'!Z86</x:f>
        <x:v>-0.10576923076923077</x:v>
      </x:c>
      <x:c r="I137" t="str">
        <x:v>Dr. Mahesh Sharma</x:v>
      </x:c>
      <x:c r="J137" t="str">
        <x:v>BJP</x:v>
      </x:c>
      <x:c r="K137" t="str">
        <x:v>EVM row</x:v>
      </x:c>
      <x:c r="L137" s="133" t="str">
        <x:f>IF(D137&lt;=0,"No EVM votes",IF(E137&lt;$N$7,"Low",IF(E137&gt;$R$7,"High","Middle")))</x:f>
        <x:v>High</x:v>
      </x:c>
      <x:c r="M137" s="133" t="str">
        <x:f>IF(D137&lt;=0,"No EVM votes",IF(H137&lt;-20%,"Large deficit",IF(H137&lt;-5%,"Moderate deficit",IF(H137&lt;0,"Narrow deficit",IF(H137&lt;=5%,"Narrow lead/tie",IF(H137&lt;=20%,"Moderate lead","Large lead"))))))</x:f>
        <x:v>Moderate deficit</x:v>
      </x:c>
    </x:row>
    <x:row r="138">
      <x:c r="A138" t="n">
        <x:v>79</x:v>
      </x:c>
      <x:c r="B138" t="str">
        <x:v>[Location not in Form 20 PDF]</x:v>
      </x:c>
      <x:c r="C138" s="83" t="n">
        <x:f>'2024 Form20'!H87</x:f>
        <x:v>155</x:v>
      </x:c>
      <x:c r="D138" s="83" t="n">
        <x:f>'2024 Form20'!D87</x:f>
        <x:v>548</x:v>
      </x:c>
      <x:c r="E138" s="50" t="n">
        <x:f>'2024 Form20'!W87</x:f>
        <x:v>0.28284671532846717</x:v>
      </x:c>
      <x:c r="F138" t="n">
        <x:f>'2024 Form20'!X87</x:f>
        <x:v>229</x:v>
      </x:c>
      <x:c r="G138" t="n">
        <x:f>'2024 Form20'!Y87</x:f>
        <x:v>-74</x:v>
      </x:c>
      <x:c r="H138" s="52" t="n">
        <x:f>'2024 Form20'!Z87</x:f>
        <x:v>-0.13503649635036497</x:v>
      </x:c>
      <x:c r="I138" t="str">
        <x:v>Dr. Mahesh Sharma</x:v>
      </x:c>
      <x:c r="J138" t="str">
        <x:v>BJP</x:v>
      </x:c>
      <x:c r="K138" t="str">
        <x:v>EVM row</x:v>
      </x:c>
      <x:c r="L138" s="133" t="str">
        <x:f>IF(D138&lt;=0,"No EVM votes",IF(E138&lt;$N$7,"Low",IF(E138&gt;$R$7,"High","Middle")))</x:f>
        <x:v>High</x:v>
      </x:c>
      <x:c r="M138" s="133" t="str">
        <x:f>IF(D138&lt;=0,"No EVM votes",IF(H138&lt;-20%,"Large deficit",IF(H138&lt;-5%,"Moderate deficit",IF(H138&lt;0,"Narrow deficit",IF(H138&lt;=5%,"Narrow lead/tie",IF(H138&lt;=20%,"Moderate lead","Large lead"))))))</x:f>
        <x:v>Moderate deficit</x:v>
      </x:c>
    </x:row>
    <x:row r="139">
      <x:c r="A139" t="n">
        <x:v>80</x:v>
      </x:c>
      <x:c r="B139" t="str">
        <x:v>[Location not in Form 20 PDF]</x:v>
      </x:c>
      <x:c r="C139" s="83" t="n">
        <x:f>'2024 Form20'!H88</x:f>
        <x:v>161</x:v>
      </x:c>
      <x:c r="D139" s="83" t="n">
        <x:f>'2024 Form20'!D88</x:f>
        <x:v>714</x:v>
      </x:c>
      <x:c r="E139" s="50" t="n">
        <x:f>'2024 Form20'!W88</x:f>
        <x:v>0.22549019607843138</x:v>
      </x:c>
      <x:c r="F139" t="n">
        <x:f>'2024 Form20'!X88</x:f>
        <x:v>492</x:v>
      </x:c>
      <x:c r="G139" t="n">
        <x:f>'2024 Form20'!Y88</x:f>
        <x:v>-331</x:v>
      </x:c>
      <x:c r="H139" s="52" t="n">
        <x:f>'2024 Form20'!Z88</x:f>
        <x:v>-0.4635854341736695</x:v>
      </x:c>
      <x:c r="I139" t="str">
        <x:v>Dr. Mahesh Sharma</x:v>
      </x:c>
      <x:c r="J139" t="str">
        <x:v>BJP</x:v>
      </x:c>
      <x:c r="K139" t="str">
        <x:v>EVM row</x:v>
      </x:c>
      <x:c r="L139" s="133" t="str">
        <x:f>IF(D139&lt;=0,"No EVM votes",IF(E139&lt;$N$7,"Low",IF(E139&gt;$R$7,"High","Middle")))</x:f>
        <x:v>Middle</x:v>
      </x:c>
      <x:c r="M139" s="133" t="str">
        <x:f>IF(D139&lt;=0,"No EVM votes",IF(H139&lt;-20%,"Large deficit",IF(H139&lt;-5%,"Moderate deficit",IF(H139&lt;0,"Narrow deficit",IF(H139&lt;=5%,"Narrow lead/tie",IF(H139&lt;=20%,"Moderate lead","Large lead"))))))</x:f>
        <x:v>Large deficit</x:v>
      </x:c>
    </x:row>
    <x:row r="140">
      <x:c r="A140" t="n">
        <x:v>81</x:v>
      </x:c>
      <x:c r="B140" t="str">
        <x:v>[Location not in Form 20 PDF]</x:v>
      </x:c>
      <x:c r="C140" s="83" t="n">
        <x:f>'2024 Form20'!H89</x:f>
        <x:v>109</x:v>
      </x:c>
      <x:c r="D140" s="83" t="n">
        <x:f>'2024 Form20'!D89</x:f>
        <x:v>395</x:v>
      </x:c>
      <x:c r="E140" s="50" t="n">
        <x:f>'2024 Form20'!W89</x:f>
        <x:v>0.2759493670886076</x:v>
      </x:c>
      <x:c r="F140" t="n">
        <x:f>'2024 Form20'!X89</x:f>
        <x:v>196</x:v>
      </x:c>
      <x:c r="G140" t="n">
        <x:f>'2024 Form20'!Y89</x:f>
        <x:v>-87</x:v>
      </x:c>
      <x:c r="H140" s="52" t="n">
        <x:f>'2024 Form20'!Z89</x:f>
        <x:v>-0.22025316455696203</x:v>
      </x:c>
      <x:c r="I140" t="str">
        <x:v>Dr. Mahesh Sharma</x:v>
      </x:c>
      <x:c r="J140" t="str">
        <x:v>BJP</x:v>
      </x:c>
      <x:c r="K140" t="str">
        <x:v>EVM row</x:v>
      </x:c>
      <x:c r="L140" s="133" t="str">
        <x:f>IF(D140&lt;=0,"No EVM votes",IF(E140&lt;$N$7,"Low",IF(E140&gt;$R$7,"High","Middle")))</x:f>
        <x:v>High</x:v>
      </x:c>
      <x:c r="M140" s="133" t="str">
        <x:f>IF(D140&lt;=0,"No EVM votes",IF(H140&lt;-20%,"Large deficit",IF(H140&lt;-5%,"Moderate deficit",IF(H140&lt;0,"Narrow deficit",IF(H140&lt;=5%,"Narrow lead/tie",IF(H140&lt;=20%,"Moderate lead","Large lead"))))))</x:f>
        <x:v>Large deficit</x:v>
      </x:c>
    </x:row>
    <x:row r="141">
      <x:c r="A141" t="n">
        <x:v>82</x:v>
      </x:c>
      <x:c r="B141" t="str">
        <x:v>[Location not in Form 20 PDF]</x:v>
      </x:c>
      <x:c r="C141" s="83" t="n">
        <x:f>'2024 Form20'!H90</x:f>
        <x:v>87</x:v>
      </x:c>
      <x:c r="D141" s="83" t="n">
        <x:f>'2024 Form20'!D90</x:f>
        <x:v>411</x:v>
      </x:c>
      <x:c r="E141" s="50" t="n">
        <x:f>'2024 Form20'!W90</x:f>
        <x:v>0.2116788321167883</x:v>
      </x:c>
      <x:c r="F141" t="n">
        <x:f>'2024 Form20'!X90</x:f>
        <x:v>243</x:v>
      </x:c>
      <x:c r="G141" t="n">
        <x:f>'2024 Form20'!Y90</x:f>
        <x:v>-156</x:v>
      </x:c>
      <x:c r="H141" s="52" t="n">
        <x:f>'2024 Form20'!Z90</x:f>
        <x:v>-0.3795620437956204</x:v>
      </x:c>
      <x:c r="I141" t="str">
        <x:v>Dr. Mahesh Sharma</x:v>
      </x:c>
      <x:c r="J141" t="str">
        <x:v>BJP</x:v>
      </x:c>
      <x:c r="K141" t="str">
        <x:v>EVM row</x:v>
      </x:c>
      <x:c r="L141" s="133" t="str">
        <x:f>IF(D141&lt;=0,"No EVM votes",IF(E141&lt;$N$7,"Low",IF(E141&gt;$R$7,"High","Middle")))</x:f>
        <x:v>Middle</x:v>
      </x:c>
      <x:c r="M141" s="133" t="str">
        <x:f>IF(D141&lt;=0,"No EVM votes",IF(H141&lt;-20%,"Large deficit",IF(H141&lt;-5%,"Moderate deficit",IF(H141&lt;0,"Narrow deficit",IF(H141&lt;=5%,"Narrow lead/tie",IF(H141&lt;=20%,"Moderate lead","Large lead"))))))</x:f>
        <x:v>Large deficit</x:v>
      </x:c>
    </x:row>
    <x:row r="142">
      <x:c r="A142" t="n">
        <x:v>83</x:v>
      </x:c>
      <x:c r="B142" t="str">
        <x:v>[Location not in Form 20 PDF]</x:v>
      </x:c>
      <x:c r="C142" s="83" t="n">
        <x:f>'2024 Form20'!H91</x:f>
        <x:v>292</x:v>
      </x:c>
      <x:c r="D142" s="83" t="n">
        <x:f>'2024 Form20'!D91</x:f>
        <x:v>575</x:v>
      </x:c>
      <x:c r="E142" s="50" t="n">
        <x:f>'2024 Form20'!W91</x:f>
        <x:v>0.5078260869565218</x:v>
      </x:c>
      <x:c r="F142" t="n">
        <x:f>'2024 Form20'!X91</x:f>
        <x:v>213</x:v>
      </x:c>
      <x:c r="G142" t="n">
        <x:f>'2024 Form20'!Y91</x:f>
        <x:v>79</x:v>
      </x:c>
      <x:c r="H142" s="52" t="n">
        <x:f>'2024 Form20'!Z91</x:f>
        <x:v>0.1373913043478261</x:v>
      </x:c>
      <x:c r="I142" t="str">
        <x:v>Dr. Mahendra Singh Nagar</x:v>
      </x:c>
      <x:c r="J142" t="str">
        <x:v>SP</x:v>
      </x:c>
      <x:c r="K142" t="str">
        <x:v>EVM row</x:v>
      </x:c>
      <x:c r="L142" s="133" t="str">
        <x:f>IF(D142&lt;=0,"No EVM votes",IF(E142&lt;$N$7,"Low",IF(E142&gt;$R$7,"High","Middle")))</x:f>
        <x:v>High</x:v>
      </x:c>
      <x:c r="M142" s="133" t="str">
        <x:f>IF(D142&lt;=0,"No EVM votes",IF(H142&lt;-20%,"Large deficit",IF(H142&lt;-5%,"Moderate deficit",IF(H142&lt;0,"Narrow deficit",IF(H142&lt;=5%,"Narrow lead/tie",IF(H142&lt;=20%,"Moderate lead","Large lead"))))))</x:f>
        <x:v>Moderate lead</x:v>
      </x:c>
    </x:row>
    <x:row r="143">
      <x:c r="A143" t="n">
        <x:v>84</x:v>
      </x:c>
      <x:c r="B143" t="str">
        <x:v>[Location not in Form 20 PDF]</x:v>
      </x:c>
      <x:c r="C143" s="83" t="n">
        <x:f>'2024 Form20'!H92</x:f>
        <x:v>90</x:v>
      </x:c>
      <x:c r="D143" s="83" t="n">
        <x:f>'2024 Form20'!D92</x:f>
        <x:v>492</x:v>
      </x:c>
      <x:c r="E143" s="50" t="n">
        <x:f>'2024 Form20'!W92</x:f>
        <x:v>0.18292682926829268</x:v>
      </x:c>
      <x:c r="F143" t="n">
        <x:f>'2024 Form20'!X92</x:f>
        <x:v>327</x:v>
      </x:c>
      <x:c r="G143" t="n">
        <x:f>'2024 Form20'!Y92</x:f>
        <x:v>-237</x:v>
      </x:c>
      <x:c r="H143" s="52" t="n">
        <x:f>'2024 Form20'!Z92</x:f>
        <x:v>-0.4817073170731707</x:v>
      </x:c>
      <x:c r="I143" t="str">
        <x:v>Dr. Mahesh Sharma</x:v>
      </x:c>
      <x:c r="J143" t="str">
        <x:v>BJP</x:v>
      </x:c>
      <x:c r="K143" t="str">
        <x:v>EVM row</x:v>
      </x:c>
      <x:c r="L143" s="133" t="str">
        <x:f>IF(D143&lt;=0,"No EVM votes",IF(E143&lt;$N$7,"Low",IF(E143&gt;$R$7,"High","Middle")))</x:f>
        <x:v>Middle</x:v>
      </x:c>
      <x:c r="M143" s="133" t="str">
        <x:f>IF(D143&lt;=0,"No EVM votes",IF(H143&lt;-20%,"Large deficit",IF(H143&lt;-5%,"Moderate deficit",IF(H143&lt;0,"Narrow deficit",IF(H143&lt;=5%,"Narrow lead/tie",IF(H143&lt;=20%,"Moderate lead","Large lead"))))))</x:f>
        <x:v>Large deficit</x:v>
      </x:c>
    </x:row>
    <x:row r="144">
      <x:c r="A144" t="n">
        <x:v>85</x:v>
      </x:c>
      <x:c r="B144" t="str">
        <x:v>[Location not in Form 20 PDF]</x:v>
      </x:c>
      <x:c r="C144" s="83" t="n">
        <x:f>'2024 Form20'!H93</x:f>
        <x:v>82</x:v>
      </x:c>
      <x:c r="D144" s="83" t="n">
        <x:f>'2024 Form20'!D93</x:f>
        <x:v>444</x:v>
      </x:c>
      <x:c r="E144" s="50" t="n">
        <x:f>'2024 Form20'!W93</x:f>
        <x:v>0.18468468468468469</x:v>
      </x:c>
      <x:c r="F144" t="n">
        <x:f>'2024 Form20'!X93</x:f>
        <x:v>282</x:v>
      </x:c>
      <x:c r="G144" t="n">
        <x:f>'2024 Form20'!Y93</x:f>
        <x:v>-200</x:v>
      </x:c>
      <x:c r="H144" s="52" t="n">
        <x:f>'2024 Form20'!Z93</x:f>
        <x:v>-0.45045045045045046</x:v>
      </x:c>
      <x:c r="I144" t="str">
        <x:v>Dr. Mahesh Sharma</x:v>
      </x:c>
      <x:c r="J144" t="str">
        <x:v>BJP</x:v>
      </x:c>
      <x:c r="K144" t="str">
        <x:v>EVM row</x:v>
      </x:c>
      <x:c r="L144" s="133" t="str">
        <x:f>IF(D144&lt;=0,"No EVM votes",IF(E144&lt;$N$7,"Low",IF(E144&gt;$R$7,"High","Middle")))</x:f>
        <x:v>Middle</x:v>
      </x:c>
      <x:c r="M144" s="133" t="str">
        <x:f>IF(D144&lt;=0,"No EVM votes",IF(H144&lt;-20%,"Large deficit",IF(H144&lt;-5%,"Moderate deficit",IF(H144&lt;0,"Narrow deficit",IF(H144&lt;=5%,"Narrow lead/tie",IF(H144&lt;=20%,"Moderate lead","Large lead"))))))</x:f>
        <x:v>Large deficit</x:v>
      </x:c>
    </x:row>
    <x:row r="145">
      <x:c r="A145" t="n">
        <x:v>86</x:v>
      </x:c>
      <x:c r="B145" t="str">
        <x:v>[Location not in Form 20 PDF]</x:v>
      </x:c>
      <x:c r="C145" s="83" t="n">
        <x:f>'2024 Form20'!H94</x:f>
        <x:v>164</x:v>
      </x:c>
      <x:c r="D145" s="83" t="n">
        <x:f>'2024 Form20'!D94</x:f>
        <x:v>429</x:v>
      </x:c>
      <x:c r="E145" s="50" t="n">
        <x:f>'2024 Form20'!W94</x:f>
        <x:v>0.3822843822843823</x:v>
      </x:c>
      <x:c r="F145" t="n">
        <x:f>'2024 Form20'!X94</x:f>
        <x:v>167</x:v>
      </x:c>
      <x:c r="G145" t="n">
        <x:f>'2024 Form20'!Y94</x:f>
        <x:v>-3</x:v>
      </x:c>
      <x:c r="H145" s="52" t="n">
        <x:f>'2024 Form20'!Z94</x:f>
        <x:v>-0.006993006993006993</x:v>
      </x:c>
      <x:c r="I145" t="str">
        <x:v>Dr. Mahesh Sharma</x:v>
      </x:c>
      <x:c r="J145" t="str">
        <x:v>BJP</x:v>
      </x:c>
      <x:c r="K145" t="str">
        <x:v>EVM row</x:v>
      </x:c>
      <x:c r="L145" s="133" t="str">
        <x:f>IF(D145&lt;=0,"No EVM votes",IF(E145&lt;$N$7,"Low",IF(E145&gt;$R$7,"High","Middle")))</x:f>
        <x:v>High</x:v>
      </x:c>
      <x:c r="M145" s="133" t="str">
        <x:f>IF(D145&lt;=0,"No EVM votes",IF(H145&lt;-20%,"Large deficit",IF(H145&lt;-5%,"Moderate deficit",IF(H145&lt;0,"Narrow deficit",IF(H145&lt;=5%,"Narrow lead/tie",IF(H145&lt;=20%,"Moderate lead","Large lead"))))))</x:f>
        <x:v>Narrow deficit</x:v>
      </x:c>
    </x:row>
    <x:row r="146">
      <x:c r="A146" t="n">
        <x:v>87</x:v>
      </x:c>
      <x:c r="B146" t="str">
        <x:v>[Location not in Form 20 PDF]</x:v>
      </x:c>
      <x:c r="C146" s="83" t="n">
        <x:f>'2024 Form20'!H95</x:f>
        <x:v>185</x:v>
      </x:c>
      <x:c r="D146" s="83" t="n">
        <x:f>'2024 Form20'!D95</x:f>
        <x:v>404</x:v>
      </x:c>
      <x:c r="E146" s="50" t="n">
        <x:f>'2024 Form20'!W95</x:f>
        <x:v>0.45792079207920794</x:v>
      </x:c>
      <x:c r="F146" t="n">
        <x:f>'2024 Form20'!X95</x:f>
        <x:v>121</x:v>
      </x:c>
      <x:c r="G146" t="n">
        <x:f>'2024 Form20'!Y95</x:f>
        <x:v>64</x:v>
      </x:c>
      <x:c r="H146" s="52" t="n">
        <x:f>'2024 Form20'!Z95</x:f>
        <x:v>0.15841584158415842</x:v>
      </x:c>
      <x:c r="I146" t="str">
        <x:v>Dr. Mahendra Singh Nagar</x:v>
      </x:c>
      <x:c r="J146" t="str">
        <x:v>SP</x:v>
      </x:c>
      <x:c r="K146" t="str">
        <x:v>EVM row</x:v>
      </x:c>
      <x:c r="L146" s="133" t="str">
        <x:f>IF(D146&lt;=0,"No EVM votes",IF(E146&lt;$N$7,"Low",IF(E146&gt;$R$7,"High","Middle")))</x:f>
        <x:v>High</x:v>
      </x:c>
      <x:c r="M146" s="133" t="str">
        <x:f>IF(D146&lt;=0,"No EVM votes",IF(H146&lt;-20%,"Large deficit",IF(H146&lt;-5%,"Moderate deficit",IF(H146&lt;0,"Narrow deficit",IF(H146&lt;=5%,"Narrow lead/tie",IF(H146&lt;=20%,"Moderate lead","Large lead"))))))</x:f>
        <x:v>Moderate lead</x:v>
      </x:c>
    </x:row>
    <x:row r="147">
      <x:c r="A147" t="n">
        <x:v>88</x:v>
      </x:c>
      <x:c r="B147" t="str">
        <x:v>[Location not in Form 20 PDF]</x:v>
      </x:c>
      <x:c r="C147" s="83" t="n">
        <x:f>'2024 Form20'!H96</x:f>
        <x:v>115</x:v>
      </x:c>
      <x:c r="D147" s="83" t="n">
        <x:f>'2024 Form20'!D96</x:f>
        <x:v>262</x:v>
      </x:c>
      <x:c r="E147" s="50" t="n">
        <x:f>'2024 Form20'!W96</x:f>
        <x:v>0.4389312977099237</x:v>
      </x:c>
      <x:c r="F147" t="n">
        <x:f>'2024 Form20'!X96</x:f>
        <x:v>90</x:v>
      </x:c>
      <x:c r="G147" t="n">
        <x:f>'2024 Form20'!Y96</x:f>
        <x:v>25</x:v>
      </x:c>
      <x:c r="H147" s="52" t="n">
        <x:f>'2024 Form20'!Z96</x:f>
        <x:v>0.09541984732824428</x:v>
      </x:c>
      <x:c r="I147" t="str">
        <x:v>Dr. Mahendra Singh Nagar</x:v>
      </x:c>
      <x:c r="J147" t="str">
        <x:v>SP</x:v>
      </x:c>
      <x:c r="K147" t="str">
        <x:v>EVM row</x:v>
      </x:c>
      <x:c r="L147" s="133" t="str">
        <x:f>IF(D147&lt;=0,"No EVM votes",IF(E147&lt;$N$7,"Low",IF(E147&gt;$R$7,"High","Middle")))</x:f>
        <x:v>High</x:v>
      </x:c>
      <x:c r="M147" s="133" t="str">
        <x:f>IF(D147&lt;=0,"No EVM votes",IF(H147&lt;-20%,"Large deficit",IF(H147&lt;-5%,"Moderate deficit",IF(H147&lt;0,"Narrow deficit",IF(H147&lt;=5%,"Narrow lead/tie",IF(H147&lt;=20%,"Moderate lead","Large lead"))))))</x:f>
        <x:v>Moderate lead</x:v>
      </x:c>
    </x:row>
    <x:row r="148">
      <x:c r="A148" t="n">
        <x:v>89</x:v>
      </x:c>
      <x:c r="B148" t="str">
        <x:v>[Location not in Form 20 PDF]</x:v>
      </x:c>
      <x:c r="C148" s="83" t="n">
        <x:f>'2024 Form20'!H97</x:f>
        <x:v>58</x:v>
      </x:c>
      <x:c r="D148" s="83" t="n">
        <x:f>'2024 Form20'!D97</x:f>
        <x:v>509</x:v>
      </x:c>
      <x:c r="E148" s="50" t="n">
        <x:f>'2024 Form20'!W97</x:f>
        <x:v>0.11394891944990176</x:v>
      </x:c>
      <x:c r="F148" t="n">
        <x:f>'2024 Form20'!X97</x:f>
        <x:v>399</x:v>
      </x:c>
      <x:c r="G148" t="n">
        <x:f>'2024 Form20'!Y97</x:f>
        <x:v>-341</x:v>
      </x:c>
      <x:c r="H148" s="52" t="n">
        <x:f>'2024 Form20'!Z97</x:f>
        <x:v>-0.6699410609037328</x:v>
      </x:c>
      <x:c r="I148" t="str">
        <x:v>Dr. Mahesh Sharma</x:v>
      </x:c>
      <x:c r="J148" t="str">
        <x:v>BJP</x:v>
      </x:c>
      <x:c r="K148" t="str">
        <x:v>EVM row</x:v>
      </x:c>
      <x:c r="L148" s="133" t="str">
        <x:f>IF(D148&lt;=0,"No EVM votes",IF(E148&lt;$N$7,"Low",IF(E148&gt;$R$7,"High","Middle")))</x:f>
        <x:v>Middle</x:v>
      </x:c>
      <x:c r="M148" s="133" t="str">
        <x:f>IF(D148&lt;=0,"No EVM votes",IF(H148&lt;-20%,"Large deficit",IF(H148&lt;-5%,"Moderate deficit",IF(H148&lt;0,"Narrow deficit",IF(H148&lt;=5%,"Narrow lead/tie",IF(H148&lt;=20%,"Moderate lead","Large lead"))))))</x:f>
        <x:v>Large deficit</x:v>
      </x:c>
    </x:row>
    <x:row r="149">
      <x:c r="A149" t="n">
        <x:v>90</x:v>
      </x:c>
      <x:c r="B149" t="str">
        <x:v>[Location not in Form 20 PDF]</x:v>
      </x:c>
      <x:c r="C149" s="83" t="n">
        <x:f>'2024 Form20'!H98</x:f>
        <x:v>44</x:v>
      </x:c>
      <x:c r="D149" s="83" t="n">
        <x:f>'2024 Form20'!D98</x:f>
        <x:v>391</x:v>
      </x:c>
      <x:c r="E149" s="50" t="n">
        <x:f>'2024 Form20'!W98</x:f>
        <x:v>0.11253196930946291</x:v>
      </x:c>
      <x:c r="F149" t="n">
        <x:f>'2024 Form20'!X98</x:f>
        <x:v>294</x:v>
      </x:c>
      <x:c r="G149" t="n">
        <x:f>'2024 Form20'!Y98</x:f>
        <x:v>-250</x:v>
      </x:c>
      <x:c r="H149" s="52" t="n">
        <x:f>'2024 Form20'!Z98</x:f>
        <x:v>-0.639386189258312</x:v>
      </x:c>
      <x:c r="I149" t="str">
        <x:v>Dr. Mahesh Sharma</x:v>
      </x:c>
      <x:c r="J149" t="str">
        <x:v>BJP</x:v>
      </x:c>
      <x:c r="K149" t="str">
        <x:v>EVM row</x:v>
      </x:c>
      <x:c r="L149" s="133" t="str">
        <x:f>IF(D149&lt;=0,"No EVM votes",IF(E149&lt;$N$7,"Low",IF(E149&gt;$R$7,"High","Middle")))</x:f>
        <x:v>Middle</x:v>
      </x:c>
      <x:c r="M149" s="133" t="str">
        <x:f>IF(D149&lt;=0,"No EVM votes",IF(H149&lt;-20%,"Large deficit",IF(H149&lt;-5%,"Moderate deficit",IF(H149&lt;0,"Narrow deficit",IF(H149&lt;=5%,"Narrow lead/tie",IF(H149&lt;=20%,"Moderate lead","Large lead"))))))</x:f>
        <x:v>Large deficit</x:v>
      </x:c>
    </x:row>
    <x:row r="150">
      <x:c r="A150" t="n">
        <x:v>91</x:v>
      </x:c>
      <x:c r="B150" t="str">
        <x:v>[Location not in Form 20 PDF]</x:v>
      </x:c>
      <x:c r="C150" s="83" t="n">
        <x:f>'2024 Form20'!H99</x:f>
        <x:v>116</x:v>
      </x:c>
      <x:c r="D150" s="83" t="n">
        <x:f>'2024 Form20'!D99</x:f>
        <x:v>394</x:v>
      </x:c>
      <x:c r="E150" s="50" t="n">
        <x:f>'2024 Form20'!W99</x:f>
        <x:v>0.29441624365482233</x:v>
      </x:c>
      <x:c r="F150" t="n">
        <x:f>'2024 Form20'!X99</x:f>
        <x:v>168</x:v>
      </x:c>
      <x:c r="G150" t="n">
        <x:f>'2024 Form20'!Y99</x:f>
        <x:v>-52</x:v>
      </x:c>
      <x:c r="H150" s="52" t="n">
        <x:f>'2024 Form20'!Z99</x:f>
        <x:v>-0.1319796954314721</x:v>
      </x:c>
      <x:c r="I150" t="str">
        <x:v>Rajendra Singh Solanki</x:v>
      </x:c>
      <x:c r="J150" t="str">
        <x:v>BSP</x:v>
      </x:c>
      <x:c r="K150" t="str">
        <x:v>EVM row</x:v>
      </x:c>
      <x:c r="L150" s="133" t="str">
        <x:f>IF(D150&lt;=0,"No EVM votes",IF(E150&lt;$N$7,"Low",IF(E150&gt;$R$7,"High","Middle")))</x:f>
        <x:v>High</x:v>
      </x:c>
      <x:c r="M150" s="133" t="str">
        <x:f>IF(D150&lt;=0,"No EVM votes",IF(H150&lt;-20%,"Large deficit",IF(H150&lt;-5%,"Moderate deficit",IF(H150&lt;0,"Narrow deficit",IF(H150&lt;=5%,"Narrow lead/tie",IF(H150&lt;=20%,"Moderate lead","Large lead"))))))</x:f>
        <x:v>Moderate deficit</x:v>
      </x:c>
    </x:row>
    <x:row r="151">
      <x:c r="A151" t="n">
        <x:v>92</x:v>
      </x:c>
      <x:c r="B151" t="str">
        <x:v>[Location not in Form 20 PDF]</x:v>
      </x:c>
      <x:c r="C151" s="83" t="n">
        <x:f>'2024 Form20'!H100</x:f>
        <x:v>223</x:v>
      </x:c>
      <x:c r="D151" s="83" t="n">
        <x:f>'2024 Form20'!D100</x:f>
        <x:v>526</x:v>
      </x:c>
      <x:c r="E151" s="50" t="n">
        <x:f>'2024 Form20'!W100</x:f>
        <x:v>0.42395437262357416</x:v>
      </x:c>
      <x:c r="F151" t="n">
        <x:f>'2024 Form20'!X100</x:f>
        <x:v>194</x:v>
      </x:c>
      <x:c r="G151" t="n">
        <x:f>'2024 Form20'!Y100</x:f>
        <x:v>29</x:v>
      </x:c>
      <x:c r="H151" s="52" t="n">
        <x:f>'2024 Form20'!Z100</x:f>
        <x:v>0.055133079847908745</x:v>
      </x:c>
      <x:c r="I151" t="str">
        <x:v>Dr. Mahendra Singh Nagar</x:v>
      </x:c>
      <x:c r="J151" t="str">
        <x:v>SP</x:v>
      </x:c>
      <x:c r="K151" t="str">
        <x:v>EVM row</x:v>
      </x:c>
      <x:c r="L151" s="133" t="str">
        <x:f>IF(D151&lt;=0,"No EVM votes",IF(E151&lt;$N$7,"Low",IF(E151&gt;$R$7,"High","Middle")))</x:f>
        <x:v>High</x:v>
      </x:c>
      <x:c r="M151" s="133" t="str">
        <x:f>IF(D151&lt;=0,"No EVM votes",IF(H151&lt;-20%,"Large deficit",IF(H151&lt;-5%,"Moderate deficit",IF(H151&lt;0,"Narrow deficit",IF(H151&lt;=5%,"Narrow lead/tie",IF(H151&lt;=20%,"Moderate lead","Large lead"))))))</x:f>
        <x:v>Moderate lead</x:v>
      </x:c>
    </x:row>
    <x:row r="152">
      <x:c r="A152" t="n">
        <x:v>93</x:v>
      </x:c>
      <x:c r="B152" t="str">
        <x:v>[Location not in Form 20 PDF]</x:v>
      </x:c>
      <x:c r="C152" s="83" t="n">
        <x:f>'2024 Form20'!H101</x:f>
        <x:v>55</x:v>
      </x:c>
      <x:c r="D152" s="83" t="n">
        <x:f>'2024 Form20'!D101</x:f>
        <x:v>453</x:v>
      </x:c>
      <x:c r="E152" s="50" t="n">
        <x:f>'2024 Form20'!W101</x:f>
        <x:v>0.12141280353200883</x:v>
      </x:c>
      <x:c r="F152" t="n">
        <x:f>'2024 Form20'!X101</x:f>
        <x:v>357</x:v>
      </x:c>
      <x:c r="G152" t="n">
        <x:f>'2024 Form20'!Y101</x:f>
        <x:v>-302</x:v>
      </x:c>
      <x:c r="H152" s="52" t="n">
        <x:f>'2024 Form20'!Z101</x:f>
        <x:v>-0.6666666666666666</x:v>
      </x:c>
      <x:c r="I152" t="str">
        <x:v>Rajendra Singh Solanki</x:v>
      </x:c>
      <x:c r="J152" t="str">
        <x:v>BSP</x:v>
      </x:c>
      <x:c r="K152" t="str">
        <x:v>EVM row</x:v>
      </x:c>
      <x:c r="L152" s="133" t="str">
        <x:f>IF(D152&lt;=0,"No EVM votes",IF(E152&lt;$N$7,"Low",IF(E152&gt;$R$7,"High","Middle")))</x:f>
        <x:v>Middle</x:v>
      </x:c>
      <x:c r="M152" s="133" t="str">
        <x:f>IF(D152&lt;=0,"No EVM votes",IF(H152&lt;-20%,"Large deficit",IF(H152&lt;-5%,"Moderate deficit",IF(H152&lt;0,"Narrow deficit",IF(H152&lt;=5%,"Narrow lead/tie",IF(H152&lt;=20%,"Moderate lead","Large lead"))))))</x:f>
        <x:v>Large deficit</x:v>
      </x:c>
    </x:row>
    <x:row r="153">
      <x:c r="A153" t="n">
        <x:v>94</x:v>
      </x:c>
      <x:c r="B153" t="str">
        <x:v>[Location not in Form 20 PDF]</x:v>
      </x:c>
      <x:c r="C153" s="83" t="n">
        <x:f>'2024 Form20'!H102</x:f>
        <x:v>64</x:v>
      </x:c>
      <x:c r="D153" s="83" t="n">
        <x:f>'2024 Form20'!D102</x:f>
        <x:v>320</x:v>
      </x:c>
      <x:c r="E153" s="50" t="n">
        <x:f>'2024 Form20'!W102</x:f>
        <x:v>0.2</x:v>
      </x:c>
      <x:c r="F153" t="n">
        <x:f>'2024 Form20'!X102</x:f>
        <x:v>217</x:v>
      </x:c>
      <x:c r="G153" t="n">
        <x:f>'2024 Form20'!Y102</x:f>
        <x:v>-153</x:v>
      </x:c>
      <x:c r="H153" s="52" t="n">
        <x:f>'2024 Form20'!Z102</x:f>
        <x:v>-0.478125</x:v>
      </x:c>
      <x:c r="I153" t="str">
        <x:v>Rajendra Singh Solanki</x:v>
      </x:c>
      <x:c r="J153" t="str">
        <x:v>BSP</x:v>
      </x:c>
      <x:c r="K153" t="str">
        <x:v>EVM row</x:v>
      </x:c>
      <x:c r="L153" s="133" t="str">
        <x:f>IF(D153&lt;=0,"No EVM votes",IF(E153&lt;$N$7,"Low",IF(E153&gt;$R$7,"High","Middle")))</x:f>
        <x:v>Middle</x:v>
      </x:c>
      <x:c r="M153" s="133" t="str">
        <x:f>IF(D153&lt;=0,"No EVM votes",IF(H153&lt;-20%,"Large deficit",IF(H153&lt;-5%,"Moderate deficit",IF(H153&lt;0,"Narrow deficit",IF(H153&lt;=5%,"Narrow lead/tie",IF(H153&lt;=20%,"Moderate lead","Large lead"))))))</x:f>
        <x:v>Large deficit</x:v>
      </x:c>
    </x:row>
    <x:row r="154">
      <x:c r="A154" t="n">
        <x:v>95</x:v>
      </x:c>
      <x:c r="B154" t="str">
        <x:v>[Location not in Form 20 PDF]</x:v>
      </x:c>
      <x:c r="C154" s="83" t="n">
        <x:f>'2024 Form20'!H103</x:f>
        <x:v>205</x:v>
      </x:c>
      <x:c r="D154" s="83" t="n">
        <x:f>'2024 Form20'!D103</x:f>
        <x:v>711</x:v>
      </x:c>
      <x:c r="E154" s="50" t="n">
        <x:f>'2024 Form20'!W103</x:f>
        <x:v>0.2883263009845288</x:v>
      </x:c>
      <x:c r="F154" t="n">
        <x:f>'2024 Form20'!X103</x:f>
        <x:v>441</x:v>
      </x:c>
      <x:c r="G154" t="n">
        <x:f>'2024 Form20'!Y103</x:f>
        <x:v>-236</x:v>
      </x:c>
      <x:c r="H154" s="52" t="n">
        <x:f>'2024 Form20'!Z103</x:f>
        <x:v>-0.3319268635724332</x:v>
      </x:c>
      <x:c r="I154" t="str">
        <x:v>Dr. Mahesh Sharma</x:v>
      </x:c>
      <x:c r="J154" t="str">
        <x:v>BJP</x:v>
      </x:c>
      <x:c r="K154" t="str">
        <x:v>EVM row</x:v>
      </x:c>
      <x:c r="L154" s="133" t="str">
        <x:f>IF(D154&lt;=0,"No EVM votes",IF(E154&lt;$N$7,"Low",IF(E154&gt;$R$7,"High","Middle")))</x:f>
        <x:v>High</x:v>
      </x:c>
      <x:c r="M154" s="133" t="str">
        <x:f>IF(D154&lt;=0,"No EVM votes",IF(H154&lt;-20%,"Large deficit",IF(H154&lt;-5%,"Moderate deficit",IF(H154&lt;0,"Narrow deficit",IF(H154&lt;=5%,"Narrow lead/tie",IF(H154&lt;=20%,"Moderate lead","Large lead"))))))</x:f>
        <x:v>Large deficit</x:v>
      </x:c>
    </x:row>
    <x:row r="155">
      <x:c r="A155" t="n">
        <x:v>96</x:v>
      </x:c>
      <x:c r="B155" t="str">
        <x:v>[Location not in Form 20 PDF]</x:v>
      </x:c>
      <x:c r="C155" s="83" t="n">
        <x:f>'2024 Form20'!H104</x:f>
        <x:v>173</x:v>
      </x:c>
      <x:c r="D155" s="83" t="n">
        <x:f>'2024 Form20'!D104</x:f>
        <x:v>499</x:v>
      </x:c>
      <x:c r="E155" s="50" t="n">
        <x:f>'2024 Form20'!W104</x:f>
        <x:v>0.3466933867735471</x:v>
      </x:c>
      <x:c r="F155" t="n">
        <x:f>'2024 Form20'!X104</x:f>
        <x:v>271</x:v>
      </x:c>
      <x:c r="G155" t="n">
        <x:f>'2024 Form20'!Y104</x:f>
        <x:v>-98</x:v>
      </x:c>
      <x:c r="H155" s="52" t="n">
        <x:f>'2024 Form20'!Z104</x:f>
        <x:v>-0.1963927855711423</x:v>
      </x:c>
      <x:c r="I155" t="str">
        <x:v>Dr. Mahesh Sharma</x:v>
      </x:c>
      <x:c r="J155" t="str">
        <x:v>BJP</x:v>
      </x:c>
      <x:c r="K155" t="str">
        <x:v>EVM row</x:v>
      </x:c>
      <x:c r="L155" s="133" t="str">
        <x:f>IF(D155&lt;=0,"No EVM votes",IF(E155&lt;$N$7,"Low",IF(E155&gt;$R$7,"High","Middle")))</x:f>
        <x:v>High</x:v>
      </x:c>
      <x:c r="M155" s="133" t="str">
        <x:f>IF(D155&lt;=0,"No EVM votes",IF(H155&lt;-20%,"Large deficit",IF(H155&lt;-5%,"Moderate deficit",IF(H155&lt;0,"Narrow deficit",IF(H155&lt;=5%,"Narrow lead/tie",IF(H155&lt;=20%,"Moderate lead","Large lead"))))))</x:f>
        <x:v>Moderate deficit</x:v>
      </x:c>
    </x:row>
    <x:row r="156">
      <x:c r="A156" t="n">
        <x:v>97</x:v>
      </x:c>
      <x:c r="B156" t="str">
        <x:v>[Location not in Form 20 PDF]</x:v>
      </x:c>
      <x:c r="C156" s="83" t="n">
        <x:f>'2024 Form20'!H105</x:f>
        <x:v>76</x:v>
      </x:c>
      <x:c r="D156" s="83" t="n">
        <x:f>'2024 Form20'!D105</x:f>
        <x:v>485</x:v>
      </x:c>
      <x:c r="E156" s="50" t="n">
        <x:f>'2024 Form20'!W105</x:f>
        <x:v>0.15670103092783505</x:v>
      </x:c>
      <x:c r="F156" t="n">
        <x:f>'2024 Form20'!X105</x:f>
        <x:v>268</x:v>
      </x:c>
      <x:c r="G156" t="n">
        <x:f>'2024 Form20'!Y105</x:f>
        <x:v>-192</x:v>
      </x:c>
      <x:c r="H156" s="52" t="n">
        <x:f>'2024 Form20'!Z105</x:f>
        <x:v>-0.3958762886597938</x:v>
      </x:c>
      <x:c r="I156" t="str">
        <x:v>Rajendra Singh Solanki</x:v>
      </x:c>
      <x:c r="J156" t="str">
        <x:v>BSP</x:v>
      </x:c>
      <x:c r="K156" t="str">
        <x:v>EVM row</x:v>
      </x:c>
      <x:c r="L156" s="133" t="str">
        <x:f>IF(D156&lt;=0,"No EVM votes",IF(E156&lt;$N$7,"Low",IF(E156&gt;$R$7,"High","Middle")))</x:f>
        <x:v>Middle</x:v>
      </x:c>
      <x:c r="M156" s="133" t="str">
        <x:f>IF(D156&lt;=0,"No EVM votes",IF(H156&lt;-20%,"Large deficit",IF(H156&lt;-5%,"Moderate deficit",IF(H156&lt;0,"Narrow deficit",IF(H156&lt;=5%,"Narrow lead/tie",IF(H156&lt;=20%,"Moderate lead","Large lead"))))))</x:f>
        <x:v>Large deficit</x:v>
      </x:c>
    </x:row>
    <x:row r="157">
      <x:c r="A157" t="n">
        <x:v>98</x:v>
      </x:c>
      <x:c r="B157" t="str">
        <x:v>[Location not in Form 20 PDF]</x:v>
      </x:c>
      <x:c r="C157" s="83" t="n">
        <x:f>'2024 Form20'!H106</x:f>
        <x:v>153</x:v>
      </x:c>
      <x:c r="D157" s="83" t="n">
        <x:f>'2024 Form20'!D106</x:f>
        <x:v>477</x:v>
      </x:c>
      <x:c r="E157" s="50" t="n">
        <x:f>'2024 Form20'!W106</x:f>
        <x:v>0.32075471698113206</x:v>
      </x:c>
      <x:c r="F157" t="n">
        <x:f>'2024 Form20'!X106</x:f>
        <x:v>198</x:v>
      </x:c>
      <x:c r="G157" t="n">
        <x:f>'2024 Form20'!Y106</x:f>
        <x:v>-45</x:v>
      </x:c>
      <x:c r="H157" s="52" t="n">
        <x:f>'2024 Form20'!Z106</x:f>
        <x:v>-0.09433962264150944</x:v>
      </x:c>
      <x:c r="I157" t="str">
        <x:v>Dr. Mahesh Sharma</x:v>
      </x:c>
      <x:c r="J157" t="str">
        <x:v>BJP</x:v>
      </x:c>
      <x:c r="K157" t="str">
        <x:v>EVM row</x:v>
      </x:c>
      <x:c r="L157" s="133" t="str">
        <x:f>IF(D157&lt;=0,"No EVM votes",IF(E157&lt;$N$7,"Low",IF(E157&gt;$R$7,"High","Middle")))</x:f>
        <x:v>High</x:v>
      </x:c>
      <x:c r="M157" s="133" t="str">
        <x:f>IF(D157&lt;=0,"No EVM votes",IF(H157&lt;-20%,"Large deficit",IF(H157&lt;-5%,"Moderate deficit",IF(H157&lt;0,"Narrow deficit",IF(H157&lt;=5%,"Narrow lead/tie",IF(H157&lt;=20%,"Moderate lead","Large lead"))))))</x:f>
        <x:v>Moderate deficit</x:v>
      </x:c>
    </x:row>
    <x:row r="158">
      <x:c r="A158" t="n">
        <x:v>99</x:v>
      </x:c>
      <x:c r="B158" t="str">
        <x:v>[Location not in Form 20 PDF]</x:v>
      </x:c>
      <x:c r="C158" s="83" t="n">
        <x:f>'2024 Form20'!H107</x:f>
        <x:v>112</x:v>
      </x:c>
      <x:c r="D158" s="83" t="n">
        <x:f>'2024 Form20'!D107</x:f>
        <x:v>457</x:v>
      </x:c>
      <x:c r="E158" s="50" t="n">
        <x:f>'2024 Form20'!W107</x:f>
        <x:v>0.24507658643326038</x:v>
      </x:c>
      <x:c r="F158" t="n">
        <x:f>'2024 Form20'!X107</x:f>
        <x:v>201</x:v>
      </x:c>
      <x:c r="G158" t="n">
        <x:f>'2024 Form20'!Y107</x:f>
        <x:v>-89</x:v>
      </x:c>
      <x:c r="H158" s="52" t="n">
        <x:f>'2024 Form20'!Z107</x:f>
        <x:v>-0.19474835886214442</x:v>
      </x:c>
      <x:c r="I158" t="str">
        <x:v>Dr. Mahesh Sharma</x:v>
      </x:c>
      <x:c r="J158" t="str">
        <x:v>BJP</x:v>
      </x:c>
      <x:c r="K158" t="str">
        <x:v>EVM row</x:v>
      </x:c>
      <x:c r="L158" s="133" t="str">
        <x:f>IF(D158&lt;=0,"No EVM votes",IF(E158&lt;$N$7,"Low",IF(E158&gt;$R$7,"High","Middle")))</x:f>
        <x:v>High</x:v>
      </x:c>
      <x:c r="M158" s="133" t="str">
        <x:f>IF(D158&lt;=0,"No EVM votes",IF(H158&lt;-20%,"Large deficit",IF(H158&lt;-5%,"Moderate deficit",IF(H158&lt;0,"Narrow deficit",IF(H158&lt;=5%,"Narrow lead/tie",IF(H158&lt;=20%,"Moderate lead","Large lead"))))))</x:f>
        <x:v>Moderate deficit</x:v>
      </x:c>
    </x:row>
    <x:row r="159">
      <x:c r="A159" t="n">
        <x:v>100</x:v>
      </x:c>
      <x:c r="B159" t="str">
        <x:v>[Location not in Form 20 PDF]</x:v>
      </x:c>
      <x:c r="C159" s="83" t="n">
        <x:f>'2024 Form20'!H108</x:f>
        <x:v>61</x:v>
      </x:c>
      <x:c r="D159" s="83" t="n">
        <x:f>'2024 Form20'!D108</x:f>
        <x:v>523</x:v>
      </x:c>
      <x:c r="E159" s="50" t="n">
        <x:f>'2024 Form20'!W108</x:f>
        <x:v>0.11663479923518165</x:v>
      </x:c>
      <x:c r="F159" t="n">
        <x:f>'2024 Form20'!X108</x:f>
        <x:v>333</x:v>
      </x:c>
      <x:c r="G159" t="n">
        <x:f>'2024 Form20'!Y108</x:f>
        <x:v>-272</x:v>
      </x:c>
      <x:c r="H159" s="52" t="n">
        <x:f>'2024 Form20'!Z108</x:f>
        <x:v>-0.5200764818355641</x:v>
      </x:c>
      <x:c r="I159" t="str">
        <x:v>Dr. Mahesh Sharma</x:v>
      </x:c>
      <x:c r="J159" t="str">
        <x:v>BJP</x:v>
      </x:c>
      <x:c r="K159" t="str">
        <x:v>EVM row</x:v>
      </x:c>
      <x:c r="L159" s="133" t="str">
        <x:f>IF(D159&lt;=0,"No EVM votes",IF(E159&lt;$N$7,"Low",IF(E159&gt;$R$7,"High","Middle")))</x:f>
        <x:v>Middle</x:v>
      </x:c>
      <x:c r="M159" s="133" t="str">
        <x:f>IF(D159&lt;=0,"No EVM votes",IF(H159&lt;-20%,"Large deficit",IF(H159&lt;-5%,"Moderate deficit",IF(H159&lt;0,"Narrow deficit",IF(H159&lt;=5%,"Narrow lead/tie",IF(H159&lt;=20%,"Moderate lead","Large lead"))))))</x:f>
        <x:v>Large deficit</x:v>
      </x:c>
    </x:row>
    <x:row r="160">
      <x:c r="A160" t="n">
        <x:v>101</x:v>
      </x:c>
      <x:c r="B160" t="str">
        <x:v>[Location not in Form 20 PDF]</x:v>
      </x:c>
      <x:c r="C160" s="83" t="n">
        <x:f>'2024 Form20'!H109</x:f>
        <x:v>103</x:v>
      </x:c>
      <x:c r="D160" s="83" t="n">
        <x:f>'2024 Form20'!D109</x:f>
        <x:v>530</x:v>
      </x:c>
      <x:c r="E160" s="50" t="n">
        <x:f>'2024 Form20'!W109</x:f>
        <x:v>0.19433962264150945</x:v>
      </x:c>
      <x:c r="F160" t="n">
        <x:f>'2024 Form20'!X109</x:f>
        <x:v>220</x:v>
      </x:c>
      <x:c r="G160" t="n">
        <x:f>'2024 Form20'!Y109</x:f>
        <x:v>-117</x:v>
      </x:c>
      <x:c r="H160" s="52" t="n">
        <x:f>'2024 Form20'!Z109</x:f>
        <x:v>-0.22075471698113208</x:v>
      </x:c>
      <x:c r="I160" t="str">
        <x:v>Rajendra Singh Solanki</x:v>
      </x:c>
      <x:c r="J160" t="str">
        <x:v>BSP</x:v>
      </x:c>
      <x:c r="K160" t="str">
        <x:v>EVM row</x:v>
      </x:c>
      <x:c r="L160" s="133" t="str">
        <x:f>IF(D160&lt;=0,"No EVM votes",IF(E160&lt;$N$7,"Low",IF(E160&gt;$R$7,"High","Middle")))</x:f>
        <x:v>Middle</x:v>
      </x:c>
      <x:c r="M160" s="133" t="str">
        <x:f>IF(D160&lt;=0,"No EVM votes",IF(H160&lt;-20%,"Large deficit",IF(H160&lt;-5%,"Moderate deficit",IF(H160&lt;0,"Narrow deficit",IF(H160&lt;=5%,"Narrow lead/tie",IF(H160&lt;=20%,"Moderate lead","Large lead"))))))</x:f>
        <x:v>Large deficit</x:v>
      </x:c>
    </x:row>
    <x:row r="161">
      <x:c r="A161" t="n">
        <x:v>102</x:v>
      </x:c>
      <x:c r="B161" t="str">
        <x:v>[Location not in Form 20 PDF]</x:v>
      </x:c>
      <x:c r="C161" s="83" t="n">
        <x:f>'2024 Form20'!H110</x:f>
        <x:v>142</x:v>
      </x:c>
      <x:c r="D161" s="83" t="n">
        <x:f>'2024 Form20'!D110</x:f>
        <x:v>692</x:v>
      </x:c>
      <x:c r="E161" s="50" t="n">
        <x:f>'2024 Form20'!W110</x:f>
        <x:v>0.20520231213872833</x:v>
      </x:c>
      <x:c r="F161" t="n">
        <x:f>'2024 Form20'!X110</x:f>
        <x:v>398</x:v>
      </x:c>
      <x:c r="G161" t="n">
        <x:f>'2024 Form20'!Y110</x:f>
        <x:v>-256</x:v>
      </x:c>
      <x:c r="H161" s="52" t="n">
        <x:f>'2024 Form20'!Z110</x:f>
        <x:v>-0.3699421965317919</x:v>
      </x:c>
      <x:c r="I161" t="str">
        <x:v>Rajendra Singh Solanki</x:v>
      </x:c>
      <x:c r="J161" t="str">
        <x:v>BSP</x:v>
      </x:c>
      <x:c r="K161" t="str">
        <x:v>EVM row</x:v>
      </x:c>
      <x:c r="L161" s="133" t="str">
        <x:f>IF(D161&lt;=0,"No EVM votes",IF(E161&lt;$N$7,"Low",IF(E161&gt;$R$7,"High","Middle")))</x:f>
        <x:v>Middle</x:v>
      </x:c>
      <x:c r="M161" s="133" t="str">
        <x:f>IF(D161&lt;=0,"No EVM votes",IF(H161&lt;-20%,"Large deficit",IF(H161&lt;-5%,"Moderate deficit",IF(H161&lt;0,"Narrow deficit",IF(H161&lt;=5%,"Narrow lead/tie",IF(H161&lt;=20%,"Moderate lead","Large lead"))))))</x:f>
        <x:v>Large deficit</x:v>
      </x:c>
    </x:row>
    <x:row r="162">
      <x:c r="A162" t="n">
        <x:v>103</x:v>
      </x:c>
      <x:c r="B162" t="str">
        <x:v>[Location not in Form 20 PDF]</x:v>
      </x:c>
      <x:c r="C162" s="83" t="n">
        <x:f>'2024 Form20'!H111</x:f>
        <x:v>60</x:v>
      </x:c>
      <x:c r="D162" s="83" t="n">
        <x:f>'2024 Form20'!D111</x:f>
        <x:v>448</x:v>
      </x:c>
      <x:c r="E162" s="50" t="n">
        <x:f>'2024 Form20'!W111</x:f>
        <x:v>0.13392857142857142</x:v>
      </x:c>
      <x:c r="F162" t="n">
        <x:f>'2024 Form20'!X111</x:f>
        <x:v>237</x:v>
      </x:c>
      <x:c r="G162" t="n">
        <x:f>'2024 Form20'!Y111</x:f>
        <x:v>-177</x:v>
      </x:c>
      <x:c r="H162" s="52" t="n">
        <x:f>'2024 Form20'!Z111</x:f>
        <x:v>-0.3950892857142857</x:v>
      </x:c>
      <x:c r="I162" t="str">
        <x:v>Rajendra Singh Solanki</x:v>
      </x:c>
      <x:c r="J162" t="str">
        <x:v>BSP</x:v>
      </x:c>
      <x:c r="K162" t="str">
        <x:v>EVM row</x:v>
      </x:c>
      <x:c r="L162" s="133" t="str">
        <x:f>IF(D162&lt;=0,"No EVM votes",IF(E162&lt;$N$7,"Low",IF(E162&gt;$R$7,"High","Middle")))</x:f>
        <x:v>Middle</x:v>
      </x:c>
      <x:c r="M162" s="133" t="str">
        <x:f>IF(D162&lt;=0,"No EVM votes",IF(H162&lt;-20%,"Large deficit",IF(H162&lt;-5%,"Moderate deficit",IF(H162&lt;0,"Narrow deficit",IF(H162&lt;=5%,"Narrow lead/tie",IF(H162&lt;=20%,"Moderate lead","Large lead"))))))</x:f>
        <x:v>Large deficit</x:v>
      </x:c>
    </x:row>
    <x:row r="163">
      <x:c r="A163" t="n">
        <x:v>104</x:v>
      </x:c>
      <x:c r="B163" t="str">
        <x:v>[Location not in Form 20 PDF]</x:v>
      </x:c>
      <x:c r="C163" s="83" t="n">
        <x:f>'2024 Form20'!H112</x:f>
        <x:v>87</x:v>
      </x:c>
      <x:c r="D163" s="83" t="n">
        <x:f>'2024 Form20'!D112</x:f>
        <x:v>387</x:v>
      </x:c>
      <x:c r="E163" s="50" t="n">
        <x:f>'2024 Form20'!W112</x:f>
        <x:v>0.2248062015503876</x:v>
      </x:c>
      <x:c r="F163" t="n">
        <x:f>'2024 Form20'!X112</x:f>
        <x:v>166</x:v>
      </x:c>
      <x:c r="G163" t="n">
        <x:f>'2024 Form20'!Y112</x:f>
        <x:v>-79</x:v>
      </x:c>
      <x:c r="H163" s="52" t="n">
        <x:f>'2024 Form20'!Z112</x:f>
        <x:v>-0.2041343669250646</x:v>
      </x:c>
      <x:c r="I163" t="str">
        <x:v>Rajendra Singh Solanki</x:v>
      </x:c>
      <x:c r="J163" t="str">
        <x:v>BSP</x:v>
      </x:c>
      <x:c r="K163" t="str">
        <x:v>EVM row</x:v>
      </x:c>
      <x:c r="L163" s="133" t="str">
        <x:f>IF(D163&lt;=0,"No EVM votes",IF(E163&lt;$N$7,"Low",IF(E163&gt;$R$7,"High","Middle")))</x:f>
        <x:v>Middle</x:v>
      </x:c>
      <x:c r="M163" s="133" t="str">
        <x:f>IF(D163&lt;=0,"No EVM votes",IF(H163&lt;-20%,"Large deficit",IF(H163&lt;-5%,"Moderate deficit",IF(H163&lt;0,"Narrow deficit",IF(H163&lt;=5%,"Narrow lead/tie",IF(H163&lt;=20%,"Moderate lead","Large lead"))))))</x:f>
        <x:v>Large deficit</x:v>
      </x:c>
    </x:row>
    <x:row r="164">
      <x:c r="A164" t="n">
        <x:v>105</x:v>
      </x:c>
      <x:c r="B164" t="str">
        <x:v>[Location not in Form 20 PDF]</x:v>
      </x:c>
      <x:c r="C164" s="83" t="n">
        <x:f>'2024 Form20'!H113</x:f>
        <x:v>87</x:v>
      </x:c>
      <x:c r="D164" s="83" t="n">
        <x:f>'2024 Form20'!D113</x:f>
        <x:v>981</x:v>
      </x:c>
      <x:c r="E164" s="50" t="n">
        <x:f>'2024 Form20'!W113</x:f>
        <x:v>0.08868501529051988</x:v>
      </x:c>
      <x:c r="F164" t="n">
        <x:f>'2024 Form20'!X113</x:f>
        <x:v>554</x:v>
      </x:c>
      <x:c r="G164" t="n">
        <x:f>'2024 Form20'!Y113</x:f>
        <x:v>-467</x:v>
      </x:c>
      <x:c r="H164" s="52" t="n">
        <x:f>'2024 Form20'!Z113</x:f>
        <x:v>-0.47604485219164117</x:v>
      </x:c>
      <x:c r="I164" t="str">
        <x:v>Dr. Mahesh Sharma</x:v>
      </x:c>
      <x:c r="J164" t="str">
        <x:v>BJP</x:v>
      </x:c>
      <x:c r="K164" t="str">
        <x:v>EVM row</x:v>
      </x:c>
      <x:c r="L164" s="133" t="str">
        <x:f>IF(D164&lt;=0,"No EVM votes",IF(E164&lt;$N$7,"Low",IF(E164&gt;$R$7,"High","Middle")))</x:f>
        <x:v>Middle</x:v>
      </x:c>
      <x:c r="M164" s="133" t="str">
        <x:f>IF(D164&lt;=0,"No EVM votes",IF(H164&lt;-20%,"Large deficit",IF(H164&lt;-5%,"Moderate deficit",IF(H164&lt;0,"Narrow deficit",IF(H164&lt;=5%,"Narrow lead/tie",IF(H164&lt;=20%,"Moderate lead","Large lead"))))))</x:f>
        <x:v>Large deficit</x:v>
      </x:c>
    </x:row>
    <x:row r="165">
      <x:c r="A165" t="n">
        <x:v>106</x:v>
      </x:c>
      <x:c r="B165" t="str">
        <x:v>[Location not in Form 20 PDF]</x:v>
      </x:c>
      <x:c r="C165" s="83" t="n">
        <x:f>'2024 Form20'!H114</x:f>
        <x:v>83</x:v>
      </x:c>
      <x:c r="D165" s="83" t="n">
        <x:f>'2024 Form20'!D114</x:f>
        <x:v>520</x:v>
      </x:c>
      <x:c r="E165" s="50" t="n">
        <x:f>'2024 Form20'!W114</x:f>
        <x:v>0.1596153846153846</x:v>
      </x:c>
      <x:c r="F165" t="n">
        <x:f>'2024 Form20'!X114</x:f>
        <x:v>223</x:v>
      </x:c>
      <x:c r="G165" t="n">
        <x:f>'2024 Form20'!Y114</x:f>
        <x:v>-140</x:v>
      </x:c>
      <x:c r="H165" s="52" t="n">
        <x:f>'2024 Form20'!Z114</x:f>
        <x:v>-0.2692307692307692</x:v>
      </x:c>
      <x:c r="I165" t="str">
        <x:v>Rajendra Singh Solanki</x:v>
      </x:c>
      <x:c r="J165" t="str">
        <x:v>BSP</x:v>
      </x:c>
      <x:c r="K165" t="str">
        <x:v>EVM row</x:v>
      </x:c>
      <x:c r="L165" s="133" t="str">
        <x:f>IF(D165&lt;=0,"No EVM votes",IF(E165&lt;$N$7,"Low",IF(E165&gt;$R$7,"High","Middle")))</x:f>
        <x:v>Middle</x:v>
      </x:c>
      <x:c r="M165" s="133" t="str">
        <x:f>IF(D165&lt;=0,"No EVM votes",IF(H165&lt;-20%,"Large deficit",IF(H165&lt;-5%,"Moderate deficit",IF(H165&lt;0,"Narrow deficit",IF(H165&lt;=5%,"Narrow lead/tie",IF(H165&lt;=20%,"Moderate lead","Large lead"))))))</x:f>
        <x:v>Large deficit</x:v>
      </x:c>
    </x:row>
    <x:row r="166">
      <x:c r="A166" t="n">
        <x:v>107</x:v>
      </x:c>
      <x:c r="B166" t="str">
        <x:v>[Location not in Form 20 PDF]</x:v>
      </x:c>
      <x:c r="C166" s="83" t="n">
        <x:f>'2024 Form20'!H115</x:f>
        <x:v>135</x:v>
      </x:c>
      <x:c r="D166" s="83" t="n">
        <x:f>'2024 Form20'!D115</x:f>
        <x:v>407</x:v>
      </x:c>
      <x:c r="E166" s="50" t="n">
        <x:f>'2024 Form20'!W115</x:f>
        <x:v>0.3316953316953317</x:v>
      </x:c>
      <x:c r="F166" t="n">
        <x:f>'2024 Form20'!X115</x:f>
        <x:v>222</x:v>
      </x:c>
      <x:c r="G166" t="n">
        <x:f>'2024 Form20'!Y115</x:f>
        <x:v>-87</x:v>
      </x:c>
      <x:c r="H166" s="52" t="n">
        <x:f>'2024 Form20'!Z115</x:f>
        <x:v>-0.21375921375921375</x:v>
      </x:c>
      <x:c r="I166" t="str">
        <x:v>Dr. Mahesh Sharma</x:v>
      </x:c>
      <x:c r="J166" t="str">
        <x:v>BJP</x:v>
      </x:c>
      <x:c r="K166" t="str">
        <x:v>EVM row</x:v>
      </x:c>
      <x:c r="L166" s="133" t="str">
        <x:f>IF(D166&lt;=0,"No EVM votes",IF(E166&lt;$N$7,"Low",IF(E166&gt;$R$7,"High","Middle")))</x:f>
        <x:v>High</x:v>
      </x:c>
      <x:c r="M166" s="133" t="str">
        <x:f>IF(D166&lt;=0,"No EVM votes",IF(H166&lt;-20%,"Large deficit",IF(H166&lt;-5%,"Moderate deficit",IF(H166&lt;0,"Narrow deficit",IF(H166&lt;=5%,"Narrow lead/tie",IF(H166&lt;=20%,"Moderate lead","Large lead"))))))</x:f>
        <x:v>Large deficit</x:v>
      </x:c>
    </x:row>
    <x:row r="167">
      <x:c r="A167" t="n">
        <x:v>108</x:v>
      </x:c>
      <x:c r="B167" t="str">
        <x:v>[Location not in Form 20 PDF]</x:v>
      </x:c>
      <x:c r="C167" s="83" t="n">
        <x:f>'2024 Form20'!H116</x:f>
        <x:v>125</x:v>
      </x:c>
      <x:c r="D167" s="83" t="n">
        <x:f>'2024 Form20'!D116</x:f>
        <x:v>714</x:v>
      </x:c>
      <x:c r="E167" s="50" t="n">
        <x:f>'2024 Form20'!W116</x:f>
        <x:v>0.17507002801120447</x:v>
      </x:c>
      <x:c r="F167" t="n">
        <x:f>'2024 Form20'!X116</x:f>
        <x:v>525</x:v>
      </x:c>
      <x:c r="G167" t="n">
        <x:f>'2024 Form20'!Y116</x:f>
        <x:v>-400</x:v>
      </x:c>
      <x:c r="H167" s="52" t="n">
        <x:f>'2024 Form20'!Z116</x:f>
        <x:v>-0.5602240896358543</x:v>
      </x:c>
      <x:c r="I167" t="str">
        <x:v>Dr. Mahesh Sharma</x:v>
      </x:c>
      <x:c r="J167" t="str">
        <x:v>BJP</x:v>
      </x:c>
      <x:c r="K167" t="str">
        <x:v>EVM row</x:v>
      </x:c>
      <x:c r="L167" s="133" t="str">
        <x:f>IF(D167&lt;=0,"No EVM votes",IF(E167&lt;$N$7,"Low",IF(E167&gt;$R$7,"High","Middle")))</x:f>
        <x:v>Middle</x:v>
      </x:c>
      <x:c r="M167" s="133" t="str">
        <x:f>IF(D167&lt;=0,"No EVM votes",IF(H167&lt;-20%,"Large deficit",IF(H167&lt;-5%,"Moderate deficit",IF(H167&lt;0,"Narrow deficit",IF(H167&lt;=5%,"Narrow lead/tie",IF(H167&lt;=20%,"Moderate lead","Large lead"))))))</x:f>
        <x:v>Large deficit</x:v>
      </x:c>
    </x:row>
    <x:row r="168">
      <x:c r="A168" t="n">
        <x:v>109</x:v>
      </x:c>
      <x:c r="B168" t="str">
        <x:v>[Location not in Form 20 PDF]</x:v>
      </x:c>
      <x:c r="C168" s="83" t="n">
        <x:f>'2024 Form20'!H117</x:f>
        <x:v>111</x:v>
      </x:c>
      <x:c r="D168" s="83" t="n">
        <x:f>'2024 Form20'!D117</x:f>
        <x:v>533</x:v>
      </x:c>
      <x:c r="E168" s="50" t="n">
        <x:f>'2024 Form20'!W117</x:f>
        <x:v>0.20825515947467166</x:v>
      </x:c>
      <x:c r="F168" t="n">
        <x:f>'2024 Form20'!X117</x:f>
        <x:v>252</x:v>
      </x:c>
      <x:c r="G168" t="n">
        <x:f>'2024 Form20'!Y117</x:f>
        <x:v>-141</x:v>
      </x:c>
      <x:c r="H168" s="52" t="n">
        <x:f>'2024 Form20'!Z117</x:f>
        <x:v>-0.26454033771106944</x:v>
      </x:c>
      <x:c r="I168" t="str">
        <x:v>Dr. Mahesh Sharma</x:v>
      </x:c>
      <x:c r="J168" t="str">
        <x:v>BJP</x:v>
      </x:c>
      <x:c r="K168" t="str">
        <x:v>EVM row</x:v>
      </x:c>
      <x:c r="L168" s="133" t="str">
        <x:f>IF(D168&lt;=0,"No EVM votes",IF(E168&lt;$N$7,"Low",IF(E168&gt;$R$7,"High","Middle")))</x:f>
        <x:v>Middle</x:v>
      </x:c>
      <x:c r="M168" s="133" t="str">
        <x:f>IF(D168&lt;=0,"No EVM votes",IF(H168&lt;-20%,"Large deficit",IF(H168&lt;-5%,"Moderate deficit",IF(H168&lt;0,"Narrow deficit",IF(H168&lt;=5%,"Narrow lead/tie",IF(H168&lt;=20%,"Moderate lead","Large lead"))))))</x:f>
        <x:v>Large deficit</x:v>
      </x:c>
    </x:row>
    <x:row r="169">
      <x:c r="A169" t="n">
        <x:v>110</x:v>
      </x:c>
      <x:c r="B169" t="str">
        <x:v>[Location not in Form 20 PDF]</x:v>
      </x:c>
      <x:c r="C169" s="83" t="n">
        <x:f>'2024 Form20'!H118</x:f>
        <x:v>181</x:v>
      </x:c>
      <x:c r="D169" s="83" t="n">
        <x:f>'2024 Form20'!D118</x:f>
        <x:v>566</x:v>
      </x:c>
      <x:c r="E169" s="50" t="n">
        <x:f>'2024 Form20'!W118</x:f>
        <x:v>0.3197879858657244</x:v>
      </x:c>
      <x:c r="F169" t="n">
        <x:f>'2024 Form20'!X118</x:f>
        <x:v>333</x:v>
      </x:c>
      <x:c r="G169" t="n">
        <x:f>'2024 Form20'!Y118</x:f>
        <x:v>-152</x:v>
      </x:c>
      <x:c r="H169" s="52" t="n">
        <x:f>'2024 Form20'!Z118</x:f>
        <x:v>-0.26855123674911663</x:v>
      </x:c>
      <x:c r="I169" t="str">
        <x:v>Dr. Mahesh Sharma</x:v>
      </x:c>
      <x:c r="J169" t="str">
        <x:v>BJP</x:v>
      </x:c>
      <x:c r="K169" t="str">
        <x:v>EVM row</x:v>
      </x:c>
      <x:c r="L169" s="133" t="str">
        <x:f>IF(D169&lt;=0,"No EVM votes",IF(E169&lt;$N$7,"Low",IF(E169&gt;$R$7,"High","Middle")))</x:f>
        <x:v>High</x:v>
      </x:c>
      <x:c r="M169" s="133" t="str">
        <x:f>IF(D169&lt;=0,"No EVM votes",IF(H169&lt;-20%,"Large deficit",IF(H169&lt;-5%,"Moderate deficit",IF(H169&lt;0,"Narrow deficit",IF(H169&lt;=5%,"Narrow lead/tie",IF(H169&lt;=20%,"Moderate lead","Large lead"))))))</x:f>
        <x:v>Large deficit</x:v>
      </x:c>
    </x:row>
    <x:row r="170">
      <x:c r="A170" t="n">
        <x:v>111</x:v>
      </x:c>
      <x:c r="B170" t="str">
        <x:v>[Location not in Form 20 PDF]</x:v>
      </x:c>
      <x:c r="C170" s="83" t="n">
        <x:f>'2024 Form20'!H119</x:f>
        <x:v>137</x:v>
      </x:c>
      <x:c r="D170" s="83" t="n">
        <x:f>'2024 Form20'!D119</x:f>
        <x:v>368</x:v>
      </x:c>
      <x:c r="E170" s="50" t="n">
        <x:f>'2024 Form20'!W119</x:f>
        <x:v>0.37228260869565216</x:v>
      </x:c>
      <x:c r="F170" t="n">
        <x:f>'2024 Form20'!X119</x:f>
        <x:v>215</x:v>
      </x:c>
      <x:c r="G170" t="n">
        <x:f>'2024 Form20'!Y119</x:f>
        <x:v>-78</x:v>
      </x:c>
      <x:c r="H170" s="52" t="n">
        <x:f>'2024 Form20'!Z119</x:f>
        <x:v>-0.21195652173913043</x:v>
      </x:c>
      <x:c r="I170" t="str">
        <x:v>Dr. Mahesh Sharma</x:v>
      </x:c>
      <x:c r="J170" t="str">
        <x:v>BJP</x:v>
      </x:c>
      <x:c r="K170" t="str">
        <x:v>EVM row</x:v>
      </x:c>
      <x:c r="L170" s="133" t="str">
        <x:f>IF(D170&lt;=0,"No EVM votes",IF(E170&lt;$N$7,"Low",IF(E170&gt;$R$7,"High","Middle")))</x:f>
        <x:v>High</x:v>
      </x:c>
      <x:c r="M170" s="133" t="str">
        <x:f>IF(D170&lt;=0,"No EVM votes",IF(H170&lt;-20%,"Large deficit",IF(H170&lt;-5%,"Moderate deficit",IF(H170&lt;0,"Narrow deficit",IF(H170&lt;=5%,"Narrow lead/tie",IF(H170&lt;=20%,"Moderate lead","Large lead"))))))</x:f>
        <x:v>Large deficit</x:v>
      </x:c>
    </x:row>
    <x:row r="171">
      <x:c r="A171" t="n">
        <x:v>112</x:v>
      </x:c>
      <x:c r="B171" t="str">
        <x:v>[Location not in Form 20 PDF]</x:v>
      </x:c>
      <x:c r="C171" s="83" t="n">
        <x:f>'2024 Form20'!H120</x:f>
        <x:v>165</x:v>
      </x:c>
      <x:c r="D171" s="83" t="n">
        <x:f>'2024 Form20'!D120</x:f>
        <x:v>618</x:v>
      </x:c>
      <x:c r="E171" s="50" t="n">
        <x:f>'2024 Form20'!W120</x:f>
        <x:v>0.2669902912621359</x:v>
      </x:c>
      <x:c r="F171" t="n">
        <x:f>'2024 Form20'!X120</x:f>
        <x:v>259</x:v>
      </x:c>
      <x:c r="G171" t="n">
        <x:f>'2024 Form20'!Y120</x:f>
        <x:v>-94</x:v>
      </x:c>
      <x:c r="H171" s="52" t="n">
        <x:f>'2024 Form20'!Z120</x:f>
        <x:v>-0.15210355987055016</x:v>
      </x:c>
      <x:c r="I171" t="str">
        <x:v>Rajendra Singh Solanki</x:v>
      </x:c>
      <x:c r="J171" t="str">
        <x:v>BSP</x:v>
      </x:c>
      <x:c r="K171" t="str">
        <x:v>EVM row</x:v>
      </x:c>
      <x:c r="L171" s="133" t="str">
        <x:f>IF(D171&lt;=0,"No EVM votes",IF(E171&lt;$N$7,"Low",IF(E171&gt;$R$7,"High","Middle")))</x:f>
        <x:v>High</x:v>
      </x:c>
      <x:c r="M171" s="133" t="str">
        <x:f>IF(D171&lt;=0,"No EVM votes",IF(H171&lt;-20%,"Large deficit",IF(H171&lt;-5%,"Moderate deficit",IF(H171&lt;0,"Narrow deficit",IF(H171&lt;=5%,"Narrow lead/tie",IF(H171&lt;=20%,"Moderate lead","Large lead"))))))</x:f>
        <x:v>Moderate deficit</x:v>
      </x:c>
    </x:row>
    <x:row r="172">
      <x:c r="A172" t="n">
        <x:v>113</x:v>
      </x:c>
      <x:c r="B172" t="str">
        <x:v>[Location not in Form 20 PDF]</x:v>
      </x:c>
      <x:c r="C172" s="83" t="n">
        <x:f>'2024 Form20'!H121</x:f>
        <x:v>136</x:v>
      </x:c>
      <x:c r="D172" s="83" t="n">
        <x:f>'2024 Form20'!D121</x:f>
        <x:v>505</x:v>
      </x:c>
      <x:c r="E172" s="50" t="n">
        <x:f>'2024 Form20'!W121</x:f>
        <x:v>0.2693069306930693</x:v>
      </x:c>
      <x:c r="F172" t="n">
        <x:f>'2024 Form20'!X121</x:f>
        <x:v>331</x:v>
      </x:c>
      <x:c r="G172" t="n">
        <x:f>'2024 Form20'!Y121</x:f>
        <x:v>-195</x:v>
      </x:c>
      <x:c r="H172" s="52" t="n">
        <x:f>'2024 Form20'!Z121</x:f>
        <x:v>-0.38613861386138615</x:v>
      </x:c>
      <x:c r="I172" t="str">
        <x:v>Dr. Mahesh Sharma</x:v>
      </x:c>
      <x:c r="J172" t="str">
        <x:v>BJP</x:v>
      </x:c>
      <x:c r="K172" t="str">
        <x:v>EVM row</x:v>
      </x:c>
      <x:c r="L172" s="133" t="str">
        <x:f>IF(D172&lt;=0,"No EVM votes",IF(E172&lt;$N$7,"Low",IF(E172&gt;$R$7,"High","Middle")))</x:f>
        <x:v>High</x:v>
      </x:c>
      <x:c r="M172" s="133" t="str">
        <x:f>IF(D172&lt;=0,"No EVM votes",IF(H172&lt;-20%,"Large deficit",IF(H172&lt;-5%,"Moderate deficit",IF(H172&lt;0,"Narrow deficit",IF(H172&lt;=5%,"Narrow lead/tie",IF(H172&lt;=20%,"Moderate lead","Large lead"))))))</x:f>
        <x:v>Large deficit</x:v>
      </x:c>
    </x:row>
    <x:row r="173">
      <x:c r="A173" t="n">
        <x:v>114</x:v>
      </x:c>
      <x:c r="B173" t="str">
        <x:v>[Location not in Form 20 PDF]</x:v>
      </x:c>
      <x:c r="C173" s="83" t="n">
        <x:f>'2024 Form20'!H122</x:f>
        <x:v>223</x:v>
      </x:c>
      <x:c r="D173" s="83" t="n">
        <x:f>'2024 Form20'!D122</x:f>
        <x:v>535</x:v>
      </x:c>
      <x:c r="E173" s="50" t="n">
        <x:f>'2024 Form20'!W122</x:f>
        <x:v>0.41682242990654206</x:v>
      </x:c>
      <x:c r="F173" t="n">
        <x:f>'2024 Form20'!X122</x:f>
        <x:v>252</x:v>
      </x:c>
      <x:c r="G173" t="n">
        <x:f>'2024 Form20'!Y122</x:f>
        <x:v>-29</x:v>
      </x:c>
      <x:c r="H173" s="52" t="n">
        <x:f>'2024 Form20'!Z122</x:f>
        <x:v>-0.05420560747663551</x:v>
      </x:c>
      <x:c r="I173" t="str">
        <x:v>Dr. Mahesh Sharma</x:v>
      </x:c>
      <x:c r="J173" t="str">
        <x:v>BJP</x:v>
      </x:c>
      <x:c r="K173" t="str">
        <x:v>EVM row</x:v>
      </x:c>
      <x:c r="L173" s="133" t="str">
        <x:f>IF(D173&lt;=0,"No EVM votes",IF(E173&lt;$N$7,"Low",IF(E173&gt;$R$7,"High","Middle")))</x:f>
        <x:v>High</x:v>
      </x:c>
      <x:c r="M173" s="133" t="str">
        <x:f>IF(D173&lt;=0,"No EVM votes",IF(H173&lt;-20%,"Large deficit",IF(H173&lt;-5%,"Moderate deficit",IF(H173&lt;0,"Narrow deficit",IF(H173&lt;=5%,"Narrow lead/tie",IF(H173&lt;=20%,"Moderate lead","Large lead"))))))</x:f>
        <x:v>Moderate deficit</x:v>
      </x:c>
    </x:row>
    <x:row r="174">
      <x:c r="A174" t="n">
        <x:v>115</x:v>
      </x:c>
      <x:c r="B174" t="str">
        <x:v>[Location not in Form 20 PDF]</x:v>
      </x:c>
      <x:c r="C174" s="83" t="n">
        <x:f>'2024 Form20'!H123</x:f>
        <x:v>298</x:v>
      </x:c>
      <x:c r="D174" s="83" t="n">
        <x:f>'2024 Form20'!D123</x:f>
        <x:v>748</x:v>
      </x:c>
      <x:c r="E174" s="50" t="n">
        <x:f>'2024 Form20'!W123</x:f>
        <x:v>0.3983957219251337</x:v>
      </x:c>
      <x:c r="F174" t="n">
        <x:f>'2024 Form20'!X123</x:f>
        <x:v>302</x:v>
      </x:c>
      <x:c r="G174" t="n">
        <x:f>'2024 Form20'!Y123</x:f>
        <x:v>-4</x:v>
      </x:c>
      <x:c r="H174" s="52" t="n">
        <x:f>'2024 Form20'!Z123</x:f>
        <x:v>-0.0053475935828877</x:v>
      </x:c>
      <x:c r="I174" t="str">
        <x:v>Dr. Mahesh Sharma</x:v>
      </x:c>
      <x:c r="J174" t="str">
        <x:v>BJP</x:v>
      </x:c>
      <x:c r="K174" t="str">
        <x:v>EVM row</x:v>
      </x:c>
      <x:c r="L174" s="133" t="str">
        <x:f>IF(D174&lt;=0,"No EVM votes",IF(E174&lt;$N$7,"Low",IF(E174&gt;$R$7,"High","Middle")))</x:f>
        <x:v>High</x:v>
      </x:c>
      <x:c r="M174" s="133" t="str">
        <x:f>IF(D174&lt;=0,"No EVM votes",IF(H174&lt;-20%,"Large deficit",IF(H174&lt;-5%,"Moderate deficit",IF(H174&lt;0,"Narrow deficit",IF(H174&lt;=5%,"Narrow lead/tie",IF(H174&lt;=20%,"Moderate lead","Large lead"))))))</x:f>
        <x:v>Narrow deficit</x:v>
      </x:c>
    </x:row>
    <x:row r="175">
      <x:c r="A175" t="n">
        <x:v>116</x:v>
      </x:c>
      <x:c r="B175" t="str">
        <x:v>[Location not in Form 20 PDF]</x:v>
      </x:c>
      <x:c r="C175" s="83" t="n">
        <x:f>'2024 Form20'!H124</x:f>
        <x:v>104</x:v>
      </x:c>
      <x:c r="D175" s="83" t="n">
        <x:f>'2024 Form20'!D124</x:f>
        <x:v>467</x:v>
      </x:c>
      <x:c r="E175" s="50" t="n">
        <x:f>'2024 Form20'!W124</x:f>
        <x:v>0.22269807280513917</x:v>
      </x:c>
      <x:c r="F175" t="n">
        <x:f>'2024 Form20'!X124</x:f>
        <x:v>284</x:v>
      </x:c>
      <x:c r="G175" t="n">
        <x:f>'2024 Form20'!Y124</x:f>
        <x:v>-180</x:v>
      </x:c>
      <x:c r="H175" s="52" t="n">
        <x:f>'2024 Form20'!Z124</x:f>
        <x:v>-0.3854389721627409</x:v>
      </x:c>
      <x:c r="I175" t="str">
        <x:v>Dr. Mahesh Sharma</x:v>
      </x:c>
      <x:c r="J175" t="str">
        <x:v>BJP</x:v>
      </x:c>
      <x:c r="K175" t="str">
        <x:v>EVM row</x:v>
      </x:c>
      <x:c r="L175" s="133" t="str">
        <x:f>IF(D175&lt;=0,"No EVM votes",IF(E175&lt;$N$7,"Low",IF(E175&gt;$R$7,"High","Middle")))</x:f>
        <x:v>Middle</x:v>
      </x:c>
      <x:c r="M175" s="133" t="str">
        <x:f>IF(D175&lt;=0,"No EVM votes",IF(H175&lt;-20%,"Large deficit",IF(H175&lt;-5%,"Moderate deficit",IF(H175&lt;0,"Narrow deficit",IF(H175&lt;=5%,"Narrow lead/tie",IF(H175&lt;=20%,"Moderate lead","Large lead"))))))</x:f>
        <x:v>Large deficit</x:v>
      </x:c>
    </x:row>
    <x:row r="176">
      <x:c r="A176" t="n">
        <x:v>117</x:v>
      </x:c>
      <x:c r="B176" t="str">
        <x:v>[Location not in Form 20 PDF]</x:v>
      </x:c>
      <x:c r="C176" s="83" t="n">
        <x:f>'2024 Form20'!H125</x:f>
        <x:v>142</x:v>
      </x:c>
      <x:c r="D176" s="83" t="n">
        <x:f>'2024 Form20'!D125</x:f>
        <x:v>514</x:v>
      </x:c>
      <x:c r="E176" s="50" t="n">
        <x:f>'2024 Form20'!W125</x:f>
        <x:v>0.27626459143968873</x:v>
      </x:c>
      <x:c r="F176" t="n">
        <x:f>'2024 Form20'!X125</x:f>
        <x:v>341</x:v>
      </x:c>
      <x:c r="G176" t="n">
        <x:f>'2024 Form20'!Y125</x:f>
        <x:v>-199</x:v>
      </x:c>
      <x:c r="H176" s="52" t="n">
        <x:f>'2024 Form20'!Z125</x:f>
        <x:v>-0.38715953307393</x:v>
      </x:c>
      <x:c r="I176" t="str">
        <x:v>Dr. Mahesh Sharma</x:v>
      </x:c>
      <x:c r="J176" t="str">
        <x:v>BJP</x:v>
      </x:c>
      <x:c r="K176" t="str">
        <x:v>EVM row</x:v>
      </x:c>
      <x:c r="L176" s="133" t="str">
        <x:f>IF(D176&lt;=0,"No EVM votes",IF(E176&lt;$N$7,"Low",IF(E176&gt;$R$7,"High","Middle")))</x:f>
        <x:v>High</x:v>
      </x:c>
      <x:c r="M176" s="133" t="str">
        <x:f>IF(D176&lt;=0,"No EVM votes",IF(H176&lt;-20%,"Large deficit",IF(H176&lt;-5%,"Moderate deficit",IF(H176&lt;0,"Narrow deficit",IF(H176&lt;=5%,"Narrow lead/tie",IF(H176&lt;=20%,"Moderate lead","Large lead"))))))</x:f>
        <x:v>Large deficit</x:v>
      </x:c>
    </x:row>
    <x:row r="177">
      <x:c r="A177" t="n">
        <x:v>118</x:v>
      </x:c>
      <x:c r="B177" t="str">
        <x:v>[Location not in Form 20 PDF]</x:v>
      </x:c>
      <x:c r="C177" s="83" t="n">
        <x:f>'2024 Form20'!H126</x:f>
        <x:v>38</x:v>
      </x:c>
      <x:c r="D177" s="83" t="n">
        <x:f>'2024 Form20'!D126</x:f>
        <x:v>425</x:v>
      </x:c>
      <x:c r="E177" s="50" t="n">
        <x:f>'2024 Form20'!W126</x:f>
        <x:v>0.08941176470588236</x:v>
      </x:c>
      <x:c r="F177" t="n">
        <x:f>'2024 Form20'!X126</x:f>
        <x:v>201</x:v>
      </x:c>
      <x:c r="G177" t="n">
        <x:f>'2024 Form20'!Y126</x:f>
        <x:v>-163</x:v>
      </x:c>
      <x:c r="H177" s="52" t="n">
        <x:f>'2024 Form20'!Z126</x:f>
        <x:v>-0.3835294117647059</x:v>
      </x:c>
      <x:c r="I177" t="str">
        <x:v>Dr. Mahesh Sharma</x:v>
      </x:c>
      <x:c r="J177" t="str">
        <x:v>BJP</x:v>
      </x:c>
      <x:c r="K177" t="str">
        <x:v>EVM row</x:v>
      </x:c>
      <x:c r="L177" s="133" t="str">
        <x:f>IF(D177&lt;=0,"No EVM votes",IF(E177&lt;$N$7,"Low",IF(E177&gt;$R$7,"High","Middle")))</x:f>
        <x:v>Middle</x:v>
      </x:c>
      <x:c r="M177" s="133" t="str">
        <x:f>IF(D177&lt;=0,"No EVM votes",IF(H177&lt;-20%,"Large deficit",IF(H177&lt;-5%,"Moderate deficit",IF(H177&lt;0,"Narrow deficit",IF(H177&lt;=5%,"Narrow lead/tie",IF(H177&lt;=20%,"Moderate lead","Large lead"))))))</x:f>
        <x:v>Large deficit</x:v>
      </x:c>
    </x:row>
    <x:row r="178">
      <x:c r="A178" t="n">
        <x:v>119</x:v>
      </x:c>
      <x:c r="B178" t="str">
        <x:v>[Location not in Form 20 PDF]</x:v>
      </x:c>
      <x:c r="C178" s="83" t="n">
        <x:f>'2024 Form20'!H127</x:f>
        <x:v>127</x:v>
      </x:c>
      <x:c r="D178" s="83" t="n">
        <x:f>'2024 Form20'!D127</x:f>
        <x:v>514</x:v>
      </x:c>
      <x:c r="E178" s="50" t="n">
        <x:f>'2024 Form20'!W127</x:f>
        <x:v>0.24708171206225682</x:v>
      </x:c>
      <x:c r="F178" t="n">
        <x:f>'2024 Form20'!X127</x:f>
        <x:v>205</x:v>
      </x:c>
      <x:c r="G178" t="n">
        <x:f>'2024 Form20'!Y127</x:f>
        <x:v>-78</x:v>
      </x:c>
      <x:c r="H178" s="52" t="n">
        <x:f>'2024 Form20'!Z127</x:f>
        <x:v>-0.1517509727626459</x:v>
      </x:c>
      <x:c r="I178" t="str">
        <x:v>Dr. Mahesh Sharma</x:v>
      </x:c>
      <x:c r="J178" t="str">
        <x:v>BJP</x:v>
      </x:c>
      <x:c r="K178" t="str">
        <x:v>EVM row</x:v>
      </x:c>
      <x:c r="L178" s="133" t="str">
        <x:f>IF(D178&lt;=0,"No EVM votes",IF(E178&lt;$N$7,"Low",IF(E178&gt;$R$7,"High","Middle")))</x:f>
        <x:v>High</x:v>
      </x:c>
      <x:c r="M178" s="133" t="str">
        <x:f>IF(D178&lt;=0,"No EVM votes",IF(H178&lt;-20%,"Large deficit",IF(H178&lt;-5%,"Moderate deficit",IF(H178&lt;0,"Narrow deficit",IF(H178&lt;=5%,"Narrow lead/tie",IF(H178&lt;=20%,"Moderate lead","Large lead"))))))</x:f>
        <x:v>Moderate deficit</x:v>
      </x:c>
    </x:row>
    <x:row r="179">
      <x:c r="A179" t="n">
        <x:v>120</x:v>
      </x:c>
      <x:c r="B179" t="str">
        <x:v>[Location not in Form 20 PDF]</x:v>
      </x:c>
      <x:c r="C179" s="83" t="n">
        <x:f>'2024 Form20'!H128</x:f>
        <x:v>75</x:v>
      </x:c>
      <x:c r="D179" s="83" t="n">
        <x:f>'2024 Form20'!D128</x:f>
        <x:v>759</x:v>
      </x:c>
      <x:c r="E179" s="50" t="n">
        <x:f>'2024 Form20'!W128</x:f>
        <x:v>0.09881422924901186</x:v>
      </x:c>
      <x:c r="F179" t="n">
        <x:f>'2024 Form20'!X128</x:f>
        <x:v>499</x:v>
      </x:c>
      <x:c r="G179" t="n">
        <x:f>'2024 Form20'!Y128</x:f>
        <x:v>-424</x:v>
      </x:c>
      <x:c r="H179" s="52" t="n">
        <x:f>'2024 Form20'!Z128</x:f>
        <x:v>-0.5586297760210803</x:v>
      </x:c>
      <x:c r="I179" t="str">
        <x:v>Rajendra Singh Solanki</x:v>
      </x:c>
      <x:c r="J179" t="str">
        <x:v>BSP</x:v>
      </x:c>
      <x:c r="K179" t="str">
        <x:v>EVM row</x:v>
      </x:c>
      <x:c r="L179" s="133" t="str">
        <x:f>IF(D179&lt;=0,"No EVM votes",IF(E179&lt;$N$7,"Low",IF(E179&gt;$R$7,"High","Middle")))</x:f>
        <x:v>Middle</x:v>
      </x:c>
      <x:c r="M179" s="133" t="str">
        <x:f>IF(D179&lt;=0,"No EVM votes",IF(H179&lt;-20%,"Large deficit",IF(H179&lt;-5%,"Moderate deficit",IF(H179&lt;0,"Narrow deficit",IF(H179&lt;=5%,"Narrow lead/tie",IF(H179&lt;=20%,"Moderate lead","Large lead"))))))</x:f>
        <x:v>Large deficit</x:v>
      </x:c>
    </x:row>
    <x:row r="180">
      <x:c r="A180" t="n">
        <x:v>121</x:v>
      </x:c>
      <x:c r="B180" t="str">
        <x:v>[Location not in Form 20 PDF]</x:v>
      </x:c>
      <x:c r="C180" s="83" t="n">
        <x:f>'2024 Form20'!H129</x:f>
        <x:v>127</x:v>
      </x:c>
      <x:c r="D180" s="83" t="n">
        <x:f>'2024 Form20'!D129</x:f>
        <x:v>627</x:v>
      </x:c>
      <x:c r="E180" s="50" t="n">
        <x:f>'2024 Form20'!W129</x:f>
        <x:v>0.2025518341307815</x:v>
      </x:c>
      <x:c r="F180" t="n">
        <x:f>'2024 Form20'!X129</x:f>
        <x:v>419</x:v>
      </x:c>
      <x:c r="G180" t="n">
        <x:f>'2024 Form20'!Y129</x:f>
        <x:v>-292</x:v>
      </x:c>
      <x:c r="H180" s="52" t="n">
        <x:f>'2024 Form20'!Z129</x:f>
        <x:v>-0.46570972886762363</x:v>
      </x:c>
      <x:c r="I180" t="str">
        <x:v>Dr. Mahesh Sharma</x:v>
      </x:c>
      <x:c r="J180" t="str">
        <x:v>BJP</x:v>
      </x:c>
      <x:c r="K180" t="str">
        <x:v>EVM row</x:v>
      </x:c>
      <x:c r="L180" s="133" t="str">
        <x:f>IF(D180&lt;=0,"No EVM votes",IF(E180&lt;$N$7,"Low",IF(E180&gt;$R$7,"High","Middle")))</x:f>
        <x:v>Middle</x:v>
      </x:c>
      <x:c r="M180" s="133" t="str">
        <x:f>IF(D180&lt;=0,"No EVM votes",IF(H180&lt;-20%,"Large deficit",IF(H180&lt;-5%,"Moderate deficit",IF(H180&lt;0,"Narrow deficit",IF(H180&lt;=5%,"Narrow lead/tie",IF(H180&lt;=20%,"Moderate lead","Large lead"))))))</x:f>
        <x:v>Large deficit</x:v>
      </x:c>
    </x:row>
    <x:row r="181">
      <x:c r="A181" t="n">
        <x:v>122</x:v>
      </x:c>
      <x:c r="B181" t="str">
        <x:v>[Location not in Form 20 PDF]</x:v>
      </x:c>
      <x:c r="C181" s="83" t="n">
        <x:f>'2024 Form20'!H130</x:f>
        <x:v>79</x:v>
      </x:c>
      <x:c r="D181" s="83" t="n">
        <x:f>'2024 Form20'!D130</x:f>
        <x:v>587</x:v>
      </x:c>
      <x:c r="E181" s="50" t="n">
        <x:f>'2024 Form20'!W130</x:f>
        <x:v>0.13458262350936967</x:v>
      </x:c>
      <x:c r="F181" t="n">
        <x:f>'2024 Form20'!X130</x:f>
        <x:v>422</x:v>
      </x:c>
      <x:c r="G181" t="n">
        <x:f>'2024 Form20'!Y130</x:f>
        <x:v>-343</x:v>
      </x:c>
      <x:c r="H181" s="52" t="n">
        <x:f>'2024 Form20'!Z130</x:f>
        <x:v>-0.5843270868824532</x:v>
      </x:c>
      <x:c r="I181" t="str">
        <x:v>Dr. Mahesh Sharma</x:v>
      </x:c>
      <x:c r="J181" t="str">
        <x:v>BJP</x:v>
      </x:c>
      <x:c r="K181" t="str">
        <x:v>EVM row</x:v>
      </x:c>
      <x:c r="L181" s="133" t="str">
        <x:f>IF(D181&lt;=0,"No EVM votes",IF(E181&lt;$N$7,"Low",IF(E181&gt;$R$7,"High","Middle")))</x:f>
        <x:v>Middle</x:v>
      </x:c>
      <x:c r="M181" s="133" t="str">
        <x:f>IF(D181&lt;=0,"No EVM votes",IF(H181&lt;-20%,"Large deficit",IF(H181&lt;-5%,"Moderate deficit",IF(H181&lt;0,"Narrow deficit",IF(H181&lt;=5%,"Narrow lead/tie",IF(H181&lt;=20%,"Moderate lead","Large lead"))))))</x:f>
        <x:v>Large deficit</x:v>
      </x:c>
    </x:row>
    <x:row r="182">
      <x:c r="A182" t="n">
        <x:v>123</x:v>
      </x:c>
      <x:c r="B182" t="str">
        <x:v>[Location not in Form 20 PDF]</x:v>
      </x:c>
      <x:c r="C182" s="83" t="n">
        <x:f>'2024 Form20'!H131</x:f>
        <x:v>242</x:v>
      </x:c>
      <x:c r="D182" s="83" t="n">
        <x:f>'2024 Form20'!D131</x:f>
        <x:v>463</x:v>
      </x:c>
      <x:c r="E182" s="50" t="n">
        <x:f>'2024 Form20'!W131</x:f>
        <x:v>0.5226781857451404</x:v>
      </x:c>
      <x:c r="F182" t="n">
        <x:f>'2024 Form20'!X131</x:f>
        <x:v>206</x:v>
      </x:c>
      <x:c r="G182" t="n">
        <x:f>'2024 Form20'!Y131</x:f>
        <x:v>36</x:v>
      </x:c>
      <x:c r="H182" s="52" t="n">
        <x:f>'2024 Form20'!Z131</x:f>
        <x:v>0.07775377969762419</x:v>
      </x:c>
      <x:c r="I182" t="str">
        <x:v>Dr. Mahendra Singh Nagar</x:v>
      </x:c>
      <x:c r="J182" t="str">
        <x:v>SP</x:v>
      </x:c>
      <x:c r="K182" t="str">
        <x:v>EVM row</x:v>
      </x:c>
      <x:c r="L182" s="133" t="str">
        <x:f>IF(D182&lt;=0,"No EVM votes",IF(E182&lt;$N$7,"Low",IF(E182&gt;$R$7,"High","Middle")))</x:f>
        <x:v>High</x:v>
      </x:c>
      <x:c r="M182" s="133" t="str">
        <x:f>IF(D182&lt;=0,"No EVM votes",IF(H182&lt;-20%,"Large deficit",IF(H182&lt;-5%,"Moderate deficit",IF(H182&lt;0,"Narrow deficit",IF(H182&lt;=5%,"Narrow lead/tie",IF(H182&lt;=20%,"Moderate lead","Large lead"))))))</x:f>
        <x:v>Moderate lead</x:v>
      </x:c>
    </x:row>
    <x:row r="183">
      <x:c r="A183" t="n">
        <x:v>124</x:v>
      </x:c>
      <x:c r="B183" t="str">
        <x:v>[Location not in Form 20 PDF]</x:v>
      </x:c>
      <x:c r="C183" s="83" t="n">
        <x:f>'2024 Form20'!H132</x:f>
        <x:v>210</x:v>
      </x:c>
      <x:c r="D183" s="83" t="n">
        <x:f>'2024 Form20'!D132</x:f>
        <x:v>422</x:v>
      </x:c>
      <x:c r="E183" s="50" t="n">
        <x:f>'2024 Form20'!W132</x:f>
        <x:v>0.4976303317535545</x:v>
      </x:c>
      <x:c r="F183" t="n">
        <x:f>'2024 Form20'!X132</x:f>
        <x:v>199</x:v>
      </x:c>
      <x:c r="G183" t="n">
        <x:f>'2024 Form20'!Y132</x:f>
        <x:v>11</x:v>
      </x:c>
      <x:c r="H183" s="52" t="n">
        <x:f>'2024 Form20'!Z132</x:f>
        <x:v>0.026066350710900472</x:v>
      </x:c>
      <x:c r="I183" t="str">
        <x:v>Dr. Mahendra Singh Nagar</x:v>
      </x:c>
      <x:c r="J183" t="str">
        <x:v>SP</x:v>
      </x:c>
      <x:c r="K183" t="str">
        <x:v>EVM row</x:v>
      </x:c>
      <x:c r="L183" s="133" t="str">
        <x:f>IF(D183&lt;=0,"No EVM votes",IF(E183&lt;$N$7,"Low",IF(E183&gt;$R$7,"High","Middle")))</x:f>
        <x:v>High</x:v>
      </x:c>
      <x:c r="M183" s="133" t="str">
        <x:f>IF(D183&lt;=0,"No EVM votes",IF(H183&lt;-20%,"Large deficit",IF(H183&lt;-5%,"Moderate deficit",IF(H183&lt;0,"Narrow deficit",IF(H183&lt;=5%,"Narrow lead/tie",IF(H183&lt;=20%,"Moderate lead","Large lead"))))))</x:f>
        <x:v>Narrow lead/tie</x:v>
      </x:c>
    </x:row>
    <x:row r="184">
      <x:c r="A184" t="n">
        <x:v>125</x:v>
      </x:c>
      <x:c r="B184" t="str">
        <x:v>[Location not in Form 20 PDF]</x:v>
      </x:c>
      <x:c r="C184" s="83" t="n">
        <x:f>'2024 Form20'!H133</x:f>
        <x:v>74</x:v>
      </x:c>
      <x:c r="D184" s="83" t="n">
        <x:f>'2024 Form20'!D133</x:f>
        <x:v>664</x:v>
      </x:c>
      <x:c r="E184" s="50" t="n">
        <x:f>'2024 Form20'!W133</x:f>
        <x:v>0.11144578313253012</x:v>
      </x:c>
      <x:c r="F184" t="n">
        <x:f>'2024 Form20'!X133</x:f>
        <x:v>430</x:v>
      </x:c>
      <x:c r="G184" t="n">
        <x:f>'2024 Form20'!Y133</x:f>
        <x:v>-356</x:v>
      </x:c>
      <x:c r="H184" s="52" t="n">
        <x:f>'2024 Form20'!Z133</x:f>
        <x:v>-0.536144578313253</x:v>
      </x:c>
      <x:c r="I184" t="str">
        <x:v>Dr. Mahesh Sharma</x:v>
      </x:c>
      <x:c r="J184" t="str">
        <x:v>BJP</x:v>
      </x:c>
      <x:c r="K184" t="str">
        <x:v>EVM row</x:v>
      </x:c>
      <x:c r="L184" s="133" t="str">
        <x:f>IF(D184&lt;=0,"No EVM votes",IF(E184&lt;$N$7,"Low",IF(E184&gt;$R$7,"High","Middle")))</x:f>
        <x:v>Middle</x:v>
      </x:c>
      <x:c r="M184" s="133" t="str">
        <x:f>IF(D184&lt;=0,"No EVM votes",IF(H184&lt;-20%,"Large deficit",IF(H184&lt;-5%,"Moderate deficit",IF(H184&lt;0,"Narrow deficit",IF(H184&lt;=5%,"Narrow lead/tie",IF(H184&lt;=20%,"Moderate lead","Large lead"))))))</x:f>
        <x:v>Large deficit</x:v>
      </x:c>
    </x:row>
    <x:row r="185">
      <x:c r="A185" t="n">
        <x:v>126</x:v>
      </x:c>
      <x:c r="B185" t="str">
        <x:v>[Location not in Form 20 PDF]</x:v>
      </x:c>
      <x:c r="C185" s="83" t="n">
        <x:f>'2024 Form20'!H134</x:f>
        <x:v>94</x:v>
      </x:c>
      <x:c r="D185" s="83" t="n">
        <x:f>'2024 Form20'!D134</x:f>
        <x:v>430</x:v>
      </x:c>
      <x:c r="E185" s="50" t="n">
        <x:f>'2024 Form20'!W134</x:f>
        <x:v>0.2186046511627907</x:v>
      </x:c>
      <x:c r="F185" t="n">
        <x:f>'2024 Form20'!X134</x:f>
        <x:v>276</x:v>
      </x:c>
      <x:c r="G185" t="n">
        <x:f>'2024 Form20'!Y134</x:f>
        <x:v>-182</x:v>
      </x:c>
      <x:c r="H185" s="52" t="n">
        <x:f>'2024 Form20'!Z134</x:f>
        <x:v>-0.4232558139534884</x:v>
      </x:c>
      <x:c r="I185" t="str">
        <x:v>Dr. Mahesh Sharma</x:v>
      </x:c>
      <x:c r="J185" t="str">
        <x:v>BJP</x:v>
      </x:c>
      <x:c r="K185" t="str">
        <x:v>EVM row</x:v>
      </x:c>
      <x:c r="L185" s="133" t="str">
        <x:f>IF(D185&lt;=0,"No EVM votes",IF(E185&lt;$N$7,"Low",IF(E185&gt;$R$7,"High","Middle")))</x:f>
        <x:v>Middle</x:v>
      </x:c>
      <x:c r="M185" s="133" t="str">
        <x:f>IF(D185&lt;=0,"No EVM votes",IF(H185&lt;-20%,"Large deficit",IF(H185&lt;-5%,"Moderate deficit",IF(H185&lt;0,"Narrow deficit",IF(H185&lt;=5%,"Narrow lead/tie",IF(H185&lt;=20%,"Moderate lead","Large lead"))))))</x:f>
        <x:v>Large deficit</x:v>
      </x:c>
    </x:row>
    <x:row r="186">
      <x:c r="A186" t="n">
        <x:v>127</x:v>
      </x:c>
      <x:c r="B186" t="str">
        <x:v>[Location not in Form 20 PDF]</x:v>
      </x:c>
      <x:c r="C186" s="83" t="n">
        <x:f>'2024 Form20'!H135</x:f>
        <x:v>24</x:v>
      </x:c>
      <x:c r="D186" s="83" t="n">
        <x:f>'2024 Form20'!D135</x:f>
        <x:v>555</x:v>
      </x:c>
      <x:c r="E186" s="50" t="n">
        <x:f>'2024 Form20'!W135</x:f>
        <x:v>0.043243243243243246</x:v>
      </x:c>
      <x:c r="F186" t="n">
        <x:f>'2024 Form20'!X135</x:f>
        <x:v>263</x:v>
      </x:c>
      <x:c r="G186" t="n">
        <x:f>'2024 Form20'!Y135</x:f>
        <x:v>-239</x:v>
      </x:c>
      <x:c r="H186" s="52" t="n">
        <x:f>'2024 Form20'!Z135</x:f>
        <x:v>-0.4306306306306306</x:v>
      </x:c>
      <x:c r="I186" t="str">
        <x:v>Dr. Mahesh Sharma</x:v>
      </x:c>
      <x:c r="J186" t="str">
        <x:v>BJP</x:v>
      </x:c>
      <x:c r="K186" t="str">
        <x:v>EVM row</x:v>
      </x:c>
      <x:c r="L186" s="133" t="str">
        <x:f>IF(D186&lt;=0,"No EVM votes",IF(E186&lt;$N$7,"Low",IF(E186&gt;$R$7,"High","Middle")))</x:f>
        <x:v>Middle</x:v>
      </x:c>
      <x:c r="M186" s="133" t="str">
        <x:f>IF(D186&lt;=0,"No EVM votes",IF(H186&lt;-20%,"Large deficit",IF(H186&lt;-5%,"Moderate deficit",IF(H186&lt;0,"Narrow deficit",IF(H186&lt;=5%,"Narrow lead/tie",IF(H186&lt;=20%,"Moderate lead","Large lead"))))))</x:f>
        <x:v>Large deficit</x:v>
      </x:c>
    </x:row>
    <x:row r="187">
      <x:c r="A187" t="n">
        <x:v>128</x:v>
      </x:c>
      <x:c r="B187" t="str">
        <x:v>[Location not in Form 20 PDF]</x:v>
      </x:c>
      <x:c r="C187" s="83" t="n">
        <x:f>'2024 Form20'!H136</x:f>
        <x:v>10</x:v>
      </x:c>
      <x:c r="D187" s="83" t="n">
        <x:f>'2024 Form20'!D136</x:f>
        <x:v>727</x:v>
      </x:c>
      <x:c r="E187" s="50" t="n">
        <x:f>'2024 Form20'!W136</x:f>
        <x:v>0.013755158184319119</x:v>
      </x:c>
      <x:c r="F187" t="n">
        <x:f>'2024 Form20'!X136</x:f>
        <x:v>447</x:v>
      </x:c>
      <x:c r="G187" t="n">
        <x:f>'2024 Form20'!Y136</x:f>
        <x:v>-437</x:v>
      </x:c>
      <x:c r="H187" s="52" t="n">
        <x:f>'2024 Form20'!Z136</x:f>
        <x:v>-0.6011004126547456</x:v>
      </x:c>
      <x:c r="I187" t="str">
        <x:v>Rajendra Singh Solanki</x:v>
      </x:c>
      <x:c r="J187" t="str">
        <x:v>BSP</x:v>
      </x:c>
      <x:c r="K187" t="str">
        <x:v>EVM row</x:v>
      </x:c>
      <x:c r="L187" s="133" t="str">
        <x:f>IF(D187&lt;=0,"No EVM votes",IF(E187&lt;$N$7,"Low",IF(E187&gt;$R$7,"High","Middle")))</x:f>
        <x:v>Low</x:v>
      </x:c>
      <x:c r="M187" s="133" t="str">
        <x:f>IF(D187&lt;=0,"No EVM votes",IF(H187&lt;-20%,"Large deficit",IF(H187&lt;-5%,"Moderate deficit",IF(H187&lt;0,"Narrow deficit",IF(H187&lt;=5%,"Narrow lead/tie",IF(H187&lt;=20%,"Moderate lead","Large lead"))))))</x:f>
        <x:v>Large deficit</x:v>
      </x:c>
    </x:row>
    <x:row r="188">
      <x:c r="A188" t="n">
        <x:v>129</x:v>
      </x:c>
      <x:c r="B188" t="str">
        <x:v>[Location not in Form 20 PDF]</x:v>
      </x:c>
      <x:c r="C188" s="83" t="n">
        <x:f>'2024 Form20'!H137</x:f>
        <x:v>45</x:v>
      </x:c>
      <x:c r="D188" s="83" t="n">
        <x:f>'2024 Form20'!D137</x:f>
        <x:v>489</x:v>
      </x:c>
      <x:c r="E188" s="50" t="n">
        <x:f>'2024 Form20'!W137</x:f>
        <x:v>0.09202453987730061</x:v>
      </x:c>
      <x:c r="F188" t="n">
        <x:f>'2024 Form20'!X137</x:f>
        <x:v>325</x:v>
      </x:c>
      <x:c r="G188" t="n">
        <x:f>'2024 Form20'!Y137</x:f>
        <x:v>-280</x:v>
      </x:c>
      <x:c r="H188" s="52" t="n">
        <x:f>'2024 Form20'!Z137</x:f>
        <x:v>-0.5725971370143149</x:v>
      </x:c>
      <x:c r="I188" t="str">
        <x:v>Dr. Mahesh Sharma</x:v>
      </x:c>
      <x:c r="J188" t="str">
        <x:v>BJP</x:v>
      </x:c>
      <x:c r="K188" t="str">
        <x:v>EVM row</x:v>
      </x:c>
      <x:c r="L188" s="133" t="str">
        <x:f>IF(D188&lt;=0,"No EVM votes",IF(E188&lt;$N$7,"Low",IF(E188&gt;$R$7,"High","Middle")))</x:f>
        <x:v>Middle</x:v>
      </x:c>
      <x:c r="M188" s="133" t="str">
        <x:f>IF(D188&lt;=0,"No EVM votes",IF(H188&lt;-20%,"Large deficit",IF(H188&lt;-5%,"Moderate deficit",IF(H188&lt;0,"Narrow deficit",IF(H188&lt;=5%,"Narrow lead/tie",IF(H188&lt;=20%,"Moderate lead","Large lead"))))))</x:f>
        <x:v>Large deficit</x:v>
      </x:c>
    </x:row>
    <x:row r="189">
      <x:c r="A189" t="n">
        <x:v>130</x:v>
      </x:c>
      <x:c r="B189" t="str">
        <x:v>[Location not in Form 20 PDF]</x:v>
      </x:c>
      <x:c r="C189" s="83" t="n">
        <x:f>'2024 Form20'!H138</x:f>
        <x:v>59</x:v>
      </x:c>
      <x:c r="D189" s="83" t="n">
        <x:f>'2024 Form20'!D138</x:f>
        <x:v>509</x:v>
      </x:c>
      <x:c r="E189" s="50" t="n">
        <x:f>'2024 Form20'!W138</x:f>
        <x:v>0.11591355599214145</x:v>
      </x:c>
      <x:c r="F189" t="n">
        <x:f>'2024 Form20'!X138</x:f>
        <x:v>237</x:v>
      </x:c>
      <x:c r="G189" t="n">
        <x:f>'2024 Form20'!Y138</x:f>
        <x:v>-178</x:v>
      </x:c>
      <x:c r="H189" s="52" t="n">
        <x:f>'2024 Form20'!Z138</x:f>
        <x:v>-0.34970530451866405</x:v>
      </x:c>
      <x:c r="I189" t="str">
        <x:v>Rajendra Singh Solanki</x:v>
      </x:c>
      <x:c r="J189" t="str">
        <x:v>BSP</x:v>
      </x:c>
      <x:c r="K189" t="str">
        <x:v>EVM row</x:v>
      </x:c>
      <x:c r="L189" s="133" t="str">
        <x:f>IF(D189&lt;=0,"No EVM votes",IF(E189&lt;$N$7,"Low",IF(E189&gt;$R$7,"High","Middle")))</x:f>
        <x:v>Middle</x:v>
      </x:c>
      <x:c r="M189" s="133" t="str">
        <x:f>IF(D189&lt;=0,"No EVM votes",IF(H189&lt;-20%,"Large deficit",IF(H189&lt;-5%,"Moderate deficit",IF(H189&lt;0,"Narrow deficit",IF(H189&lt;=5%,"Narrow lead/tie",IF(H189&lt;=20%,"Moderate lead","Large lead"))))))</x:f>
        <x:v>Large deficit</x:v>
      </x:c>
    </x:row>
    <x:row r="190">
      <x:c r="A190" t="n">
        <x:v>131</x:v>
      </x:c>
      <x:c r="B190" t="str">
        <x:v>[Location not in Form 20 PDF]</x:v>
      </x:c>
      <x:c r="C190" s="83" t="n">
        <x:f>'2024 Form20'!H139</x:f>
        <x:v>55</x:v>
      </x:c>
      <x:c r="D190" s="83" t="n">
        <x:f>'2024 Form20'!D139</x:f>
        <x:v>501</x:v>
      </x:c>
      <x:c r="E190" s="50" t="n">
        <x:f>'2024 Form20'!W139</x:f>
        <x:v>0.10978043912175649</x:v>
      </x:c>
      <x:c r="F190" t="n">
        <x:f>'2024 Form20'!X139</x:f>
        <x:v>327</x:v>
      </x:c>
      <x:c r="G190" t="n">
        <x:f>'2024 Form20'!Y139</x:f>
        <x:v>-272</x:v>
      </x:c>
      <x:c r="H190" s="52" t="n">
        <x:f>'2024 Form20'!Z139</x:f>
        <x:v>-0.5429141716566867</x:v>
      </x:c>
      <x:c r="I190" t="str">
        <x:v>Dr. Mahesh Sharma</x:v>
      </x:c>
      <x:c r="J190" t="str">
        <x:v>BJP</x:v>
      </x:c>
      <x:c r="K190" t="str">
        <x:v>EVM row</x:v>
      </x:c>
      <x:c r="L190" s="133" t="str">
        <x:f>IF(D190&lt;=0,"No EVM votes",IF(E190&lt;$N$7,"Low",IF(E190&gt;$R$7,"High","Middle")))</x:f>
        <x:v>Middle</x:v>
      </x:c>
      <x:c r="M190" s="133" t="str">
        <x:f>IF(D190&lt;=0,"No EVM votes",IF(H190&lt;-20%,"Large deficit",IF(H190&lt;-5%,"Moderate deficit",IF(H190&lt;0,"Narrow deficit",IF(H190&lt;=5%,"Narrow lead/tie",IF(H190&lt;=20%,"Moderate lead","Large lead"))))))</x:f>
        <x:v>Large deficit</x:v>
      </x:c>
    </x:row>
    <x:row r="191">
      <x:c r="A191" t="n">
        <x:v>132</x:v>
      </x:c>
      <x:c r="B191" t="str">
        <x:v>[Location not in Form 20 PDF]</x:v>
      </x:c>
      <x:c r="C191" s="83" t="n">
        <x:f>'2024 Form20'!H140</x:f>
        <x:v>47</x:v>
      </x:c>
      <x:c r="D191" s="83" t="n">
        <x:f>'2024 Form20'!D140</x:f>
        <x:v>733</x:v>
      </x:c>
      <x:c r="E191" s="50" t="n">
        <x:f>'2024 Form20'!W140</x:f>
        <x:v>0.06412005457025921</x:v>
      </x:c>
      <x:c r="F191" t="n">
        <x:f>'2024 Form20'!X140</x:f>
        <x:v>423</x:v>
      </x:c>
      <x:c r="G191" t="n">
        <x:f>'2024 Form20'!Y140</x:f>
        <x:v>-376</x:v>
      </x:c>
      <x:c r="H191" s="52" t="n">
        <x:f>'2024 Form20'!Z140</x:f>
        <x:v>-0.5129604365620737</x:v>
      </x:c>
      <x:c r="I191" t="str">
        <x:v>Dr. Mahesh Sharma</x:v>
      </x:c>
      <x:c r="J191" t="str">
        <x:v>BJP</x:v>
      </x:c>
      <x:c r="K191" t="str">
        <x:v>EVM row</x:v>
      </x:c>
      <x:c r="L191" s="133" t="str">
        <x:f>IF(D191&lt;=0,"No EVM votes",IF(E191&lt;$N$7,"Low",IF(E191&gt;$R$7,"High","Middle")))</x:f>
        <x:v>Middle</x:v>
      </x:c>
      <x:c r="M191" s="133" t="str">
        <x:f>IF(D191&lt;=0,"No EVM votes",IF(H191&lt;-20%,"Large deficit",IF(H191&lt;-5%,"Moderate deficit",IF(H191&lt;0,"Narrow deficit",IF(H191&lt;=5%,"Narrow lead/tie",IF(H191&lt;=20%,"Moderate lead","Large lead"))))))</x:f>
        <x:v>Large deficit</x:v>
      </x:c>
    </x:row>
    <x:row r="192">
      <x:c r="A192" t="n">
        <x:v>133</x:v>
      </x:c>
      <x:c r="B192" t="str">
        <x:v>[Location not in Form 20 PDF]</x:v>
      </x:c>
      <x:c r="C192" s="83" t="n">
        <x:f>'2024 Form20'!H141</x:f>
        <x:v>5</x:v>
      </x:c>
      <x:c r="D192" s="83" t="n">
        <x:f>'2024 Form20'!D141</x:f>
        <x:v>514</x:v>
      </x:c>
      <x:c r="E192" s="50" t="n">
        <x:f>'2024 Form20'!W141</x:f>
        <x:v>0.009727626459143969</x:v>
      </x:c>
      <x:c r="F192" t="n">
        <x:f>'2024 Form20'!X141</x:f>
        <x:v>354</x:v>
      </x:c>
      <x:c r="G192" t="n">
        <x:f>'2024 Form20'!Y141</x:f>
        <x:v>-349</x:v>
      </x:c>
      <x:c r="H192" s="52" t="n">
        <x:f>'2024 Form20'!Z141</x:f>
        <x:v>-0.6789883268482491</x:v>
      </x:c>
      <x:c r="I192" t="str">
        <x:v>Dr. Mahesh Sharma</x:v>
      </x:c>
      <x:c r="J192" t="str">
        <x:v>BJP</x:v>
      </x:c>
      <x:c r="K192" t="str">
        <x:v>EVM row</x:v>
      </x:c>
      <x:c r="L192" s="133" t="str">
        <x:f>IF(D192&lt;=0,"No EVM votes",IF(E192&lt;$N$7,"Low",IF(E192&gt;$R$7,"High","Middle")))</x:f>
        <x:v>Low</x:v>
      </x:c>
      <x:c r="M192" s="133" t="str">
        <x:f>IF(D192&lt;=0,"No EVM votes",IF(H192&lt;-20%,"Large deficit",IF(H192&lt;-5%,"Moderate deficit",IF(H192&lt;0,"Narrow deficit",IF(H192&lt;=5%,"Narrow lead/tie",IF(H192&lt;=20%,"Moderate lead","Large lead"))))))</x:f>
        <x:v>Large deficit</x:v>
      </x:c>
    </x:row>
    <x:row r="193">
      <x:c r="A193" t="n">
        <x:v>134</x:v>
      </x:c>
      <x:c r="B193" t="str">
        <x:v>[Location not in Form 20 PDF]</x:v>
      </x:c>
      <x:c r="C193" s="83" t="n">
        <x:f>'2024 Form20'!H142</x:f>
        <x:v>128</x:v>
      </x:c>
      <x:c r="D193" s="83" t="n">
        <x:f>'2024 Form20'!D142</x:f>
        <x:v>609</x:v>
      </x:c>
      <x:c r="E193" s="50" t="n">
        <x:f>'2024 Form20'!W142</x:f>
        <x:v>0.21018062397372742</x:v>
      </x:c>
      <x:c r="F193" t="n">
        <x:f>'2024 Form20'!X142</x:f>
        <x:v>358</x:v>
      </x:c>
      <x:c r="G193" t="n">
        <x:f>'2024 Form20'!Y142</x:f>
        <x:v>-230</x:v>
      </x:c>
      <x:c r="H193" s="52" t="n">
        <x:f>'2024 Form20'!Z142</x:f>
        <x:v>-0.37766830870279144</x:v>
      </x:c>
      <x:c r="I193" t="str">
        <x:v>Rajendra Singh Solanki</x:v>
      </x:c>
      <x:c r="J193" t="str">
        <x:v>BSP</x:v>
      </x:c>
      <x:c r="K193" t="str">
        <x:v>EVM row</x:v>
      </x:c>
      <x:c r="L193" s="133" t="str">
        <x:f>IF(D193&lt;=0,"No EVM votes",IF(E193&lt;$N$7,"Low",IF(E193&gt;$R$7,"High","Middle")))</x:f>
        <x:v>Middle</x:v>
      </x:c>
      <x:c r="M193" s="133" t="str">
        <x:f>IF(D193&lt;=0,"No EVM votes",IF(H193&lt;-20%,"Large deficit",IF(H193&lt;-5%,"Moderate deficit",IF(H193&lt;0,"Narrow deficit",IF(H193&lt;=5%,"Narrow lead/tie",IF(H193&lt;=20%,"Moderate lead","Large lead"))))))</x:f>
        <x:v>Large deficit</x:v>
      </x:c>
    </x:row>
    <x:row r="194">
      <x:c r="A194" t="n">
        <x:v>135</x:v>
      </x:c>
      <x:c r="B194" t="str">
        <x:v>[Location not in Form 20 PDF]</x:v>
      </x:c>
      <x:c r="C194" s="83" t="n">
        <x:f>'2024 Form20'!H143</x:f>
        <x:v>242</x:v>
      </x:c>
      <x:c r="D194" s="83" t="n">
        <x:f>'2024 Form20'!D143</x:f>
        <x:v>808</x:v>
      </x:c>
      <x:c r="E194" s="50" t="n">
        <x:f>'2024 Form20'!W143</x:f>
        <x:v>0.2995049504950495</x:v>
      </x:c>
      <x:c r="F194" t="n">
        <x:f>'2024 Form20'!X143</x:f>
        <x:v>454</x:v>
      </x:c>
      <x:c r="G194" t="n">
        <x:f>'2024 Form20'!Y143</x:f>
        <x:v>-212</x:v>
      </x:c>
      <x:c r="H194" s="52" t="n">
        <x:f>'2024 Form20'!Z143</x:f>
        <x:v>-0.2623762376237624</x:v>
      </x:c>
      <x:c r="I194" t="str">
        <x:v>Rajendra Singh Solanki</x:v>
      </x:c>
      <x:c r="J194" t="str">
        <x:v>BSP</x:v>
      </x:c>
      <x:c r="K194" t="str">
        <x:v>EVM row</x:v>
      </x:c>
      <x:c r="L194" s="133" t="str">
        <x:f>IF(D194&lt;=0,"No EVM votes",IF(E194&lt;$N$7,"Low",IF(E194&gt;$R$7,"High","Middle")))</x:f>
        <x:v>High</x:v>
      </x:c>
      <x:c r="M194" s="133" t="str">
        <x:f>IF(D194&lt;=0,"No EVM votes",IF(H194&lt;-20%,"Large deficit",IF(H194&lt;-5%,"Moderate deficit",IF(H194&lt;0,"Narrow deficit",IF(H194&lt;=5%,"Narrow lead/tie",IF(H194&lt;=20%,"Moderate lead","Large lead"))))))</x:f>
        <x:v>Large deficit</x:v>
      </x:c>
    </x:row>
    <x:row r="195">
      <x:c r="A195" t="n">
        <x:v>136</x:v>
      </x:c>
      <x:c r="B195" t="str">
        <x:v>[Location not in Form 20 PDF]</x:v>
      </x:c>
      <x:c r="C195" s="83" t="n">
        <x:f>'2024 Form20'!H144</x:f>
        <x:v>10</x:v>
      </x:c>
      <x:c r="D195" s="83" t="n">
        <x:f>'2024 Form20'!D144</x:f>
        <x:v>596</x:v>
      </x:c>
      <x:c r="E195" s="50" t="n">
        <x:f>'2024 Form20'!W144</x:f>
        <x:v>0.016778523489932886</x:v>
      </x:c>
      <x:c r="F195" t="n">
        <x:f>'2024 Form20'!X144</x:f>
        <x:v>378</x:v>
      </x:c>
      <x:c r="G195" t="n">
        <x:f>'2024 Form20'!Y144</x:f>
        <x:v>-368</x:v>
      </x:c>
      <x:c r="H195" s="52" t="n">
        <x:f>'2024 Form20'!Z144</x:f>
        <x:v>-0.6174496644295302</x:v>
      </x:c>
      <x:c r="I195" t="str">
        <x:v>Dr. Mahesh Sharma</x:v>
      </x:c>
      <x:c r="J195" t="str">
        <x:v>BJP</x:v>
      </x:c>
      <x:c r="K195" t="str">
        <x:v>EVM row</x:v>
      </x:c>
      <x:c r="L195" s="133" t="str">
        <x:f>IF(D195&lt;=0,"No EVM votes",IF(E195&lt;$N$7,"Low",IF(E195&gt;$R$7,"High","Middle")))</x:f>
        <x:v>Low</x:v>
      </x:c>
      <x:c r="M195" s="133" t="str">
        <x:f>IF(D195&lt;=0,"No EVM votes",IF(H195&lt;-20%,"Large deficit",IF(H195&lt;-5%,"Moderate deficit",IF(H195&lt;0,"Narrow deficit",IF(H195&lt;=5%,"Narrow lead/tie",IF(H195&lt;=20%,"Moderate lead","Large lead"))))))</x:f>
        <x:v>Large deficit</x:v>
      </x:c>
    </x:row>
    <x:row r="196">
      <x:c r="A196" t="n">
        <x:v>137</x:v>
      </x:c>
      <x:c r="B196" t="str">
        <x:v>[Location not in Form 20 PDF]</x:v>
      </x:c>
      <x:c r="C196" s="83" t="n">
        <x:f>'2024 Form20'!H145</x:f>
        <x:v>17</x:v>
      </x:c>
      <x:c r="D196" s="83" t="n">
        <x:f>'2024 Form20'!D145</x:f>
        <x:v>473</x:v>
      </x:c>
      <x:c r="E196" s="50" t="n">
        <x:f>'2024 Form20'!W145</x:f>
        <x:v>0.035940803382663845</x:v>
      </x:c>
      <x:c r="F196" t="n">
        <x:f>'2024 Form20'!X145</x:f>
        <x:v>330</x:v>
      </x:c>
      <x:c r="G196" t="n">
        <x:f>'2024 Form20'!Y145</x:f>
        <x:v>-313</x:v>
      </x:c>
      <x:c r="H196" s="52" t="n">
        <x:f>'2024 Form20'!Z145</x:f>
        <x:v>-0.6617336152219874</x:v>
      </x:c>
      <x:c r="I196" t="str">
        <x:v>Dr. Mahesh Sharma</x:v>
      </x:c>
      <x:c r="J196" t="str">
        <x:v>BJP</x:v>
      </x:c>
      <x:c r="K196" t="str">
        <x:v>EVM row</x:v>
      </x:c>
      <x:c r="L196" s="133" t="str">
        <x:f>IF(D196&lt;=0,"No EVM votes",IF(E196&lt;$N$7,"Low",IF(E196&gt;$R$7,"High","Middle")))</x:f>
        <x:v>Middle</x:v>
      </x:c>
      <x:c r="M196" s="133" t="str">
        <x:f>IF(D196&lt;=0,"No EVM votes",IF(H196&lt;-20%,"Large deficit",IF(H196&lt;-5%,"Moderate deficit",IF(H196&lt;0,"Narrow deficit",IF(H196&lt;=5%,"Narrow lead/tie",IF(H196&lt;=20%,"Moderate lead","Large lead"))))))</x:f>
        <x:v>Large deficit</x:v>
      </x:c>
    </x:row>
    <x:row r="197">
      <x:c r="A197" t="n">
        <x:v>138</x:v>
      </x:c>
      <x:c r="B197" t="str">
        <x:v>[Location not in Form 20 PDF]</x:v>
      </x:c>
      <x:c r="C197" s="83" t="n">
        <x:f>'2024 Form20'!H146</x:f>
        <x:v>51</x:v>
      </x:c>
      <x:c r="D197" s="83" t="n">
        <x:f>'2024 Form20'!D146</x:f>
        <x:v>645</x:v>
      </x:c>
      <x:c r="E197" s="50" t="n">
        <x:f>'2024 Form20'!W146</x:f>
        <x:v>0.07906976744186046</x:v>
      </x:c>
      <x:c r="F197" t="n">
        <x:f>'2024 Form20'!X146</x:f>
        <x:v>296</x:v>
      </x:c>
      <x:c r="G197" t="n">
        <x:f>'2024 Form20'!Y146</x:f>
        <x:v>-245</x:v>
      </x:c>
      <x:c r="H197" s="52" t="n">
        <x:f>'2024 Form20'!Z146</x:f>
        <x:v>-0.3798449612403101</x:v>
      </x:c>
      <x:c r="I197" t="str">
        <x:v>Dr. Mahesh Sharma</x:v>
      </x:c>
      <x:c r="J197" t="str">
        <x:v>BJP</x:v>
      </x:c>
      <x:c r="K197" t="str">
        <x:v>EVM row</x:v>
      </x:c>
      <x:c r="L197" s="133" t="str">
        <x:f>IF(D197&lt;=0,"No EVM votes",IF(E197&lt;$N$7,"Low",IF(E197&gt;$R$7,"High","Middle")))</x:f>
        <x:v>Middle</x:v>
      </x:c>
      <x:c r="M197" s="133" t="str">
        <x:f>IF(D197&lt;=0,"No EVM votes",IF(H197&lt;-20%,"Large deficit",IF(H197&lt;-5%,"Moderate deficit",IF(H197&lt;0,"Narrow deficit",IF(H197&lt;=5%,"Narrow lead/tie",IF(H197&lt;=20%,"Moderate lead","Large lead"))))))</x:f>
        <x:v>Large deficit</x:v>
      </x:c>
    </x:row>
    <x:row r="198">
      <x:c r="A198" t="n">
        <x:v>139</x:v>
      </x:c>
      <x:c r="B198" t="str">
        <x:v>[Location not in Form 20 PDF]</x:v>
      </x:c>
      <x:c r="C198" s="83" t="n">
        <x:f>'2024 Form20'!H147</x:f>
        <x:v>30</x:v>
      </x:c>
      <x:c r="D198" s="83" t="n">
        <x:f>'2024 Form20'!D147</x:f>
        <x:v>576</x:v>
      </x:c>
      <x:c r="E198" s="50" t="n">
        <x:f>'2024 Form20'!W147</x:f>
        <x:v>0.052083333333333336</x:v>
      </x:c>
      <x:c r="F198" t="n">
        <x:f>'2024 Form20'!X147</x:f>
        <x:v>325</x:v>
      </x:c>
      <x:c r="G198" t="n">
        <x:f>'2024 Form20'!Y147</x:f>
        <x:v>-295</x:v>
      </x:c>
      <x:c r="H198" s="52" t="n">
        <x:f>'2024 Form20'!Z147</x:f>
        <x:v>-0.5121527777777778</x:v>
      </x:c>
      <x:c r="I198" t="str">
        <x:v>Dr. Mahesh Sharma</x:v>
      </x:c>
      <x:c r="J198" t="str">
        <x:v>BJP</x:v>
      </x:c>
      <x:c r="K198" t="str">
        <x:v>EVM row</x:v>
      </x:c>
      <x:c r="L198" s="133" t="str">
        <x:f>IF(D198&lt;=0,"No EVM votes",IF(E198&lt;$N$7,"Low",IF(E198&gt;$R$7,"High","Middle")))</x:f>
        <x:v>Middle</x:v>
      </x:c>
      <x:c r="M198" s="133" t="str">
        <x:f>IF(D198&lt;=0,"No EVM votes",IF(H198&lt;-20%,"Large deficit",IF(H198&lt;-5%,"Moderate deficit",IF(H198&lt;0,"Narrow deficit",IF(H198&lt;=5%,"Narrow lead/tie",IF(H198&lt;=20%,"Moderate lead","Large lead"))))))</x:f>
        <x:v>Large deficit</x:v>
      </x:c>
    </x:row>
    <x:row r="199">
      <x:c r="A199" t="n">
        <x:v>140</x:v>
      </x:c>
      <x:c r="B199" t="str">
        <x:v>[Location not in Form 20 PDF]</x:v>
      </x:c>
      <x:c r="C199" s="83" t="n">
        <x:f>'2024 Form20'!H148</x:f>
        <x:v>6</x:v>
      </x:c>
      <x:c r="D199" s="83" t="n">
        <x:f>'2024 Form20'!D148</x:f>
        <x:v>451</x:v>
      </x:c>
      <x:c r="E199" s="50" t="n">
        <x:f>'2024 Form20'!W148</x:f>
        <x:v>0.013303769401330377</x:v>
      </x:c>
      <x:c r="F199" t="n">
        <x:f>'2024 Form20'!X148</x:f>
        <x:v>286</x:v>
      </x:c>
      <x:c r="G199" t="n">
        <x:f>'2024 Form20'!Y148</x:f>
        <x:v>-280</x:v>
      </x:c>
      <x:c r="H199" s="52" t="n">
        <x:f>'2024 Form20'!Z148</x:f>
        <x:v>-0.6208425720620843</x:v>
      </x:c>
      <x:c r="I199" t="str">
        <x:v>Dr. Mahesh Sharma</x:v>
      </x:c>
      <x:c r="J199" t="str">
        <x:v>BJP</x:v>
      </x:c>
      <x:c r="K199" t="str">
        <x:v>EVM row</x:v>
      </x:c>
      <x:c r="L199" s="133" t="str">
        <x:f>IF(D199&lt;=0,"No EVM votes",IF(E199&lt;$N$7,"Low",IF(E199&gt;$R$7,"High","Middle")))</x:f>
        <x:v>Low</x:v>
      </x:c>
      <x:c r="M199" s="133" t="str">
        <x:f>IF(D199&lt;=0,"No EVM votes",IF(H199&lt;-20%,"Large deficit",IF(H199&lt;-5%,"Moderate deficit",IF(H199&lt;0,"Narrow deficit",IF(H199&lt;=5%,"Narrow lead/tie",IF(H199&lt;=20%,"Moderate lead","Large lead"))))))</x:f>
        <x:v>Large deficit</x:v>
      </x:c>
    </x:row>
    <x:row r="200">
      <x:c r="A200" t="n">
        <x:v>141</x:v>
      </x:c>
      <x:c r="B200" t="str">
        <x:v>[Location not in Form 20 PDF]</x:v>
      </x:c>
      <x:c r="C200" s="83" t="n">
        <x:f>'2024 Form20'!H149</x:f>
        <x:v>6</x:v>
      </x:c>
      <x:c r="D200" s="83" t="n">
        <x:f>'2024 Form20'!D149</x:f>
        <x:v>433</x:v>
      </x:c>
      <x:c r="E200" s="50" t="n">
        <x:f>'2024 Form20'!W149</x:f>
        <x:v>0.013856812933025405</x:v>
      </x:c>
      <x:c r="F200" t="n">
        <x:f>'2024 Form20'!X149</x:f>
        <x:v>280</x:v>
      </x:c>
      <x:c r="G200" t="n">
        <x:f>'2024 Form20'!Y149</x:f>
        <x:v>-274</x:v>
      </x:c>
      <x:c r="H200" s="52" t="n">
        <x:f>'2024 Form20'!Z149</x:f>
        <x:v>-0.6327944572748267</x:v>
      </x:c>
      <x:c r="I200" t="str">
        <x:v>Dr. Mahesh Sharma</x:v>
      </x:c>
      <x:c r="J200" t="str">
        <x:v>BJP</x:v>
      </x:c>
      <x:c r="K200" t="str">
        <x:v>EVM row</x:v>
      </x:c>
      <x:c r="L200" s="133" t="str">
        <x:f>IF(D200&lt;=0,"No EVM votes",IF(E200&lt;$N$7,"Low",IF(E200&gt;$R$7,"High","Middle")))</x:f>
        <x:v>Low</x:v>
      </x:c>
      <x:c r="M200" s="133" t="str">
        <x:f>IF(D200&lt;=0,"No EVM votes",IF(H200&lt;-20%,"Large deficit",IF(H200&lt;-5%,"Moderate deficit",IF(H200&lt;0,"Narrow deficit",IF(H200&lt;=5%,"Narrow lead/tie",IF(H200&lt;=20%,"Moderate lead","Large lead"))))))</x:f>
        <x:v>Large deficit</x:v>
      </x:c>
    </x:row>
    <x:row r="201">
      <x:c r="A201" t="n">
        <x:v>142</x:v>
      </x:c>
      <x:c r="B201" t="str">
        <x:v>[Location not in Form 20 PDF]</x:v>
      </x:c>
      <x:c r="C201" s="83" t="n">
        <x:f>'2024 Form20'!H150</x:f>
        <x:v>10</x:v>
      </x:c>
      <x:c r="D201" s="83" t="n">
        <x:f>'2024 Form20'!D150</x:f>
        <x:v>350</x:v>
      </x:c>
      <x:c r="E201" s="50" t="n">
        <x:f>'2024 Form20'!W150</x:f>
        <x:v>0.02857142857142857</x:v>
      </x:c>
      <x:c r="F201" t="n">
        <x:f>'2024 Form20'!X150</x:f>
        <x:v>193</x:v>
      </x:c>
      <x:c r="G201" t="n">
        <x:f>'2024 Form20'!Y150</x:f>
        <x:v>-183</x:v>
      </x:c>
      <x:c r="H201" s="52" t="n">
        <x:f>'2024 Form20'!Z150</x:f>
        <x:v>-0.5228571428571429</x:v>
      </x:c>
      <x:c r="I201" t="str">
        <x:v>Dr. Mahesh Sharma</x:v>
      </x:c>
      <x:c r="J201" t="str">
        <x:v>BJP</x:v>
      </x:c>
      <x:c r="K201" t="str">
        <x:v>EVM row</x:v>
      </x:c>
      <x:c r="L201" s="133" t="str">
        <x:f>IF(D201&lt;=0,"No EVM votes",IF(E201&lt;$N$7,"Low",IF(E201&gt;$R$7,"High","Middle")))</x:f>
        <x:v>Low</x:v>
      </x:c>
      <x:c r="M201" s="133" t="str">
        <x:f>IF(D201&lt;=0,"No EVM votes",IF(H201&lt;-20%,"Large deficit",IF(H201&lt;-5%,"Moderate deficit",IF(H201&lt;0,"Narrow deficit",IF(H201&lt;=5%,"Narrow lead/tie",IF(H201&lt;=20%,"Moderate lead","Large lead"))))))</x:f>
        <x:v>Large deficit</x:v>
      </x:c>
    </x:row>
    <x:row r="202">
      <x:c r="A202" t="n">
        <x:v>143</x:v>
      </x:c>
      <x:c r="B202" t="str">
        <x:v>[Location not in Form 20 PDF]</x:v>
      </x:c>
      <x:c r="C202" s="83" t="n">
        <x:f>'2024 Form20'!H151</x:f>
        <x:v>21</x:v>
      </x:c>
      <x:c r="D202" s="83" t="n">
        <x:f>'2024 Form20'!D151</x:f>
        <x:v>608</x:v>
      </x:c>
      <x:c r="E202" s="50" t="n">
        <x:f>'2024 Form20'!W151</x:f>
        <x:v>0.03453947368421053</x:v>
      </x:c>
      <x:c r="F202" t="n">
        <x:f>'2024 Form20'!X151</x:f>
        <x:v>395</x:v>
      </x:c>
      <x:c r="G202" t="n">
        <x:f>'2024 Form20'!Y151</x:f>
        <x:v>-374</x:v>
      </x:c>
      <x:c r="H202" s="52" t="n">
        <x:f>'2024 Form20'!Z151</x:f>
        <x:v>-0.6151315789473685</x:v>
      </x:c>
      <x:c r="I202" t="str">
        <x:v>Rajendra Singh Solanki</x:v>
      </x:c>
      <x:c r="J202" t="str">
        <x:v>BSP</x:v>
      </x:c>
      <x:c r="K202" t="str">
        <x:v>EVM row</x:v>
      </x:c>
      <x:c r="L202" s="133" t="str">
        <x:f>IF(D202&lt;=0,"No EVM votes",IF(E202&lt;$N$7,"Low",IF(E202&gt;$R$7,"High","Middle")))</x:f>
        <x:v>Middle</x:v>
      </x:c>
      <x:c r="M202" s="133" t="str">
        <x:f>IF(D202&lt;=0,"No EVM votes",IF(H202&lt;-20%,"Large deficit",IF(H202&lt;-5%,"Moderate deficit",IF(H202&lt;0,"Narrow deficit",IF(H202&lt;=5%,"Narrow lead/tie",IF(H202&lt;=20%,"Moderate lead","Large lead"))))))</x:f>
        <x:v>Large deficit</x:v>
      </x:c>
    </x:row>
    <x:row r="203">
      <x:c r="A203" t="n">
        <x:v>144</x:v>
      </x:c>
      <x:c r="B203" t="str">
        <x:v>[Location not in Form 20 PDF]</x:v>
      </x:c>
      <x:c r="C203" s="83" t="n">
        <x:f>'2024 Form20'!H152</x:f>
        <x:v>5</x:v>
      </x:c>
      <x:c r="D203" s="83" t="n">
        <x:f>'2024 Form20'!D152</x:f>
        <x:v>598</x:v>
      </x:c>
      <x:c r="E203" s="50" t="n">
        <x:f>'2024 Form20'!W152</x:f>
        <x:v>0.008361204013377926</x:v>
      </x:c>
      <x:c r="F203" t="n">
        <x:f>'2024 Form20'!X152</x:f>
        <x:v>311</x:v>
      </x:c>
      <x:c r="G203" t="n">
        <x:f>'2024 Form20'!Y152</x:f>
        <x:v>-306</x:v>
      </x:c>
      <x:c r="H203" s="52" t="n">
        <x:f>'2024 Form20'!Z152</x:f>
        <x:v>-0.5117056856187291</x:v>
      </x:c>
      <x:c r="I203" t="str">
        <x:v>Dr. Mahesh Sharma</x:v>
      </x:c>
      <x:c r="J203" t="str">
        <x:v>BJP</x:v>
      </x:c>
      <x:c r="K203" t="str">
        <x:v>EVM row</x:v>
      </x:c>
      <x:c r="L203" s="133" t="str">
        <x:f>IF(D203&lt;=0,"No EVM votes",IF(E203&lt;$N$7,"Low",IF(E203&gt;$R$7,"High","Middle")))</x:f>
        <x:v>Low</x:v>
      </x:c>
      <x:c r="M203" s="133" t="str">
        <x:f>IF(D203&lt;=0,"No EVM votes",IF(H203&lt;-20%,"Large deficit",IF(H203&lt;-5%,"Moderate deficit",IF(H203&lt;0,"Narrow deficit",IF(H203&lt;=5%,"Narrow lead/tie",IF(H203&lt;=20%,"Moderate lead","Large lead"))))))</x:f>
        <x:v>Large deficit</x:v>
      </x:c>
    </x:row>
    <x:row r="204">
      <x:c r="A204" t="n">
        <x:v>145</x:v>
      </x:c>
      <x:c r="B204" t="str">
        <x:v>[Location not in Form 20 PDF]</x:v>
      </x:c>
      <x:c r="C204" s="83" t="n">
        <x:f>'2024 Form20'!H153</x:f>
        <x:v>2</x:v>
      </x:c>
      <x:c r="D204" s="83" t="n">
        <x:f>'2024 Form20'!D153</x:f>
        <x:v>306</x:v>
      </x:c>
      <x:c r="E204" s="50" t="n">
        <x:f>'2024 Form20'!W153</x:f>
        <x:v>0.006535947712418301</x:v>
      </x:c>
      <x:c r="F204" t="n">
        <x:f>'2024 Form20'!X153</x:f>
        <x:v>152</x:v>
      </x:c>
      <x:c r="G204" t="n">
        <x:f>'2024 Form20'!Y153</x:f>
        <x:v>-150</x:v>
      </x:c>
      <x:c r="H204" s="52" t="n">
        <x:f>'2024 Form20'!Z153</x:f>
        <x:v>-0.49019607843137253</x:v>
      </x:c>
      <x:c r="I204" t="str">
        <x:v>Rajendra Singh Solanki</x:v>
      </x:c>
      <x:c r="J204" t="str">
        <x:v>BSP</x:v>
      </x:c>
      <x:c r="K204" t="str">
        <x:v>EVM row</x:v>
      </x:c>
      <x:c r="L204" s="133" t="str">
        <x:f>IF(D204&lt;=0,"No EVM votes",IF(E204&lt;$N$7,"Low",IF(E204&gt;$R$7,"High","Middle")))</x:f>
        <x:v>Low</x:v>
      </x:c>
      <x:c r="M204" s="133" t="str">
        <x:f>IF(D204&lt;=0,"No EVM votes",IF(H204&lt;-20%,"Large deficit",IF(H204&lt;-5%,"Moderate deficit",IF(H204&lt;0,"Narrow deficit",IF(H204&lt;=5%,"Narrow lead/tie",IF(H204&lt;=20%,"Moderate lead","Large lead"))))))</x:f>
        <x:v>Large deficit</x:v>
      </x:c>
    </x:row>
    <x:row r="205">
      <x:c r="A205" t="n">
        <x:v>146</x:v>
      </x:c>
      <x:c r="B205" t="str">
        <x:v>[Location not in Form 20 PDF]</x:v>
      </x:c>
      <x:c r="C205" s="83" t="n">
        <x:f>'2024 Form20'!H154</x:f>
        <x:v>13</x:v>
      </x:c>
      <x:c r="D205" s="83" t="n">
        <x:f>'2024 Form20'!D154</x:f>
        <x:v>542</x:v>
      </x:c>
      <x:c r="E205" s="50" t="n">
        <x:f>'2024 Form20'!W154</x:f>
        <x:v>0.023985239852398525</x:v>
      </x:c>
      <x:c r="F205" t="n">
        <x:f>'2024 Form20'!X154</x:f>
        <x:v>262</x:v>
      </x:c>
      <x:c r="G205" t="n">
        <x:f>'2024 Form20'!Y154</x:f>
        <x:v>-249</x:v>
      </x:c>
      <x:c r="H205" s="52" t="n">
        <x:f>'2024 Form20'!Z154</x:f>
        <x:v>-0.45940959409594095</x:v>
      </x:c>
      <x:c r="I205" t="str">
        <x:v>Dr. Mahesh Sharma</x:v>
      </x:c>
      <x:c r="J205" t="str">
        <x:v>BJP</x:v>
      </x:c>
      <x:c r="K205" t="str">
        <x:v>EVM row</x:v>
      </x:c>
      <x:c r="L205" s="133" t="str">
        <x:f>IF(D205&lt;=0,"No EVM votes",IF(E205&lt;$N$7,"Low",IF(E205&gt;$R$7,"High","Middle")))</x:f>
        <x:v>Low</x:v>
      </x:c>
      <x:c r="M205" s="133" t="str">
        <x:f>IF(D205&lt;=0,"No EVM votes",IF(H205&lt;-20%,"Large deficit",IF(H205&lt;-5%,"Moderate deficit",IF(H205&lt;0,"Narrow deficit",IF(H205&lt;=5%,"Narrow lead/tie",IF(H205&lt;=20%,"Moderate lead","Large lead"))))))</x:f>
        <x:v>Large deficit</x:v>
      </x:c>
    </x:row>
    <x:row r="206">
      <x:c r="A206" t="n">
        <x:v>147</x:v>
      </x:c>
      <x:c r="B206" t="str">
        <x:v>[Location not in Form 20 PDF]</x:v>
      </x:c>
      <x:c r="C206" s="83" t="n">
        <x:f>'2024 Form20'!H155</x:f>
        <x:v>14</x:v>
      </x:c>
      <x:c r="D206" s="83" t="n">
        <x:f>'2024 Form20'!D155</x:f>
        <x:v>426</x:v>
      </x:c>
      <x:c r="E206" s="50" t="n">
        <x:f>'2024 Form20'!W155</x:f>
        <x:v>0.03286384976525822</x:v>
      </x:c>
      <x:c r="F206" t="n">
        <x:f>'2024 Form20'!X155</x:f>
        <x:v>267</x:v>
      </x:c>
      <x:c r="G206" t="n">
        <x:f>'2024 Form20'!Y155</x:f>
        <x:v>-253</x:v>
      </x:c>
      <x:c r="H206" s="52" t="n">
        <x:f>'2024 Form20'!Z155</x:f>
        <x:v>-0.5938967136150235</x:v>
      </x:c>
      <x:c r="I206" t="str">
        <x:v>Dr. Mahesh Sharma</x:v>
      </x:c>
      <x:c r="J206" t="str">
        <x:v>BJP</x:v>
      </x:c>
      <x:c r="K206" t="str">
        <x:v>EVM row</x:v>
      </x:c>
      <x:c r="L206" s="133" t="str">
        <x:f>IF(D206&lt;=0,"No EVM votes",IF(E206&lt;$N$7,"Low",IF(E206&gt;$R$7,"High","Middle")))</x:f>
        <x:v>Middle</x:v>
      </x:c>
      <x:c r="M206" s="133" t="str">
        <x:f>IF(D206&lt;=0,"No EVM votes",IF(H206&lt;-20%,"Large deficit",IF(H206&lt;-5%,"Moderate deficit",IF(H206&lt;0,"Narrow deficit",IF(H206&lt;=5%,"Narrow lead/tie",IF(H206&lt;=20%,"Moderate lead","Large lead"))))))</x:f>
        <x:v>Large deficit</x:v>
      </x:c>
    </x:row>
    <x:row r="207">
      <x:c r="A207" t="n">
        <x:v>148</x:v>
      </x:c>
      <x:c r="B207" t="str">
        <x:v>[Location not in Form 20 PDF]</x:v>
      </x:c>
      <x:c r="C207" s="83" t="n">
        <x:f>'2024 Form20'!H156</x:f>
        <x:v>13</x:v>
      </x:c>
      <x:c r="D207" s="83" t="n">
        <x:f>'2024 Form20'!D156</x:f>
        <x:v>682</x:v>
      </x:c>
      <x:c r="E207" s="50" t="n">
        <x:f>'2024 Form20'!W156</x:f>
        <x:v>0.01906158357771261</x:v>
      </x:c>
      <x:c r="F207" t="n">
        <x:f>'2024 Form20'!X156</x:f>
        <x:v>346</x:v>
      </x:c>
      <x:c r="G207" t="n">
        <x:f>'2024 Form20'!Y156</x:f>
        <x:v>-333</x:v>
      </x:c>
      <x:c r="H207" s="52" t="n">
        <x:f>'2024 Form20'!Z156</x:f>
        <x:v>-0.48826979472140764</x:v>
      </x:c>
      <x:c r="I207" t="str">
        <x:v>Rajendra Singh Solanki</x:v>
      </x:c>
      <x:c r="J207" t="str">
        <x:v>BSP</x:v>
      </x:c>
      <x:c r="K207" t="str">
        <x:v>EVM row</x:v>
      </x:c>
      <x:c r="L207" s="133" t="str">
        <x:f>IF(D207&lt;=0,"No EVM votes",IF(E207&lt;$N$7,"Low",IF(E207&gt;$R$7,"High","Middle")))</x:f>
        <x:v>Low</x:v>
      </x:c>
      <x:c r="M207" s="133" t="str">
        <x:f>IF(D207&lt;=0,"No EVM votes",IF(H207&lt;-20%,"Large deficit",IF(H207&lt;-5%,"Moderate deficit",IF(H207&lt;0,"Narrow deficit",IF(H207&lt;=5%,"Narrow lead/tie",IF(H207&lt;=20%,"Moderate lead","Large lead"))))))</x:f>
        <x:v>Large deficit</x:v>
      </x:c>
    </x:row>
    <x:row r="208">
      <x:c r="A208" t="n">
        <x:v>149</x:v>
      </x:c>
      <x:c r="B208" t="str">
        <x:v>[Location not in Form 20 PDF]</x:v>
      </x:c>
      <x:c r="C208" s="83" t="n">
        <x:f>'2024 Form20'!H157</x:f>
        <x:v>1</x:v>
      </x:c>
      <x:c r="D208" s="83" t="n">
        <x:f>'2024 Form20'!D157</x:f>
        <x:v>535</x:v>
      </x:c>
      <x:c r="E208" s="50" t="n">
        <x:f>'2024 Form20'!W157</x:f>
        <x:v>0.001869158878504673</x:v>
      </x:c>
      <x:c r="F208" t="n">
        <x:f>'2024 Form20'!X157</x:f>
        <x:v>266</x:v>
      </x:c>
      <x:c r="G208" t="n">
        <x:f>'2024 Form20'!Y157</x:f>
        <x:v>-265</x:v>
      </x:c>
      <x:c r="H208" s="52" t="n">
        <x:f>'2024 Form20'!Z157</x:f>
        <x:v>-0.4953271028037383</x:v>
      </x:c>
      <x:c r="I208" t="str">
        <x:v>Rajendra Singh Solanki</x:v>
      </x:c>
      <x:c r="J208" t="str">
        <x:v>BSP</x:v>
      </x:c>
      <x:c r="K208" t="str">
        <x:v>EVM row</x:v>
      </x:c>
      <x:c r="L208" s="133" t="str">
        <x:f>IF(D208&lt;=0,"No EVM votes",IF(E208&lt;$N$7,"Low",IF(E208&gt;$R$7,"High","Middle")))</x:f>
        <x:v>Low</x:v>
      </x:c>
      <x:c r="M208" s="133" t="str">
        <x:f>IF(D208&lt;=0,"No EVM votes",IF(H208&lt;-20%,"Large deficit",IF(H208&lt;-5%,"Moderate deficit",IF(H208&lt;0,"Narrow deficit",IF(H208&lt;=5%,"Narrow lead/tie",IF(H208&lt;=20%,"Moderate lead","Large lead"))))))</x:f>
        <x:v>Large deficit</x:v>
      </x:c>
    </x:row>
    <x:row r="209">
      <x:c r="A209" t="n">
        <x:v>150</x:v>
      </x:c>
      <x:c r="B209" t="str">
        <x:v>[Location not in Form 20 PDF]</x:v>
      </x:c>
      <x:c r="C209" s="83" t="n">
        <x:f>'2024 Form20'!H158</x:f>
        <x:v>16</x:v>
      </x:c>
      <x:c r="D209" s="83" t="n">
        <x:f>'2024 Form20'!D158</x:f>
        <x:v>658</x:v>
      </x:c>
      <x:c r="E209" s="50" t="n">
        <x:f>'2024 Form20'!W158</x:f>
        <x:v>0.0243161094224924</x:v>
      </x:c>
      <x:c r="F209" t="n">
        <x:f>'2024 Form20'!X158</x:f>
        <x:v>399</x:v>
      </x:c>
      <x:c r="G209" t="n">
        <x:f>'2024 Form20'!Y158</x:f>
        <x:v>-383</x:v>
      </x:c>
      <x:c r="H209" s="52" t="n">
        <x:f>'2024 Form20'!Z158</x:f>
        <x:v>-0.5820668693009119</x:v>
      </x:c>
      <x:c r="I209" t="str">
        <x:v>Dr. Mahesh Sharma</x:v>
      </x:c>
      <x:c r="J209" t="str">
        <x:v>BJP</x:v>
      </x:c>
      <x:c r="K209" t="str">
        <x:v>EVM row</x:v>
      </x:c>
      <x:c r="L209" s="133" t="str">
        <x:f>IF(D209&lt;=0,"No EVM votes",IF(E209&lt;$N$7,"Low",IF(E209&gt;$R$7,"High","Middle")))</x:f>
        <x:v>Low</x:v>
      </x:c>
      <x:c r="M209" s="133" t="str">
        <x:f>IF(D209&lt;=0,"No EVM votes",IF(H209&lt;-20%,"Large deficit",IF(H209&lt;-5%,"Moderate deficit",IF(H209&lt;0,"Narrow deficit",IF(H209&lt;=5%,"Narrow lead/tie",IF(H209&lt;=20%,"Moderate lead","Large lead"))))))</x:f>
        <x:v>Large deficit</x:v>
      </x:c>
    </x:row>
    <x:row r="210">
      <x:c r="A210" t="n">
        <x:v>151</x:v>
      </x:c>
      <x:c r="B210" t="str">
        <x:v>[Location not in Form 20 PDF]</x:v>
      </x:c>
      <x:c r="C210" s="83" t="n">
        <x:f>'2024 Form20'!H159</x:f>
        <x:v>105</x:v>
      </x:c>
      <x:c r="D210" s="83" t="n">
        <x:f>'2024 Form20'!D159</x:f>
        <x:v>463</x:v>
      </x:c>
      <x:c r="E210" s="50" t="n">
        <x:f>'2024 Form20'!W159</x:f>
        <x:v>0.2267818574514039</x:v>
      </x:c>
      <x:c r="F210" t="n">
        <x:f>'2024 Form20'!X159</x:f>
        <x:v>264</x:v>
      </x:c>
      <x:c r="G210" t="n">
        <x:f>'2024 Form20'!Y159</x:f>
        <x:v>-159</x:v>
      </x:c>
      <x:c r="H210" s="52" t="n">
        <x:f>'2024 Form20'!Z159</x:f>
        <x:v>-0.3434125269978402</x:v>
      </x:c>
      <x:c r="I210" t="str">
        <x:v>Dr. Mahesh Sharma</x:v>
      </x:c>
      <x:c r="J210" t="str">
        <x:v>BJP</x:v>
      </x:c>
      <x:c r="K210" t="str">
        <x:v>EVM row</x:v>
      </x:c>
      <x:c r="L210" s="133" t="str">
        <x:f>IF(D210&lt;=0,"No EVM votes",IF(E210&lt;$N$7,"Low",IF(E210&gt;$R$7,"High","Middle")))</x:f>
        <x:v>High</x:v>
      </x:c>
      <x:c r="M210" s="133" t="str">
        <x:f>IF(D210&lt;=0,"No EVM votes",IF(H210&lt;-20%,"Large deficit",IF(H210&lt;-5%,"Moderate deficit",IF(H210&lt;0,"Narrow deficit",IF(H210&lt;=5%,"Narrow lead/tie",IF(H210&lt;=20%,"Moderate lead","Large lead"))))))</x:f>
        <x:v>Large deficit</x:v>
      </x:c>
    </x:row>
    <x:row r="211">
      <x:c r="A211" t="n">
        <x:v>152</x:v>
      </x:c>
      <x:c r="B211" t="str">
        <x:v>[Location not in Form 20 PDF]</x:v>
      </x:c>
      <x:c r="C211" s="83" t="n">
        <x:f>'2024 Form20'!H160</x:f>
        <x:v>27</x:v>
      </x:c>
      <x:c r="D211" s="83" t="n">
        <x:f>'2024 Form20'!D160</x:f>
        <x:v>580</x:v>
      </x:c>
      <x:c r="E211" s="50" t="n">
        <x:f>'2024 Form20'!W160</x:f>
        <x:v>0.04655172413793104</x:v>
      </x:c>
      <x:c r="F211" t="n">
        <x:f>'2024 Form20'!X160</x:f>
        <x:v>291</x:v>
      </x:c>
      <x:c r="G211" t="n">
        <x:f>'2024 Form20'!Y160</x:f>
        <x:v>-264</x:v>
      </x:c>
      <x:c r="H211" s="52" t="n">
        <x:f>'2024 Form20'!Z160</x:f>
        <x:v>-0.45517241379310347</x:v>
      </x:c>
      <x:c r="I211" t="str">
        <x:v>Dr. Mahesh Sharma</x:v>
      </x:c>
      <x:c r="J211" t="str">
        <x:v>BJP</x:v>
      </x:c>
      <x:c r="K211" t="str">
        <x:v>EVM row</x:v>
      </x:c>
      <x:c r="L211" s="133" t="str">
        <x:f>IF(D211&lt;=0,"No EVM votes",IF(E211&lt;$N$7,"Low",IF(E211&gt;$R$7,"High","Middle")))</x:f>
        <x:v>Middle</x:v>
      </x:c>
      <x:c r="M211" s="133" t="str">
        <x:f>IF(D211&lt;=0,"No EVM votes",IF(H211&lt;-20%,"Large deficit",IF(H211&lt;-5%,"Moderate deficit",IF(H211&lt;0,"Narrow deficit",IF(H211&lt;=5%,"Narrow lead/tie",IF(H211&lt;=20%,"Moderate lead","Large lead"))))))</x:f>
        <x:v>Large deficit</x:v>
      </x:c>
    </x:row>
    <x:row r="212">
      <x:c r="A212" t="n">
        <x:v>153</x:v>
      </x:c>
      <x:c r="B212" t="str">
        <x:v>[Location not in Form 20 PDF]</x:v>
      </x:c>
      <x:c r="C212" s="83" t="n">
        <x:f>'2024 Form20'!H161</x:f>
        <x:v>22</x:v>
      </x:c>
      <x:c r="D212" s="83" t="n">
        <x:f>'2024 Form20'!D161</x:f>
        <x:v>495</x:v>
      </x:c>
      <x:c r="E212" s="50" t="n">
        <x:f>'2024 Form20'!W161</x:f>
        <x:v>0.044444444444444446</x:v>
      </x:c>
      <x:c r="F212" t="n">
        <x:f>'2024 Form20'!X161</x:f>
        <x:v>429</x:v>
      </x:c>
      <x:c r="G212" t="n">
        <x:f>'2024 Form20'!Y161</x:f>
        <x:v>-407</x:v>
      </x:c>
      <x:c r="H212" s="52" t="n">
        <x:f>'2024 Form20'!Z161</x:f>
        <x:v>-0.8222222222222222</x:v>
      </x:c>
      <x:c r="I212" t="str">
        <x:v>Rajendra Singh Solanki</x:v>
      </x:c>
      <x:c r="J212" t="str">
        <x:v>BSP</x:v>
      </x:c>
      <x:c r="K212" t="str">
        <x:v>EVM row</x:v>
      </x:c>
      <x:c r="L212" s="133" t="str">
        <x:f>IF(D212&lt;=0,"No EVM votes",IF(E212&lt;$N$7,"Low",IF(E212&gt;$R$7,"High","Middle")))</x:f>
        <x:v>Middle</x:v>
      </x:c>
      <x:c r="M212" s="133" t="str">
        <x:f>IF(D212&lt;=0,"No EVM votes",IF(H212&lt;-20%,"Large deficit",IF(H212&lt;-5%,"Moderate deficit",IF(H212&lt;0,"Narrow deficit",IF(H212&lt;=5%,"Narrow lead/tie",IF(H212&lt;=20%,"Moderate lead","Large lead"))))))</x:f>
        <x:v>Large deficit</x:v>
      </x:c>
    </x:row>
    <x:row r="213">
      <x:c r="A213" t="n">
        <x:v>154</x:v>
      </x:c>
      <x:c r="B213" t="str">
        <x:v>[Location not in Form 20 PDF]</x:v>
      </x:c>
      <x:c r="C213" s="83" t="n">
        <x:f>'2024 Form20'!H162</x:f>
        <x:v>16</x:v>
      </x:c>
      <x:c r="D213" s="83" t="n">
        <x:f>'2024 Form20'!D162</x:f>
        <x:v>540</x:v>
      </x:c>
      <x:c r="E213" s="50" t="n">
        <x:f>'2024 Form20'!W162</x:f>
        <x:v>0.02962962962962963</x:v>
      </x:c>
      <x:c r="F213" t="n">
        <x:f>'2024 Form20'!X162</x:f>
        <x:v>428</x:v>
      </x:c>
      <x:c r="G213" t="n">
        <x:f>'2024 Form20'!Y162</x:f>
        <x:v>-412</x:v>
      </x:c>
      <x:c r="H213" s="52" t="n">
        <x:f>'2024 Form20'!Z162</x:f>
        <x:v>-0.762962962962963</x:v>
      </x:c>
      <x:c r="I213" t="str">
        <x:v>Rajendra Singh Solanki</x:v>
      </x:c>
      <x:c r="J213" t="str">
        <x:v>BSP</x:v>
      </x:c>
      <x:c r="K213" t="str">
        <x:v>EVM row</x:v>
      </x:c>
      <x:c r="L213" s="133" t="str">
        <x:f>IF(D213&lt;=0,"No EVM votes",IF(E213&lt;$N$7,"Low",IF(E213&gt;$R$7,"High","Middle")))</x:f>
        <x:v>Low</x:v>
      </x:c>
      <x:c r="M213" s="133" t="str">
        <x:f>IF(D213&lt;=0,"No EVM votes",IF(H213&lt;-20%,"Large deficit",IF(H213&lt;-5%,"Moderate deficit",IF(H213&lt;0,"Narrow deficit",IF(H213&lt;=5%,"Narrow lead/tie",IF(H213&lt;=20%,"Moderate lead","Large lead"))))))</x:f>
        <x:v>Large deficit</x:v>
      </x:c>
    </x:row>
    <x:row r="214">
      <x:c r="A214" t="n">
        <x:v>155</x:v>
      </x:c>
      <x:c r="B214" t="str">
        <x:v>[Location not in Form 20 PDF]</x:v>
      </x:c>
      <x:c r="C214" s="83" t="n">
        <x:f>'2024 Form20'!H163</x:f>
        <x:v>172</x:v>
      </x:c>
      <x:c r="D214" s="83" t="n">
        <x:f>'2024 Form20'!D163</x:f>
        <x:v>562</x:v>
      </x:c>
      <x:c r="E214" s="50" t="n">
        <x:f>'2024 Form20'!W163</x:f>
        <x:v>0.30604982206405695</x:v>
      </x:c>
      <x:c r="F214" t="n">
        <x:f>'2024 Form20'!X163</x:f>
        <x:v>335</x:v>
      </x:c>
      <x:c r="G214" t="n">
        <x:f>'2024 Form20'!Y163</x:f>
        <x:v>-163</x:v>
      </x:c>
      <x:c r="H214" s="52" t="n">
        <x:f>'2024 Form20'!Z163</x:f>
        <x:v>-0.2900355871886121</x:v>
      </x:c>
      <x:c r="I214" t="str">
        <x:v>Dr. Mahesh Sharma</x:v>
      </x:c>
      <x:c r="J214" t="str">
        <x:v>BJP</x:v>
      </x:c>
      <x:c r="K214" t="str">
        <x:v>EVM row</x:v>
      </x:c>
      <x:c r="L214" s="133" t="str">
        <x:f>IF(D214&lt;=0,"No EVM votes",IF(E214&lt;$N$7,"Low",IF(E214&gt;$R$7,"High","Middle")))</x:f>
        <x:v>High</x:v>
      </x:c>
      <x:c r="M214" s="133" t="str">
        <x:f>IF(D214&lt;=0,"No EVM votes",IF(H214&lt;-20%,"Large deficit",IF(H214&lt;-5%,"Moderate deficit",IF(H214&lt;0,"Narrow deficit",IF(H214&lt;=5%,"Narrow lead/tie",IF(H214&lt;=20%,"Moderate lead","Large lead"))))))</x:f>
        <x:v>Large deficit</x:v>
      </x:c>
    </x:row>
    <x:row r="215">
      <x:c r="A215" t="n">
        <x:v>156</x:v>
      </x:c>
      <x:c r="B215" t="str">
        <x:v>[Location not in Form 20 PDF]</x:v>
      </x:c>
      <x:c r="C215" s="83" t="n">
        <x:f>'2024 Form20'!H164</x:f>
        <x:v>96</x:v>
      </x:c>
      <x:c r="D215" s="83" t="n">
        <x:f>'2024 Form20'!D164</x:f>
        <x:v>611</x:v>
      </x:c>
      <x:c r="E215" s="50" t="n">
        <x:f>'2024 Form20'!W164</x:f>
        <x:v>0.15711947626841244</x:v>
      </x:c>
      <x:c r="F215" t="n">
        <x:f>'2024 Form20'!X164</x:f>
        <x:v>298</x:v>
      </x:c>
      <x:c r="G215" t="n">
        <x:f>'2024 Form20'!Y164</x:f>
        <x:v>-202</x:v>
      </x:c>
      <x:c r="H215" s="52" t="n">
        <x:f>'2024 Form20'!Z164</x:f>
        <x:v>-0.33060556464811786</x:v>
      </x:c>
      <x:c r="I215" t="str">
        <x:v>Rajendra Singh Solanki</x:v>
      </x:c>
      <x:c r="J215" t="str">
        <x:v>BSP</x:v>
      </x:c>
      <x:c r="K215" t="str">
        <x:v>EVM row</x:v>
      </x:c>
      <x:c r="L215" s="133" t="str">
        <x:f>IF(D215&lt;=0,"No EVM votes",IF(E215&lt;$N$7,"Low",IF(E215&gt;$R$7,"High","Middle")))</x:f>
        <x:v>Middle</x:v>
      </x:c>
      <x:c r="M215" s="133" t="str">
        <x:f>IF(D215&lt;=0,"No EVM votes",IF(H215&lt;-20%,"Large deficit",IF(H215&lt;-5%,"Moderate deficit",IF(H215&lt;0,"Narrow deficit",IF(H215&lt;=5%,"Narrow lead/tie",IF(H215&lt;=20%,"Moderate lead","Large lead"))))))</x:f>
        <x:v>Large deficit</x:v>
      </x:c>
    </x:row>
    <x:row r="216">
      <x:c r="A216" t="n">
        <x:v>157</x:v>
      </x:c>
      <x:c r="B216" t="str">
        <x:v>[Location not in Form 20 PDF]</x:v>
      </x:c>
      <x:c r="C216" s="83" t="n">
        <x:f>'2024 Form20'!H165</x:f>
        <x:v>99</x:v>
      </x:c>
      <x:c r="D216" s="83" t="n">
        <x:f>'2024 Form20'!D165</x:f>
        <x:v>449</x:v>
      </x:c>
      <x:c r="E216" s="50" t="n">
        <x:f>'2024 Form20'!W165</x:f>
        <x:v>0.22048997772828507</x:v>
      </x:c>
      <x:c r="F216" t="n">
        <x:f>'2024 Form20'!X165</x:f>
        <x:v>296</x:v>
      </x:c>
      <x:c r="G216" t="n">
        <x:f>'2024 Form20'!Y165</x:f>
        <x:v>-197</x:v>
      </x:c>
      <x:c r="H216" s="52" t="n">
        <x:f>'2024 Form20'!Z165</x:f>
        <x:v>-0.43875278396436523</x:v>
      </x:c>
      <x:c r="I216" t="str">
        <x:v>Dr. Mahesh Sharma</x:v>
      </x:c>
      <x:c r="J216" t="str">
        <x:v>BJP</x:v>
      </x:c>
      <x:c r="K216" t="str">
        <x:v>EVM row</x:v>
      </x:c>
      <x:c r="L216" s="133" t="str">
        <x:f>IF(D216&lt;=0,"No EVM votes",IF(E216&lt;$N$7,"Low",IF(E216&gt;$R$7,"High","Middle")))</x:f>
        <x:v>Middle</x:v>
      </x:c>
      <x:c r="M216" s="133" t="str">
        <x:f>IF(D216&lt;=0,"No EVM votes",IF(H216&lt;-20%,"Large deficit",IF(H216&lt;-5%,"Moderate deficit",IF(H216&lt;0,"Narrow deficit",IF(H216&lt;=5%,"Narrow lead/tie",IF(H216&lt;=20%,"Moderate lead","Large lead"))))))</x:f>
        <x:v>Large deficit</x:v>
      </x:c>
    </x:row>
    <x:row r="217">
      <x:c r="A217" t="n">
        <x:v>158</x:v>
      </x:c>
      <x:c r="B217" t="str">
        <x:v>[Location not in Form 20 PDF]</x:v>
      </x:c>
      <x:c r="C217" s="83" t="n">
        <x:f>'2024 Form20'!H166</x:f>
        <x:v>61</x:v>
      </x:c>
      <x:c r="D217" s="83" t="n">
        <x:f>'2024 Form20'!D166</x:f>
        <x:v>433</x:v>
      </x:c>
      <x:c r="E217" s="50" t="n">
        <x:f>'2024 Form20'!W166</x:f>
        <x:v>0.14087759815242495</x:v>
      </x:c>
      <x:c r="F217" t="n">
        <x:f>'2024 Form20'!X166</x:f>
        <x:v>243</x:v>
      </x:c>
      <x:c r="G217" t="n">
        <x:f>'2024 Form20'!Y166</x:f>
        <x:v>-182</x:v>
      </x:c>
      <x:c r="H217" s="52" t="n">
        <x:f>'2024 Form20'!Z166</x:f>
        <x:v>-0.42032332563510394</x:v>
      </x:c>
      <x:c r="I217" t="str">
        <x:v>Dr. Mahesh Sharma</x:v>
      </x:c>
      <x:c r="J217" t="str">
        <x:v>BJP</x:v>
      </x:c>
      <x:c r="K217" t="str">
        <x:v>EVM row</x:v>
      </x:c>
      <x:c r="L217" s="133" t="str">
        <x:f>IF(D217&lt;=0,"No EVM votes",IF(E217&lt;$N$7,"Low",IF(E217&gt;$R$7,"High","Middle")))</x:f>
        <x:v>Middle</x:v>
      </x:c>
      <x:c r="M217" s="133" t="str">
        <x:f>IF(D217&lt;=0,"No EVM votes",IF(H217&lt;-20%,"Large deficit",IF(H217&lt;-5%,"Moderate deficit",IF(H217&lt;0,"Narrow deficit",IF(H217&lt;=5%,"Narrow lead/tie",IF(H217&lt;=20%,"Moderate lead","Large lead"))))))</x:f>
        <x:v>Large deficit</x:v>
      </x:c>
    </x:row>
    <x:row r="218">
      <x:c r="A218" t="n">
        <x:v>159</x:v>
      </x:c>
      <x:c r="B218" t="str">
        <x:v>[Location not in Form 20 PDF]</x:v>
      </x:c>
      <x:c r="C218" s="83" t="n">
        <x:f>'2024 Form20'!H167</x:f>
        <x:v>30</x:v>
      </x:c>
      <x:c r="D218" s="83" t="n">
        <x:f>'2024 Form20'!D167</x:f>
        <x:v>318</x:v>
      </x:c>
      <x:c r="E218" s="50" t="n">
        <x:f>'2024 Form20'!W167</x:f>
        <x:v>0.09433962264150944</x:v>
      </x:c>
      <x:c r="F218" t="n">
        <x:f>'2024 Form20'!X167</x:f>
        <x:v>236</x:v>
      </x:c>
      <x:c r="G218" t="n">
        <x:f>'2024 Form20'!Y167</x:f>
        <x:v>-206</x:v>
      </x:c>
      <x:c r="H218" s="52" t="n">
        <x:f>'2024 Form20'!Z167</x:f>
        <x:v>-0.6477987421383647</x:v>
      </x:c>
      <x:c r="I218" t="str">
        <x:v>Dr. Mahesh Sharma</x:v>
      </x:c>
      <x:c r="J218" t="str">
        <x:v>BJP</x:v>
      </x:c>
      <x:c r="K218" t="str">
        <x:v>EVM row</x:v>
      </x:c>
      <x:c r="L218" s="133" t="str">
        <x:f>IF(D218&lt;=0,"No EVM votes",IF(E218&lt;$N$7,"Low",IF(E218&gt;$R$7,"High","Middle")))</x:f>
        <x:v>Middle</x:v>
      </x:c>
      <x:c r="M218" s="133" t="str">
        <x:f>IF(D218&lt;=0,"No EVM votes",IF(H218&lt;-20%,"Large deficit",IF(H218&lt;-5%,"Moderate deficit",IF(H218&lt;0,"Narrow deficit",IF(H218&lt;=5%,"Narrow lead/tie",IF(H218&lt;=20%,"Moderate lead","Large lead"))))))</x:f>
        <x:v>Large deficit</x:v>
      </x:c>
    </x:row>
    <x:row r="219">
      <x:c r="A219" t="n">
        <x:v>160</x:v>
      </x:c>
      <x:c r="B219" t="str">
        <x:v>[Location not in Form 20 PDF]</x:v>
      </x:c>
      <x:c r="C219" s="83" t="n">
        <x:f>'2024 Form20'!H168</x:f>
        <x:v>54</x:v>
      </x:c>
      <x:c r="D219" s="83" t="n">
        <x:f>'2024 Form20'!D168</x:f>
        <x:v>474</x:v>
      </x:c>
      <x:c r="E219" s="50" t="n">
        <x:f>'2024 Form20'!W168</x:f>
        <x:v>0.11392405063291139</x:v>
      </x:c>
      <x:c r="F219" t="n">
        <x:f>'2024 Form20'!X168</x:f>
        <x:v>226</x:v>
      </x:c>
      <x:c r="G219" t="n">
        <x:f>'2024 Form20'!Y168</x:f>
        <x:v>-172</x:v>
      </x:c>
      <x:c r="H219" s="52" t="n">
        <x:f>'2024 Form20'!Z168</x:f>
        <x:v>-0.3628691983122363</x:v>
      </x:c>
      <x:c r="I219" t="str">
        <x:v>Dr. Mahesh Sharma</x:v>
      </x:c>
      <x:c r="J219" t="str">
        <x:v>BJP</x:v>
      </x:c>
      <x:c r="K219" t="str">
        <x:v>EVM row</x:v>
      </x:c>
      <x:c r="L219" s="133" t="str">
        <x:f>IF(D219&lt;=0,"No EVM votes",IF(E219&lt;$N$7,"Low",IF(E219&gt;$R$7,"High","Middle")))</x:f>
        <x:v>Middle</x:v>
      </x:c>
      <x:c r="M219" s="133" t="str">
        <x:f>IF(D219&lt;=0,"No EVM votes",IF(H219&lt;-20%,"Large deficit",IF(H219&lt;-5%,"Moderate deficit",IF(H219&lt;0,"Narrow deficit",IF(H219&lt;=5%,"Narrow lead/tie",IF(H219&lt;=20%,"Moderate lead","Large lead"))))))</x:f>
        <x:v>Large deficit</x:v>
      </x:c>
    </x:row>
    <x:row r="220">
      <x:c r="A220" t="n">
        <x:v>161</x:v>
      </x:c>
      <x:c r="B220" t="str">
        <x:v>[Location not in Form 20 PDF]</x:v>
      </x:c>
      <x:c r="C220" s="83" t="n">
        <x:f>'2024 Form20'!H169</x:f>
        <x:v>50</x:v>
      </x:c>
      <x:c r="D220" s="83" t="n">
        <x:f>'2024 Form20'!D169</x:f>
        <x:v>545</x:v>
      </x:c>
      <x:c r="E220" s="50" t="n">
        <x:f>'2024 Form20'!W169</x:f>
        <x:v>0.09174311926605505</x:v>
      </x:c>
      <x:c r="F220" t="n">
        <x:f>'2024 Form20'!X169</x:f>
        <x:v>301</x:v>
      </x:c>
      <x:c r="G220" t="n">
        <x:f>'2024 Form20'!Y169</x:f>
        <x:v>-251</x:v>
      </x:c>
      <x:c r="H220" s="52" t="n">
        <x:f>'2024 Form20'!Z169</x:f>
        <x:v>-0.46055045871559636</x:v>
      </x:c>
      <x:c r="I220" t="str">
        <x:v>Dr. Mahesh Sharma</x:v>
      </x:c>
      <x:c r="J220" t="str">
        <x:v>BJP</x:v>
      </x:c>
      <x:c r="K220" t="str">
        <x:v>EVM row</x:v>
      </x:c>
      <x:c r="L220" s="133" t="str">
        <x:f>IF(D220&lt;=0,"No EVM votes",IF(E220&lt;$N$7,"Low",IF(E220&gt;$R$7,"High","Middle")))</x:f>
        <x:v>Middle</x:v>
      </x:c>
      <x:c r="M220" s="133" t="str">
        <x:f>IF(D220&lt;=0,"No EVM votes",IF(H220&lt;-20%,"Large deficit",IF(H220&lt;-5%,"Moderate deficit",IF(H220&lt;0,"Narrow deficit",IF(H220&lt;=5%,"Narrow lead/tie",IF(H220&lt;=20%,"Moderate lead","Large lead"))))))</x:f>
        <x:v>Large deficit</x:v>
      </x:c>
    </x:row>
    <x:row r="221">
      <x:c r="A221" t="n">
        <x:v>162</x:v>
      </x:c>
      <x:c r="B221" t="str">
        <x:v>[Location not in Form 20 PDF]</x:v>
      </x:c>
      <x:c r="C221" s="83" t="n">
        <x:f>'2024 Form20'!H170</x:f>
        <x:v>46</x:v>
      </x:c>
      <x:c r="D221" s="83" t="n">
        <x:f>'2024 Form20'!D170</x:f>
        <x:v>400</x:v>
      </x:c>
      <x:c r="E221" s="50" t="n">
        <x:f>'2024 Form20'!W170</x:f>
        <x:v>0.115</x:v>
      </x:c>
      <x:c r="F221" t="n">
        <x:f>'2024 Form20'!X170</x:f>
        <x:v>175</x:v>
      </x:c>
      <x:c r="G221" t="n">
        <x:f>'2024 Form20'!Y170</x:f>
        <x:v>-129</x:v>
      </x:c>
      <x:c r="H221" s="52" t="n">
        <x:f>'2024 Form20'!Z170</x:f>
        <x:v>-0.3225</x:v>
      </x:c>
      <x:c r="I221" t="str">
        <x:v>Rajendra Singh Solanki</x:v>
      </x:c>
      <x:c r="J221" t="str">
        <x:v>BSP</x:v>
      </x:c>
      <x:c r="K221" t="str">
        <x:v>EVM row</x:v>
      </x:c>
      <x:c r="L221" s="133" t="str">
        <x:f>IF(D221&lt;=0,"No EVM votes",IF(E221&lt;$N$7,"Low",IF(E221&gt;$R$7,"High","Middle")))</x:f>
        <x:v>Middle</x:v>
      </x:c>
      <x:c r="M221" s="133" t="str">
        <x:f>IF(D221&lt;=0,"No EVM votes",IF(H221&lt;-20%,"Large deficit",IF(H221&lt;-5%,"Moderate deficit",IF(H221&lt;0,"Narrow deficit",IF(H221&lt;=5%,"Narrow lead/tie",IF(H221&lt;=20%,"Moderate lead","Large lead"))))))</x:f>
        <x:v>Large deficit</x:v>
      </x:c>
    </x:row>
    <x:row r="222">
      <x:c r="A222" t="n">
        <x:v>163</x:v>
      </x:c>
      <x:c r="B222" t="str">
        <x:v>[Location not in Form 20 PDF]</x:v>
      </x:c>
      <x:c r="C222" s="83" t="n">
        <x:f>'2024 Form20'!H171</x:f>
        <x:v>43</x:v>
      </x:c>
      <x:c r="D222" s="83" t="n">
        <x:f>'2024 Form20'!D171</x:f>
        <x:v>549</x:v>
      </x:c>
      <x:c r="E222" s="50" t="n">
        <x:f>'2024 Form20'!W171</x:f>
        <x:v>0.07832422586520947</x:v>
      </x:c>
      <x:c r="F222" t="n">
        <x:f>'2024 Form20'!X171</x:f>
        <x:v>363</x:v>
      </x:c>
      <x:c r="G222" t="n">
        <x:f>'2024 Form20'!Y171</x:f>
        <x:v>-320</x:v>
      </x:c>
      <x:c r="H222" s="52" t="n">
        <x:f>'2024 Form20'!Z171</x:f>
        <x:v>-0.5828779599271403</x:v>
      </x:c>
      <x:c r="I222" t="str">
        <x:v>Dr. Mahesh Sharma</x:v>
      </x:c>
      <x:c r="J222" t="str">
        <x:v>BJP</x:v>
      </x:c>
      <x:c r="K222" t="str">
        <x:v>EVM row</x:v>
      </x:c>
      <x:c r="L222" s="133" t="str">
        <x:f>IF(D222&lt;=0,"No EVM votes",IF(E222&lt;$N$7,"Low",IF(E222&gt;$R$7,"High","Middle")))</x:f>
        <x:v>Middle</x:v>
      </x:c>
      <x:c r="M222" s="133" t="str">
        <x:f>IF(D222&lt;=0,"No EVM votes",IF(H222&lt;-20%,"Large deficit",IF(H222&lt;-5%,"Moderate deficit",IF(H222&lt;0,"Narrow deficit",IF(H222&lt;=5%,"Narrow lead/tie",IF(H222&lt;=20%,"Moderate lead","Large lead"))))))</x:f>
        <x:v>Large deficit</x:v>
      </x:c>
    </x:row>
    <x:row r="223">
      <x:c r="A223" t="n">
        <x:v>164</x:v>
      </x:c>
      <x:c r="B223" t="str">
        <x:v>[Location not in Form 20 PDF]</x:v>
      </x:c>
      <x:c r="C223" s="83" t="n">
        <x:f>'2024 Form20'!H172</x:f>
        <x:v>102</x:v>
      </x:c>
      <x:c r="D223" s="83" t="n">
        <x:f>'2024 Form20'!D172</x:f>
        <x:v>478</x:v>
      </x:c>
      <x:c r="E223" s="50" t="n">
        <x:f>'2024 Form20'!W172</x:f>
        <x:v>0.21338912133891214</x:v>
      </x:c>
      <x:c r="F223" t="n">
        <x:f>'2024 Form20'!X172</x:f>
        <x:v>196</x:v>
      </x:c>
      <x:c r="G223" t="n">
        <x:f>'2024 Form20'!Y172</x:f>
        <x:v>-94</x:v>
      </x:c>
      <x:c r="H223" s="52" t="n">
        <x:f>'2024 Form20'!Z172</x:f>
        <x:v>-0.19665271966527198</x:v>
      </x:c>
      <x:c r="I223" t="str">
        <x:v>Dr. Mahesh Sharma</x:v>
      </x:c>
      <x:c r="J223" t="str">
        <x:v>BJP</x:v>
      </x:c>
      <x:c r="K223" t="str">
        <x:v>EVM row</x:v>
      </x:c>
      <x:c r="L223" s="133" t="str">
        <x:f>IF(D223&lt;=0,"No EVM votes",IF(E223&lt;$N$7,"Low",IF(E223&gt;$R$7,"High","Middle")))</x:f>
        <x:v>Middle</x:v>
      </x:c>
      <x:c r="M223" s="133" t="str">
        <x:f>IF(D223&lt;=0,"No EVM votes",IF(H223&lt;-20%,"Large deficit",IF(H223&lt;-5%,"Moderate deficit",IF(H223&lt;0,"Narrow deficit",IF(H223&lt;=5%,"Narrow lead/tie",IF(H223&lt;=20%,"Moderate lead","Large lead"))))))</x:f>
        <x:v>Moderate deficit</x:v>
      </x:c>
    </x:row>
    <x:row r="224">
      <x:c r="A224" t="n">
        <x:v>165</x:v>
      </x:c>
      <x:c r="B224" t="str">
        <x:v>[Location not in Form 20 PDF]</x:v>
      </x:c>
      <x:c r="C224" s="83" t="n">
        <x:f>'2024 Form20'!H173</x:f>
        <x:v>113</x:v>
      </x:c>
      <x:c r="D224" s="83" t="n">
        <x:f>'2024 Form20'!D173</x:f>
        <x:v>574</x:v>
      </x:c>
      <x:c r="E224" s="50" t="n">
        <x:f>'2024 Form20'!W173</x:f>
        <x:v>0.19686411149825783</x:v>
      </x:c>
      <x:c r="F224" t="n">
        <x:f>'2024 Form20'!X173</x:f>
        <x:v>254</x:v>
      </x:c>
      <x:c r="G224" t="n">
        <x:f>'2024 Form20'!Y173</x:f>
        <x:v>-141</x:v>
      </x:c>
      <x:c r="H224" s="52" t="n">
        <x:f>'2024 Form20'!Z173</x:f>
        <x:v>-0.2456445993031359</x:v>
      </x:c>
      <x:c r="I224" t="str">
        <x:v>Dr. Mahesh Sharma</x:v>
      </x:c>
      <x:c r="J224" t="str">
        <x:v>BJP</x:v>
      </x:c>
      <x:c r="K224" t="str">
        <x:v>EVM row</x:v>
      </x:c>
      <x:c r="L224" s="133" t="str">
        <x:f>IF(D224&lt;=0,"No EVM votes",IF(E224&lt;$N$7,"Low",IF(E224&gt;$R$7,"High","Middle")))</x:f>
        <x:v>Middle</x:v>
      </x:c>
      <x:c r="M224" s="133" t="str">
        <x:f>IF(D224&lt;=0,"No EVM votes",IF(H224&lt;-20%,"Large deficit",IF(H224&lt;-5%,"Moderate deficit",IF(H224&lt;0,"Narrow deficit",IF(H224&lt;=5%,"Narrow lead/tie",IF(H224&lt;=20%,"Moderate lead","Large lead"))))))</x:f>
        <x:v>Large deficit</x:v>
      </x:c>
    </x:row>
    <x:row r="225">
      <x:c r="A225" t="n">
        <x:v>166</x:v>
      </x:c>
      <x:c r="B225" t="str">
        <x:v>[Location not in Form 20 PDF]</x:v>
      </x:c>
      <x:c r="C225" s="83" t="n">
        <x:f>'2024 Form20'!H174</x:f>
        <x:v>14</x:v>
      </x:c>
      <x:c r="D225" s="83" t="n">
        <x:f>'2024 Form20'!D174</x:f>
        <x:v>558</x:v>
      </x:c>
      <x:c r="E225" s="50" t="n">
        <x:f>'2024 Form20'!W174</x:f>
        <x:v>0.025089605734767026</x:v>
      </x:c>
      <x:c r="F225" t="n">
        <x:f>'2024 Form20'!X174</x:f>
        <x:v>447</x:v>
      </x:c>
      <x:c r="G225" t="n">
        <x:f>'2024 Form20'!Y174</x:f>
        <x:v>-433</x:v>
      </x:c>
      <x:c r="H225" s="52" t="n">
        <x:f>'2024 Form20'!Z174</x:f>
        <x:v>-0.7759856630824373</x:v>
      </x:c>
      <x:c r="I225" t="str">
        <x:v>Rajendra Singh Solanki</x:v>
      </x:c>
      <x:c r="J225" t="str">
        <x:v>BSP</x:v>
      </x:c>
      <x:c r="K225" t="str">
        <x:v>EVM row</x:v>
      </x:c>
      <x:c r="L225" s="133" t="str">
        <x:f>IF(D225&lt;=0,"No EVM votes",IF(E225&lt;$N$7,"Low",IF(E225&gt;$R$7,"High","Middle")))</x:f>
        <x:v>Low</x:v>
      </x:c>
      <x:c r="M225" s="133" t="str">
        <x:f>IF(D225&lt;=0,"No EVM votes",IF(H225&lt;-20%,"Large deficit",IF(H225&lt;-5%,"Moderate deficit",IF(H225&lt;0,"Narrow deficit",IF(H225&lt;=5%,"Narrow lead/tie",IF(H225&lt;=20%,"Moderate lead","Large lead"))))))</x:f>
        <x:v>Large deficit</x:v>
      </x:c>
    </x:row>
    <x:row r="226">
      <x:c r="A226" t="n">
        <x:v>167</x:v>
      </x:c>
      <x:c r="B226" t="str">
        <x:v>[Location not in Form 20 PDF]</x:v>
      </x:c>
      <x:c r="C226" s="83" t="n">
        <x:f>'2024 Form20'!H175</x:f>
        <x:v>14</x:v>
      </x:c>
      <x:c r="D226" s="83" t="n">
        <x:f>'2024 Form20'!D175</x:f>
        <x:v>238</x:v>
      </x:c>
      <x:c r="E226" s="50" t="n">
        <x:f>'2024 Form20'!W175</x:f>
        <x:v>0.058823529411764705</x:v>
      </x:c>
      <x:c r="F226" t="n">
        <x:f>'2024 Form20'!X175</x:f>
        <x:v>161</x:v>
      </x:c>
      <x:c r="G226" t="n">
        <x:f>'2024 Form20'!Y175</x:f>
        <x:v>-147</x:v>
      </x:c>
      <x:c r="H226" s="52" t="n">
        <x:f>'2024 Form20'!Z175</x:f>
        <x:v>-0.6176470588235294</x:v>
      </x:c>
      <x:c r="I226" t="str">
        <x:v>Dr. Mahesh Sharma</x:v>
      </x:c>
      <x:c r="J226" t="str">
        <x:v>BJP</x:v>
      </x:c>
      <x:c r="K226" t="str">
        <x:v>EVM row</x:v>
      </x:c>
      <x:c r="L226" s="133" t="str">
        <x:f>IF(D226&lt;=0,"No EVM votes",IF(E226&lt;$N$7,"Low",IF(E226&gt;$R$7,"High","Middle")))</x:f>
        <x:v>Middle</x:v>
      </x:c>
      <x:c r="M226" s="133" t="str">
        <x:f>IF(D226&lt;=0,"No EVM votes",IF(H226&lt;-20%,"Large deficit",IF(H226&lt;-5%,"Moderate deficit",IF(H226&lt;0,"Narrow deficit",IF(H226&lt;=5%,"Narrow lead/tie",IF(H226&lt;=20%,"Moderate lead","Large lead"))))))</x:f>
        <x:v>Large deficit</x:v>
      </x:c>
    </x:row>
    <x:row r="227">
      <x:c r="A227" t="n">
        <x:v>168</x:v>
      </x:c>
      <x:c r="B227" t="str">
        <x:v>[Location not in Form 20 PDF]</x:v>
      </x:c>
      <x:c r="C227" s="83" t="n">
        <x:f>'2024 Form20'!H176</x:f>
        <x:v>72</x:v>
      </x:c>
      <x:c r="D227" s="83" t="n">
        <x:f>'2024 Form20'!D176</x:f>
        <x:v>507</x:v>
      </x:c>
      <x:c r="E227" s="50" t="n">
        <x:f>'2024 Form20'!W176</x:f>
        <x:v>0.14201183431952663</x:v>
      </x:c>
      <x:c r="F227" t="n">
        <x:f>'2024 Form20'!X176</x:f>
        <x:v>293</x:v>
      </x:c>
      <x:c r="G227" t="n">
        <x:f>'2024 Form20'!Y176</x:f>
        <x:v>-221</x:v>
      </x:c>
      <x:c r="H227" s="52" t="n">
        <x:f>'2024 Form20'!Z176</x:f>
        <x:v>-0.4358974358974359</x:v>
      </x:c>
      <x:c r="I227" t="str">
        <x:v>Dr. Mahesh Sharma</x:v>
      </x:c>
      <x:c r="J227" t="str">
        <x:v>BJP</x:v>
      </x:c>
      <x:c r="K227" t="str">
        <x:v>EVM row</x:v>
      </x:c>
      <x:c r="L227" s="133" t="str">
        <x:f>IF(D227&lt;=0,"No EVM votes",IF(E227&lt;$N$7,"Low",IF(E227&gt;$R$7,"High","Middle")))</x:f>
        <x:v>Middle</x:v>
      </x:c>
      <x:c r="M227" s="133" t="str">
        <x:f>IF(D227&lt;=0,"No EVM votes",IF(H227&lt;-20%,"Large deficit",IF(H227&lt;-5%,"Moderate deficit",IF(H227&lt;0,"Narrow deficit",IF(H227&lt;=5%,"Narrow lead/tie",IF(H227&lt;=20%,"Moderate lead","Large lead"))))))</x:f>
        <x:v>Large deficit</x:v>
      </x:c>
    </x:row>
    <x:row r="228">
      <x:c r="A228" t="n">
        <x:v>169</x:v>
      </x:c>
      <x:c r="B228" t="str">
        <x:v>[Location not in Form 20 PDF]</x:v>
      </x:c>
      <x:c r="C228" s="83" t="n">
        <x:f>'2024 Form20'!H177</x:f>
        <x:v>123</x:v>
      </x:c>
      <x:c r="D228" s="83" t="n">
        <x:f>'2024 Form20'!D177</x:f>
        <x:v>634</x:v>
      </x:c>
      <x:c r="E228" s="50" t="n">
        <x:f>'2024 Form20'!W177</x:f>
        <x:v>0.19400630914826497</x:v>
      </x:c>
      <x:c r="F228" t="n">
        <x:f>'2024 Form20'!X177</x:f>
        <x:v>457</x:v>
      </x:c>
      <x:c r="G228" t="n">
        <x:f>'2024 Form20'!Y177</x:f>
        <x:v>-334</x:v>
      </x:c>
      <x:c r="H228" s="52" t="n">
        <x:f>'2024 Form20'!Z177</x:f>
        <x:v>-0.526813880126183</x:v>
      </x:c>
      <x:c r="I228" t="str">
        <x:v>Dr. Mahesh Sharma</x:v>
      </x:c>
      <x:c r="J228" t="str">
        <x:v>BJP</x:v>
      </x:c>
      <x:c r="K228" t="str">
        <x:v>EVM row</x:v>
      </x:c>
      <x:c r="L228" s="133" t="str">
        <x:f>IF(D228&lt;=0,"No EVM votes",IF(E228&lt;$N$7,"Low",IF(E228&gt;$R$7,"High","Middle")))</x:f>
        <x:v>Middle</x:v>
      </x:c>
      <x:c r="M228" s="133" t="str">
        <x:f>IF(D228&lt;=0,"No EVM votes",IF(H228&lt;-20%,"Large deficit",IF(H228&lt;-5%,"Moderate deficit",IF(H228&lt;0,"Narrow deficit",IF(H228&lt;=5%,"Narrow lead/tie",IF(H228&lt;=20%,"Moderate lead","Large lead"))))))</x:f>
        <x:v>Large deficit</x:v>
      </x:c>
    </x:row>
    <x:row r="229">
      <x:c r="A229" t="n">
        <x:v>170</x:v>
      </x:c>
      <x:c r="B229" t="str">
        <x:v>[Location not in Form 20 PDF]</x:v>
      </x:c>
      <x:c r="C229" s="83" t="n">
        <x:f>'2024 Form20'!H178</x:f>
        <x:v>162</x:v>
      </x:c>
      <x:c r="D229" s="83" t="n">
        <x:f>'2024 Form20'!D178</x:f>
        <x:v>566</x:v>
      </x:c>
      <x:c r="E229" s="50" t="n">
        <x:f>'2024 Form20'!W178</x:f>
        <x:v>0.2862190812720848</x:v>
      </x:c>
      <x:c r="F229" t="n">
        <x:f>'2024 Form20'!X178</x:f>
        <x:v>256</x:v>
      </x:c>
      <x:c r="G229" t="n">
        <x:f>'2024 Form20'!Y178</x:f>
        <x:v>-94</x:v>
      </x:c>
      <x:c r="H229" s="52" t="n">
        <x:f>'2024 Form20'!Z178</x:f>
        <x:v>-0.16607773851590105</x:v>
      </x:c>
      <x:c r="I229" t="str">
        <x:v>Dr. Mahesh Sharma</x:v>
      </x:c>
      <x:c r="J229" t="str">
        <x:v>BJP</x:v>
      </x:c>
      <x:c r="K229" t="str">
        <x:v>EVM row</x:v>
      </x:c>
      <x:c r="L229" s="133" t="str">
        <x:f>IF(D229&lt;=0,"No EVM votes",IF(E229&lt;$N$7,"Low",IF(E229&gt;$R$7,"High","Middle")))</x:f>
        <x:v>High</x:v>
      </x:c>
      <x:c r="M229" s="133" t="str">
        <x:f>IF(D229&lt;=0,"No EVM votes",IF(H229&lt;-20%,"Large deficit",IF(H229&lt;-5%,"Moderate deficit",IF(H229&lt;0,"Narrow deficit",IF(H229&lt;=5%,"Narrow lead/tie",IF(H229&lt;=20%,"Moderate lead","Large lead"))))))</x:f>
        <x:v>Moderate deficit</x:v>
      </x:c>
    </x:row>
    <x:row r="230">
      <x:c r="A230" t="n">
        <x:v>171</x:v>
      </x:c>
      <x:c r="B230" t="str">
        <x:v>[Location not in Form 20 PDF]</x:v>
      </x:c>
      <x:c r="C230" s="83" t="n">
        <x:f>'2024 Form20'!H179</x:f>
        <x:v>60</x:v>
      </x:c>
      <x:c r="D230" s="83" t="n">
        <x:f>'2024 Form20'!D179</x:f>
        <x:v>667</x:v>
      </x:c>
      <x:c r="E230" s="50" t="n">
        <x:f>'2024 Form20'!W179</x:f>
        <x:v>0.08995502248875563</x:v>
      </x:c>
      <x:c r="F230" t="n">
        <x:f>'2024 Form20'!X179</x:f>
        <x:v>515</x:v>
      </x:c>
      <x:c r="G230" t="n">
        <x:f>'2024 Form20'!Y179</x:f>
        <x:v>-455</x:v>
      </x:c>
      <x:c r="H230" s="52" t="n">
        <x:f>'2024 Form20'!Z179</x:f>
        <x:v>-0.6821589205397302</x:v>
      </x:c>
      <x:c r="I230" t="str">
        <x:v>Dr. Mahesh Sharma</x:v>
      </x:c>
      <x:c r="J230" t="str">
        <x:v>BJP</x:v>
      </x:c>
      <x:c r="K230" t="str">
        <x:v>EVM row</x:v>
      </x:c>
      <x:c r="L230" s="133" t="str">
        <x:f>IF(D230&lt;=0,"No EVM votes",IF(E230&lt;$N$7,"Low",IF(E230&gt;$R$7,"High","Middle")))</x:f>
        <x:v>Middle</x:v>
      </x:c>
      <x:c r="M230" s="133" t="str">
        <x:f>IF(D230&lt;=0,"No EVM votes",IF(H230&lt;-20%,"Large deficit",IF(H230&lt;-5%,"Moderate deficit",IF(H230&lt;0,"Narrow deficit",IF(H230&lt;=5%,"Narrow lead/tie",IF(H230&lt;=20%,"Moderate lead","Large lead"))))))</x:f>
        <x:v>Large deficit</x:v>
      </x:c>
    </x:row>
    <x:row r="231">
      <x:c r="A231" t="n">
        <x:v>172</x:v>
      </x:c>
      <x:c r="B231" t="str">
        <x:v>[Location not in Form 20 PDF]</x:v>
      </x:c>
      <x:c r="C231" s="83" t="n">
        <x:f>'2024 Form20'!H180</x:f>
        <x:v>106</x:v>
      </x:c>
      <x:c r="D231" s="83" t="n">
        <x:f>'2024 Form20'!D180</x:f>
        <x:v>392</x:v>
      </x:c>
      <x:c r="E231" s="50" t="n">
        <x:f>'2024 Form20'!W180</x:f>
        <x:v>0.27040816326530615</x:v>
      </x:c>
      <x:c r="F231" t="n">
        <x:f>'2024 Form20'!X180</x:f>
        <x:v>142</x:v>
      </x:c>
      <x:c r="G231" t="n">
        <x:f>'2024 Form20'!Y180</x:f>
        <x:v>-36</x:v>
      </x:c>
      <x:c r="H231" s="52" t="n">
        <x:f>'2024 Form20'!Z180</x:f>
        <x:v>-0.09183673469387756</x:v>
      </x:c>
      <x:c r="I231" t="str">
        <x:v>Dr. Mahesh Sharma</x:v>
      </x:c>
      <x:c r="J231" t="str">
        <x:v>BJP</x:v>
      </x:c>
      <x:c r="K231" t="str">
        <x:v>EVM row</x:v>
      </x:c>
      <x:c r="L231" s="133" t="str">
        <x:f>IF(D231&lt;=0,"No EVM votes",IF(E231&lt;$N$7,"Low",IF(E231&gt;$R$7,"High","Middle")))</x:f>
        <x:v>High</x:v>
      </x:c>
      <x:c r="M231" s="133" t="str">
        <x:f>IF(D231&lt;=0,"No EVM votes",IF(H231&lt;-20%,"Large deficit",IF(H231&lt;-5%,"Moderate deficit",IF(H231&lt;0,"Narrow deficit",IF(H231&lt;=5%,"Narrow lead/tie",IF(H231&lt;=20%,"Moderate lead","Large lead"))))))</x:f>
        <x:v>Moderate deficit</x:v>
      </x:c>
    </x:row>
    <x:row r="232">
      <x:c r="A232" t="n">
        <x:v>173</x:v>
      </x:c>
      <x:c r="B232" t="str">
        <x:v>[Location not in Form 20 PDF]</x:v>
      </x:c>
      <x:c r="C232" s="83" t="n">
        <x:f>'2024 Form20'!H181</x:f>
        <x:v>227</x:v>
      </x:c>
      <x:c r="D232" s="83" t="n">
        <x:f>'2024 Form20'!D181</x:f>
        <x:v>394</x:v>
      </x:c>
      <x:c r="E232" s="50" t="n">
        <x:f>'2024 Form20'!W181</x:f>
        <x:v>0.5761421319796954</x:v>
      </x:c>
      <x:c r="F232" t="n">
        <x:f>'2024 Form20'!X181</x:f>
        <x:v>142</x:v>
      </x:c>
      <x:c r="G232" t="n">
        <x:f>'2024 Form20'!Y181</x:f>
        <x:v>85</x:v>
      </x:c>
      <x:c r="H232" s="52" t="n">
        <x:f>'2024 Form20'!Z181</x:f>
        <x:v>0.21573604060913706</x:v>
      </x:c>
      <x:c r="I232" t="str">
        <x:v>Dr. Mahendra Singh Nagar</x:v>
      </x:c>
      <x:c r="J232" t="str">
        <x:v>SP</x:v>
      </x:c>
      <x:c r="K232" t="str">
        <x:v>EVM row</x:v>
      </x:c>
      <x:c r="L232" s="133" t="str">
        <x:f>IF(D232&lt;=0,"No EVM votes",IF(E232&lt;$N$7,"Low",IF(E232&gt;$R$7,"High","Middle")))</x:f>
        <x:v>High</x:v>
      </x:c>
      <x:c r="M232" s="133" t="str">
        <x:f>IF(D232&lt;=0,"No EVM votes",IF(H232&lt;-20%,"Large deficit",IF(H232&lt;-5%,"Moderate deficit",IF(H232&lt;0,"Narrow deficit",IF(H232&lt;=5%,"Narrow lead/tie",IF(H232&lt;=20%,"Moderate lead","Large lead"))))))</x:f>
        <x:v>Large lead</x:v>
      </x:c>
    </x:row>
    <x:row r="233">
      <x:c r="A233" t="n">
        <x:v>174</x:v>
      </x:c>
      <x:c r="B233" t="str">
        <x:v>[Location not in Form 20 PDF]</x:v>
      </x:c>
      <x:c r="C233" s="83" t="n">
        <x:f>'2024 Form20'!H182</x:f>
        <x:v>77</x:v>
      </x:c>
      <x:c r="D233" s="83" t="n">
        <x:f>'2024 Form20'!D182</x:f>
        <x:v>321</x:v>
      </x:c>
      <x:c r="E233" s="50" t="n">
        <x:f>'2024 Form20'!W182</x:f>
        <x:v>0.2398753894080997</x:v>
      </x:c>
      <x:c r="F233" t="n">
        <x:f>'2024 Form20'!X182</x:f>
        <x:v>179</x:v>
      </x:c>
      <x:c r="G233" t="n">
        <x:f>'2024 Form20'!Y182</x:f>
        <x:v>-102</x:v>
      </x:c>
      <x:c r="H233" s="52" t="n">
        <x:f>'2024 Form20'!Z182</x:f>
        <x:v>-0.3177570093457944</x:v>
      </x:c>
      <x:c r="I233" t="str">
        <x:v>Dr. Mahesh Sharma</x:v>
      </x:c>
      <x:c r="J233" t="str">
        <x:v>BJP</x:v>
      </x:c>
      <x:c r="K233" t="str">
        <x:v>EVM row</x:v>
      </x:c>
      <x:c r="L233" s="133" t="str">
        <x:f>IF(D233&lt;=0,"No EVM votes",IF(E233&lt;$N$7,"Low",IF(E233&gt;$R$7,"High","Middle")))</x:f>
        <x:v>High</x:v>
      </x:c>
      <x:c r="M233" s="133" t="str">
        <x:f>IF(D233&lt;=0,"No EVM votes",IF(H233&lt;-20%,"Large deficit",IF(H233&lt;-5%,"Moderate deficit",IF(H233&lt;0,"Narrow deficit",IF(H233&lt;=5%,"Narrow lead/tie",IF(H233&lt;=20%,"Moderate lead","Large lead"))))))</x:f>
        <x:v>Large deficit</x:v>
      </x:c>
    </x:row>
    <x:row r="234">
      <x:c r="A234" t="n">
        <x:v>175</x:v>
      </x:c>
      <x:c r="B234" t="str">
        <x:v>[Location not in Form 20 PDF]</x:v>
      </x:c>
      <x:c r="C234" s="83" t="n">
        <x:f>'2024 Form20'!H183</x:f>
        <x:v>138</x:v>
      </x:c>
      <x:c r="D234" s="83" t="n">
        <x:f>'2024 Form20'!D183</x:f>
        <x:v>451</x:v>
      </x:c>
      <x:c r="E234" s="50" t="n">
        <x:f>'2024 Form20'!W183</x:f>
        <x:v>0.30598669623059865</x:v>
      </x:c>
      <x:c r="F234" t="n">
        <x:f>'2024 Form20'!X183</x:f>
        <x:v>242</x:v>
      </x:c>
      <x:c r="G234" t="n">
        <x:f>'2024 Form20'!Y183</x:f>
        <x:v>-104</x:v>
      </x:c>
      <x:c r="H234" s="52" t="n">
        <x:f>'2024 Form20'!Z183</x:f>
        <x:v>-0.23059866962305986</x:v>
      </x:c>
      <x:c r="I234" t="str">
        <x:v>Dr. Mahesh Sharma</x:v>
      </x:c>
      <x:c r="J234" t="str">
        <x:v>BJP</x:v>
      </x:c>
      <x:c r="K234" t="str">
        <x:v>EVM row</x:v>
      </x:c>
      <x:c r="L234" s="133" t="str">
        <x:f>IF(D234&lt;=0,"No EVM votes",IF(E234&lt;$N$7,"Low",IF(E234&gt;$R$7,"High","Middle")))</x:f>
        <x:v>High</x:v>
      </x:c>
      <x:c r="M234" s="133" t="str">
        <x:f>IF(D234&lt;=0,"No EVM votes",IF(H234&lt;-20%,"Large deficit",IF(H234&lt;-5%,"Moderate deficit",IF(H234&lt;0,"Narrow deficit",IF(H234&lt;=5%,"Narrow lead/tie",IF(H234&lt;=20%,"Moderate lead","Large lead"))))))</x:f>
        <x:v>Large deficit</x:v>
      </x:c>
    </x:row>
    <x:row r="235">
      <x:c r="A235" t="n">
        <x:v>176</x:v>
      </x:c>
      <x:c r="B235" t="str">
        <x:v>[Location not in Form 20 PDF]</x:v>
      </x:c>
      <x:c r="C235" s="83" t="n">
        <x:f>'2024 Form20'!H184</x:f>
        <x:v>35</x:v>
      </x:c>
      <x:c r="D235" s="83" t="n">
        <x:f>'2024 Form20'!D184</x:f>
        <x:v>446</x:v>
      </x:c>
      <x:c r="E235" s="50" t="n">
        <x:f>'2024 Form20'!W184</x:f>
        <x:v>0.07847533632286996</x:v>
      </x:c>
      <x:c r="F235" t="n">
        <x:f>'2024 Form20'!X184</x:f>
        <x:v>256</x:v>
      </x:c>
      <x:c r="G235" t="n">
        <x:f>'2024 Form20'!Y184</x:f>
        <x:v>-221</x:v>
      </x:c>
      <x:c r="H235" s="52" t="n">
        <x:f>'2024 Form20'!Z184</x:f>
        <x:v>-0.49551569506726456</x:v>
      </x:c>
      <x:c r="I235" t="str">
        <x:v>Rajendra Singh Solanki</x:v>
      </x:c>
      <x:c r="J235" t="str">
        <x:v>BSP</x:v>
      </x:c>
      <x:c r="K235" t="str">
        <x:v>EVM row</x:v>
      </x:c>
      <x:c r="L235" s="133" t="str">
        <x:f>IF(D235&lt;=0,"No EVM votes",IF(E235&lt;$N$7,"Low",IF(E235&gt;$R$7,"High","Middle")))</x:f>
        <x:v>Middle</x:v>
      </x:c>
      <x:c r="M235" s="133" t="str">
        <x:f>IF(D235&lt;=0,"No EVM votes",IF(H235&lt;-20%,"Large deficit",IF(H235&lt;-5%,"Moderate deficit",IF(H235&lt;0,"Narrow deficit",IF(H235&lt;=5%,"Narrow lead/tie",IF(H235&lt;=20%,"Moderate lead","Large lead"))))))</x:f>
        <x:v>Large deficit</x:v>
      </x:c>
    </x:row>
    <x:row r="236">
      <x:c r="A236" t="n">
        <x:v>177</x:v>
      </x:c>
      <x:c r="B236" t="str">
        <x:v>[Location not in Form 20 PDF]</x:v>
      </x:c>
      <x:c r="C236" s="83" t="n">
        <x:f>'2024 Form20'!H185</x:f>
        <x:v>78</x:v>
      </x:c>
      <x:c r="D236" s="83" t="n">
        <x:f>'2024 Form20'!D185</x:f>
        <x:v>540</x:v>
      </x:c>
      <x:c r="E236" s="50" t="n">
        <x:f>'2024 Form20'!W185</x:f>
        <x:v>0.14444444444444443</x:v>
      </x:c>
      <x:c r="F236" t="n">
        <x:f>'2024 Form20'!X185</x:f>
        <x:v>232</x:v>
      </x:c>
      <x:c r="G236" t="n">
        <x:f>'2024 Form20'!Y185</x:f>
        <x:v>-154</x:v>
      </x:c>
      <x:c r="H236" s="52" t="n">
        <x:f>'2024 Form20'!Z185</x:f>
        <x:v>-0.2851851851851852</x:v>
      </x:c>
      <x:c r="I236" t="str">
        <x:v>Rajendra Singh Solanki</x:v>
      </x:c>
      <x:c r="J236" t="str">
        <x:v>BSP</x:v>
      </x:c>
      <x:c r="K236" t="str">
        <x:v>EVM row</x:v>
      </x:c>
      <x:c r="L236" s="133" t="str">
        <x:f>IF(D236&lt;=0,"No EVM votes",IF(E236&lt;$N$7,"Low",IF(E236&gt;$R$7,"High","Middle")))</x:f>
        <x:v>Middle</x:v>
      </x:c>
      <x:c r="M236" s="133" t="str">
        <x:f>IF(D236&lt;=0,"No EVM votes",IF(H236&lt;-20%,"Large deficit",IF(H236&lt;-5%,"Moderate deficit",IF(H236&lt;0,"Narrow deficit",IF(H236&lt;=5%,"Narrow lead/tie",IF(H236&lt;=20%,"Moderate lead","Large lead"))))))</x:f>
        <x:v>Large deficit</x:v>
      </x:c>
    </x:row>
    <x:row r="237">
      <x:c r="A237" t="n">
        <x:v>178</x:v>
      </x:c>
      <x:c r="B237" t="str">
        <x:v>[Location not in Form 20 PDF]</x:v>
      </x:c>
      <x:c r="C237" s="83" t="n">
        <x:f>'2024 Form20'!H186</x:f>
        <x:v>97</x:v>
      </x:c>
      <x:c r="D237" s="83" t="n">
        <x:f>'2024 Form20'!D186</x:f>
        <x:v>430</x:v>
      </x:c>
      <x:c r="E237" s="50" t="n">
        <x:f>'2024 Form20'!W186</x:f>
        <x:v>0.2255813953488372</x:v>
      </x:c>
      <x:c r="F237" t="n">
        <x:f>'2024 Form20'!X186</x:f>
        <x:v>233</x:v>
      </x:c>
      <x:c r="G237" t="n">
        <x:f>'2024 Form20'!Y186</x:f>
        <x:v>-136</x:v>
      </x:c>
      <x:c r="H237" s="52" t="n">
        <x:f>'2024 Form20'!Z186</x:f>
        <x:v>-0.31627906976744186</x:v>
      </x:c>
      <x:c r="I237" t="str">
        <x:v>Dr. Mahesh Sharma</x:v>
      </x:c>
      <x:c r="J237" t="str">
        <x:v>BJP</x:v>
      </x:c>
      <x:c r="K237" t="str">
        <x:v>EVM row</x:v>
      </x:c>
      <x:c r="L237" s="133" t="str">
        <x:f>IF(D237&lt;=0,"No EVM votes",IF(E237&lt;$N$7,"Low",IF(E237&gt;$R$7,"High","Middle")))</x:f>
        <x:v>Middle</x:v>
      </x:c>
      <x:c r="M237" s="133" t="str">
        <x:f>IF(D237&lt;=0,"No EVM votes",IF(H237&lt;-20%,"Large deficit",IF(H237&lt;-5%,"Moderate deficit",IF(H237&lt;0,"Narrow deficit",IF(H237&lt;=5%,"Narrow lead/tie",IF(H237&lt;=20%,"Moderate lead","Large lead"))))))</x:f>
        <x:v>Large deficit</x:v>
      </x:c>
    </x:row>
    <x:row r="238">
      <x:c r="A238" t="n">
        <x:v>179</x:v>
      </x:c>
      <x:c r="B238" t="str">
        <x:v>[Location not in Form 20 PDF]</x:v>
      </x:c>
      <x:c r="C238" s="83" t="n">
        <x:f>'2024 Form20'!H187</x:f>
        <x:v>225</x:v>
      </x:c>
      <x:c r="D238" s="83" t="n">
        <x:f>'2024 Form20'!D187</x:f>
        <x:v>599</x:v>
      </x:c>
      <x:c r="E238" s="50" t="n">
        <x:f>'2024 Form20'!W187</x:f>
        <x:v>0.3756260434056761</x:v>
      </x:c>
      <x:c r="F238" t="n">
        <x:f>'2024 Form20'!X187</x:f>
        <x:v>223</x:v>
      </x:c>
      <x:c r="G238" t="n">
        <x:f>'2024 Form20'!Y187</x:f>
        <x:v>2</x:v>
      </x:c>
      <x:c r="H238" s="52" t="n">
        <x:f>'2024 Form20'!Z187</x:f>
        <x:v>0.00333889816360601</x:v>
      </x:c>
      <x:c r="I238" t="str">
        <x:v>Dr. Mahendra Singh Nagar</x:v>
      </x:c>
      <x:c r="J238" t="str">
        <x:v>SP</x:v>
      </x:c>
      <x:c r="K238" t="str">
        <x:v>EVM row</x:v>
      </x:c>
      <x:c r="L238" s="133" t="str">
        <x:f>IF(D238&lt;=0,"No EVM votes",IF(E238&lt;$N$7,"Low",IF(E238&gt;$R$7,"High","Middle")))</x:f>
        <x:v>High</x:v>
      </x:c>
      <x:c r="M238" s="133" t="str">
        <x:f>IF(D238&lt;=0,"No EVM votes",IF(H238&lt;-20%,"Large deficit",IF(H238&lt;-5%,"Moderate deficit",IF(H238&lt;0,"Narrow deficit",IF(H238&lt;=5%,"Narrow lead/tie",IF(H238&lt;=20%,"Moderate lead","Large lead"))))))</x:f>
        <x:v>Narrow lead/tie</x:v>
      </x:c>
    </x:row>
    <x:row r="239">
      <x:c r="A239" t="n">
        <x:v>180</x:v>
      </x:c>
      <x:c r="B239" t="str">
        <x:v>[Location not in Form 20 PDF]</x:v>
      </x:c>
      <x:c r="C239" s="83" t="n">
        <x:f>'2024 Form20'!H188</x:f>
        <x:v>151</x:v>
      </x:c>
      <x:c r="D239" s="83" t="n">
        <x:f>'2024 Form20'!D188</x:f>
        <x:v>800</x:v>
      </x:c>
      <x:c r="E239" s="50" t="n">
        <x:f>'2024 Form20'!W188</x:f>
        <x:v>0.18875</x:v>
      </x:c>
      <x:c r="F239" t="n">
        <x:f>'2024 Form20'!X188</x:f>
        <x:v>516</x:v>
      </x:c>
      <x:c r="G239" t="n">
        <x:f>'2024 Form20'!Y188</x:f>
        <x:v>-365</x:v>
      </x:c>
      <x:c r="H239" s="52" t="n">
        <x:f>'2024 Form20'!Z188</x:f>
        <x:v>-0.45625</x:v>
      </x:c>
      <x:c r="I239" t="str">
        <x:v>Rajendra Singh Solanki</x:v>
      </x:c>
      <x:c r="J239" t="str">
        <x:v>BSP</x:v>
      </x:c>
      <x:c r="K239" t="str">
        <x:v>EVM row</x:v>
      </x:c>
      <x:c r="L239" s="133" t="str">
        <x:f>IF(D239&lt;=0,"No EVM votes",IF(E239&lt;$N$7,"Low",IF(E239&gt;$R$7,"High","Middle")))</x:f>
        <x:v>Middle</x:v>
      </x:c>
      <x:c r="M239" s="133" t="str">
        <x:f>IF(D239&lt;=0,"No EVM votes",IF(H239&lt;-20%,"Large deficit",IF(H239&lt;-5%,"Moderate deficit",IF(H239&lt;0,"Narrow deficit",IF(H239&lt;=5%,"Narrow lead/tie",IF(H239&lt;=20%,"Moderate lead","Large lead"))))))</x:f>
        <x:v>Large deficit</x:v>
      </x:c>
    </x:row>
    <x:row r="240">
      <x:c r="A240" t="n">
        <x:v>181</x:v>
      </x:c>
      <x:c r="B240" t="str">
        <x:v>[Location not in Form 20 PDF]</x:v>
      </x:c>
      <x:c r="C240" s="83" t="n">
        <x:f>'2024 Form20'!H189</x:f>
        <x:v>132</x:v>
      </x:c>
      <x:c r="D240" s="83" t="n">
        <x:f>'2024 Form20'!D189</x:f>
        <x:v>690</x:v>
      </x:c>
      <x:c r="E240" s="50" t="n">
        <x:f>'2024 Form20'!W189</x:f>
        <x:v>0.19130434782608696</x:v>
      </x:c>
      <x:c r="F240" t="n">
        <x:f>'2024 Form20'!X189</x:f>
        <x:v>394</x:v>
      </x:c>
      <x:c r="G240" t="n">
        <x:f>'2024 Form20'!Y189</x:f>
        <x:v>-262</x:v>
      </x:c>
      <x:c r="H240" s="52" t="n">
        <x:f>'2024 Form20'!Z189</x:f>
        <x:v>-0.37971014492753624</x:v>
      </x:c>
      <x:c r="I240" t="str">
        <x:v>Rajendra Singh Solanki</x:v>
      </x:c>
      <x:c r="J240" t="str">
        <x:v>BSP</x:v>
      </x:c>
      <x:c r="K240" t="str">
        <x:v>EVM row</x:v>
      </x:c>
      <x:c r="L240" s="133" t="str">
        <x:f>IF(D240&lt;=0,"No EVM votes",IF(E240&lt;$N$7,"Low",IF(E240&gt;$R$7,"High","Middle")))</x:f>
        <x:v>Middle</x:v>
      </x:c>
      <x:c r="M240" s="133" t="str">
        <x:f>IF(D240&lt;=0,"No EVM votes",IF(H240&lt;-20%,"Large deficit",IF(H240&lt;-5%,"Moderate deficit",IF(H240&lt;0,"Narrow deficit",IF(H240&lt;=5%,"Narrow lead/tie",IF(H240&lt;=20%,"Moderate lead","Large lead"))))))</x:f>
        <x:v>Large deficit</x:v>
      </x:c>
    </x:row>
    <x:row r="241">
      <x:c r="A241" t="n">
        <x:v>182</x:v>
      </x:c>
      <x:c r="B241" t="str">
        <x:v>[Location not in Form 20 PDF]</x:v>
      </x:c>
      <x:c r="C241" s="83" t="n">
        <x:f>'2024 Form20'!H190</x:f>
        <x:v>40</x:v>
      </x:c>
      <x:c r="D241" s="83" t="n">
        <x:f>'2024 Form20'!D190</x:f>
        <x:v>516</x:v>
      </x:c>
      <x:c r="E241" s="50" t="n">
        <x:f>'2024 Form20'!W190</x:f>
        <x:v>0.07751937984496124</x:v>
      </x:c>
      <x:c r="F241" t="n">
        <x:f>'2024 Form20'!X190</x:f>
        <x:v>314</x:v>
      </x:c>
      <x:c r="G241" t="n">
        <x:f>'2024 Form20'!Y190</x:f>
        <x:v>-274</x:v>
      </x:c>
      <x:c r="H241" s="52" t="n">
        <x:f>'2024 Form20'!Z190</x:f>
        <x:v>-0.5310077519379846</x:v>
      </x:c>
      <x:c r="I241" t="str">
        <x:v>Rajendra Singh Solanki</x:v>
      </x:c>
      <x:c r="J241" t="str">
        <x:v>BSP</x:v>
      </x:c>
      <x:c r="K241" t="str">
        <x:v>EVM row</x:v>
      </x:c>
      <x:c r="L241" s="133" t="str">
        <x:f>IF(D241&lt;=0,"No EVM votes",IF(E241&lt;$N$7,"Low",IF(E241&gt;$R$7,"High","Middle")))</x:f>
        <x:v>Middle</x:v>
      </x:c>
      <x:c r="M241" s="133" t="str">
        <x:f>IF(D241&lt;=0,"No EVM votes",IF(H241&lt;-20%,"Large deficit",IF(H241&lt;-5%,"Moderate deficit",IF(H241&lt;0,"Narrow deficit",IF(H241&lt;=5%,"Narrow lead/tie",IF(H241&lt;=20%,"Moderate lead","Large lead"))))))</x:f>
        <x:v>Large deficit</x:v>
      </x:c>
    </x:row>
    <x:row r="242">
      <x:c r="A242" t="n">
        <x:v>183</x:v>
      </x:c>
      <x:c r="B242" t="str">
        <x:v>[Location not in Form 20 PDF]</x:v>
      </x:c>
      <x:c r="C242" s="83" t="n">
        <x:f>'2024 Form20'!H191</x:f>
        <x:v>73</x:v>
      </x:c>
      <x:c r="D242" s="83" t="n">
        <x:f>'2024 Form20'!D191</x:f>
        <x:v>404</x:v>
      </x:c>
      <x:c r="E242" s="50" t="n">
        <x:f>'2024 Form20'!W191</x:f>
        <x:v>0.1806930693069307</x:v>
      </x:c>
      <x:c r="F242" t="n">
        <x:f>'2024 Form20'!X191</x:f>
        <x:v>180</x:v>
      </x:c>
      <x:c r="G242" t="n">
        <x:f>'2024 Form20'!Y191</x:f>
        <x:v>-107</x:v>
      </x:c>
      <x:c r="H242" s="52" t="n">
        <x:f>'2024 Form20'!Z191</x:f>
        <x:v>-0.26485148514851486</x:v>
      </x:c>
      <x:c r="I242" t="str">
        <x:v>Dr. Mahesh Sharma</x:v>
      </x:c>
      <x:c r="J242" t="str">
        <x:v>BJP</x:v>
      </x:c>
      <x:c r="K242" t="str">
        <x:v>EVM row</x:v>
      </x:c>
      <x:c r="L242" s="133" t="str">
        <x:f>IF(D242&lt;=0,"No EVM votes",IF(E242&lt;$N$7,"Low",IF(E242&gt;$R$7,"High","Middle")))</x:f>
        <x:v>Middle</x:v>
      </x:c>
      <x:c r="M242" s="133" t="str">
        <x:f>IF(D242&lt;=0,"No EVM votes",IF(H242&lt;-20%,"Large deficit",IF(H242&lt;-5%,"Moderate deficit",IF(H242&lt;0,"Narrow deficit",IF(H242&lt;=5%,"Narrow lead/tie",IF(H242&lt;=20%,"Moderate lead","Large lead"))))))</x:f>
        <x:v>Large deficit</x:v>
      </x:c>
    </x:row>
    <x:row r="243">
      <x:c r="A243" t="n">
        <x:v>184</x:v>
      </x:c>
      <x:c r="B243" t="str">
        <x:v>[Location not in Form 20 PDF]</x:v>
      </x:c>
      <x:c r="C243" s="83" t="n">
        <x:f>'2024 Form20'!H192</x:f>
        <x:v>72</x:v>
      </x:c>
      <x:c r="D243" s="83" t="n">
        <x:f>'2024 Form20'!D192</x:f>
        <x:v>673</x:v>
      </x:c>
      <x:c r="E243" s="50" t="n">
        <x:f>'2024 Form20'!W192</x:f>
        <x:v>0.10698365527488855</x:v>
      </x:c>
      <x:c r="F243" t="n">
        <x:f>'2024 Form20'!X192</x:f>
        <x:v>418</x:v>
      </x:c>
      <x:c r="G243" t="n">
        <x:f>'2024 Form20'!Y192</x:f>
        <x:v>-346</x:v>
      </x:c>
      <x:c r="H243" s="52" t="n">
        <x:f>'2024 Form20'!Z192</x:f>
        <x:v>-0.5141158989598811</x:v>
      </x:c>
      <x:c r="I243" t="str">
        <x:v>Dr. Mahesh Sharma</x:v>
      </x:c>
      <x:c r="J243" t="str">
        <x:v>BJP</x:v>
      </x:c>
      <x:c r="K243" t="str">
        <x:v>EVM row</x:v>
      </x:c>
      <x:c r="L243" s="133" t="str">
        <x:f>IF(D243&lt;=0,"No EVM votes",IF(E243&lt;$N$7,"Low",IF(E243&gt;$R$7,"High","Middle")))</x:f>
        <x:v>Middle</x:v>
      </x:c>
      <x:c r="M243" s="133" t="str">
        <x:f>IF(D243&lt;=0,"No EVM votes",IF(H243&lt;-20%,"Large deficit",IF(H243&lt;-5%,"Moderate deficit",IF(H243&lt;0,"Narrow deficit",IF(H243&lt;=5%,"Narrow lead/tie",IF(H243&lt;=20%,"Moderate lead","Large lead"))))))</x:f>
        <x:v>Large deficit</x:v>
      </x:c>
    </x:row>
    <x:row r="244">
      <x:c r="A244" t="n">
        <x:v>185</x:v>
      </x:c>
      <x:c r="B244" t="str">
        <x:v>[Location not in Form 20 PDF]</x:v>
      </x:c>
      <x:c r="C244" s="83" t="n">
        <x:f>'2024 Form20'!H193</x:f>
        <x:v>10</x:v>
      </x:c>
      <x:c r="D244" s="83" t="n">
        <x:f>'2024 Form20'!D193</x:f>
        <x:v>769</x:v>
      </x:c>
      <x:c r="E244" s="50" t="n">
        <x:f>'2024 Form20'!W193</x:f>
        <x:v>0.013003901170351105</x:v>
      </x:c>
      <x:c r="F244" t="n">
        <x:f>'2024 Form20'!X193</x:f>
        <x:v>712</x:v>
      </x:c>
      <x:c r="G244" t="n">
        <x:f>'2024 Form20'!Y193</x:f>
        <x:v>-702</x:v>
      </x:c>
      <x:c r="H244" s="52" t="n">
        <x:f>'2024 Form20'!Z193</x:f>
        <x:v>-0.9128738621586476</x:v>
      </x:c>
      <x:c r="I244" t="str">
        <x:v>Rajendra Singh Solanki</x:v>
      </x:c>
      <x:c r="J244" t="str">
        <x:v>BSP</x:v>
      </x:c>
      <x:c r="K244" t="str">
        <x:v>EVM row</x:v>
      </x:c>
      <x:c r="L244" s="133" t="str">
        <x:f>IF(D244&lt;=0,"No EVM votes",IF(E244&lt;$N$7,"Low",IF(E244&gt;$R$7,"High","Middle")))</x:f>
        <x:v>Low</x:v>
      </x:c>
      <x:c r="M244" s="133" t="str">
        <x:f>IF(D244&lt;=0,"No EVM votes",IF(H244&lt;-20%,"Large deficit",IF(H244&lt;-5%,"Moderate deficit",IF(H244&lt;0,"Narrow deficit",IF(H244&lt;=5%,"Narrow lead/tie",IF(H244&lt;=20%,"Moderate lead","Large lead"))))))</x:f>
        <x:v>Large deficit</x:v>
      </x:c>
    </x:row>
    <x:row r="245">
      <x:c r="A245" t="n">
        <x:v>186</x:v>
      </x:c>
      <x:c r="B245" t="str">
        <x:v>[Location not in Form 20 PDF]</x:v>
      </x:c>
      <x:c r="C245" s="83" t="n">
        <x:f>'2024 Form20'!H194</x:f>
        <x:v>99</x:v>
      </x:c>
      <x:c r="D245" s="83" t="n">
        <x:f>'2024 Form20'!D194</x:f>
        <x:v>492</x:v>
      </x:c>
      <x:c r="E245" s="50" t="n">
        <x:f>'2024 Form20'!W194</x:f>
        <x:v>0.20121951219512196</x:v>
      </x:c>
      <x:c r="F245" t="n">
        <x:f>'2024 Form20'!X194</x:f>
        <x:v>304</x:v>
      </x:c>
      <x:c r="G245" t="n">
        <x:f>'2024 Form20'!Y194</x:f>
        <x:v>-205</x:v>
      </x:c>
      <x:c r="H245" s="52" t="n">
        <x:f>'2024 Form20'!Z194</x:f>
        <x:v>-0.4166666666666667</x:v>
      </x:c>
      <x:c r="I245" t="str">
        <x:v>Rajendra Singh Solanki</x:v>
      </x:c>
      <x:c r="J245" t="str">
        <x:v>BSP</x:v>
      </x:c>
      <x:c r="K245" t="str">
        <x:v>EVM row</x:v>
      </x:c>
      <x:c r="L245" s="133" t="str">
        <x:f>IF(D245&lt;=0,"No EVM votes",IF(E245&lt;$N$7,"Low",IF(E245&gt;$R$7,"High","Middle")))</x:f>
        <x:v>Middle</x:v>
      </x:c>
      <x:c r="M245" s="133" t="str">
        <x:f>IF(D245&lt;=0,"No EVM votes",IF(H245&lt;-20%,"Large deficit",IF(H245&lt;-5%,"Moderate deficit",IF(H245&lt;0,"Narrow deficit",IF(H245&lt;=5%,"Narrow lead/tie",IF(H245&lt;=20%,"Moderate lead","Large lead"))))))</x:f>
        <x:v>Large deficit</x:v>
      </x:c>
    </x:row>
    <x:row r="246">
      <x:c r="A246" t="n">
        <x:v>187</x:v>
      </x:c>
      <x:c r="B246" t="str">
        <x:v>[Location not in Form 20 PDF]</x:v>
      </x:c>
      <x:c r="C246" s="83" t="n">
        <x:f>'2024 Form20'!H195</x:f>
        <x:v>42</x:v>
      </x:c>
      <x:c r="D246" s="83" t="n">
        <x:f>'2024 Form20'!D195</x:f>
        <x:v>752</x:v>
      </x:c>
      <x:c r="E246" s="50" t="n">
        <x:f>'2024 Form20'!W195</x:f>
        <x:v>0.05585106382978723</x:v>
      </x:c>
      <x:c r="F246" t="n">
        <x:f>'2024 Form20'!X195</x:f>
        <x:v>457</x:v>
      </x:c>
      <x:c r="G246" t="n">
        <x:f>'2024 Form20'!Y195</x:f>
        <x:v>-415</x:v>
      </x:c>
      <x:c r="H246" s="52" t="n">
        <x:f>'2024 Form20'!Z195</x:f>
        <x:v>-0.5518617021276596</x:v>
      </x:c>
      <x:c r="I246" t="str">
        <x:v>Rajendra Singh Solanki</x:v>
      </x:c>
      <x:c r="J246" t="str">
        <x:v>BSP</x:v>
      </x:c>
      <x:c r="K246" t="str">
        <x:v>EVM row</x:v>
      </x:c>
      <x:c r="L246" s="133" t="str">
        <x:f>IF(D246&lt;=0,"No EVM votes",IF(E246&lt;$N$7,"Low",IF(E246&gt;$R$7,"High","Middle")))</x:f>
        <x:v>Middle</x:v>
      </x:c>
      <x:c r="M246" s="133" t="str">
        <x:f>IF(D246&lt;=0,"No EVM votes",IF(H246&lt;-20%,"Large deficit",IF(H246&lt;-5%,"Moderate deficit",IF(H246&lt;0,"Narrow deficit",IF(H246&lt;=5%,"Narrow lead/tie",IF(H246&lt;=20%,"Moderate lead","Large lead"))))))</x:f>
        <x:v>Large deficit</x:v>
      </x:c>
    </x:row>
    <x:row r="247">
      <x:c r="A247" t="n">
        <x:v>188</x:v>
      </x:c>
      <x:c r="B247" t="str">
        <x:v>[Location not in Form 20 PDF]</x:v>
      </x:c>
      <x:c r="C247" s="83" t="n">
        <x:f>'2024 Form20'!H196</x:f>
        <x:v>50</x:v>
      </x:c>
      <x:c r="D247" s="83" t="n">
        <x:f>'2024 Form20'!D196</x:f>
        <x:v>649</x:v>
      </x:c>
      <x:c r="E247" s="50" t="n">
        <x:f>'2024 Form20'!W196</x:f>
        <x:v>0.07704160246533127</x:v>
      </x:c>
      <x:c r="F247" t="n">
        <x:f>'2024 Form20'!X196</x:f>
        <x:v>306</x:v>
      </x:c>
      <x:c r="G247" t="n">
        <x:f>'2024 Form20'!Y196</x:f>
        <x:v>-256</x:v>
      </x:c>
      <x:c r="H247" s="52" t="n">
        <x:f>'2024 Form20'!Z196</x:f>
        <x:v>-0.39445300462249616</x:v>
      </x:c>
      <x:c r="I247" t="str">
        <x:v>Dr. Mahesh Sharma</x:v>
      </x:c>
      <x:c r="J247" t="str">
        <x:v>BJP</x:v>
      </x:c>
      <x:c r="K247" t="str">
        <x:v>EVM row</x:v>
      </x:c>
      <x:c r="L247" s="133" t="str">
        <x:f>IF(D247&lt;=0,"No EVM votes",IF(E247&lt;$N$7,"Low",IF(E247&gt;$R$7,"High","Middle")))</x:f>
        <x:v>Middle</x:v>
      </x:c>
      <x:c r="M247" s="133" t="str">
        <x:f>IF(D247&lt;=0,"No EVM votes",IF(H247&lt;-20%,"Large deficit",IF(H247&lt;-5%,"Moderate deficit",IF(H247&lt;0,"Narrow deficit",IF(H247&lt;=5%,"Narrow lead/tie",IF(H247&lt;=20%,"Moderate lead","Large lead"))))))</x:f>
        <x:v>Large deficit</x:v>
      </x:c>
    </x:row>
    <x:row r="248">
      <x:c r="A248" t="n">
        <x:v>189</x:v>
      </x:c>
      <x:c r="B248" t="str">
        <x:v>[Location not in Form 20 PDF]</x:v>
      </x:c>
      <x:c r="C248" s="83" t="n">
        <x:f>'2024 Form20'!H197</x:f>
        <x:v>13</x:v>
      </x:c>
      <x:c r="D248" s="83" t="n">
        <x:f>'2024 Form20'!D197</x:f>
        <x:v>708</x:v>
      </x:c>
      <x:c r="E248" s="50" t="n">
        <x:f>'2024 Form20'!W197</x:f>
        <x:v>0.018361581920903956</x:v>
      </x:c>
      <x:c r="F248" t="n">
        <x:f>'2024 Form20'!X197</x:f>
        <x:v>416</x:v>
      </x:c>
      <x:c r="G248" t="n">
        <x:f>'2024 Form20'!Y197</x:f>
        <x:v>-403</x:v>
      </x:c>
      <x:c r="H248" s="52" t="n">
        <x:f>'2024 Form20'!Z197</x:f>
        <x:v>-0.5692090395480226</x:v>
      </x:c>
      <x:c r="I248" t="str">
        <x:v>Rajendra Singh Solanki</x:v>
      </x:c>
      <x:c r="J248" t="str">
        <x:v>BSP</x:v>
      </x:c>
      <x:c r="K248" t="str">
        <x:v>EVM row</x:v>
      </x:c>
      <x:c r="L248" s="133" t="str">
        <x:f>IF(D248&lt;=0,"No EVM votes",IF(E248&lt;$N$7,"Low",IF(E248&gt;$R$7,"High","Middle")))</x:f>
        <x:v>Low</x:v>
      </x:c>
      <x:c r="M248" s="133" t="str">
        <x:f>IF(D248&lt;=0,"No EVM votes",IF(H248&lt;-20%,"Large deficit",IF(H248&lt;-5%,"Moderate deficit",IF(H248&lt;0,"Narrow deficit",IF(H248&lt;=5%,"Narrow lead/tie",IF(H248&lt;=20%,"Moderate lead","Large lead"))))))</x:f>
        <x:v>Large deficit</x:v>
      </x:c>
    </x:row>
    <x:row r="249">
      <x:c r="A249" t="n">
        <x:v>190</x:v>
      </x:c>
      <x:c r="B249" t="str">
        <x:v>[Location not in Form 20 PDF]</x:v>
      </x:c>
      <x:c r="C249" s="83" t="n">
        <x:f>'2024 Form20'!H198</x:f>
        <x:v>86</x:v>
      </x:c>
      <x:c r="D249" s="83" t="n">
        <x:f>'2024 Form20'!D198</x:f>
        <x:v>752</x:v>
      </x:c>
      <x:c r="E249" s="50" t="n">
        <x:f>'2024 Form20'!W198</x:f>
        <x:v>0.11436170212765957</x:v>
      </x:c>
      <x:c r="F249" t="n">
        <x:f>'2024 Form20'!X198</x:f>
        <x:v>470</x:v>
      </x:c>
      <x:c r="G249" t="n">
        <x:f>'2024 Form20'!Y198</x:f>
        <x:v>-384</x:v>
      </x:c>
      <x:c r="H249" s="52" t="n">
        <x:f>'2024 Form20'!Z198</x:f>
        <x:v>-0.5106382978723404</x:v>
      </x:c>
      <x:c r="I249" t="str">
        <x:v>Rajendra Singh Solanki</x:v>
      </x:c>
      <x:c r="J249" t="str">
        <x:v>BSP</x:v>
      </x:c>
      <x:c r="K249" t="str">
        <x:v>EVM row</x:v>
      </x:c>
      <x:c r="L249" s="133" t="str">
        <x:f>IF(D249&lt;=0,"No EVM votes",IF(E249&lt;$N$7,"Low",IF(E249&gt;$R$7,"High","Middle")))</x:f>
        <x:v>Middle</x:v>
      </x:c>
      <x:c r="M249" s="133" t="str">
        <x:f>IF(D249&lt;=0,"No EVM votes",IF(H249&lt;-20%,"Large deficit",IF(H249&lt;-5%,"Moderate deficit",IF(H249&lt;0,"Narrow deficit",IF(H249&lt;=5%,"Narrow lead/tie",IF(H249&lt;=20%,"Moderate lead","Large lead"))))))</x:f>
        <x:v>Large deficit</x:v>
      </x:c>
    </x:row>
    <x:row r="250">
      <x:c r="A250" t="n">
        <x:v>191</x:v>
      </x:c>
      <x:c r="B250" t="str">
        <x:v>[Location not in Form 20 PDF]</x:v>
      </x:c>
      <x:c r="C250" s="83" t="n">
        <x:f>'2024 Form20'!H199</x:f>
        <x:v>49</x:v>
      </x:c>
      <x:c r="D250" s="83" t="n">
        <x:f>'2024 Form20'!D199</x:f>
        <x:v>595</x:v>
      </x:c>
      <x:c r="E250" s="50" t="n">
        <x:f>'2024 Form20'!W199</x:f>
        <x:v>0.08235294117647059</x:v>
      </x:c>
      <x:c r="F250" t="n">
        <x:f>'2024 Form20'!X199</x:f>
        <x:v>393</x:v>
      </x:c>
      <x:c r="G250" t="n">
        <x:f>'2024 Form20'!Y199</x:f>
        <x:v>-344</x:v>
      </x:c>
      <x:c r="H250" s="52" t="n">
        <x:f>'2024 Form20'!Z199</x:f>
        <x:v>-0.5781512605042017</x:v>
      </x:c>
      <x:c r="I250" t="str">
        <x:v>Rajendra Singh Solanki</x:v>
      </x:c>
      <x:c r="J250" t="str">
        <x:v>BSP</x:v>
      </x:c>
      <x:c r="K250" t="str">
        <x:v>EVM row</x:v>
      </x:c>
      <x:c r="L250" s="133" t="str">
        <x:f>IF(D250&lt;=0,"No EVM votes",IF(E250&lt;$N$7,"Low",IF(E250&gt;$R$7,"High","Middle")))</x:f>
        <x:v>Middle</x:v>
      </x:c>
      <x:c r="M250" s="133" t="str">
        <x:f>IF(D250&lt;=0,"No EVM votes",IF(H250&lt;-20%,"Large deficit",IF(H250&lt;-5%,"Moderate deficit",IF(H250&lt;0,"Narrow deficit",IF(H250&lt;=5%,"Narrow lead/tie",IF(H250&lt;=20%,"Moderate lead","Large lead"))))))</x:f>
        <x:v>Large deficit</x:v>
      </x:c>
    </x:row>
    <x:row r="251">
      <x:c r="A251" t="n">
        <x:v>192</x:v>
      </x:c>
      <x:c r="B251" t="str">
        <x:v>[Location not in Form 20 PDF]</x:v>
      </x:c>
      <x:c r="C251" s="83" t="n">
        <x:f>'2024 Form20'!H200</x:f>
        <x:v>5</x:v>
      </x:c>
      <x:c r="D251" s="83" t="n">
        <x:f>'2024 Form20'!D200</x:f>
        <x:v>692</x:v>
      </x:c>
      <x:c r="E251" s="50" t="n">
        <x:f>'2024 Form20'!W200</x:f>
        <x:v>0.0072254335260115606</x:v>
      </x:c>
      <x:c r="F251" t="n">
        <x:f>'2024 Form20'!X200</x:f>
        <x:v>359</x:v>
      </x:c>
      <x:c r="G251" t="n">
        <x:f>'2024 Form20'!Y200</x:f>
        <x:v>-354</x:v>
      </x:c>
      <x:c r="H251" s="52" t="n">
        <x:f>'2024 Form20'!Z200</x:f>
        <x:v>-0.5115606936416185</x:v>
      </x:c>
      <x:c r="I251" t="str">
        <x:v>Rajendra Singh Solanki</x:v>
      </x:c>
      <x:c r="J251" t="str">
        <x:v>BSP</x:v>
      </x:c>
      <x:c r="K251" t="str">
        <x:v>EVM row</x:v>
      </x:c>
      <x:c r="L251" s="133" t="str">
        <x:f>IF(D251&lt;=0,"No EVM votes",IF(E251&lt;$N$7,"Low",IF(E251&gt;$R$7,"High","Middle")))</x:f>
        <x:v>Low</x:v>
      </x:c>
      <x:c r="M251" s="133" t="str">
        <x:f>IF(D251&lt;=0,"No EVM votes",IF(H251&lt;-20%,"Large deficit",IF(H251&lt;-5%,"Moderate deficit",IF(H251&lt;0,"Narrow deficit",IF(H251&lt;=5%,"Narrow lead/tie",IF(H251&lt;=20%,"Moderate lead","Large lead"))))))</x:f>
        <x:v>Large deficit</x:v>
      </x:c>
    </x:row>
    <x:row r="252">
      <x:c r="A252" t="n">
        <x:v>193</x:v>
      </x:c>
      <x:c r="B252" t="str">
        <x:v>[Location not in Form 20 PDF]</x:v>
      </x:c>
      <x:c r="C252" s="83" t="n">
        <x:f>'2024 Form20'!H201</x:f>
        <x:v>6</x:v>
      </x:c>
      <x:c r="D252" s="83" t="n">
        <x:f>'2024 Form20'!D201</x:f>
        <x:v>792</x:v>
      </x:c>
      <x:c r="E252" s="50" t="n">
        <x:f>'2024 Form20'!W201</x:f>
        <x:v>0.007575757575757576</x:v>
      </x:c>
      <x:c r="F252" t="n">
        <x:f>'2024 Form20'!X201</x:f>
        <x:v>413</x:v>
      </x:c>
      <x:c r="G252" t="n">
        <x:f>'2024 Form20'!Y201</x:f>
        <x:v>-407</x:v>
      </x:c>
      <x:c r="H252" s="52" t="n">
        <x:f>'2024 Form20'!Z201</x:f>
        <x:v>-0.5138888888888888</x:v>
      </x:c>
      <x:c r="I252" t="str">
        <x:v>Dr. Mahesh Sharma</x:v>
      </x:c>
      <x:c r="J252" t="str">
        <x:v>BJP</x:v>
      </x:c>
      <x:c r="K252" t="str">
        <x:v>EVM row</x:v>
      </x:c>
      <x:c r="L252" s="133" t="str">
        <x:f>IF(D252&lt;=0,"No EVM votes",IF(E252&lt;$N$7,"Low",IF(E252&gt;$R$7,"High","Middle")))</x:f>
        <x:v>Low</x:v>
      </x:c>
      <x:c r="M252" s="133" t="str">
        <x:f>IF(D252&lt;=0,"No EVM votes",IF(H252&lt;-20%,"Large deficit",IF(H252&lt;-5%,"Moderate deficit",IF(H252&lt;0,"Narrow deficit",IF(H252&lt;=5%,"Narrow lead/tie",IF(H252&lt;=20%,"Moderate lead","Large lead"))))))</x:f>
        <x:v>Large deficit</x:v>
      </x:c>
    </x:row>
    <x:row r="253">
      <x:c r="A253" t="n">
        <x:v>194</x:v>
      </x:c>
      <x:c r="B253" t="str">
        <x:v>[Location not in Form 20 PDF]</x:v>
      </x:c>
      <x:c r="C253" s="83" t="n">
        <x:f>'2024 Form20'!H202</x:f>
        <x:v>5</x:v>
      </x:c>
      <x:c r="D253" s="83" t="n">
        <x:f>'2024 Form20'!D202</x:f>
        <x:v>520</x:v>
      </x:c>
      <x:c r="E253" s="50" t="n">
        <x:f>'2024 Form20'!W202</x:f>
        <x:v>0.009615384615384616</x:v>
      </x:c>
      <x:c r="F253" t="n">
        <x:f>'2024 Form20'!X202</x:f>
        <x:v>280</x:v>
      </x:c>
      <x:c r="G253" t="n">
        <x:f>'2024 Form20'!Y202</x:f>
        <x:v>-275</x:v>
      </x:c>
      <x:c r="H253" s="52" t="n">
        <x:f>'2024 Form20'!Z202</x:f>
        <x:v>-0.5288461538461539</x:v>
      </x:c>
      <x:c r="I253" t="str">
        <x:v>Dr. Mahesh Sharma</x:v>
      </x:c>
      <x:c r="J253" t="str">
        <x:v>BJP</x:v>
      </x:c>
      <x:c r="K253" t="str">
        <x:v>EVM row</x:v>
      </x:c>
      <x:c r="L253" s="133" t="str">
        <x:f>IF(D253&lt;=0,"No EVM votes",IF(E253&lt;$N$7,"Low",IF(E253&gt;$R$7,"High","Middle")))</x:f>
        <x:v>Low</x:v>
      </x:c>
      <x:c r="M253" s="133" t="str">
        <x:f>IF(D253&lt;=0,"No EVM votes",IF(H253&lt;-20%,"Large deficit",IF(H253&lt;-5%,"Moderate deficit",IF(H253&lt;0,"Narrow deficit",IF(H253&lt;=5%,"Narrow lead/tie",IF(H253&lt;=20%,"Moderate lead","Large lead"))))))</x:f>
        <x:v>Large deficit</x:v>
      </x:c>
    </x:row>
    <x:row r="254">
      <x:c r="A254" t="n">
        <x:v>195</x:v>
      </x:c>
      <x:c r="B254" t="str">
        <x:v>[Location not in Form 20 PDF]</x:v>
      </x:c>
      <x:c r="C254" s="83" t="n">
        <x:f>'2024 Form20'!H203</x:f>
        <x:v>1</x:v>
      </x:c>
      <x:c r="D254" s="83" t="n">
        <x:f>'2024 Form20'!D203</x:f>
        <x:v>623</x:v>
      </x:c>
      <x:c r="E254" s="50" t="n">
        <x:f>'2024 Form20'!W203</x:f>
        <x:v>0.0016051364365971107</x:v>
      </x:c>
      <x:c r="F254" t="n">
        <x:f>'2024 Form20'!X203</x:f>
        <x:v>433</x:v>
      </x:c>
      <x:c r="G254" t="n">
        <x:f>'2024 Form20'!Y203</x:f>
        <x:v>-432</x:v>
      </x:c>
      <x:c r="H254" s="52" t="n">
        <x:f>'2024 Form20'!Z203</x:f>
        <x:v>-0.6934189406099518</x:v>
      </x:c>
      <x:c r="I254" t="str">
        <x:v>Dr. Mahesh Sharma</x:v>
      </x:c>
      <x:c r="J254" t="str">
        <x:v>BJP</x:v>
      </x:c>
      <x:c r="K254" t="str">
        <x:v>EVM row</x:v>
      </x:c>
      <x:c r="L254" s="133" t="str">
        <x:f>IF(D254&lt;=0,"No EVM votes",IF(E254&lt;$N$7,"Low",IF(E254&gt;$R$7,"High","Middle")))</x:f>
        <x:v>Low</x:v>
      </x:c>
      <x:c r="M254" s="133" t="str">
        <x:f>IF(D254&lt;=0,"No EVM votes",IF(H254&lt;-20%,"Large deficit",IF(H254&lt;-5%,"Moderate deficit",IF(H254&lt;0,"Narrow deficit",IF(H254&lt;=5%,"Narrow lead/tie",IF(H254&lt;=20%,"Moderate lead","Large lead"))))))</x:f>
        <x:v>Large deficit</x:v>
      </x:c>
    </x:row>
    <x:row r="255">
      <x:c r="A255" t="n">
        <x:v>196</x:v>
      </x:c>
      <x:c r="B255" t="str">
        <x:v>[Location not in Form 20 PDF]</x:v>
      </x:c>
      <x:c r="C255" s="83" t="n">
        <x:f>'2024 Form20'!H204</x:f>
        <x:v>8</x:v>
      </x:c>
      <x:c r="D255" s="83" t="n">
        <x:f>'2024 Form20'!D204</x:f>
        <x:v>560</x:v>
      </x:c>
      <x:c r="E255" s="50" t="n">
        <x:f>'2024 Form20'!W204</x:f>
        <x:v>0.014285714285714285</x:v>
      </x:c>
      <x:c r="F255" t="n">
        <x:f>'2024 Form20'!X204</x:f>
        <x:v>377</x:v>
      </x:c>
      <x:c r="G255" t="n">
        <x:f>'2024 Form20'!Y204</x:f>
        <x:v>-369</x:v>
      </x:c>
      <x:c r="H255" s="52" t="n">
        <x:f>'2024 Form20'!Z204</x:f>
        <x:v>-0.6589285714285714</x:v>
      </x:c>
      <x:c r="I255" t="str">
        <x:v>Dr. Mahesh Sharma</x:v>
      </x:c>
      <x:c r="J255" t="str">
        <x:v>BJP</x:v>
      </x:c>
      <x:c r="K255" t="str">
        <x:v>EVM row</x:v>
      </x:c>
      <x:c r="L255" s="133" t="str">
        <x:f>IF(D255&lt;=0,"No EVM votes",IF(E255&lt;$N$7,"Low",IF(E255&gt;$R$7,"High","Middle")))</x:f>
        <x:v>Low</x:v>
      </x:c>
      <x:c r="M255" s="133" t="str">
        <x:f>IF(D255&lt;=0,"No EVM votes",IF(H255&lt;-20%,"Large deficit",IF(H255&lt;-5%,"Moderate deficit",IF(H255&lt;0,"Narrow deficit",IF(H255&lt;=5%,"Narrow lead/tie",IF(H255&lt;=20%,"Moderate lead","Large lead"))))))</x:f>
        <x:v>Large deficit</x:v>
      </x:c>
    </x:row>
    <x:row r="256">
      <x:c r="A256" t="n">
        <x:v>197</x:v>
      </x:c>
      <x:c r="B256" t="str">
        <x:v>[Location not in Form 20 PDF]</x:v>
      </x:c>
      <x:c r="C256" s="83" t="n">
        <x:f>'2024 Form20'!H205</x:f>
        <x:v>2</x:v>
      </x:c>
      <x:c r="D256" s="83" t="n">
        <x:f>'2024 Form20'!D205</x:f>
        <x:v>241</x:v>
      </x:c>
      <x:c r="E256" s="50" t="n">
        <x:f>'2024 Form20'!W205</x:f>
        <x:v>0.008298755186721992</x:v>
      </x:c>
      <x:c r="F256" t="n">
        <x:f>'2024 Form20'!X205</x:f>
        <x:v>226</x:v>
      </x:c>
      <x:c r="G256" t="n">
        <x:f>'2024 Form20'!Y205</x:f>
        <x:v>-224</x:v>
      </x:c>
      <x:c r="H256" s="52" t="n">
        <x:f>'2024 Form20'!Z205</x:f>
        <x:v>-0.9294605809128631</x:v>
      </x:c>
      <x:c r="I256" t="str">
        <x:v>Dr. Mahesh Sharma</x:v>
      </x:c>
      <x:c r="J256" t="str">
        <x:v>BJP</x:v>
      </x:c>
      <x:c r="K256" t="str">
        <x:v>EVM row</x:v>
      </x:c>
      <x:c r="L256" s="133" t="str">
        <x:f>IF(D256&lt;=0,"No EVM votes",IF(E256&lt;$N$7,"Low",IF(E256&gt;$R$7,"High","Middle")))</x:f>
        <x:v>Low</x:v>
      </x:c>
      <x:c r="M256" s="133" t="str">
        <x:f>IF(D256&lt;=0,"No EVM votes",IF(H256&lt;-20%,"Large deficit",IF(H256&lt;-5%,"Moderate deficit",IF(H256&lt;0,"Narrow deficit",IF(H256&lt;=5%,"Narrow lead/tie",IF(H256&lt;=20%,"Moderate lead","Large lead"))))))</x:f>
        <x:v>Large deficit</x:v>
      </x:c>
    </x:row>
    <x:row r="257">
      <x:c r="A257" t="n">
        <x:v>198</x:v>
      </x:c>
      <x:c r="B257" t="str">
        <x:v>[Location not in Form 20 PDF]</x:v>
      </x:c>
      <x:c r="C257" s="83" t="n">
        <x:f>'2024 Form20'!H206</x:f>
        <x:v>27</x:v>
      </x:c>
      <x:c r="D257" s="83" t="n">
        <x:f>'2024 Form20'!D206</x:f>
        <x:v>554</x:v>
      </x:c>
      <x:c r="E257" s="50" t="n">
        <x:f>'2024 Form20'!W206</x:f>
        <x:v>0.048736462093862815</x:v>
      </x:c>
      <x:c r="F257" t="n">
        <x:f>'2024 Form20'!X206</x:f>
        <x:v>399</x:v>
      </x:c>
      <x:c r="G257" t="n">
        <x:f>'2024 Form20'!Y206</x:f>
        <x:v>-372</x:v>
      </x:c>
      <x:c r="H257" s="52" t="n">
        <x:f>'2024 Form20'!Z206</x:f>
        <x:v>-0.6714801444043321</x:v>
      </x:c>
      <x:c r="I257" t="str">
        <x:v>Rajendra Singh Solanki</x:v>
      </x:c>
      <x:c r="J257" t="str">
        <x:v>BSP</x:v>
      </x:c>
      <x:c r="K257" t="str">
        <x:v>EVM row</x:v>
      </x:c>
      <x:c r="L257" s="133" t="str">
        <x:f>IF(D257&lt;=0,"No EVM votes",IF(E257&lt;$N$7,"Low",IF(E257&gt;$R$7,"High","Middle")))</x:f>
        <x:v>Middle</x:v>
      </x:c>
      <x:c r="M257" s="133" t="str">
        <x:f>IF(D257&lt;=0,"No EVM votes",IF(H257&lt;-20%,"Large deficit",IF(H257&lt;-5%,"Moderate deficit",IF(H257&lt;0,"Narrow deficit",IF(H257&lt;=5%,"Narrow lead/tie",IF(H257&lt;=20%,"Moderate lead","Large lead"))))))</x:f>
        <x:v>Large deficit</x:v>
      </x:c>
    </x:row>
    <x:row r="258">
      <x:c r="A258" t="n">
        <x:v>199</x:v>
      </x:c>
      <x:c r="B258" t="str">
        <x:v>[Location not in Form 20 PDF]</x:v>
      </x:c>
      <x:c r="C258" s="83" t="n">
        <x:f>'2024 Form20'!H207</x:f>
        <x:v>6</x:v>
      </x:c>
      <x:c r="D258" s="83" t="n">
        <x:f>'2024 Form20'!D207</x:f>
        <x:v>642</x:v>
      </x:c>
      <x:c r="E258" s="50" t="n">
        <x:f>'2024 Form20'!W207</x:f>
        <x:v>0.009345794392523364</x:v>
      </x:c>
      <x:c r="F258" t="n">
        <x:f>'2024 Form20'!X207</x:f>
        <x:v>374</x:v>
      </x:c>
      <x:c r="G258" t="n">
        <x:f>'2024 Form20'!Y207</x:f>
        <x:v>-368</x:v>
      </x:c>
      <x:c r="H258" s="52" t="n">
        <x:f>'2024 Form20'!Z207</x:f>
        <x:v>-0.573208722741433</x:v>
      </x:c>
      <x:c r="I258" t="str">
        <x:v>Dr. Mahesh Sharma</x:v>
      </x:c>
      <x:c r="J258" t="str">
        <x:v>BJP</x:v>
      </x:c>
      <x:c r="K258" t="str">
        <x:v>EVM row</x:v>
      </x:c>
      <x:c r="L258" s="133" t="str">
        <x:f>IF(D258&lt;=0,"No EVM votes",IF(E258&lt;$N$7,"Low",IF(E258&gt;$R$7,"High","Middle")))</x:f>
        <x:v>Low</x:v>
      </x:c>
      <x:c r="M258" s="133" t="str">
        <x:f>IF(D258&lt;=0,"No EVM votes",IF(H258&lt;-20%,"Large deficit",IF(H258&lt;-5%,"Moderate deficit",IF(H258&lt;0,"Narrow deficit",IF(H258&lt;=5%,"Narrow lead/tie",IF(H258&lt;=20%,"Moderate lead","Large lead"))))))</x:f>
        <x:v>Large deficit</x:v>
      </x:c>
    </x:row>
    <x:row r="259">
      <x:c r="A259" t="n">
        <x:v>200</x:v>
      </x:c>
      <x:c r="B259" t="str">
        <x:v>[Location not in Form 20 PDF]</x:v>
      </x:c>
      <x:c r="C259" s="83" t="n">
        <x:f>'2024 Form20'!H208</x:f>
        <x:v>14</x:v>
      </x:c>
      <x:c r="D259" s="83" t="n">
        <x:f>'2024 Form20'!D208</x:f>
        <x:v>438</x:v>
      </x:c>
      <x:c r="E259" s="50" t="n">
        <x:f>'2024 Form20'!W208</x:f>
        <x:v>0.0319634703196347</x:v>
      </x:c>
      <x:c r="F259" t="n">
        <x:f>'2024 Form20'!X208</x:f>
        <x:v>285</x:v>
      </x:c>
      <x:c r="G259" t="n">
        <x:f>'2024 Form20'!Y208</x:f>
        <x:v>-271</x:v>
      </x:c>
      <x:c r="H259" s="52" t="n">
        <x:f>'2024 Form20'!Z208</x:f>
        <x:v>-0.6187214611872146</x:v>
      </x:c>
      <x:c r="I259" t="str">
        <x:v>Dr. Mahesh Sharma</x:v>
      </x:c>
      <x:c r="J259" t="str">
        <x:v>BJP</x:v>
      </x:c>
      <x:c r="K259" t="str">
        <x:v>EVM row</x:v>
      </x:c>
      <x:c r="L259" s="133" t="str">
        <x:f>IF(D259&lt;=0,"No EVM votes",IF(E259&lt;$N$7,"Low",IF(E259&gt;$R$7,"High","Middle")))</x:f>
        <x:v>Middle</x:v>
      </x:c>
      <x:c r="M259" s="133" t="str">
        <x:f>IF(D259&lt;=0,"No EVM votes",IF(H259&lt;-20%,"Large deficit",IF(H259&lt;-5%,"Moderate deficit",IF(H259&lt;0,"Narrow deficit",IF(H259&lt;=5%,"Narrow lead/tie",IF(H259&lt;=20%,"Moderate lead","Large lead"))))))</x:f>
        <x:v>Large deficit</x:v>
      </x:c>
    </x:row>
    <x:row r="260">
      <x:c r="A260" t="n">
        <x:v>201</x:v>
      </x:c>
      <x:c r="B260" t="str">
        <x:v>[Location not in Form 20 PDF]</x:v>
      </x:c>
      <x:c r="C260" s="83" t="n">
        <x:f>'2024 Form20'!H209</x:f>
        <x:v>2</x:v>
      </x:c>
      <x:c r="D260" s="83" t="n">
        <x:f>'2024 Form20'!D209</x:f>
        <x:v>648</x:v>
      </x:c>
      <x:c r="E260" s="50" t="n">
        <x:f>'2024 Form20'!W209</x:f>
        <x:v>0.0030864197530864196</x:v>
      </x:c>
      <x:c r="F260" t="n">
        <x:f>'2024 Form20'!X209</x:f>
        <x:v>429</x:v>
      </x:c>
      <x:c r="G260" t="n">
        <x:f>'2024 Form20'!Y209</x:f>
        <x:v>-427</x:v>
      </x:c>
      <x:c r="H260" s="52" t="n">
        <x:f>'2024 Form20'!Z209</x:f>
        <x:v>-0.6589506172839507</x:v>
      </x:c>
      <x:c r="I260" t="str">
        <x:v>Rajendra Singh Solanki</x:v>
      </x:c>
      <x:c r="J260" t="str">
        <x:v>BSP</x:v>
      </x:c>
      <x:c r="K260" t="str">
        <x:v>EVM row</x:v>
      </x:c>
      <x:c r="L260" s="133" t="str">
        <x:f>IF(D260&lt;=0,"No EVM votes",IF(E260&lt;$N$7,"Low",IF(E260&gt;$R$7,"High","Middle")))</x:f>
        <x:v>Low</x:v>
      </x:c>
      <x:c r="M260" s="133" t="str">
        <x:f>IF(D260&lt;=0,"No EVM votes",IF(H260&lt;-20%,"Large deficit",IF(H260&lt;-5%,"Moderate deficit",IF(H260&lt;0,"Narrow deficit",IF(H260&lt;=5%,"Narrow lead/tie",IF(H260&lt;=20%,"Moderate lead","Large lead"))))))</x:f>
        <x:v>Large deficit</x:v>
      </x:c>
    </x:row>
    <x:row r="261">
      <x:c r="A261" t="n">
        <x:v>202</x:v>
      </x:c>
      <x:c r="B261" t="str">
        <x:v>[Location not in Form 20 PDF]</x:v>
      </x:c>
      <x:c r="C261" s="83" t="n">
        <x:f>'2024 Form20'!H210</x:f>
        <x:v>4</x:v>
      </x:c>
      <x:c r="D261" s="83" t="n">
        <x:f>'2024 Form20'!D210</x:f>
        <x:v>580</x:v>
      </x:c>
      <x:c r="E261" s="50" t="n">
        <x:f>'2024 Form20'!W210</x:f>
        <x:v>0.006896551724137931</x:v>
      </x:c>
      <x:c r="F261" t="n">
        <x:f>'2024 Form20'!X210</x:f>
        <x:v>304</x:v>
      </x:c>
      <x:c r="G261" t="n">
        <x:f>'2024 Form20'!Y210</x:f>
        <x:v>-300</x:v>
      </x:c>
      <x:c r="H261" s="52" t="n">
        <x:f>'2024 Form20'!Z210</x:f>
        <x:v>-0.5172413793103449</x:v>
      </x:c>
      <x:c r="I261" t="str">
        <x:v>Rajendra Singh Solanki</x:v>
      </x:c>
      <x:c r="J261" t="str">
        <x:v>BSP</x:v>
      </x:c>
      <x:c r="K261" t="str">
        <x:v>EVM row</x:v>
      </x:c>
      <x:c r="L261" s="133" t="str">
        <x:f>IF(D261&lt;=0,"No EVM votes",IF(E261&lt;$N$7,"Low",IF(E261&gt;$R$7,"High","Middle")))</x:f>
        <x:v>Low</x:v>
      </x:c>
      <x:c r="M261" s="133" t="str">
        <x:f>IF(D261&lt;=0,"No EVM votes",IF(H261&lt;-20%,"Large deficit",IF(H261&lt;-5%,"Moderate deficit",IF(H261&lt;0,"Narrow deficit",IF(H261&lt;=5%,"Narrow lead/tie",IF(H261&lt;=20%,"Moderate lead","Large lead"))))))</x:f>
        <x:v>Large deficit</x:v>
      </x:c>
    </x:row>
    <x:row r="262">
      <x:c r="A262" t="n">
        <x:v>203</x:v>
      </x:c>
      <x:c r="B262" t="str">
        <x:v>[Location not in Form 20 PDF]</x:v>
      </x:c>
      <x:c r="C262" s="83" t="n">
        <x:f>'2024 Form20'!H211</x:f>
        <x:v>2</x:v>
      </x:c>
      <x:c r="D262" s="83" t="n">
        <x:f>'2024 Form20'!D211</x:f>
        <x:v>267</x:v>
      </x:c>
      <x:c r="E262" s="50" t="n">
        <x:f>'2024 Form20'!W211</x:f>
        <x:v>0.00749063670411985</x:v>
      </x:c>
      <x:c r="F262" t="n">
        <x:f>'2024 Form20'!X211</x:f>
        <x:v>248</x:v>
      </x:c>
      <x:c r="G262" t="n">
        <x:f>'2024 Form20'!Y211</x:f>
        <x:v>-246</x:v>
      </x:c>
      <x:c r="H262" s="52" t="n">
        <x:f>'2024 Form20'!Z211</x:f>
        <x:v>-0.9213483146067416</x:v>
      </x:c>
      <x:c r="I262" t="str">
        <x:v>Rajendra Singh Solanki</x:v>
      </x:c>
      <x:c r="J262" t="str">
        <x:v>BSP</x:v>
      </x:c>
      <x:c r="K262" t="str">
        <x:v>EVM row</x:v>
      </x:c>
      <x:c r="L262" s="133" t="str">
        <x:f>IF(D262&lt;=0,"No EVM votes",IF(E262&lt;$N$7,"Low",IF(E262&gt;$R$7,"High","Middle")))</x:f>
        <x:v>Low</x:v>
      </x:c>
      <x:c r="M262" s="133" t="str">
        <x:f>IF(D262&lt;=0,"No EVM votes",IF(H262&lt;-20%,"Large deficit",IF(H262&lt;-5%,"Moderate deficit",IF(H262&lt;0,"Narrow deficit",IF(H262&lt;=5%,"Narrow lead/tie",IF(H262&lt;=20%,"Moderate lead","Large lead"))))))</x:f>
        <x:v>Large deficit</x:v>
      </x:c>
    </x:row>
    <x:row r="263">
      <x:c r="A263" t="n">
        <x:v>204</x:v>
      </x:c>
      <x:c r="B263" t="str">
        <x:v>[Location not in Form 20 PDF]</x:v>
      </x:c>
      <x:c r="C263" s="83" t="n">
        <x:f>'2024 Form20'!H212</x:f>
        <x:v>7</x:v>
      </x:c>
      <x:c r="D263" s="83" t="n">
        <x:f>'2024 Form20'!D212</x:f>
        <x:v>486</x:v>
      </x:c>
      <x:c r="E263" s="50" t="n">
        <x:f>'2024 Form20'!W212</x:f>
        <x:v>0.01440329218106996</x:v>
      </x:c>
      <x:c r="F263" t="n">
        <x:f>'2024 Form20'!X212</x:f>
        <x:v>460</x:v>
      </x:c>
      <x:c r="G263" t="n">
        <x:f>'2024 Form20'!Y212</x:f>
        <x:v>-453</x:v>
      </x:c>
      <x:c r="H263" s="52" t="n">
        <x:f>'2024 Form20'!Z212</x:f>
        <x:v>-0.9320987654320988</x:v>
      </x:c>
      <x:c r="I263" t="str">
        <x:v>Rajendra Singh Solanki</x:v>
      </x:c>
      <x:c r="J263" t="str">
        <x:v>BSP</x:v>
      </x:c>
      <x:c r="K263" t="str">
        <x:v>EVM row</x:v>
      </x:c>
      <x:c r="L263" s="133" t="str">
        <x:f>IF(D263&lt;=0,"No EVM votes",IF(E263&lt;$N$7,"Low",IF(E263&gt;$R$7,"High","Middle")))</x:f>
        <x:v>Low</x:v>
      </x:c>
      <x:c r="M263" s="133" t="str">
        <x:f>IF(D263&lt;=0,"No EVM votes",IF(H263&lt;-20%,"Large deficit",IF(H263&lt;-5%,"Moderate deficit",IF(H263&lt;0,"Narrow deficit",IF(H263&lt;=5%,"Narrow lead/tie",IF(H263&lt;=20%,"Moderate lead","Large lead"))))))</x:f>
        <x:v>Large deficit</x:v>
      </x:c>
    </x:row>
    <x:row r="264">
      <x:c r="A264" t="n">
        <x:v>205</x:v>
      </x:c>
      <x:c r="B264" t="str">
        <x:v>[Location not in Form 20 PDF]</x:v>
      </x:c>
      <x:c r="C264" s="83" t="n">
        <x:f>'2024 Form20'!H213</x:f>
        <x:v>8</x:v>
      </x:c>
      <x:c r="D264" s="83" t="n">
        <x:f>'2024 Form20'!D213</x:f>
        <x:v>500</x:v>
      </x:c>
      <x:c r="E264" s="50" t="n">
        <x:f>'2024 Form20'!W213</x:f>
        <x:v>0.016</x:v>
      </x:c>
      <x:c r="F264" t="n">
        <x:f>'2024 Form20'!X213</x:f>
        <x:v>398</x:v>
      </x:c>
      <x:c r="G264" t="n">
        <x:f>'2024 Form20'!Y213</x:f>
        <x:v>-390</x:v>
      </x:c>
      <x:c r="H264" s="52" t="n">
        <x:f>'2024 Form20'!Z213</x:f>
        <x:v>-0.78</x:v>
      </x:c>
      <x:c r="I264" t="str">
        <x:v>Rajendra Singh Solanki</x:v>
      </x:c>
      <x:c r="J264" t="str">
        <x:v>BSP</x:v>
      </x:c>
      <x:c r="K264" t="str">
        <x:v>EVM row</x:v>
      </x:c>
      <x:c r="L264" s="133" t="str">
        <x:f>IF(D264&lt;=0,"No EVM votes",IF(E264&lt;$N$7,"Low",IF(E264&gt;$R$7,"High","Middle")))</x:f>
        <x:v>Low</x:v>
      </x:c>
      <x:c r="M264" s="133" t="str">
        <x:f>IF(D264&lt;=0,"No EVM votes",IF(H264&lt;-20%,"Large deficit",IF(H264&lt;-5%,"Moderate deficit",IF(H264&lt;0,"Narrow deficit",IF(H264&lt;=5%,"Narrow lead/tie",IF(H264&lt;=20%,"Moderate lead","Large lead"))))))</x:f>
        <x:v>Large deficit</x:v>
      </x:c>
    </x:row>
    <x:row r="265">
      <x:c r="A265" t="n">
        <x:v>206</x:v>
      </x:c>
      <x:c r="B265" t="str">
        <x:v>[Location not in Form 20 PDF]</x:v>
      </x:c>
      <x:c r="C265" s="83" t="n">
        <x:f>'2024 Form20'!H214</x:f>
        <x:v>7</x:v>
      </x:c>
      <x:c r="D265" s="83" t="n">
        <x:f>'2024 Form20'!D214</x:f>
        <x:v>443</x:v>
      </x:c>
      <x:c r="E265" s="50" t="n">
        <x:f>'2024 Form20'!W214</x:f>
        <x:v>0.01580135440180587</x:v>
      </x:c>
      <x:c r="F265" t="n">
        <x:f>'2024 Form20'!X214</x:f>
        <x:v>269</x:v>
      </x:c>
      <x:c r="G265" t="n">
        <x:f>'2024 Form20'!Y214</x:f>
        <x:v>-262</x:v>
      </x:c>
      <x:c r="H265" s="52" t="n">
        <x:f>'2024 Form20'!Z214</x:f>
        <x:v>-0.5914221218961625</x:v>
      </x:c>
      <x:c r="I265" t="str">
        <x:v>Dr. Mahesh Sharma</x:v>
      </x:c>
      <x:c r="J265" t="str">
        <x:v>BJP</x:v>
      </x:c>
      <x:c r="K265" t="str">
        <x:v>EVM row</x:v>
      </x:c>
      <x:c r="L265" s="133" t="str">
        <x:f>IF(D265&lt;=0,"No EVM votes",IF(E265&lt;$N$7,"Low",IF(E265&gt;$R$7,"High","Middle")))</x:f>
        <x:v>Low</x:v>
      </x:c>
      <x:c r="M265" s="133" t="str">
        <x:f>IF(D265&lt;=0,"No EVM votes",IF(H265&lt;-20%,"Large deficit",IF(H265&lt;-5%,"Moderate deficit",IF(H265&lt;0,"Narrow deficit",IF(H265&lt;=5%,"Narrow lead/tie",IF(H265&lt;=20%,"Moderate lead","Large lead"))))))</x:f>
        <x:v>Large deficit</x:v>
      </x:c>
    </x:row>
    <x:row r="266">
      <x:c r="A266" t="n">
        <x:v>207</x:v>
      </x:c>
      <x:c r="B266" t="str">
        <x:v>[Location not in Form 20 PDF]</x:v>
      </x:c>
      <x:c r="C266" s="83" t="n">
        <x:f>'2024 Form20'!H215</x:f>
        <x:v>112</x:v>
      </x:c>
      <x:c r="D266" s="83" t="n">
        <x:f>'2024 Form20'!D215</x:f>
        <x:v>856</x:v>
      </x:c>
      <x:c r="E266" s="50" t="n">
        <x:f>'2024 Form20'!W215</x:f>
        <x:v>0.1308411214953271</x:v>
      </x:c>
      <x:c r="F266" t="n">
        <x:f>'2024 Form20'!X215</x:f>
        <x:v>469</x:v>
      </x:c>
      <x:c r="G266" t="n">
        <x:f>'2024 Form20'!Y215</x:f>
        <x:v>-357</x:v>
      </x:c>
      <x:c r="H266" s="52" t="n">
        <x:f>'2024 Form20'!Z215</x:f>
        <x:v>-0.41705607476635514</x:v>
      </x:c>
      <x:c r="I266" t="str">
        <x:v>Rajendra Singh Solanki</x:v>
      </x:c>
      <x:c r="J266" t="str">
        <x:v>BSP</x:v>
      </x:c>
      <x:c r="K266" t="str">
        <x:v>EVM row</x:v>
      </x:c>
      <x:c r="L266" s="133" t="str">
        <x:f>IF(D266&lt;=0,"No EVM votes",IF(E266&lt;$N$7,"Low",IF(E266&gt;$R$7,"High","Middle")))</x:f>
        <x:v>Middle</x:v>
      </x:c>
      <x:c r="M266" s="133" t="str">
        <x:f>IF(D266&lt;=0,"No EVM votes",IF(H266&lt;-20%,"Large deficit",IF(H266&lt;-5%,"Moderate deficit",IF(H266&lt;0,"Narrow deficit",IF(H266&lt;=5%,"Narrow lead/tie",IF(H266&lt;=20%,"Moderate lead","Large lead"))))))</x:f>
        <x:v>Large deficit</x:v>
      </x:c>
    </x:row>
    <x:row r="267">
      <x:c r="A267" t="n">
        <x:v>208</x:v>
      </x:c>
      <x:c r="B267" t="str">
        <x:v>[Location not in Form 20 PDF]</x:v>
      </x:c>
      <x:c r="C267" s="83" t="n">
        <x:f>'2024 Form20'!H216</x:f>
        <x:v>2</x:v>
      </x:c>
      <x:c r="D267" s="83" t="n">
        <x:f>'2024 Form20'!D216</x:f>
        <x:v>114</x:v>
      </x:c>
      <x:c r="E267" s="50" t="n">
        <x:f>'2024 Form20'!W216</x:f>
        <x:v>0.017543859649122806</x:v>
      </x:c>
      <x:c r="F267" t="n">
        <x:f>'2024 Form20'!X216</x:f>
        <x:v>94</x:v>
      </x:c>
      <x:c r="G267" t="n">
        <x:f>'2024 Form20'!Y216</x:f>
        <x:v>-92</x:v>
      </x:c>
      <x:c r="H267" s="52" t="n">
        <x:f>'2024 Form20'!Z216</x:f>
        <x:v>-0.8070175438596491</x:v>
      </x:c>
      <x:c r="I267" t="str">
        <x:v>Dr. Mahesh Sharma</x:v>
      </x:c>
      <x:c r="J267" t="str">
        <x:v>BJP</x:v>
      </x:c>
      <x:c r="K267" t="str">
        <x:v>EVM row</x:v>
      </x:c>
      <x:c r="L267" s="133" t="str">
        <x:f>IF(D267&lt;=0,"No EVM votes",IF(E267&lt;$N$7,"Low",IF(E267&gt;$R$7,"High","Middle")))</x:f>
        <x:v>Low</x:v>
      </x:c>
      <x:c r="M267" s="133" t="str">
        <x:f>IF(D267&lt;=0,"No EVM votes",IF(H267&lt;-20%,"Large deficit",IF(H267&lt;-5%,"Moderate deficit",IF(H267&lt;0,"Narrow deficit",IF(H267&lt;=5%,"Narrow lead/tie",IF(H267&lt;=20%,"Moderate lead","Large lead"))))))</x:f>
        <x:v>Large deficit</x:v>
      </x:c>
    </x:row>
    <x:row r="268">
      <x:c r="A268" t="n">
        <x:v>209</x:v>
      </x:c>
      <x:c r="B268" t="str">
        <x:v>[Location not in Form 20 PDF]</x:v>
      </x:c>
      <x:c r="C268" s="83" t="n">
        <x:f>'2024 Form20'!H217</x:f>
        <x:v>15</x:v>
      </x:c>
      <x:c r="D268" s="83" t="n">
        <x:f>'2024 Form20'!D217</x:f>
        <x:v>675</x:v>
      </x:c>
      <x:c r="E268" s="50" t="n">
        <x:f>'2024 Form20'!W217</x:f>
        <x:v>0.022222222222222223</x:v>
      </x:c>
      <x:c r="F268" t="n">
        <x:f>'2024 Form20'!X217</x:f>
        <x:v>533</x:v>
      </x:c>
      <x:c r="G268" t="n">
        <x:f>'2024 Form20'!Y217</x:f>
        <x:v>-518</x:v>
      </x:c>
      <x:c r="H268" s="52" t="n">
        <x:f>'2024 Form20'!Z217</x:f>
        <x:v>-0.7674074074074074</x:v>
      </x:c>
      <x:c r="I268" t="str">
        <x:v>Rajendra Singh Solanki</x:v>
      </x:c>
      <x:c r="J268" t="str">
        <x:v>BSP</x:v>
      </x:c>
      <x:c r="K268" t="str">
        <x:v>EVM row</x:v>
      </x:c>
      <x:c r="L268" s="133" t="str">
        <x:f>IF(D268&lt;=0,"No EVM votes",IF(E268&lt;$N$7,"Low",IF(E268&gt;$R$7,"High","Middle")))</x:f>
        <x:v>Low</x:v>
      </x:c>
      <x:c r="M268" s="133" t="str">
        <x:f>IF(D268&lt;=0,"No EVM votes",IF(H268&lt;-20%,"Large deficit",IF(H268&lt;-5%,"Moderate deficit",IF(H268&lt;0,"Narrow deficit",IF(H268&lt;=5%,"Narrow lead/tie",IF(H268&lt;=20%,"Moderate lead","Large lead"))))))</x:f>
        <x:v>Large deficit</x:v>
      </x:c>
    </x:row>
    <x:row r="269">
      <x:c r="A269" t="n">
        <x:v>210</x:v>
      </x:c>
      <x:c r="B269" t="str">
        <x:v>[Location not in Form 20 PDF]</x:v>
      </x:c>
      <x:c r="C269" s="83" t="n">
        <x:f>'2024 Form20'!H218</x:f>
        <x:v>0</x:v>
      </x:c>
      <x:c r="D269" s="83" t="n">
        <x:f>'2024 Form20'!D218</x:f>
        <x:v>321</x:v>
      </x:c>
      <x:c r="E269" s="50" t="n">
        <x:f>'2024 Form20'!W218</x:f>
        <x:v>0</x:v>
      </x:c>
      <x:c r="F269" t="n">
        <x:f>'2024 Form20'!X218</x:f>
        <x:v>257</x:v>
      </x:c>
      <x:c r="G269" t="n">
        <x:f>'2024 Form20'!Y218</x:f>
        <x:v>-257</x:v>
      </x:c>
      <x:c r="H269" s="52" t="n">
        <x:f>'2024 Form20'!Z218</x:f>
        <x:v>-0.8006230529595015</x:v>
      </x:c>
      <x:c r="I269" t="str">
        <x:v>Dr. Mahesh Sharma</x:v>
      </x:c>
      <x:c r="J269" t="str">
        <x:v>BJP</x:v>
      </x:c>
      <x:c r="K269" t="str">
        <x:v>EVM row</x:v>
      </x:c>
      <x:c r="L269" s="133" t="str">
        <x:f>IF(D269&lt;=0,"No EVM votes",IF(E269&lt;$N$7,"Low",IF(E269&gt;$R$7,"High","Middle")))</x:f>
        <x:v>Low</x:v>
      </x:c>
      <x:c r="M269" s="133" t="str">
        <x:f>IF(D269&lt;=0,"No EVM votes",IF(H269&lt;-20%,"Large deficit",IF(H269&lt;-5%,"Moderate deficit",IF(H269&lt;0,"Narrow deficit",IF(H269&lt;=5%,"Narrow lead/tie",IF(H269&lt;=20%,"Moderate lead","Large lead"))))))</x:f>
        <x:v>Large deficit</x:v>
      </x:c>
    </x:row>
    <x:row r="270">
      <x:c r="A270" t="n">
        <x:v>211</x:v>
      </x:c>
      <x:c r="B270" t="str">
        <x:v>[Location not in Form 20 PDF]</x:v>
      </x:c>
      <x:c r="C270" s="83" t="n">
        <x:f>'2024 Form20'!H219</x:f>
        <x:v>1</x:v>
      </x:c>
      <x:c r="D270" s="83" t="n">
        <x:f>'2024 Form20'!D219</x:f>
        <x:v>547</x:v>
      </x:c>
      <x:c r="E270" s="50" t="n">
        <x:f>'2024 Form20'!W219</x:f>
        <x:v>0.0018281535648994515</x:v>
      </x:c>
      <x:c r="F270" t="n">
        <x:f>'2024 Form20'!X219</x:f>
        <x:v>292</x:v>
      </x:c>
      <x:c r="G270" t="n">
        <x:f>'2024 Form20'!Y219</x:f>
        <x:v>-291</x:v>
      </x:c>
      <x:c r="H270" s="52" t="n">
        <x:f>'2024 Form20'!Z219</x:f>
        <x:v>-0.5319926873857403</x:v>
      </x:c>
      <x:c r="I270" t="str">
        <x:v>Rajendra Singh Solanki</x:v>
      </x:c>
      <x:c r="J270" t="str">
        <x:v>BSP</x:v>
      </x:c>
      <x:c r="K270" t="str">
        <x:v>EVM row</x:v>
      </x:c>
      <x:c r="L270" s="133" t="str">
        <x:f>IF(D270&lt;=0,"No EVM votes",IF(E270&lt;$N$7,"Low",IF(E270&gt;$R$7,"High","Middle")))</x:f>
        <x:v>Low</x:v>
      </x:c>
      <x:c r="M270" s="133" t="str">
        <x:f>IF(D270&lt;=0,"No EVM votes",IF(H270&lt;-20%,"Large deficit",IF(H270&lt;-5%,"Moderate deficit",IF(H270&lt;0,"Narrow deficit",IF(H270&lt;=5%,"Narrow lead/tie",IF(H270&lt;=20%,"Moderate lead","Large lead"))))))</x:f>
        <x:v>Large deficit</x:v>
      </x:c>
    </x:row>
    <x:row r="271">
      <x:c r="A271" t="n">
        <x:v>212</x:v>
      </x:c>
      <x:c r="B271" t="str">
        <x:v>[Location not in Form 20 PDF]</x:v>
      </x:c>
      <x:c r="C271" s="83" t="n">
        <x:f>'2024 Form20'!H220</x:f>
        <x:v>1</x:v>
      </x:c>
      <x:c r="D271" s="83" t="n">
        <x:f>'2024 Form20'!D220</x:f>
        <x:v>227</x:v>
      </x:c>
      <x:c r="E271" s="50" t="n">
        <x:f>'2024 Form20'!W220</x:f>
        <x:v>0.004405286343612335</x:v>
      </x:c>
      <x:c r="F271" t="n">
        <x:f>'2024 Form20'!X220</x:f>
        <x:v>116</x:v>
      </x:c>
      <x:c r="G271" t="n">
        <x:f>'2024 Form20'!Y220</x:f>
        <x:v>-115</x:v>
      </x:c>
      <x:c r="H271" s="52" t="n">
        <x:f>'2024 Form20'!Z220</x:f>
        <x:v>-0.5066079295154186</x:v>
      </x:c>
      <x:c r="I271" t="str">
        <x:v>Rajendra Singh Solanki</x:v>
      </x:c>
      <x:c r="J271" t="str">
        <x:v>BSP</x:v>
      </x:c>
      <x:c r="K271" t="str">
        <x:v>EVM row</x:v>
      </x:c>
      <x:c r="L271" s="133" t="str">
        <x:f>IF(D271&lt;=0,"No EVM votes",IF(E271&lt;$N$7,"Low",IF(E271&gt;$R$7,"High","Middle")))</x:f>
        <x:v>Low</x:v>
      </x:c>
      <x:c r="M271" s="133" t="str">
        <x:f>IF(D271&lt;=0,"No EVM votes",IF(H271&lt;-20%,"Large deficit",IF(H271&lt;-5%,"Moderate deficit",IF(H271&lt;0,"Narrow deficit",IF(H271&lt;=5%,"Narrow lead/tie",IF(H271&lt;=20%,"Moderate lead","Large lead"))))))</x:f>
        <x:v>Large deficit</x:v>
      </x:c>
    </x:row>
    <x:row r="272">
      <x:c r="A272" t="n">
        <x:v>213</x:v>
      </x:c>
      <x:c r="B272" t="str">
        <x:v>[Location not in Form 20 PDF]</x:v>
      </x:c>
      <x:c r="C272" s="83" t="n">
        <x:f>'2024 Form20'!H221</x:f>
        <x:v>59</x:v>
      </x:c>
      <x:c r="D272" s="83" t="n">
        <x:f>'2024 Form20'!D221</x:f>
        <x:v>502</x:v>
      </x:c>
      <x:c r="E272" s="50" t="n">
        <x:f>'2024 Form20'!W221</x:f>
        <x:v>0.11752988047808766</x:v>
      </x:c>
      <x:c r="F272" t="n">
        <x:f>'2024 Form20'!X221</x:f>
        <x:v>227</x:v>
      </x:c>
      <x:c r="G272" t="n">
        <x:f>'2024 Form20'!Y221</x:f>
        <x:v>-168</x:v>
      </x:c>
      <x:c r="H272" s="52" t="n">
        <x:f>'2024 Form20'!Z221</x:f>
        <x:v>-0.3346613545816733</x:v>
      </x:c>
      <x:c r="I272" t="str">
        <x:v>Dr. Mahesh Sharma</x:v>
      </x:c>
      <x:c r="J272" t="str">
        <x:v>BJP</x:v>
      </x:c>
      <x:c r="K272" t="str">
        <x:v>EVM row</x:v>
      </x:c>
      <x:c r="L272" s="133" t="str">
        <x:f>IF(D272&lt;=0,"No EVM votes",IF(E272&lt;$N$7,"Low",IF(E272&gt;$R$7,"High","Middle")))</x:f>
        <x:v>Middle</x:v>
      </x:c>
      <x:c r="M272" s="133" t="str">
        <x:f>IF(D272&lt;=0,"No EVM votes",IF(H272&lt;-20%,"Large deficit",IF(H272&lt;-5%,"Moderate deficit",IF(H272&lt;0,"Narrow deficit",IF(H272&lt;=5%,"Narrow lead/tie",IF(H272&lt;=20%,"Moderate lead","Large lead"))))))</x:f>
        <x:v>Large deficit</x:v>
      </x:c>
    </x:row>
    <x:row r="273">
      <x:c r="A273" t="n">
        <x:v>214</x:v>
      </x:c>
      <x:c r="B273" t="str">
        <x:v>[Location not in Form 20 PDF]</x:v>
      </x:c>
      <x:c r="C273" s="83" t="n">
        <x:f>'2024 Form20'!H222</x:f>
        <x:v>7</x:v>
      </x:c>
      <x:c r="D273" s="83" t="n">
        <x:f>'2024 Form20'!D222</x:f>
        <x:v>327</x:v>
      </x:c>
      <x:c r="E273" s="50" t="n">
        <x:f>'2024 Form20'!W222</x:f>
        <x:v>0.021406727828746176</x:v>
      </x:c>
      <x:c r="F273" t="n">
        <x:f>'2024 Form20'!X222</x:f>
        <x:v>232</x:v>
      </x:c>
      <x:c r="G273" t="n">
        <x:f>'2024 Form20'!Y222</x:f>
        <x:v>-225</x:v>
      </x:c>
      <x:c r="H273" s="52" t="n">
        <x:f>'2024 Form20'!Z222</x:f>
        <x:v>-0.6880733944954128</x:v>
      </x:c>
      <x:c r="I273" t="str">
        <x:v>Rajendra Singh Solanki</x:v>
      </x:c>
      <x:c r="J273" t="str">
        <x:v>BSP</x:v>
      </x:c>
      <x:c r="K273" t="str">
        <x:v>EVM row</x:v>
      </x:c>
      <x:c r="L273" s="133" t="str">
        <x:f>IF(D273&lt;=0,"No EVM votes",IF(E273&lt;$N$7,"Low",IF(E273&gt;$R$7,"High","Middle")))</x:f>
        <x:v>Low</x:v>
      </x:c>
      <x:c r="M273" s="133" t="str">
        <x:f>IF(D273&lt;=0,"No EVM votes",IF(H273&lt;-20%,"Large deficit",IF(H273&lt;-5%,"Moderate deficit",IF(H273&lt;0,"Narrow deficit",IF(H273&lt;=5%,"Narrow lead/tie",IF(H273&lt;=20%,"Moderate lead","Large lead"))))))</x:f>
        <x:v>Large deficit</x:v>
      </x:c>
    </x:row>
    <x:row r="274">
      <x:c r="A274" t="n">
        <x:v>215</x:v>
      </x:c>
      <x:c r="B274" t="str">
        <x:v>[Location not in Form 20 PDF]</x:v>
      </x:c>
      <x:c r="C274" s="83" t="n">
        <x:f>'2024 Form20'!H223</x:f>
        <x:v>6</x:v>
      </x:c>
      <x:c r="D274" s="83" t="n">
        <x:f>'2024 Form20'!D223</x:f>
        <x:v>368</x:v>
      </x:c>
      <x:c r="E274" s="50" t="n">
        <x:f>'2024 Form20'!W223</x:f>
        <x:v>0.016304347826086956</x:v>
      </x:c>
      <x:c r="F274" t="n">
        <x:f>'2024 Form20'!X223</x:f>
        <x:v>325</x:v>
      </x:c>
      <x:c r="G274" t="n">
        <x:f>'2024 Form20'!Y223</x:f>
        <x:v>-319</x:v>
      </x:c>
      <x:c r="H274" s="52" t="n">
        <x:f>'2024 Form20'!Z223</x:f>
        <x:v>-0.8668478260869565</x:v>
      </x:c>
      <x:c r="I274" t="str">
        <x:v>Rajendra Singh Solanki</x:v>
      </x:c>
      <x:c r="J274" t="str">
        <x:v>BSP</x:v>
      </x:c>
      <x:c r="K274" t="str">
        <x:v>EVM row</x:v>
      </x:c>
      <x:c r="L274" s="133" t="str">
        <x:f>IF(D274&lt;=0,"No EVM votes",IF(E274&lt;$N$7,"Low",IF(E274&gt;$R$7,"High","Middle")))</x:f>
        <x:v>Low</x:v>
      </x:c>
      <x:c r="M274" s="133" t="str">
        <x:f>IF(D274&lt;=0,"No EVM votes",IF(H274&lt;-20%,"Large deficit",IF(H274&lt;-5%,"Moderate deficit",IF(H274&lt;0,"Narrow deficit",IF(H274&lt;=5%,"Narrow lead/tie",IF(H274&lt;=20%,"Moderate lead","Large lead"))))))</x:f>
        <x:v>Large deficit</x:v>
      </x:c>
    </x:row>
    <x:row r="275">
      <x:c r="A275" t="n">
        <x:v>216</x:v>
      </x:c>
      <x:c r="B275" t="str">
        <x:v>[Location not in Form 20 PDF]</x:v>
      </x:c>
      <x:c r="C275" s="83" t="n">
        <x:f>'2024 Form20'!H224</x:f>
        <x:v>72</x:v>
      </x:c>
      <x:c r="D275" s="83" t="n">
        <x:f>'2024 Form20'!D224</x:f>
        <x:v>476</x:v>
      </x:c>
      <x:c r="E275" s="50" t="n">
        <x:f>'2024 Form20'!W224</x:f>
        <x:v>0.15126050420168066</x:v>
      </x:c>
      <x:c r="F275" t="n">
        <x:f>'2024 Form20'!X224</x:f>
        <x:v>280</x:v>
      </x:c>
      <x:c r="G275" t="n">
        <x:f>'2024 Form20'!Y224</x:f>
        <x:v>-208</x:v>
      </x:c>
      <x:c r="H275" s="52" t="n">
        <x:f>'2024 Form20'!Z224</x:f>
        <x:v>-0.4369747899159664</x:v>
      </x:c>
      <x:c r="I275" t="str">
        <x:v>Dr. Mahesh Sharma</x:v>
      </x:c>
      <x:c r="J275" t="str">
        <x:v>BJP</x:v>
      </x:c>
      <x:c r="K275" t="str">
        <x:v>EVM row</x:v>
      </x:c>
      <x:c r="L275" s="133" t="str">
        <x:f>IF(D275&lt;=0,"No EVM votes",IF(E275&lt;$N$7,"Low",IF(E275&gt;$R$7,"High","Middle")))</x:f>
        <x:v>Middle</x:v>
      </x:c>
      <x:c r="M275" s="133" t="str">
        <x:f>IF(D275&lt;=0,"No EVM votes",IF(H275&lt;-20%,"Large deficit",IF(H275&lt;-5%,"Moderate deficit",IF(H275&lt;0,"Narrow deficit",IF(H275&lt;=5%,"Narrow lead/tie",IF(H275&lt;=20%,"Moderate lead","Large lead"))))))</x:f>
        <x:v>Large deficit</x:v>
      </x:c>
    </x:row>
    <x:row r="276">
      <x:c r="A276" t="n">
        <x:v>217</x:v>
      </x:c>
      <x:c r="B276" t="str">
        <x:v>[Location not in Form 20 PDF]</x:v>
      </x:c>
      <x:c r="C276" s="83" t="n">
        <x:f>'2024 Form20'!H225</x:f>
        <x:v>17</x:v>
      </x:c>
      <x:c r="D276" s="83" t="n">
        <x:f>'2024 Form20'!D225</x:f>
        <x:v>303</x:v>
      </x:c>
      <x:c r="E276" s="50" t="n">
        <x:f>'2024 Form20'!W225</x:f>
        <x:v>0.056105610561056105</x:v>
      </x:c>
      <x:c r="F276" t="n">
        <x:f>'2024 Form20'!X225</x:f>
        <x:v>249</x:v>
      </x:c>
      <x:c r="G276" t="n">
        <x:f>'2024 Form20'!Y225</x:f>
        <x:v>-232</x:v>
      </x:c>
      <x:c r="H276" s="52" t="n">
        <x:f>'2024 Form20'!Z225</x:f>
        <x:v>-0.7656765676567657</x:v>
      </x:c>
      <x:c r="I276" t="str">
        <x:v>Dr. Mahesh Sharma</x:v>
      </x:c>
      <x:c r="J276" t="str">
        <x:v>BJP</x:v>
      </x:c>
      <x:c r="K276" t="str">
        <x:v>EVM row</x:v>
      </x:c>
      <x:c r="L276" s="133" t="str">
        <x:f>IF(D276&lt;=0,"No EVM votes",IF(E276&lt;$N$7,"Low",IF(E276&gt;$R$7,"High","Middle")))</x:f>
        <x:v>Middle</x:v>
      </x:c>
      <x:c r="M276" s="133" t="str">
        <x:f>IF(D276&lt;=0,"No EVM votes",IF(H276&lt;-20%,"Large deficit",IF(H276&lt;-5%,"Moderate deficit",IF(H276&lt;0,"Narrow deficit",IF(H276&lt;=5%,"Narrow lead/tie",IF(H276&lt;=20%,"Moderate lead","Large lead"))))))</x:f>
        <x:v>Large deficit</x:v>
      </x:c>
    </x:row>
    <x:row r="277">
      <x:c r="A277" t="n">
        <x:v>218</x:v>
      </x:c>
      <x:c r="B277" t="str">
        <x:v>[Location not in Form 20 PDF]</x:v>
      </x:c>
      <x:c r="C277" s="83" t="n">
        <x:f>'2024 Form20'!H226</x:f>
        <x:v>32</x:v>
      </x:c>
      <x:c r="D277" s="83" t="n">
        <x:f>'2024 Form20'!D226</x:f>
        <x:v>322</x:v>
      </x:c>
      <x:c r="E277" s="50" t="n">
        <x:f>'2024 Form20'!W226</x:f>
        <x:v>0.09937888198757763</x:v>
      </x:c>
      <x:c r="F277" t="n">
        <x:f>'2024 Form20'!X226</x:f>
        <x:v>225</x:v>
      </x:c>
      <x:c r="G277" t="n">
        <x:f>'2024 Form20'!Y226</x:f>
        <x:v>-193</x:v>
      </x:c>
      <x:c r="H277" s="52" t="n">
        <x:f>'2024 Form20'!Z226</x:f>
        <x:v>-0.5993788819875776</x:v>
      </x:c>
      <x:c r="I277" t="str">
        <x:v>Dr. Mahesh Sharma</x:v>
      </x:c>
      <x:c r="J277" t="str">
        <x:v>BJP</x:v>
      </x:c>
      <x:c r="K277" t="str">
        <x:v>EVM row</x:v>
      </x:c>
      <x:c r="L277" s="133" t="str">
        <x:f>IF(D277&lt;=0,"No EVM votes",IF(E277&lt;$N$7,"Low",IF(E277&gt;$R$7,"High","Middle")))</x:f>
        <x:v>Middle</x:v>
      </x:c>
      <x:c r="M277" s="133" t="str">
        <x:f>IF(D277&lt;=0,"No EVM votes",IF(H277&lt;-20%,"Large deficit",IF(H277&lt;-5%,"Moderate deficit",IF(H277&lt;0,"Narrow deficit",IF(H277&lt;=5%,"Narrow lead/tie",IF(H277&lt;=20%,"Moderate lead","Large lead"))))))</x:f>
        <x:v>Large deficit</x:v>
      </x:c>
    </x:row>
    <x:row r="278">
      <x:c r="A278" t="n">
        <x:v>219</x:v>
      </x:c>
      <x:c r="B278" t="str">
        <x:v>[Location not in Form 20 PDF]</x:v>
      </x:c>
      <x:c r="C278" s="83" t="n">
        <x:f>'2024 Form20'!H227</x:f>
        <x:v>57</x:v>
      </x:c>
      <x:c r="D278" s="83" t="n">
        <x:f>'2024 Form20'!D227</x:f>
        <x:v>444</x:v>
      </x:c>
      <x:c r="E278" s="50" t="n">
        <x:f>'2024 Form20'!W227</x:f>
        <x:v>0.12837837837837837</x:v>
      </x:c>
      <x:c r="F278" t="n">
        <x:f>'2024 Form20'!X227</x:f>
        <x:v>264</x:v>
      </x:c>
      <x:c r="G278" t="n">
        <x:f>'2024 Form20'!Y227</x:f>
        <x:v>-207</x:v>
      </x:c>
      <x:c r="H278" s="52" t="n">
        <x:f>'2024 Form20'!Z227</x:f>
        <x:v>-0.46621621621621623</x:v>
      </x:c>
      <x:c r="I278" t="str">
        <x:v>Dr. Mahesh Sharma</x:v>
      </x:c>
      <x:c r="J278" t="str">
        <x:v>BJP</x:v>
      </x:c>
      <x:c r="K278" t="str">
        <x:v>EVM row</x:v>
      </x:c>
      <x:c r="L278" s="133" t="str">
        <x:f>IF(D278&lt;=0,"No EVM votes",IF(E278&lt;$N$7,"Low",IF(E278&gt;$R$7,"High","Middle")))</x:f>
        <x:v>Middle</x:v>
      </x:c>
      <x:c r="M278" s="133" t="str">
        <x:f>IF(D278&lt;=0,"No EVM votes",IF(H278&lt;-20%,"Large deficit",IF(H278&lt;-5%,"Moderate deficit",IF(H278&lt;0,"Narrow deficit",IF(H278&lt;=5%,"Narrow lead/tie",IF(H278&lt;=20%,"Moderate lead","Large lead"))))))</x:f>
        <x:v>Large deficit</x:v>
      </x:c>
    </x:row>
    <x:row r="279">
      <x:c r="A279" t="n">
        <x:v>220</x:v>
      </x:c>
      <x:c r="B279" t="str">
        <x:v>[Location not in Form 20 PDF]</x:v>
      </x:c>
      <x:c r="C279" s="83" t="n">
        <x:f>'2024 Form20'!H228</x:f>
        <x:v>17</x:v>
      </x:c>
      <x:c r="D279" s="83" t="n">
        <x:f>'2024 Form20'!D228</x:f>
        <x:v>421</x:v>
      </x:c>
      <x:c r="E279" s="50" t="n">
        <x:f>'2024 Form20'!W228</x:f>
        <x:v>0.040380047505938245</x:v>
      </x:c>
      <x:c r="F279" t="n">
        <x:f>'2024 Form20'!X228</x:f>
        <x:v>333</x:v>
      </x:c>
      <x:c r="G279" t="n">
        <x:f>'2024 Form20'!Y228</x:f>
        <x:v>-316</x:v>
      </x:c>
      <x:c r="H279" s="52" t="n">
        <x:f>'2024 Form20'!Z228</x:f>
        <x:v>-0.7505938242280285</x:v>
      </x:c>
      <x:c r="I279" t="str">
        <x:v>Dr. Mahesh Sharma</x:v>
      </x:c>
      <x:c r="J279" t="str">
        <x:v>BJP</x:v>
      </x:c>
      <x:c r="K279" t="str">
        <x:v>EVM row</x:v>
      </x:c>
      <x:c r="L279" s="133" t="str">
        <x:f>IF(D279&lt;=0,"No EVM votes",IF(E279&lt;$N$7,"Low",IF(E279&gt;$R$7,"High","Middle")))</x:f>
        <x:v>Middle</x:v>
      </x:c>
      <x:c r="M279" s="133" t="str">
        <x:f>IF(D279&lt;=0,"No EVM votes",IF(H279&lt;-20%,"Large deficit",IF(H279&lt;-5%,"Moderate deficit",IF(H279&lt;0,"Narrow deficit",IF(H279&lt;=5%,"Narrow lead/tie",IF(H279&lt;=20%,"Moderate lead","Large lead"))))))</x:f>
        <x:v>Large deficit</x:v>
      </x:c>
    </x:row>
    <x:row r="280">
      <x:c r="A280" t="n">
        <x:v>221</x:v>
      </x:c>
      <x:c r="B280" t="str">
        <x:v>[Location not in Form 20 PDF]</x:v>
      </x:c>
      <x:c r="C280" s="83" t="n">
        <x:f>'2024 Form20'!H229</x:f>
        <x:v>38</x:v>
      </x:c>
      <x:c r="D280" s="83" t="n">
        <x:f>'2024 Form20'!D229</x:f>
        <x:v>372</x:v>
      </x:c>
      <x:c r="E280" s="50" t="n">
        <x:f>'2024 Form20'!W229</x:f>
        <x:v>0.10215053763440861</x:v>
      </x:c>
      <x:c r="F280" t="n">
        <x:f>'2024 Form20'!X229</x:f>
        <x:v>231</x:v>
      </x:c>
      <x:c r="G280" t="n">
        <x:f>'2024 Form20'!Y229</x:f>
        <x:v>-193</x:v>
      </x:c>
      <x:c r="H280" s="52" t="n">
        <x:f>'2024 Form20'!Z229</x:f>
        <x:v>-0.5188172043010753</x:v>
      </x:c>
      <x:c r="I280" t="str">
        <x:v>Dr. Mahesh Sharma</x:v>
      </x:c>
      <x:c r="J280" t="str">
        <x:v>BJP</x:v>
      </x:c>
      <x:c r="K280" t="str">
        <x:v>EVM row</x:v>
      </x:c>
      <x:c r="L280" s="133" t="str">
        <x:f>IF(D280&lt;=0,"No EVM votes",IF(E280&lt;$N$7,"Low",IF(E280&gt;$R$7,"High","Middle")))</x:f>
        <x:v>Middle</x:v>
      </x:c>
      <x:c r="M280" s="133" t="str">
        <x:f>IF(D280&lt;=0,"No EVM votes",IF(H280&lt;-20%,"Large deficit",IF(H280&lt;-5%,"Moderate deficit",IF(H280&lt;0,"Narrow deficit",IF(H280&lt;=5%,"Narrow lead/tie",IF(H280&lt;=20%,"Moderate lead","Large lead"))))))</x:f>
        <x:v>Large deficit</x:v>
      </x:c>
    </x:row>
    <x:row r="281">
      <x:c r="A281" t="n">
        <x:v>222</x:v>
      </x:c>
      <x:c r="B281" t="str">
        <x:v>[Location not in Form 20 PDF]</x:v>
      </x:c>
      <x:c r="C281" s="83" t="n">
        <x:f>'2024 Form20'!H230</x:f>
        <x:v>40</x:v>
      </x:c>
      <x:c r="D281" s="83" t="n">
        <x:f>'2024 Form20'!D230</x:f>
        <x:v>331</x:v>
      </x:c>
      <x:c r="E281" s="50" t="n">
        <x:f>'2024 Form20'!W230</x:f>
        <x:v>0.12084592145015106</x:v>
      </x:c>
      <x:c r="F281" t="n">
        <x:f>'2024 Form20'!X230</x:f>
        <x:v>158</x:v>
      </x:c>
      <x:c r="G281" t="n">
        <x:f>'2024 Form20'!Y230</x:f>
        <x:v>-118</x:v>
      </x:c>
      <x:c r="H281" s="52" t="n">
        <x:f>'2024 Form20'!Z230</x:f>
        <x:v>-0.3564954682779456</x:v>
      </x:c>
      <x:c r="I281" t="str">
        <x:v>Dr. Mahesh Sharma</x:v>
      </x:c>
      <x:c r="J281" t="str">
        <x:v>BJP</x:v>
      </x:c>
      <x:c r="K281" t="str">
        <x:v>EVM row</x:v>
      </x:c>
      <x:c r="L281" s="133" t="str">
        <x:f>IF(D281&lt;=0,"No EVM votes",IF(E281&lt;$N$7,"Low",IF(E281&gt;$R$7,"High","Middle")))</x:f>
        <x:v>Middle</x:v>
      </x:c>
      <x:c r="M281" s="133" t="str">
        <x:f>IF(D281&lt;=0,"No EVM votes",IF(H281&lt;-20%,"Large deficit",IF(H281&lt;-5%,"Moderate deficit",IF(H281&lt;0,"Narrow deficit",IF(H281&lt;=5%,"Narrow lead/tie",IF(H281&lt;=20%,"Moderate lead","Large lead"))))))</x:f>
        <x:v>Large deficit</x:v>
      </x:c>
    </x:row>
    <x:row r="282">
      <x:c r="A282" t="n">
        <x:v>223</x:v>
      </x:c>
      <x:c r="B282" t="str">
        <x:v>[Location not in Form 20 PDF]</x:v>
      </x:c>
      <x:c r="C282" s="83" t="n">
        <x:f>'2024 Form20'!H231</x:f>
        <x:v>58</x:v>
      </x:c>
      <x:c r="D282" s="83" t="n">
        <x:f>'2024 Form20'!D231</x:f>
        <x:v>412</x:v>
      </x:c>
      <x:c r="E282" s="50" t="n">
        <x:f>'2024 Form20'!W231</x:f>
        <x:v>0.1407766990291262</x:v>
      </x:c>
      <x:c r="F282" t="n">
        <x:f>'2024 Form20'!X231</x:f>
        <x:v>272</x:v>
      </x:c>
      <x:c r="G282" t="n">
        <x:f>'2024 Form20'!Y231</x:f>
        <x:v>-214</x:v>
      </x:c>
      <x:c r="H282" s="52" t="n">
        <x:f>'2024 Form20'!Z231</x:f>
        <x:v>-0.5194174757281553</x:v>
      </x:c>
      <x:c r="I282" t="str">
        <x:v>Dr. Mahesh Sharma</x:v>
      </x:c>
      <x:c r="J282" t="str">
        <x:v>BJP</x:v>
      </x:c>
      <x:c r="K282" t="str">
        <x:v>EVM row</x:v>
      </x:c>
      <x:c r="L282" s="133" t="str">
        <x:f>IF(D282&lt;=0,"No EVM votes",IF(E282&lt;$N$7,"Low",IF(E282&gt;$R$7,"High","Middle")))</x:f>
        <x:v>Middle</x:v>
      </x:c>
      <x:c r="M282" s="133" t="str">
        <x:f>IF(D282&lt;=0,"No EVM votes",IF(H282&lt;-20%,"Large deficit",IF(H282&lt;-5%,"Moderate deficit",IF(H282&lt;0,"Narrow deficit",IF(H282&lt;=5%,"Narrow lead/tie",IF(H282&lt;=20%,"Moderate lead","Large lead"))))))</x:f>
        <x:v>Large deficit</x:v>
      </x:c>
    </x:row>
    <x:row r="283">
      <x:c r="A283" t="n">
        <x:v>224</x:v>
      </x:c>
      <x:c r="B283" t="str">
        <x:v>[Location not in Form 20 PDF]</x:v>
      </x:c>
      <x:c r="C283" s="83" t="n">
        <x:f>'2024 Form20'!H232</x:f>
        <x:v>61</x:v>
      </x:c>
      <x:c r="D283" s="83" t="n">
        <x:f>'2024 Form20'!D232</x:f>
        <x:v>432</x:v>
      </x:c>
      <x:c r="E283" s="50" t="n">
        <x:f>'2024 Form20'!W232</x:f>
        <x:v>0.1412037037037037</x:v>
      </x:c>
      <x:c r="F283" t="n">
        <x:f>'2024 Form20'!X232</x:f>
        <x:v>277</x:v>
      </x:c>
      <x:c r="G283" t="n">
        <x:f>'2024 Form20'!Y232</x:f>
        <x:v>-216</x:v>
      </x:c>
      <x:c r="H283" s="52" t="n">
        <x:f>'2024 Form20'!Z232</x:f>
        <x:v>-0.5</x:v>
      </x:c>
      <x:c r="I283" t="str">
        <x:v>Dr. Mahesh Sharma</x:v>
      </x:c>
      <x:c r="J283" t="str">
        <x:v>BJP</x:v>
      </x:c>
      <x:c r="K283" t="str">
        <x:v>EVM row</x:v>
      </x:c>
      <x:c r="L283" s="133" t="str">
        <x:f>IF(D283&lt;=0,"No EVM votes",IF(E283&lt;$N$7,"Low",IF(E283&gt;$R$7,"High","Middle")))</x:f>
        <x:v>Middle</x:v>
      </x:c>
      <x:c r="M283" s="133" t="str">
        <x:f>IF(D283&lt;=0,"No EVM votes",IF(H283&lt;-20%,"Large deficit",IF(H283&lt;-5%,"Moderate deficit",IF(H283&lt;0,"Narrow deficit",IF(H283&lt;=5%,"Narrow lead/tie",IF(H283&lt;=20%,"Moderate lead","Large lead"))))))</x:f>
        <x:v>Large deficit</x:v>
      </x:c>
    </x:row>
    <x:row r="284">
      <x:c r="A284" t="n">
        <x:v>225</x:v>
      </x:c>
      <x:c r="B284" t="str">
        <x:v>[Location not in Form 20 PDF]</x:v>
      </x:c>
      <x:c r="C284" s="83" t="n">
        <x:f>'2024 Form20'!H233</x:f>
        <x:v>21</x:v>
      </x:c>
      <x:c r="D284" s="83" t="n">
        <x:f>'2024 Form20'!D233</x:f>
        <x:v>429</x:v>
      </x:c>
      <x:c r="E284" s="50" t="n">
        <x:f>'2024 Form20'!W233</x:f>
        <x:v>0.04895104895104895</x:v>
      </x:c>
      <x:c r="F284" t="n">
        <x:f>'2024 Form20'!X233</x:f>
        <x:v>354</x:v>
      </x:c>
      <x:c r="G284" t="n">
        <x:f>'2024 Form20'!Y233</x:f>
        <x:v>-333</x:v>
      </x:c>
      <x:c r="H284" s="52" t="n">
        <x:f>'2024 Form20'!Z233</x:f>
        <x:v>-0.7762237762237763</x:v>
      </x:c>
      <x:c r="I284" t="str">
        <x:v>Dr. Mahesh Sharma</x:v>
      </x:c>
      <x:c r="J284" t="str">
        <x:v>BJP</x:v>
      </x:c>
      <x:c r="K284" t="str">
        <x:v>EVM row</x:v>
      </x:c>
      <x:c r="L284" s="133" t="str">
        <x:f>IF(D284&lt;=0,"No EVM votes",IF(E284&lt;$N$7,"Low",IF(E284&gt;$R$7,"High","Middle")))</x:f>
        <x:v>Middle</x:v>
      </x:c>
      <x:c r="M284" s="133" t="str">
        <x:f>IF(D284&lt;=0,"No EVM votes",IF(H284&lt;-20%,"Large deficit",IF(H284&lt;-5%,"Moderate deficit",IF(H284&lt;0,"Narrow deficit",IF(H284&lt;=5%,"Narrow lead/tie",IF(H284&lt;=20%,"Moderate lead","Large lead"))))))</x:f>
        <x:v>Large deficit</x:v>
      </x:c>
    </x:row>
    <x:row r="285">
      <x:c r="A285" t="n">
        <x:v>226</x:v>
      </x:c>
      <x:c r="B285" t="str">
        <x:v>[Location not in Form 20 PDF]</x:v>
      </x:c>
      <x:c r="C285" s="83" t="n">
        <x:f>'2024 Form20'!H234</x:f>
        <x:v>50</x:v>
      </x:c>
      <x:c r="D285" s="83" t="n">
        <x:f>'2024 Form20'!D234</x:f>
        <x:v>456</x:v>
      </x:c>
      <x:c r="E285" s="50" t="n">
        <x:f>'2024 Form20'!W234</x:f>
        <x:v>0.10964912280701754</x:v>
      </x:c>
      <x:c r="F285" t="n">
        <x:f>'2024 Form20'!X234</x:f>
        <x:v>276</x:v>
      </x:c>
      <x:c r="G285" t="n">
        <x:f>'2024 Form20'!Y234</x:f>
        <x:v>-226</x:v>
      </x:c>
      <x:c r="H285" s="52" t="n">
        <x:f>'2024 Form20'!Z234</x:f>
        <x:v>-0.4956140350877193</x:v>
      </x:c>
      <x:c r="I285" t="str">
        <x:v>Dr. Mahesh Sharma</x:v>
      </x:c>
      <x:c r="J285" t="str">
        <x:v>BJP</x:v>
      </x:c>
      <x:c r="K285" t="str">
        <x:v>EVM row</x:v>
      </x:c>
      <x:c r="L285" s="133" t="str">
        <x:f>IF(D285&lt;=0,"No EVM votes",IF(E285&lt;$N$7,"Low",IF(E285&gt;$R$7,"High","Middle")))</x:f>
        <x:v>Middle</x:v>
      </x:c>
      <x:c r="M285" s="133" t="str">
        <x:f>IF(D285&lt;=0,"No EVM votes",IF(H285&lt;-20%,"Large deficit",IF(H285&lt;-5%,"Moderate deficit",IF(H285&lt;0,"Narrow deficit",IF(H285&lt;=5%,"Narrow lead/tie",IF(H285&lt;=20%,"Moderate lead","Large lead"))))))</x:f>
        <x:v>Large deficit</x:v>
      </x:c>
    </x:row>
    <x:row r="286">
      <x:c r="A286" t="n">
        <x:v>227</x:v>
      </x:c>
      <x:c r="B286" t="str">
        <x:v>[Location not in Form 20 PDF]</x:v>
      </x:c>
      <x:c r="C286" s="83" t="n">
        <x:f>'2024 Form20'!H235</x:f>
        <x:v>133</x:v>
      </x:c>
      <x:c r="D286" s="83" t="n">
        <x:f>'2024 Form20'!D235</x:f>
        <x:v>512</x:v>
      </x:c>
      <x:c r="E286" s="50" t="n">
        <x:f>'2024 Form20'!W235</x:f>
        <x:v>0.259765625</x:v>
      </x:c>
      <x:c r="F286" t="n">
        <x:f>'2024 Form20'!X235</x:f>
        <x:v>230</x:v>
      </x:c>
      <x:c r="G286" t="n">
        <x:f>'2024 Form20'!Y235</x:f>
        <x:v>-97</x:v>
      </x:c>
      <x:c r="H286" s="52" t="n">
        <x:f>'2024 Form20'!Z235</x:f>
        <x:v>-0.189453125</x:v>
      </x:c>
      <x:c r="I286" t="str">
        <x:v>Dr. Mahesh Sharma</x:v>
      </x:c>
      <x:c r="J286" t="str">
        <x:v>BJP</x:v>
      </x:c>
      <x:c r="K286" t="str">
        <x:v>EVM row</x:v>
      </x:c>
      <x:c r="L286" s="133" t="str">
        <x:f>IF(D286&lt;=0,"No EVM votes",IF(E286&lt;$N$7,"Low",IF(E286&gt;$R$7,"High","Middle")))</x:f>
        <x:v>High</x:v>
      </x:c>
      <x:c r="M286" s="133" t="str">
        <x:f>IF(D286&lt;=0,"No EVM votes",IF(H286&lt;-20%,"Large deficit",IF(H286&lt;-5%,"Moderate deficit",IF(H286&lt;0,"Narrow deficit",IF(H286&lt;=5%,"Narrow lead/tie",IF(H286&lt;=20%,"Moderate lead","Large lead"))))))</x:f>
        <x:v>Moderate deficit</x:v>
      </x:c>
    </x:row>
    <x:row r="287">
      <x:c r="A287" t="n">
        <x:v>228</x:v>
      </x:c>
      <x:c r="B287" t="str">
        <x:v>[Location not in Form 20 PDF]</x:v>
      </x:c>
      <x:c r="C287" s="83" t="n">
        <x:f>'2024 Form20'!H236</x:f>
        <x:v>13</x:v>
      </x:c>
      <x:c r="D287" s="83" t="n">
        <x:f>'2024 Form20'!D236</x:f>
        <x:v>718</x:v>
      </x:c>
      <x:c r="E287" s="50" t="n">
        <x:f>'2024 Form20'!W236</x:f>
        <x:v>0.018105849582172703</x:v>
      </x:c>
      <x:c r="F287" t="n">
        <x:f>'2024 Form20'!X236</x:f>
        <x:v>686</x:v>
      </x:c>
      <x:c r="G287" t="n">
        <x:f>'2024 Form20'!Y236</x:f>
        <x:v>-673</x:v>
      </x:c>
      <x:c r="H287" s="52" t="n">
        <x:f>'2024 Form20'!Z236</x:f>
        <x:v>-0.9373259052924791</x:v>
      </x:c>
      <x:c r="I287" t="str">
        <x:v>Dr. Mahesh Sharma</x:v>
      </x:c>
      <x:c r="J287" t="str">
        <x:v>BJP</x:v>
      </x:c>
      <x:c r="K287" t="str">
        <x:v>EVM row</x:v>
      </x:c>
      <x:c r="L287" s="133" t="str">
        <x:f>IF(D287&lt;=0,"No EVM votes",IF(E287&lt;$N$7,"Low",IF(E287&gt;$R$7,"High","Middle")))</x:f>
        <x:v>Low</x:v>
      </x:c>
      <x:c r="M287" s="133" t="str">
        <x:f>IF(D287&lt;=0,"No EVM votes",IF(H287&lt;-20%,"Large deficit",IF(H287&lt;-5%,"Moderate deficit",IF(H287&lt;0,"Narrow deficit",IF(H287&lt;=5%,"Narrow lead/tie",IF(H287&lt;=20%,"Moderate lead","Large lead"))))))</x:f>
        <x:v>Large deficit</x:v>
      </x:c>
    </x:row>
    <x:row r="288">
      <x:c r="A288" t="n">
        <x:v>229</x:v>
      </x:c>
      <x:c r="B288" t="str">
        <x:v>[Location not in Form 20 PDF]</x:v>
      </x:c>
      <x:c r="C288" s="83" t="n">
        <x:f>'2024 Form20'!H237</x:f>
        <x:v>16</x:v>
      </x:c>
      <x:c r="D288" s="83" t="n">
        <x:f>'2024 Form20'!D237</x:f>
        <x:v>692</x:v>
      </x:c>
      <x:c r="E288" s="50" t="n">
        <x:f>'2024 Form20'!W237</x:f>
        <x:v>0.023121387283236993</x:v>
      </x:c>
      <x:c r="F288" t="n">
        <x:f>'2024 Form20'!X237</x:f>
        <x:v>525</x:v>
      </x:c>
      <x:c r="G288" t="n">
        <x:f>'2024 Form20'!Y237</x:f>
        <x:v>-509</x:v>
      </x:c>
      <x:c r="H288" s="52" t="n">
        <x:f>'2024 Form20'!Z237</x:f>
        <x:v>-0.7355491329479769</x:v>
      </x:c>
      <x:c r="I288" t="str">
        <x:v>Dr. Mahesh Sharma</x:v>
      </x:c>
      <x:c r="J288" t="str">
        <x:v>BJP</x:v>
      </x:c>
      <x:c r="K288" t="str">
        <x:v>EVM row</x:v>
      </x:c>
      <x:c r="L288" s="133" t="str">
        <x:f>IF(D288&lt;=0,"No EVM votes",IF(E288&lt;$N$7,"Low",IF(E288&gt;$R$7,"High","Middle")))</x:f>
        <x:v>Low</x:v>
      </x:c>
      <x:c r="M288" s="133" t="str">
        <x:f>IF(D288&lt;=0,"No EVM votes",IF(H288&lt;-20%,"Large deficit",IF(H288&lt;-5%,"Moderate deficit",IF(H288&lt;0,"Narrow deficit",IF(H288&lt;=5%,"Narrow lead/tie",IF(H288&lt;=20%,"Moderate lead","Large lead"))))))</x:f>
        <x:v>Large deficit</x:v>
      </x:c>
    </x:row>
    <x:row r="289">
      <x:c r="A289" t="n">
        <x:v>230</x:v>
      </x:c>
      <x:c r="B289" t="str">
        <x:v>[Location not in Form 20 PDF]</x:v>
      </x:c>
      <x:c r="C289" s="83" t="n">
        <x:f>'2024 Form20'!H238</x:f>
        <x:v>291</x:v>
      </x:c>
      <x:c r="D289" s="83" t="n">
        <x:f>'2024 Form20'!D238</x:f>
        <x:v>649</x:v>
      </x:c>
      <x:c r="E289" s="50" t="n">
        <x:f>'2024 Form20'!W238</x:f>
        <x:v>0.44838212634822805</x:v>
      </x:c>
      <x:c r="F289" t="n">
        <x:f>'2024 Form20'!X238</x:f>
        <x:v>242</x:v>
      </x:c>
      <x:c r="G289" t="n">
        <x:f>'2024 Form20'!Y238</x:f>
        <x:v>49</x:v>
      </x:c>
      <x:c r="H289" s="52" t="n">
        <x:f>'2024 Form20'!Z238</x:f>
        <x:v>0.07550077041602465</x:v>
      </x:c>
      <x:c r="I289" t="str">
        <x:v>Dr. Mahendra Singh Nagar</x:v>
      </x:c>
      <x:c r="J289" t="str">
        <x:v>SP</x:v>
      </x:c>
      <x:c r="K289" t="str">
        <x:v>EVM row</x:v>
      </x:c>
      <x:c r="L289" s="133" t="str">
        <x:f>IF(D289&lt;=0,"No EVM votes",IF(E289&lt;$N$7,"Low",IF(E289&gt;$R$7,"High","Middle")))</x:f>
        <x:v>High</x:v>
      </x:c>
      <x:c r="M289" s="133" t="str">
        <x:f>IF(D289&lt;=0,"No EVM votes",IF(H289&lt;-20%,"Large deficit",IF(H289&lt;-5%,"Moderate deficit",IF(H289&lt;0,"Narrow deficit",IF(H289&lt;=5%,"Narrow lead/tie",IF(H289&lt;=20%,"Moderate lead","Large lead"))))))</x:f>
        <x:v>Moderate lead</x:v>
      </x:c>
    </x:row>
    <x:row r="290">
      <x:c r="A290" t="n">
        <x:v>231</x:v>
      </x:c>
      <x:c r="B290" t="str">
        <x:v>[Location not in Form 20 PDF]</x:v>
      </x:c>
      <x:c r="C290" s="83" t="n">
        <x:f>'2024 Form20'!H239</x:f>
        <x:v>237</x:v>
      </x:c>
      <x:c r="D290" s="83" t="n">
        <x:f>'2024 Form20'!D239</x:f>
        <x:v>595</x:v>
      </x:c>
      <x:c r="E290" s="50" t="n">
        <x:f>'2024 Form20'!W239</x:f>
        <x:v>0.3983193277310924</x:v>
      </x:c>
      <x:c r="F290" t="n">
        <x:f>'2024 Form20'!X239</x:f>
        <x:v>189</x:v>
      </x:c>
      <x:c r="G290" t="n">
        <x:f>'2024 Form20'!Y239</x:f>
        <x:v>48</x:v>
      </x:c>
      <x:c r="H290" s="52" t="n">
        <x:f>'2024 Form20'!Z239</x:f>
        <x:v>0.08067226890756303</x:v>
      </x:c>
      <x:c r="I290" t="str">
        <x:v>Dr. Mahendra Singh Nagar</x:v>
      </x:c>
      <x:c r="J290" t="str">
        <x:v>SP</x:v>
      </x:c>
      <x:c r="K290" t="str">
        <x:v>EVM row</x:v>
      </x:c>
      <x:c r="L290" s="133" t="str">
        <x:f>IF(D290&lt;=0,"No EVM votes",IF(E290&lt;$N$7,"Low",IF(E290&gt;$R$7,"High","Middle")))</x:f>
        <x:v>High</x:v>
      </x:c>
      <x:c r="M290" s="133" t="str">
        <x:f>IF(D290&lt;=0,"No EVM votes",IF(H290&lt;-20%,"Large deficit",IF(H290&lt;-5%,"Moderate deficit",IF(H290&lt;0,"Narrow deficit",IF(H290&lt;=5%,"Narrow lead/tie",IF(H290&lt;=20%,"Moderate lead","Large lead"))))))</x:f>
        <x:v>Moderate lead</x:v>
      </x:c>
    </x:row>
    <x:row r="291">
      <x:c r="A291" t="n">
        <x:v>232</x:v>
      </x:c>
      <x:c r="B291" t="str">
        <x:v>[Location not in Form 20 PDF]</x:v>
      </x:c>
      <x:c r="C291" s="83" t="n">
        <x:f>'2024 Form20'!H240</x:f>
        <x:v>209</x:v>
      </x:c>
      <x:c r="D291" s="83" t="n">
        <x:f>'2024 Form20'!D240</x:f>
        <x:v>500</x:v>
      </x:c>
      <x:c r="E291" s="50" t="n">
        <x:f>'2024 Form20'!W240</x:f>
        <x:v>0.418</x:v>
      </x:c>
      <x:c r="F291" t="n">
        <x:f>'2024 Form20'!X240</x:f>
        <x:v>151</x:v>
      </x:c>
      <x:c r="G291" t="n">
        <x:f>'2024 Form20'!Y240</x:f>
        <x:v>58</x:v>
      </x:c>
      <x:c r="H291" s="52" t="n">
        <x:f>'2024 Form20'!Z240</x:f>
        <x:v>0.116</x:v>
      </x:c>
      <x:c r="I291" t="str">
        <x:v>Dr. Mahendra Singh Nagar</x:v>
      </x:c>
      <x:c r="J291" t="str">
        <x:v>SP</x:v>
      </x:c>
      <x:c r="K291" t="str">
        <x:v>EVM row</x:v>
      </x:c>
      <x:c r="L291" s="133" t="str">
        <x:f>IF(D291&lt;=0,"No EVM votes",IF(E291&lt;$N$7,"Low",IF(E291&gt;$R$7,"High","Middle")))</x:f>
        <x:v>High</x:v>
      </x:c>
      <x:c r="M291" s="133" t="str">
        <x:f>IF(D291&lt;=0,"No EVM votes",IF(H291&lt;-20%,"Large deficit",IF(H291&lt;-5%,"Moderate deficit",IF(H291&lt;0,"Narrow deficit",IF(H291&lt;=5%,"Narrow lead/tie",IF(H291&lt;=20%,"Moderate lead","Large lead"))))))</x:f>
        <x:v>Moderate lead</x:v>
      </x:c>
    </x:row>
    <x:row r="292">
      <x:c r="A292" t="n">
        <x:v>233</x:v>
      </x:c>
      <x:c r="B292" t="str">
        <x:v>[Location not in Form 20 PDF]</x:v>
      </x:c>
      <x:c r="C292" s="83" t="n">
        <x:f>'2024 Form20'!H241</x:f>
        <x:v>101</x:v>
      </x:c>
      <x:c r="D292" s="83" t="n">
        <x:f>'2024 Form20'!D241</x:f>
        <x:v>418</x:v>
      </x:c>
      <x:c r="E292" s="50" t="n">
        <x:f>'2024 Form20'!W241</x:f>
        <x:v>0.24162679425837322</x:v>
      </x:c>
      <x:c r="F292" t="n">
        <x:f>'2024 Form20'!X241</x:f>
        <x:v>227</x:v>
      </x:c>
      <x:c r="G292" t="n">
        <x:f>'2024 Form20'!Y241</x:f>
        <x:v>-126</x:v>
      </x:c>
      <x:c r="H292" s="52" t="n">
        <x:f>'2024 Form20'!Z241</x:f>
        <x:v>-0.3014354066985646</x:v>
      </x:c>
      <x:c r="I292" t="str">
        <x:v>Dr. Mahesh Sharma</x:v>
      </x:c>
      <x:c r="J292" t="str">
        <x:v>BJP</x:v>
      </x:c>
      <x:c r="K292" t="str">
        <x:v>EVM row</x:v>
      </x:c>
      <x:c r="L292" s="133" t="str">
        <x:f>IF(D292&lt;=0,"No EVM votes",IF(E292&lt;$N$7,"Low",IF(E292&gt;$R$7,"High","Middle")))</x:f>
        <x:v>High</x:v>
      </x:c>
      <x:c r="M292" s="133" t="str">
        <x:f>IF(D292&lt;=0,"No EVM votes",IF(H292&lt;-20%,"Large deficit",IF(H292&lt;-5%,"Moderate deficit",IF(H292&lt;0,"Narrow deficit",IF(H292&lt;=5%,"Narrow lead/tie",IF(H292&lt;=20%,"Moderate lead","Large lead"))))))</x:f>
        <x:v>Large deficit</x:v>
      </x:c>
    </x:row>
    <x:row r="293">
      <x:c r="A293" t="n">
        <x:v>234</x:v>
      </x:c>
      <x:c r="B293" t="str">
        <x:v>[Location not in Form 20 PDF]</x:v>
      </x:c>
      <x:c r="C293" s="83" t="n">
        <x:f>'2024 Form20'!H242</x:f>
        <x:v>51</x:v>
      </x:c>
      <x:c r="D293" s="83" t="n">
        <x:f>'2024 Form20'!D242</x:f>
        <x:v>398</x:v>
      </x:c>
      <x:c r="E293" s="50" t="n">
        <x:f>'2024 Form20'!W242</x:f>
        <x:v>0.12814070351758794</x:v>
      </x:c>
      <x:c r="F293" t="n">
        <x:f>'2024 Form20'!X242</x:f>
        <x:v>218</x:v>
      </x:c>
      <x:c r="G293" t="n">
        <x:f>'2024 Form20'!Y242</x:f>
        <x:v>-167</x:v>
      </x:c>
      <x:c r="H293" s="52" t="n">
        <x:f>'2024 Form20'!Z242</x:f>
        <x:v>-0.41959798994974873</x:v>
      </x:c>
      <x:c r="I293" t="str">
        <x:v>Dr. Mahesh Sharma</x:v>
      </x:c>
      <x:c r="J293" t="str">
        <x:v>BJP</x:v>
      </x:c>
      <x:c r="K293" t="str">
        <x:v>EVM row</x:v>
      </x:c>
      <x:c r="L293" s="133" t="str">
        <x:f>IF(D293&lt;=0,"No EVM votes",IF(E293&lt;$N$7,"Low",IF(E293&gt;$R$7,"High","Middle")))</x:f>
        <x:v>Middle</x:v>
      </x:c>
      <x:c r="M293" s="133" t="str">
        <x:f>IF(D293&lt;=0,"No EVM votes",IF(H293&lt;-20%,"Large deficit",IF(H293&lt;-5%,"Moderate deficit",IF(H293&lt;0,"Narrow deficit",IF(H293&lt;=5%,"Narrow lead/tie",IF(H293&lt;=20%,"Moderate lead","Large lead"))))))</x:f>
        <x:v>Large deficit</x:v>
      </x:c>
    </x:row>
    <x:row r="294">
      <x:c r="A294" t="n">
        <x:v>235</x:v>
      </x:c>
      <x:c r="B294" t="str">
        <x:v>[Location not in Form 20 PDF]</x:v>
      </x:c>
      <x:c r="C294" s="83" t="n">
        <x:f>'2024 Form20'!H243</x:f>
        <x:v>98</x:v>
      </x:c>
      <x:c r="D294" s="83" t="n">
        <x:f>'2024 Form20'!D243</x:f>
        <x:v>259</x:v>
      </x:c>
      <x:c r="E294" s="50" t="n">
        <x:f>'2024 Form20'!W243</x:f>
        <x:v>0.3783783783783784</x:v>
      </x:c>
      <x:c r="F294" t="n">
        <x:f>'2024 Form20'!X243</x:f>
        <x:v>118</x:v>
      </x:c>
      <x:c r="G294" t="n">
        <x:f>'2024 Form20'!Y243</x:f>
        <x:v>-20</x:v>
      </x:c>
      <x:c r="H294" s="52" t="n">
        <x:f>'2024 Form20'!Z243</x:f>
        <x:v>-0.07722007722007722</x:v>
      </x:c>
      <x:c r="I294" t="str">
        <x:v>Dr. Mahesh Sharma</x:v>
      </x:c>
      <x:c r="J294" t="str">
        <x:v>BJP</x:v>
      </x:c>
      <x:c r="K294" t="str">
        <x:v>EVM row</x:v>
      </x:c>
      <x:c r="L294" s="133" t="str">
        <x:f>IF(D294&lt;=0,"No EVM votes",IF(E294&lt;$N$7,"Low",IF(E294&gt;$R$7,"High","Middle")))</x:f>
        <x:v>High</x:v>
      </x:c>
      <x:c r="M294" s="133" t="str">
        <x:f>IF(D294&lt;=0,"No EVM votes",IF(H294&lt;-20%,"Large deficit",IF(H294&lt;-5%,"Moderate deficit",IF(H294&lt;0,"Narrow deficit",IF(H294&lt;=5%,"Narrow lead/tie",IF(H294&lt;=20%,"Moderate lead","Large lead"))))))</x:f>
        <x:v>Moderate deficit</x:v>
      </x:c>
    </x:row>
    <x:row r="295">
      <x:c r="A295" t="n">
        <x:v>236</x:v>
      </x:c>
      <x:c r="B295" t="str">
        <x:v>[Location not in Form 20 PDF]</x:v>
      </x:c>
      <x:c r="C295" s="83" t="n">
        <x:f>'2024 Form20'!H244</x:f>
        <x:v>98</x:v>
      </x:c>
      <x:c r="D295" s="83" t="n">
        <x:f>'2024 Form20'!D244</x:f>
        <x:v>466</x:v>
      </x:c>
      <x:c r="E295" s="50" t="n">
        <x:f>'2024 Form20'!W244</x:f>
        <x:v>0.21030042918454936</x:v>
      </x:c>
      <x:c r="F295" t="n">
        <x:f>'2024 Form20'!X244</x:f>
        <x:v>205</x:v>
      </x:c>
      <x:c r="G295" t="n">
        <x:f>'2024 Form20'!Y244</x:f>
        <x:v>-107</x:v>
      </x:c>
      <x:c r="H295" s="52" t="n">
        <x:f>'2024 Form20'!Z244</x:f>
        <x:v>-0.2296137339055794</x:v>
      </x:c>
      <x:c r="I295" t="str">
        <x:v>Dr. Mahesh Sharma</x:v>
      </x:c>
      <x:c r="J295" t="str">
        <x:v>BJP</x:v>
      </x:c>
      <x:c r="K295" t="str">
        <x:v>EVM row</x:v>
      </x:c>
      <x:c r="L295" s="133" t="str">
        <x:f>IF(D295&lt;=0,"No EVM votes",IF(E295&lt;$N$7,"Low",IF(E295&gt;$R$7,"High","Middle")))</x:f>
        <x:v>Middle</x:v>
      </x:c>
      <x:c r="M295" s="133" t="str">
        <x:f>IF(D295&lt;=0,"No EVM votes",IF(H295&lt;-20%,"Large deficit",IF(H295&lt;-5%,"Moderate deficit",IF(H295&lt;0,"Narrow deficit",IF(H295&lt;=5%,"Narrow lead/tie",IF(H295&lt;=20%,"Moderate lead","Large lead"))))))</x:f>
        <x:v>Large deficit</x:v>
      </x:c>
    </x:row>
    <x:row r="296">
      <x:c r="A296" t="n">
        <x:v>237</x:v>
      </x:c>
      <x:c r="B296" t="str">
        <x:v>[Location not in Form 20 PDF]</x:v>
      </x:c>
      <x:c r="C296" s="83" t="n">
        <x:f>'2024 Form20'!H245</x:f>
        <x:v>104</x:v>
      </x:c>
      <x:c r="D296" s="83" t="n">
        <x:f>'2024 Form20'!D245</x:f>
        <x:v>502</x:v>
      </x:c>
      <x:c r="E296" s="50" t="n">
        <x:f>'2024 Form20'!W245</x:f>
        <x:v>0.20717131474103587</x:v>
      </x:c>
      <x:c r="F296" t="n">
        <x:f>'2024 Form20'!X245</x:f>
        <x:v>278</x:v>
      </x:c>
      <x:c r="G296" t="n">
        <x:f>'2024 Form20'!Y245</x:f>
        <x:v>-174</x:v>
      </x:c>
      <x:c r="H296" s="52" t="n">
        <x:f>'2024 Form20'!Z245</x:f>
        <x:v>-0.3466135458167331</x:v>
      </x:c>
      <x:c r="I296" t="str">
        <x:v>Rajendra Singh Solanki</x:v>
      </x:c>
      <x:c r="J296" t="str">
        <x:v>BSP</x:v>
      </x:c>
      <x:c r="K296" t="str">
        <x:v>EVM row</x:v>
      </x:c>
      <x:c r="L296" s="133" t="str">
        <x:f>IF(D296&lt;=0,"No EVM votes",IF(E296&lt;$N$7,"Low",IF(E296&gt;$R$7,"High","Middle")))</x:f>
        <x:v>Middle</x:v>
      </x:c>
      <x:c r="M296" s="133" t="str">
        <x:f>IF(D296&lt;=0,"No EVM votes",IF(H296&lt;-20%,"Large deficit",IF(H296&lt;-5%,"Moderate deficit",IF(H296&lt;0,"Narrow deficit",IF(H296&lt;=5%,"Narrow lead/tie",IF(H296&lt;=20%,"Moderate lead","Large lead"))))))</x:f>
        <x:v>Large deficit</x:v>
      </x:c>
    </x:row>
    <x:row r="297">
      <x:c r="A297" t="n">
        <x:v>238</x:v>
      </x:c>
      <x:c r="B297" t="str">
        <x:v>[Location not in Form 20 PDF]</x:v>
      </x:c>
      <x:c r="C297" s="83" t="n">
        <x:f>'2024 Form20'!H246</x:f>
        <x:v>90</x:v>
      </x:c>
      <x:c r="D297" s="83" t="n">
        <x:f>'2024 Form20'!D246</x:f>
        <x:v>516</x:v>
      </x:c>
      <x:c r="E297" s="50" t="n">
        <x:f>'2024 Form20'!W246</x:f>
        <x:v>0.1744186046511628</x:v>
      </x:c>
      <x:c r="F297" t="n">
        <x:f>'2024 Form20'!X246</x:f>
        <x:v>334</x:v>
      </x:c>
      <x:c r="G297" t="n">
        <x:f>'2024 Form20'!Y246</x:f>
        <x:v>-244</x:v>
      </x:c>
      <x:c r="H297" s="52" t="n">
        <x:f>'2024 Form20'!Z246</x:f>
        <x:v>-0.4728682170542636</x:v>
      </x:c>
      <x:c r="I297" t="str">
        <x:v>Rajendra Singh Solanki</x:v>
      </x:c>
      <x:c r="J297" t="str">
        <x:v>BSP</x:v>
      </x:c>
      <x:c r="K297" t="str">
        <x:v>EVM row</x:v>
      </x:c>
      <x:c r="L297" s="133" t="str">
        <x:f>IF(D297&lt;=0,"No EVM votes",IF(E297&lt;$N$7,"Low",IF(E297&gt;$R$7,"High","Middle")))</x:f>
        <x:v>Middle</x:v>
      </x:c>
      <x:c r="M297" s="133" t="str">
        <x:f>IF(D297&lt;=0,"No EVM votes",IF(H297&lt;-20%,"Large deficit",IF(H297&lt;-5%,"Moderate deficit",IF(H297&lt;0,"Narrow deficit",IF(H297&lt;=5%,"Narrow lead/tie",IF(H297&lt;=20%,"Moderate lead","Large lead"))))))</x:f>
        <x:v>Large deficit</x:v>
      </x:c>
    </x:row>
    <x:row r="298">
      <x:c r="A298" t="n">
        <x:v>239</x:v>
      </x:c>
      <x:c r="B298" t="str">
        <x:v>[Location not in Form 20 PDF]</x:v>
      </x:c>
      <x:c r="C298" s="83" t="n">
        <x:f>'2024 Form20'!H247</x:f>
        <x:v>4</x:v>
      </x:c>
      <x:c r="D298" s="83" t="n">
        <x:f>'2024 Form20'!D247</x:f>
        <x:v>477</x:v>
      </x:c>
      <x:c r="E298" s="50" t="n">
        <x:f>'2024 Form20'!W247</x:f>
        <x:v>0.008385744234800839</x:v>
      </x:c>
      <x:c r="F298" t="n">
        <x:f>'2024 Form20'!X247</x:f>
        <x:v>375</x:v>
      </x:c>
      <x:c r="G298" t="n">
        <x:f>'2024 Form20'!Y247</x:f>
        <x:v>-371</x:v>
      </x:c>
      <x:c r="H298" s="52" t="n">
        <x:f>'2024 Form20'!Z247</x:f>
        <x:v>-0.7777777777777778</x:v>
      </x:c>
      <x:c r="I298" t="str">
        <x:v>Rajendra Singh Solanki</x:v>
      </x:c>
      <x:c r="J298" t="str">
        <x:v>BSP</x:v>
      </x:c>
      <x:c r="K298" t="str">
        <x:v>EVM row</x:v>
      </x:c>
      <x:c r="L298" s="133" t="str">
        <x:f>IF(D298&lt;=0,"No EVM votes",IF(E298&lt;$N$7,"Low",IF(E298&gt;$R$7,"High","Middle")))</x:f>
        <x:v>Low</x:v>
      </x:c>
      <x:c r="M298" s="133" t="str">
        <x:f>IF(D298&lt;=0,"No EVM votes",IF(H298&lt;-20%,"Large deficit",IF(H298&lt;-5%,"Moderate deficit",IF(H298&lt;0,"Narrow deficit",IF(H298&lt;=5%,"Narrow lead/tie",IF(H298&lt;=20%,"Moderate lead","Large lead"))))))</x:f>
        <x:v>Large deficit</x:v>
      </x:c>
    </x:row>
    <x:row r="299">
      <x:c r="A299" t="n">
        <x:v>240</x:v>
      </x:c>
      <x:c r="B299" t="str">
        <x:v>[Location not in Form 20 PDF]</x:v>
      </x:c>
      <x:c r="C299" s="83" t="n">
        <x:f>'2024 Form20'!H248</x:f>
        <x:v>28</x:v>
      </x:c>
      <x:c r="D299" s="83" t="n">
        <x:f>'2024 Form20'!D248</x:f>
        <x:v>421</x:v>
      </x:c>
      <x:c r="E299" s="50" t="n">
        <x:f>'2024 Form20'!W248</x:f>
        <x:v>0.0665083135391924</x:v>
      </x:c>
      <x:c r="F299" t="n">
        <x:f>'2024 Form20'!X248</x:f>
        <x:v>353</x:v>
      </x:c>
      <x:c r="G299" t="n">
        <x:f>'2024 Form20'!Y248</x:f>
        <x:v>-325</x:v>
      </x:c>
      <x:c r="H299" s="52" t="n">
        <x:f>'2024 Form20'!Z248</x:f>
        <x:v>-0.7719714964370546</x:v>
      </x:c>
      <x:c r="I299" t="str">
        <x:v>Dr. Mahesh Sharma</x:v>
      </x:c>
      <x:c r="J299" t="str">
        <x:v>BJP</x:v>
      </x:c>
      <x:c r="K299" t="str">
        <x:v>EVM row</x:v>
      </x:c>
      <x:c r="L299" s="133" t="str">
        <x:f>IF(D299&lt;=0,"No EVM votes",IF(E299&lt;$N$7,"Low",IF(E299&gt;$R$7,"High","Middle")))</x:f>
        <x:v>Middle</x:v>
      </x:c>
      <x:c r="M299" s="133" t="str">
        <x:f>IF(D299&lt;=0,"No EVM votes",IF(H299&lt;-20%,"Large deficit",IF(H299&lt;-5%,"Moderate deficit",IF(H299&lt;0,"Narrow deficit",IF(H299&lt;=5%,"Narrow lead/tie",IF(H299&lt;=20%,"Moderate lead","Large lead"))))))</x:f>
        <x:v>Large deficit</x:v>
      </x:c>
    </x:row>
    <x:row r="300">
      <x:c r="A300" t="n">
        <x:v>241</x:v>
      </x:c>
      <x:c r="B300" t="str">
        <x:v>[Location not in Form 20 PDF]</x:v>
      </x:c>
      <x:c r="C300" s="83" t="n">
        <x:f>'2024 Form20'!H249</x:f>
        <x:v>5</x:v>
      </x:c>
      <x:c r="D300" s="83" t="n">
        <x:f>'2024 Form20'!D249</x:f>
        <x:v>376</x:v>
      </x:c>
      <x:c r="E300" s="50" t="n">
        <x:f>'2024 Form20'!W249</x:f>
        <x:v>0.013297872340425532</x:v>
      </x:c>
      <x:c r="F300" t="n">
        <x:f>'2024 Form20'!X249</x:f>
        <x:v>239</x:v>
      </x:c>
      <x:c r="G300" t="n">
        <x:f>'2024 Form20'!Y249</x:f>
        <x:v>-234</x:v>
      </x:c>
      <x:c r="H300" s="52" t="n">
        <x:f>'2024 Form20'!Z249</x:f>
        <x:v>-0.6223404255319149</x:v>
      </x:c>
      <x:c r="I300" t="str">
        <x:v>Rajendra Singh Solanki</x:v>
      </x:c>
      <x:c r="J300" t="str">
        <x:v>BSP</x:v>
      </x:c>
      <x:c r="K300" t="str">
        <x:v>EVM row</x:v>
      </x:c>
      <x:c r="L300" s="133" t="str">
        <x:f>IF(D300&lt;=0,"No EVM votes",IF(E300&lt;$N$7,"Low",IF(E300&gt;$R$7,"High","Middle")))</x:f>
        <x:v>Low</x:v>
      </x:c>
      <x:c r="M300" s="133" t="str">
        <x:f>IF(D300&lt;=0,"No EVM votes",IF(H300&lt;-20%,"Large deficit",IF(H300&lt;-5%,"Moderate deficit",IF(H300&lt;0,"Narrow deficit",IF(H300&lt;=5%,"Narrow lead/tie",IF(H300&lt;=20%,"Moderate lead","Large lead"))))))</x:f>
        <x:v>Large deficit</x:v>
      </x:c>
    </x:row>
    <x:row r="301">
      <x:c r="A301" t="n">
        <x:v>242</x:v>
      </x:c>
      <x:c r="B301" t="str">
        <x:v>[Location not in Form 20 PDF]</x:v>
      </x:c>
      <x:c r="C301" s="83" t="n">
        <x:f>'2024 Form20'!H250</x:f>
        <x:v>24</x:v>
      </x:c>
      <x:c r="D301" s="83" t="n">
        <x:f>'2024 Form20'!D250</x:f>
        <x:v>296</x:v>
      </x:c>
      <x:c r="E301" s="50" t="n">
        <x:f>'2024 Form20'!W250</x:f>
        <x:v>0.08108108108108109</x:v>
      </x:c>
      <x:c r="F301" t="n">
        <x:f>'2024 Form20'!X250</x:f>
        <x:v>162</x:v>
      </x:c>
      <x:c r="G301" t="n">
        <x:f>'2024 Form20'!Y250</x:f>
        <x:v>-138</x:v>
      </x:c>
      <x:c r="H301" s="52" t="n">
        <x:f>'2024 Form20'!Z250</x:f>
        <x:v>-0.46621621621621623</x:v>
      </x:c>
      <x:c r="I301" t="str">
        <x:v>Dr. Mahesh Sharma</x:v>
      </x:c>
      <x:c r="J301" t="str">
        <x:v>BJP</x:v>
      </x:c>
      <x:c r="K301" t="str">
        <x:v>EVM row</x:v>
      </x:c>
      <x:c r="L301" s="133" t="str">
        <x:f>IF(D301&lt;=0,"No EVM votes",IF(E301&lt;$N$7,"Low",IF(E301&gt;$R$7,"High","Middle")))</x:f>
        <x:v>Middle</x:v>
      </x:c>
      <x:c r="M301" s="133" t="str">
        <x:f>IF(D301&lt;=0,"No EVM votes",IF(H301&lt;-20%,"Large deficit",IF(H301&lt;-5%,"Moderate deficit",IF(H301&lt;0,"Narrow deficit",IF(H301&lt;=5%,"Narrow lead/tie",IF(H301&lt;=20%,"Moderate lead","Large lead"))))))</x:f>
        <x:v>Large deficit</x:v>
      </x:c>
    </x:row>
    <x:row r="302">
      <x:c r="A302" t="n">
        <x:v>243</x:v>
      </x:c>
      <x:c r="B302" t="str">
        <x:v>[Location not in Form 20 PDF]</x:v>
      </x:c>
      <x:c r="C302" s="83" t="n">
        <x:f>'2024 Form20'!H251</x:f>
        <x:v>15</x:v>
      </x:c>
      <x:c r="D302" s="83" t="n">
        <x:f>'2024 Form20'!D251</x:f>
        <x:v>672</x:v>
      </x:c>
      <x:c r="E302" s="50" t="n">
        <x:f>'2024 Form20'!W251</x:f>
        <x:v>0.022321428571428572</x:v>
      </x:c>
      <x:c r="F302" t="n">
        <x:f>'2024 Form20'!X251</x:f>
        <x:v>419</x:v>
      </x:c>
      <x:c r="G302" t="n">
        <x:f>'2024 Form20'!Y251</x:f>
        <x:v>-404</x:v>
      </x:c>
      <x:c r="H302" s="52" t="n">
        <x:f>'2024 Form20'!Z251</x:f>
        <x:v>-0.6011904761904762</x:v>
      </x:c>
      <x:c r="I302" t="str">
        <x:v>Dr. Mahesh Sharma</x:v>
      </x:c>
      <x:c r="J302" t="str">
        <x:v>BJP</x:v>
      </x:c>
      <x:c r="K302" t="str">
        <x:v>EVM row</x:v>
      </x:c>
      <x:c r="L302" s="133" t="str">
        <x:f>IF(D302&lt;=0,"No EVM votes",IF(E302&lt;$N$7,"Low",IF(E302&gt;$R$7,"High","Middle")))</x:f>
        <x:v>Low</x:v>
      </x:c>
      <x:c r="M302" s="133" t="str">
        <x:f>IF(D302&lt;=0,"No EVM votes",IF(H302&lt;-20%,"Large deficit",IF(H302&lt;-5%,"Moderate deficit",IF(H302&lt;0,"Narrow deficit",IF(H302&lt;=5%,"Narrow lead/tie",IF(H302&lt;=20%,"Moderate lead","Large lead"))))))</x:f>
        <x:v>Large deficit</x:v>
      </x:c>
    </x:row>
    <x:row r="303">
      <x:c r="A303" t="n">
        <x:v>244</x:v>
      </x:c>
      <x:c r="B303" t="str">
        <x:v>[Location not in Form 20 PDF]</x:v>
      </x:c>
      <x:c r="C303" s="83" t="n">
        <x:f>'2024 Form20'!H252</x:f>
        <x:v>26</x:v>
      </x:c>
      <x:c r="D303" s="83" t="n">
        <x:f>'2024 Form20'!D252</x:f>
        <x:v>679</x:v>
      </x:c>
      <x:c r="E303" s="50" t="n">
        <x:f>'2024 Form20'!W252</x:f>
        <x:v>0.03829160530191458</x:v>
      </x:c>
      <x:c r="F303" t="n">
        <x:f>'2024 Form20'!X252</x:f>
        <x:v>611</x:v>
      </x:c>
      <x:c r="G303" t="n">
        <x:f>'2024 Form20'!Y252</x:f>
        <x:v>-585</x:v>
      </x:c>
      <x:c r="H303" s="52" t="n">
        <x:f>'2024 Form20'!Z252</x:f>
        <x:v>-0.8615611192930781</x:v>
      </x:c>
      <x:c r="I303" t="str">
        <x:v>Dr. Mahesh Sharma</x:v>
      </x:c>
      <x:c r="J303" t="str">
        <x:v>BJP</x:v>
      </x:c>
      <x:c r="K303" t="str">
        <x:v>EVM row</x:v>
      </x:c>
      <x:c r="L303" s="133" t="str">
        <x:f>IF(D303&lt;=0,"No EVM votes",IF(E303&lt;$N$7,"Low",IF(E303&gt;$R$7,"High","Middle")))</x:f>
        <x:v>Middle</x:v>
      </x:c>
      <x:c r="M303" s="133" t="str">
        <x:f>IF(D303&lt;=0,"No EVM votes",IF(H303&lt;-20%,"Large deficit",IF(H303&lt;-5%,"Moderate deficit",IF(H303&lt;0,"Narrow deficit",IF(H303&lt;=5%,"Narrow lead/tie",IF(H303&lt;=20%,"Moderate lead","Large lead"))))))</x:f>
        <x:v>Large deficit</x:v>
      </x:c>
    </x:row>
    <x:row r="304">
      <x:c r="A304" t="n">
        <x:v>245</x:v>
      </x:c>
      <x:c r="B304" t="str">
        <x:v>[Location not in Form 20 PDF]</x:v>
      </x:c>
      <x:c r="C304" s="83" t="n">
        <x:f>'2024 Form20'!H253</x:f>
        <x:v>51</x:v>
      </x:c>
      <x:c r="D304" s="83" t="n">
        <x:f>'2024 Form20'!D253</x:f>
        <x:v>694</x:v>
      </x:c>
      <x:c r="E304" s="50" t="n">
        <x:f>'2024 Form20'!W253</x:f>
        <x:v>0.07348703170028818</x:v>
      </x:c>
      <x:c r="F304" t="n">
        <x:f>'2024 Form20'!X253</x:f>
        <x:v>406</x:v>
      </x:c>
      <x:c r="G304" t="n">
        <x:f>'2024 Form20'!Y253</x:f>
        <x:v>-355</x:v>
      </x:c>
      <x:c r="H304" s="52" t="n">
        <x:f>'2024 Form20'!Z253</x:f>
        <x:v>-0.5115273775216138</x:v>
      </x:c>
      <x:c r="I304" t="str">
        <x:v>Dr. Mahesh Sharma</x:v>
      </x:c>
      <x:c r="J304" t="str">
        <x:v>BJP</x:v>
      </x:c>
      <x:c r="K304" t="str">
        <x:v>EVM row</x:v>
      </x:c>
      <x:c r="L304" s="133" t="str">
        <x:f>IF(D304&lt;=0,"No EVM votes",IF(E304&lt;$N$7,"Low",IF(E304&gt;$R$7,"High","Middle")))</x:f>
        <x:v>Middle</x:v>
      </x:c>
      <x:c r="M304" s="133" t="str">
        <x:f>IF(D304&lt;=0,"No EVM votes",IF(H304&lt;-20%,"Large deficit",IF(H304&lt;-5%,"Moderate deficit",IF(H304&lt;0,"Narrow deficit",IF(H304&lt;=5%,"Narrow lead/tie",IF(H304&lt;=20%,"Moderate lead","Large lead"))))))</x:f>
        <x:v>Large deficit</x:v>
      </x:c>
    </x:row>
    <x:row r="305">
      <x:c r="A305" t="n">
        <x:v>246</x:v>
      </x:c>
      <x:c r="B305" t="str">
        <x:v>[Location not in Form 20 PDF]</x:v>
      </x:c>
      <x:c r="C305" s="83" t="n">
        <x:f>'2024 Form20'!H254</x:f>
        <x:v>44</x:v>
      </x:c>
      <x:c r="D305" s="83" t="n">
        <x:f>'2024 Form20'!D254</x:f>
        <x:v>604</x:v>
      </x:c>
      <x:c r="E305" s="50" t="n">
        <x:f>'2024 Form20'!W254</x:f>
        <x:v>0.0728476821192053</x:v>
      </x:c>
      <x:c r="F305" t="n">
        <x:f>'2024 Form20'!X254</x:f>
        <x:v>289</x:v>
      </x:c>
      <x:c r="G305" t="n">
        <x:f>'2024 Form20'!Y254</x:f>
        <x:v>-245</x:v>
      </x:c>
      <x:c r="H305" s="52" t="n">
        <x:f>'2024 Form20'!Z254</x:f>
        <x:v>-0.4056291390728477</x:v>
      </x:c>
      <x:c r="I305" t="str">
        <x:v>Dr. Mahesh Sharma</x:v>
      </x:c>
      <x:c r="J305" t="str">
        <x:v>BJP</x:v>
      </x:c>
      <x:c r="K305" t="str">
        <x:v>EVM row</x:v>
      </x:c>
      <x:c r="L305" s="133" t="str">
        <x:f>IF(D305&lt;=0,"No EVM votes",IF(E305&lt;$N$7,"Low",IF(E305&gt;$R$7,"High","Middle")))</x:f>
        <x:v>Middle</x:v>
      </x:c>
      <x:c r="M305" s="133" t="str">
        <x:f>IF(D305&lt;=0,"No EVM votes",IF(H305&lt;-20%,"Large deficit",IF(H305&lt;-5%,"Moderate deficit",IF(H305&lt;0,"Narrow deficit",IF(H305&lt;=5%,"Narrow lead/tie",IF(H305&lt;=20%,"Moderate lead","Large lead"))))))</x:f>
        <x:v>Large deficit</x:v>
      </x:c>
    </x:row>
    <x:row r="306">
      <x:c r="A306" t="n">
        <x:v>247</x:v>
      </x:c>
      <x:c r="B306" t="str">
        <x:v>[Location not in Form 20 PDF]</x:v>
      </x:c>
      <x:c r="C306" s="83" t="n">
        <x:f>'2024 Form20'!H255</x:f>
        <x:v>21</x:v>
      </x:c>
      <x:c r="D306" s="83" t="n">
        <x:f>'2024 Form20'!D255</x:f>
        <x:v>645</x:v>
      </x:c>
      <x:c r="E306" s="50" t="n">
        <x:f>'2024 Form20'!W255</x:f>
        <x:v>0.03255813953488372</x:v>
      </x:c>
      <x:c r="F306" t="n">
        <x:f>'2024 Form20'!X255</x:f>
        <x:v>492</x:v>
      </x:c>
      <x:c r="G306" t="n">
        <x:f>'2024 Form20'!Y255</x:f>
        <x:v>-471</x:v>
      </x:c>
      <x:c r="H306" s="52" t="n">
        <x:f>'2024 Form20'!Z255</x:f>
        <x:v>-0.7302325581395349</x:v>
      </x:c>
      <x:c r="I306" t="str">
        <x:v>Rajendra Singh Solanki</x:v>
      </x:c>
      <x:c r="J306" t="str">
        <x:v>BSP</x:v>
      </x:c>
      <x:c r="K306" t="str">
        <x:v>EVM row</x:v>
      </x:c>
      <x:c r="L306" s="133" t="str">
        <x:f>IF(D306&lt;=0,"No EVM votes",IF(E306&lt;$N$7,"Low",IF(E306&gt;$R$7,"High","Middle")))</x:f>
        <x:v>Middle</x:v>
      </x:c>
      <x:c r="M306" s="133" t="str">
        <x:f>IF(D306&lt;=0,"No EVM votes",IF(H306&lt;-20%,"Large deficit",IF(H306&lt;-5%,"Moderate deficit",IF(H306&lt;0,"Narrow deficit",IF(H306&lt;=5%,"Narrow lead/tie",IF(H306&lt;=20%,"Moderate lead","Large lead"))))))</x:f>
        <x:v>Large deficit</x:v>
      </x:c>
    </x:row>
    <x:row r="307">
      <x:c r="A307" t="n">
        <x:v>248</x:v>
      </x:c>
      <x:c r="B307" t="str">
        <x:v>[Location not in Form 20 PDF]</x:v>
      </x:c>
      <x:c r="C307" s="83" t="n">
        <x:f>'2024 Form20'!H256</x:f>
        <x:v>4</x:v>
      </x:c>
      <x:c r="D307" s="83" t="n">
        <x:f>'2024 Form20'!D256</x:f>
        <x:v>511</x:v>
      </x:c>
      <x:c r="E307" s="50" t="n">
        <x:f>'2024 Form20'!W256</x:f>
        <x:v>0.007827788649706457</x:v>
      </x:c>
      <x:c r="F307" t="n">
        <x:f>'2024 Form20'!X256</x:f>
        <x:v>258</x:v>
      </x:c>
      <x:c r="G307" t="n">
        <x:f>'2024 Form20'!Y256</x:f>
        <x:v>-254</x:v>
      </x:c>
      <x:c r="H307" s="52" t="n">
        <x:f>'2024 Form20'!Z256</x:f>
        <x:v>-0.49706457925636005</x:v>
      </x:c>
      <x:c r="I307" t="str">
        <x:v>Dr. Mahesh Sharma</x:v>
      </x:c>
      <x:c r="J307" t="str">
        <x:v>BJP</x:v>
      </x:c>
      <x:c r="K307" t="str">
        <x:v>EVM row</x:v>
      </x:c>
      <x:c r="L307" s="133" t="str">
        <x:f>IF(D307&lt;=0,"No EVM votes",IF(E307&lt;$N$7,"Low",IF(E307&gt;$R$7,"High","Middle")))</x:f>
        <x:v>Low</x:v>
      </x:c>
      <x:c r="M307" s="133" t="str">
        <x:f>IF(D307&lt;=0,"No EVM votes",IF(H307&lt;-20%,"Large deficit",IF(H307&lt;-5%,"Moderate deficit",IF(H307&lt;0,"Narrow deficit",IF(H307&lt;=5%,"Narrow lead/tie",IF(H307&lt;=20%,"Moderate lead","Large lead"))))))</x:f>
        <x:v>Large deficit</x:v>
      </x:c>
    </x:row>
    <x:row r="308">
      <x:c r="A308" t="n">
        <x:v>249</x:v>
      </x:c>
      <x:c r="B308" t="str">
        <x:v>[Location not in Form 20 PDF]</x:v>
      </x:c>
      <x:c r="C308" s="83" t="n">
        <x:f>'2024 Form20'!H257</x:f>
        <x:v>7</x:v>
      </x:c>
      <x:c r="D308" s="83" t="n">
        <x:f>'2024 Form20'!D257</x:f>
        <x:v>354</x:v>
      </x:c>
      <x:c r="E308" s="50" t="n">
        <x:f>'2024 Form20'!W257</x:f>
        <x:v>0.01977401129943503</x:v>
      </x:c>
      <x:c r="F308" t="n">
        <x:f>'2024 Form20'!X257</x:f>
        <x:v>319</x:v>
      </x:c>
      <x:c r="G308" t="n">
        <x:f>'2024 Form20'!Y257</x:f>
        <x:v>-312</x:v>
      </x:c>
      <x:c r="H308" s="52" t="n">
        <x:f>'2024 Form20'!Z257</x:f>
        <x:v>-0.8813559322033898</x:v>
      </x:c>
      <x:c r="I308" t="str">
        <x:v>Dr. Mahesh Sharma</x:v>
      </x:c>
      <x:c r="J308" t="str">
        <x:v>BJP</x:v>
      </x:c>
      <x:c r="K308" t="str">
        <x:v>EVM row</x:v>
      </x:c>
      <x:c r="L308" s="133" t="str">
        <x:f>IF(D308&lt;=0,"No EVM votes",IF(E308&lt;$N$7,"Low",IF(E308&gt;$R$7,"High","Middle")))</x:f>
        <x:v>Low</x:v>
      </x:c>
      <x:c r="M308" s="133" t="str">
        <x:f>IF(D308&lt;=0,"No EVM votes",IF(H308&lt;-20%,"Large deficit",IF(H308&lt;-5%,"Moderate deficit",IF(H308&lt;0,"Narrow deficit",IF(H308&lt;=5%,"Narrow lead/tie",IF(H308&lt;=20%,"Moderate lead","Large lead"))))))</x:f>
        <x:v>Large deficit</x:v>
      </x:c>
    </x:row>
    <x:row r="309">
      <x:c r="A309" t="n">
        <x:v>250</x:v>
      </x:c>
      <x:c r="B309" t="str">
        <x:v>[Location not in Form 20 PDF]</x:v>
      </x:c>
      <x:c r="C309" s="83" t="n">
        <x:f>'2024 Form20'!H258</x:f>
        <x:v>12</x:v>
      </x:c>
      <x:c r="D309" s="83" t="n">
        <x:f>'2024 Form20'!D258</x:f>
        <x:v>611</x:v>
      </x:c>
      <x:c r="E309" s="50" t="n">
        <x:f>'2024 Form20'!W258</x:f>
        <x:v>0.019639934533551555</x:v>
      </x:c>
      <x:c r="F309" t="n">
        <x:f>'2024 Form20'!X258</x:f>
        <x:v>300</x:v>
      </x:c>
      <x:c r="G309" t="n">
        <x:f>'2024 Form20'!Y258</x:f>
        <x:v>-288</x:v>
      </x:c>
      <x:c r="H309" s="52" t="n">
        <x:f>'2024 Form20'!Z258</x:f>
        <x:v>-0.4713584288052373</x:v>
      </x:c>
      <x:c r="I309" t="str">
        <x:v>Rajendra Singh Solanki</x:v>
      </x:c>
      <x:c r="J309" t="str">
        <x:v>BSP</x:v>
      </x:c>
      <x:c r="K309" t="str">
        <x:v>EVM row</x:v>
      </x:c>
      <x:c r="L309" s="133" t="str">
        <x:f>IF(D309&lt;=0,"No EVM votes",IF(E309&lt;$N$7,"Low",IF(E309&gt;$R$7,"High","Middle")))</x:f>
        <x:v>Low</x:v>
      </x:c>
      <x:c r="M309" s="133" t="str">
        <x:f>IF(D309&lt;=0,"No EVM votes",IF(H309&lt;-20%,"Large deficit",IF(H309&lt;-5%,"Moderate deficit",IF(H309&lt;0,"Narrow deficit",IF(H309&lt;=5%,"Narrow lead/tie",IF(H309&lt;=20%,"Moderate lead","Large lead"))))))</x:f>
        <x:v>Large deficit</x:v>
      </x:c>
    </x:row>
    <x:row r="310">
      <x:c r="A310" t="n">
        <x:v>251</x:v>
      </x:c>
      <x:c r="B310" t="str">
        <x:v>[Location not in Form 20 PDF]</x:v>
      </x:c>
      <x:c r="C310" s="83" t="n">
        <x:f>'2024 Form20'!H259</x:f>
        <x:v>3</x:v>
      </x:c>
      <x:c r="D310" s="83" t="n">
        <x:f>'2024 Form20'!D259</x:f>
        <x:v>423</x:v>
      </x:c>
      <x:c r="E310" s="50" t="n">
        <x:f>'2024 Form20'!W259</x:f>
        <x:v>0.0070921985815602835</x:v>
      </x:c>
      <x:c r="F310" t="n">
        <x:f>'2024 Form20'!X259</x:f>
        <x:v>271</x:v>
      </x:c>
      <x:c r="G310" t="n">
        <x:f>'2024 Form20'!Y259</x:f>
        <x:v>-268</x:v>
      </x:c>
      <x:c r="H310" s="52" t="n">
        <x:f>'2024 Form20'!Z259</x:f>
        <x:v>-0.6335697399527187</x:v>
      </x:c>
      <x:c r="I310" t="str">
        <x:v>Dr. Mahesh Sharma</x:v>
      </x:c>
      <x:c r="J310" t="str">
        <x:v>BJP</x:v>
      </x:c>
      <x:c r="K310" t="str">
        <x:v>EVM row</x:v>
      </x:c>
      <x:c r="L310" s="133" t="str">
        <x:f>IF(D310&lt;=0,"No EVM votes",IF(E310&lt;$N$7,"Low",IF(E310&gt;$R$7,"High","Middle")))</x:f>
        <x:v>Low</x:v>
      </x:c>
      <x:c r="M310" s="133" t="str">
        <x:f>IF(D310&lt;=0,"No EVM votes",IF(H310&lt;-20%,"Large deficit",IF(H310&lt;-5%,"Moderate deficit",IF(H310&lt;0,"Narrow deficit",IF(H310&lt;=5%,"Narrow lead/tie",IF(H310&lt;=20%,"Moderate lead","Large lead"))))))</x:f>
        <x:v>Large deficit</x:v>
      </x:c>
    </x:row>
    <x:row r="311">
      <x:c r="A311" t="n">
        <x:v>252</x:v>
      </x:c>
      <x:c r="B311" t="str">
        <x:v>[Location not in Form 20 PDF]</x:v>
      </x:c>
      <x:c r="C311" s="83" t="n">
        <x:f>'2024 Form20'!H260</x:f>
        <x:v>3</x:v>
      </x:c>
      <x:c r="D311" s="83" t="n">
        <x:f>'2024 Form20'!D260</x:f>
        <x:v>410</x:v>
      </x:c>
      <x:c r="E311" s="50" t="n">
        <x:f>'2024 Form20'!W260</x:f>
        <x:v>0.007317073170731708</x:v>
      </x:c>
      <x:c r="F311" t="n">
        <x:f>'2024 Form20'!X260</x:f>
        <x:v>244</x:v>
      </x:c>
      <x:c r="G311" t="n">
        <x:f>'2024 Form20'!Y260</x:f>
        <x:v>-241</x:v>
      </x:c>
      <x:c r="H311" s="52" t="n">
        <x:f>'2024 Form20'!Z260</x:f>
        <x:v>-0.5878048780487805</x:v>
      </x:c>
      <x:c r="I311" t="str">
        <x:v>Rajendra Singh Solanki</x:v>
      </x:c>
      <x:c r="J311" t="str">
        <x:v>BSP</x:v>
      </x:c>
      <x:c r="K311" t="str">
        <x:v>EVM row</x:v>
      </x:c>
      <x:c r="L311" s="133" t="str">
        <x:f>IF(D311&lt;=0,"No EVM votes",IF(E311&lt;$N$7,"Low",IF(E311&gt;$R$7,"High","Middle")))</x:f>
        <x:v>Low</x:v>
      </x:c>
      <x:c r="M311" s="133" t="str">
        <x:f>IF(D311&lt;=0,"No EVM votes",IF(H311&lt;-20%,"Large deficit",IF(H311&lt;-5%,"Moderate deficit",IF(H311&lt;0,"Narrow deficit",IF(H311&lt;=5%,"Narrow lead/tie",IF(H311&lt;=20%,"Moderate lead","Large lead"))))))</x:f>
        <x:v>Large deficit</x:v>
      </x:c>
    </x:row>
    <x:row r="312">
      <x:c r="A312" t="n">
        <x:v>253</x:v>
      </x:c>
      <x:c r="B312" t="str">
        <x:v>[Location not in Form 20 PDF]</x:v>
      </x:c>
      <x:c r="C312" s="83" t="n">
        <x:f>'2024 Form20'!H261</x:f>
        <x:v>125</x:v>
      </x:c>
      <x:c r="D312" s="83" t="n">
        <x:f>'2024 Form20'!D261</x:f>
        <x:v>350</x:v>
      </x:c>
      <x:c r="E312" s="50" t="n">
        <x:f>'2024 Form20'!W261</x:f>
        <x:v>0.35714285714285715</x:v>
      </x:c>
      <x:c r="F312" t="n">
        <x:f>'2024 Form20'!X261</x:f>
        <x:v>132</x:v>
      </x:c>
      <x:c r="G312" t="n">
        <x:f>'2024 Form20'!Y261</x:f>
        <x:v>-7</x:v>
      </x:c>
      <x:c r="H312" s="52" t="n">
        <x:f>'2024 Form20'!Z261</x:f>
        <x:v>-0.02</x:v>
      </x:c>
      <x:c r="I312" t="str">
        <x:v>Rajendra Singh Solanki</x:v>
      </x:c>
      <x:c r="J312" t="str">
        <x:v>BSP</x:v>
      </x:c>
      <x:c r="K312" t="str">
        <x:v>EVM row</x:v>
      </x:c>
      <x:c r="L312" s="133" t="str">
        <x:f>IF(D312&lt;=0,"No EVM votes",IF(E312&lt;$N$7,"Low",IF(E312&gt;$R$7,"High","Middle")))</x:f>
        <x:v>High</x:v>
      </x:c>
      <x:c r="M312" s="133" t="str">
        <x:f>IF(D312&lt;=0,"No EVM votes",IF(H312&lt;-20%,"Large deficit",IF(H312&lt;-5%,"Moderate deficit",IF(H312&lt;0,"Narrow deficit",IF(H312&lt;=5%,"Narrow lead/tie",IF(H312&lt;=20%,"Moderate lead","Large lead"))))))</x:f>
        <x:v>Narrow deficit</x:v>
      </x:c>
    </x:row>
    <x:row r="313">
      <x:c r="A313" t="n">
        <x:v>254</x:v>
      </x:c>
      <x:c r="B313" t="str">
        <x:v>[Location not in Form 20 PDF]</x:v>
      </x:c>
      <x:c r="C313" s="83" t="n">
        <x:f>'2024 Form20'!H262</x:f>
        <x:v>12</x:v>
      </x:c>
      <x:c r="D313" s="83" t="n">
        <x:f>'2024 Form20'!D262</x:f>
        <x:v>491</x:v>
      </x:c>
      <x:c r="E313" s="50" t="n">
        <x:f>'2024 Form20'!W262</x:f>
        <x:v>0.024439918533604887</x:v>
      </x:c>
      <x:c r="F313" t="n">
        <x:f>'2024 Form20'!X262</x:f>
        <x:v>363</x:v>
      </x:c>
      <x:c r="G313" t="n">
        <x:f>'2024 Form20'!Y262</x:f>
        <x:v>-351</x:v>
      </x:c>
      <x:c r="H313" s="52" t="n">
        <x:f>'2024 Form20'!Z262</x:f>
        <x:v>-0.714867617107943</x:v>
      </x:c>
      <x:c r="I313" t="str">
        <x:v>Dr. Mahesh Sharma</x:v>
      </x:c>
      <x:c r="J313" t="str">
        <x:v>BJP</x:v>
      </x:c>
      <x:c r="K313" t="str">
        <x:v>EVM row</x:v>
      </x:c>
      <x:c r="L313" s="133" t="str">
        <x:f>IF(D313&lt;=0,"No EVM votes",IF(E313&lt;$N$7,"Low",IF(E313&gt;$R$7,"High","Middle")))</x:f>
        <x:v>Low</x:v>
      </x:c>
      <x:c r="M313" s="133" t="str">
        <x:f>IF(D313&lt;=0,"No EVM votes",IF(H313&lt;-20%,"Large deficit",IF(H313&lt;-5%,"Moderate deficit",IF(H313&lt;0,"Narrow deficit",IF(H313&lt;=5%,"Narrow lead/tie",IF(H313&lt;=20%,"Moderate lead","Large lead"))))))</x:f>
        <x:v>Large deficit</x:v>
      </x:c>
    </x:row>
    <x:row r="314">
      <x:c r="A314" t="n">
        <x:v>255</x:v>
      </x:c>
      <x:c r="B314" t="str">
        <x:v>[Location not in Form 20 PDF]</x:v>
      </x:c>
      <x:c r="C314" s="83" t="n">
        <x:f>'2024 Form20'!H263</x:f>
        <x:v>4</x:v>
      </x:c>
      <x:c r="D314" s="83" t="n">
        <x:f>'2024 Form20'!D263</x:f>
        <x:v>280</x:v>
      </x:c>
      <x:c r="E314" s="50" t="n">
        <x:f>'2024 Form20'!W263</x:f>
        <x:v>0.014285714285714285</x:v>
      </x:c>
      <x:c r="F314" t="n">
        <x:f>'2024 Form20'!X263</x:f>
        <x:v>217</x:v>
      </x:c>
      <x:c r="G314" t="n">
        <x:f>'2024 Form20'!Y263</x:f>
        <x:v>-213</x:v>
      </x:c>
      <x:c r="H314" s="52" t="n">
        <x:f>'2024 Form20'!Z263</x:f>
        <x:v>-0.7607142857142857</x:v>
      </x:c>
      <x:c r="I314" t="str">
        <x:v>Dr. Mahesh Sharma</x:v>
      </x:c>
      <x:c r="J314" t="str">
        <x:v>BJP</x:v>
      </x:c>
      <x:c r="K314" t="str">
        <x:v>EVM row</x:v>
      </x:c>
      <x:c r="L314" s="133" t="str">
        <x:f>IF(D314&lt;=0,"No EVM votes",IF(E314&lt;$N$7,"Low",IF(E314&gt;$R$7,"High","Middle")))</x:f>
        <x:v>Low</x:v>
      </x:c>
      <x:c r="M314" s="133" t="str">
        <x:f>IF(D314&lt;=0,"No EVM votes",IF(H314&lt;-20%,"Large deficit",IF(H314&lt;-5%,"Moderate deficit",IF(H314&lt;0,"Narrow deficit",IF(H314&lt;=5%,"Narrow lead/tie",IF(H314&lt;=20%,"Moderate lead","Large lead"))))))</x:f>
        <x:v>Large deficit</x:v>
      </x:c>
    </x:row>
    <x:row r="315">
      <x:c r="A315" t="n">
        <x:v>256</x:v>
      </x:c>
      <x:c r="B315" t="str">
        <x:v>[Location not in Form 20 PDF]</x:v>
      </x:c>
      <x:c r="C315" s="83" t="n">
        <x:f>'2024 Form20'!H264</x:f>
        <x:v>5</x:v>
      </x:c>
      <x:c r="D315" s="83" t="n">
        <x:f>'2024 Form20'!D264</x:f>
        <x:v>435</x:v>
      </x:c>
      <x:c r="E315" s="50" t="n">
        <x:f>'2024 Form20'!W264</x:f>
        <x:v>0.011494252873563218</x:v>
      </x:c>
      <x:c r="F315" t="n">
        <x:f>'2024 Form20'!X264</x:f>
        <x:v>390</x:v>
      </x:c>
      <x:c r="G315" t="n">
        <x:f>'2024 Form20'!Y264</x:f>
        <x:v>-385</x:v>
      </x:c>
      <x:c r="H315" s="52" t="n">
        <x:f>'2024 Form20'!Z264</x:f>
        <x:v>-0.8850574712643678</x:v>
      </x:c>
      <x:c r="I315" t="str">
        <x:v>Dr. Mahesh Sharma</x:v>
      </x:c>
      <x:c r="J315" t="str">
        <x:v>BJP</x:v>
      </x:c>
      <x:c r="K315" t="str">
        <x:v>EVM row</x:v>
      </x:c>
      <x:c r="L315" s="133" t="str">
        <x:f>IF(D315&lt;=0,"No EVM votes",IF(E315&lt;$N$7,"Low",IF(E315&gt;$R$7,"High","Middle")))</x:f>
        <x:v>Low</x:v>
      </x:c>
      <x:c r="M315" s="133" t="str">
        <x:f>IF(D315&lt;=0,"No EVM votes",IF(H315&lt;-20%,"Large deficit",IF(H315&lt;-5%,"Moderate deficit",IF(H315&lt;0,"Narrow deficit",IF(H315&lt;=5%,"Narrow lead/tie",IF(H315&lt;=20%,"Moderate lead","Large lead"))))))</x:f>
        <x:v>Large deficit</x:v>
      </x:c>
    </x:row>
    <x:row r="316">
      <x:c r="A316" t="n">
        <x:v>257</x:v>
      </x:c>
      <x:c r="B316" t="str">
        <x:v>[Location not in Form 20 PDF]</x:v>
      </x:c>
      <x:c r="C316" s="83" t="n">
        <x:f>'2024 Form20'!H265</x:f>
        <x:v>12</x:v>
      </x:c>
      <x:c r="D316" s="83" t="n">
        <x:f>'2024 Form20'!D265</x:f>
        <x:v>451</x:v>
      </x:c>
      <x:c r="E316" s="50" t="n">
        <x:f>'2024 Form20'!W265</x:f>
        <x:v>0.026607538802660754</x:v>
      </x:c>
      <x:c r="F316" t="n">
        <x:f>'2024 Form20'!X265</x:f>
        <x:v>295</x:v>
      </x:c>
      <x:c r="G316" t="n">
        <x:f>'2024 Form20'!Y265</x:f>
        <x:v>-283</x:v>
      </x:c>
      <x:c r="H316" s="52" t="n">
        <x:f>'2024 Form20'!Z265</x:f>
        <x:v>-0.6274944567627494</x:v>
      </x:c>
      <x:c r="I316" t="str">
        <x:v>Rajendra Singh Solanki</x:v>
      </x:c>
      <x:c r="J316" t="str">
        <x:v>BSP</x:v>
      </x:c>
      <x:c r="K316" t="str">
        <x:v>EVM row</x:v>
      </x:c>
      <x:c r="L316" s="133" t="str">
        <x:f>IF(D316&lt;=0,"No EVM votes",IF(E316&lt;$N$7,"Low",IF(E316&gt;$R$7,"High","Middle")))</x:f>
        <x:v>Low</x:v>
      </x:c>
      <x:c r="M316" s="133" t="str">
        <x:f>IF(D316&lt;=0,"No EVM votes",IF(H316&lt;-20%,"Large deficit",IF(H316&lt;-5%,"Moderate deficit",IF(H316&lt;0,"Narrow deficit",IF(H316&lt;=5%,"Narrow lead/tie",IF(H316&lt;=20%,"Moderate lead","Large lead"))))))</x:f>
        <x:v>Large deficit</x:v>
      </x:c>
    </x:row>
    <x:row r="317">
      <x:c r="A317" t="n">
        <x:v>258</x:v>
      </x:c>
      <x:c r="B317" t="str">
        <x:v>[Location not in Form 20 PDF]</x:v>
      </x:c>
      <x:c r="C317" s="83" t="n">
        <x:f>'2024 Form20'!H266</x:f>
        <x:v>7</x:v>
      </x:c>
      <x:c r="D317" s="83" t="n">
        <x:f>'2024 Form20'!D266</x:f>
        <x:v>534</x:v>
      </x:c>
      <x:c r="E317" s="50" t="n">
        <x:f>'2024 Form20'!W266</x:f>
        <x:v>0.013108614232209739</x:v>
      </x:c>
      <x:c r="F317" t="n">
        <x:f>'2024 Form20'!X266</x:f>
        <x:v>320</x:v>
      </x:c>
      <x:c r="G317" t="n">
        <x:f>'2024 Form20'!Y266</x:f>
        <x:v>-313</x:v>
      </x:c>
      <x:c r="H317" s="52" t="n">
        <x:f>'2024 Form20'!Z266</x:f>
        <x:v>-0.5861423220973783</x:v>
      </x:c>
      <x:c r="I317" t="str">
        <x:v>Dr. Mahesh Sharma</x:v>
      </x:c>
      <x:c r="J317" t="str">
        <x:v>BJP</x:v>
      </x:c>
      <x:c r="K317" t="str">
        <x:v>EVM row</x:v>
      </x:c>
      <x:c r="L317" s="133" t="str">
        <x:f>IF(D317&lt;=0,"No EVM votes",IF(E317&lt;$N$7,"Low",IF(E317&gt;$R$7,"High","Middle")))</x:f>
        <x:v>Low</x:v>
      </x:c>
      <x:c r="M317" s="133" t="str">
        <x:f>IF(D317&lt;=0,"No EVM votes",IF(H317&lt;-20%,"Large deficit",IF(H317&lt;-5%,"Moderate deficit",IF(H317&lt;0,"Narrow deficit",IF(H317&lt;=5%,"Narrow lead/tie",IF(H317&lt;=20%,"Moderate lead","Large lead"))))))</x:f>
        <x:v>Large deficit</x:v>
      </x:c>
    </x:row>
    <x:row r="318">
      <x:c r="A318" t="n">
        <x:v>259</x:v>
      </x:c>
      <x:c r="B318" t="str">
        <x:v>[Location not in Form 20 PDF]</x:v>
      </x:c>
      <x:c r="C318" s="83" t="n">
        <x:f>'2024 Form20'!H267</x:f>
        <x:v>44</x:v>
      </x:c>
      <x:c r="D318" s="83" t="n">
        <x:f>'2024 Form20'!D267</x:f>
        <x:v>628</x:v>
      </x:c>
      <x:c r="E318" s="50" t="n">
        <x:f>'2024 Form20'!W267</x:f>
        <x:v>0.07006369426751592</x:v>
      </x:c>
      <x:c r="F318" t="n">
        <x:f>'2024 Form20'!X267</x:f>
        <x:v>342</x:v>
      </x:c>
      <x:c r="G318" t="n">
        <x:f>'2024 Form20'!Y267</x:f>
        <x:v>-298</x:v>
      </x:c>
      <x:c r="H318" s="52" t="n">
        <x:f>'2024 Form20'!Z267</x:f>
        <x:v>-0.4745222929936306</x:v>
      </x:c>
      <x:c r="I318" t="str">
        <x:v>Rajendra Singh Solanki</x:v>
      </x:c>
      <x:c r="J318" t="str">
        <x:v>BSP</x:v>
      </x:c>
      <x:c r="K318" t="str">
        <x:v>EVM row</x:v>
      </x:c>
      <x:c r="L318" s="133" t="str">
        <x:f>IF(D318&lt;=0,"No EVM votes",IF(E318&lt;$N$7,"Low",IF(E318&gt;$R$7,"High","Middle")))</x:f>
        <x:v>Middle</x:v>
      </x:c>
      <x:c r="M318" s="133" t="str">
        <x:f>IF(D318&lt;=0,"No EVM votes",IF(H318&lt;-20%,"Large deficit",IF(H318&lt;-5%,"Moderate deficit",IF(H318&lt;0,"Narrow deficit",IF(H318&lt;=5%,"Narrow lead/tie",IF(H318&lt;=20%,"Moderate lead","Large lead"))))))</x:f>
        <x:v>Large deficit</x:v>
      </x:c>
    </x:row>
    <x:row r="319">
      <x:c r="A319" t="n">
        <x:v>260</x:v>
      </x:c>
      <x:c r="B319" t="str">
        <x:v>[Location not in Form 20 PDF]</x:v>
      </x:c>
      <x:c r="C319" s="83" t="n">
        <x:f>'2024 Form20'!H268</x:f>
        <x:v>22</x:v>
      </x:c>
      <x:c r="D319" s="83" t="n">
        <x:f>'2024 Form20'!D268</x:f>
        <x:v>556</x:v>
      </x:c>
      <x:c r="E319" s="50" t="n">
        <x:f>'2024 Form20'!W268</x:f>
        <x:v>0.039568345323741004</x:v>
      </x:c>
      <x:c r="F319" t="n">
        <x:f>'2024 Form20'!X268</x:f>
        <x:v>330</x:v>
      </x:c>
      <x:c r="G319" t="n">
        <x:f>'2024 Form20'!Y268</x:f>
        <x:v>-308</x:v>
      </x:c>
      <x:c r="H319" s="52" t="n">
        <x:f>'2024 Form20'!Z268</x:f>
        <x:v>-0.5539568345323741</x:v>
      </x:c>
      <x:c r="I319" t="str">
        <x:v>Dr. Mahesh Sharma</x:v>
      </x:c>
      <x:c r="J319" t="str">
        <x:v>BJP</x:v>
      </x:c>
      <x:c r="K319" t="str">
        <x:v>EVM row</x:v>
      </x:c>
      <x:c r="L319" s="133" t="str">
        <x:f>IF(D319&lt;=0,"No EVM votes",IF(E319&lt;$N$7,"Low",IF(E319&gt;$R$7,"High","Middle")))</x:f>
        <x:v>Middle</x:v>
      </x:c>
      <x:c r="M319" s="133" t="str">
        <x:f>IF(D319&lt;=0,"No EVM votes",IF(H319&lt;-20%,"Large deficit",IF(H319&lt;-5%,"Moderate deficit",IF(H319&lt;0,"Narrow deficit",IF(H319&lt;=5%,"Narrow lead/tie",IF(H319&lt;=20%,"Moderate lead","Large lead"))))))</x:f>
        <x:v>Large deficit</x:v>
      </x:c>
    </x:row>
    <x:row r="320">
      <x:c r="A320" t="n">
        <x:v>261</x:v>
      </x:c>
      <x:c r="B320" t="str">
        <x:v>[Location not in Form 20 PDF]</x:v>
      </x:c>
      <x:c r="C320" s="83" t="n">
        <x:f>'2024 Form20'!H269</x:f>
        <x:v>14</x:v>
      </x:c>
      <x:c r="D320" s="83" t="n">
        <x:f>'2024 Form20'!D269</x:f>
        <x:v>717</x:v>
      </x:c>
      <x:c r="E320" s="50" t="n">
        <x:f>'2024 Form20'!W269</x:f>
        <x:v>0.019525801952580194</x:v>
      </x:c>
      <x:c r="F320" t="n">
        <x:f>'2024 Form20'!X269</x:f>
        <x:v>404</x:v>
      </x:c>
      <x:c r="G320" t="n">
        <x:f>'2024 Form20'!Y269</x:f>
        <x:v>-390</x:v>
      </x:c>
      <x:c r="H320" s="52" t="n">
        <x:f>'2024 Form20'!Z269</x:f>
        <x:v>-0.5439330543933054</x:v>
      </x:c>
      <x:c r="I320" t="str">
        <x:v>Dr. Mahesh Sharma</x:v>
      </x:c>
      <x:c r="J320" t="str">
        <x:v>BJP</x:v>
      </x:c>
      <x:c r="K320" t="str">
        <x:v>EVM row</x:v>
      </x:c>
      <x:c r="L320" s="133" t="str">
        <x:f>IF(D320&lt;=0,"No EVM votes",IF(E320&lt;$N$7,"Low",IF(E320&gt;$R$7,"High","Middle")))</x:f>
        <x:v>Low</x:v>
      </x:c>
      <x:c r="M320" s="133" t="str">
        <x:f>IF(D320&lt;=0,"No EVM votes",IF(H320&lt;-20%,"Large deficit",IF(H320&lt;-5%,"Moderate deficit",IF(H320&lt;0,"Narrow deficit",IF(H320&lt;=5%,"Narrow lead/tie",IF(H320&lt;=20%,"Moderate lead","Large lead"))))))</x:f>
        <x:v>Large deficit</x:v>
      </x:c>
    </x:row>
    <x:row r="321">
      <x:c r="A321" t="n">
        <x:v>262</x:v>
      </x:c>
      <x:c r="B321" t="str">
        <x:v>[Location not in Form 20 PDF]</x:v>
      </x:c>
      <x:c r="C321" s="83" t="n">
        <x:f>'2024 Form20'!H270</x:f>
        <x:v>3</x:v>
      </x:c>
      <x:c r="D321" s="83" t="n">
        <x:f>'2024 Form20'!D270</x:f>
        <x:v>685</x:v>
      </x:c>
      <x:c r="E321" s="50" t="n">
        <x:f>'2024 Form20'!W270</x:f>
        <x:v>0.004379562043795621</x:v>
      </x:c>
      <x:c r="F321" t="n">
        <x:f>'2024 Form20'!X270</x:f>
        <x:v>330</x:v>
      </x:c>
      <x:c r="G321" t="n">
        <x:f>'2024 Form20'!Y270</x:f>
        <x:v>-327</x:v>
      </x:c>
      <x:c r="H321" s="52" t="n">
        <x:f>'2024 Form20'!Z270</x:f>
        <x:v>-0.47737226277372263</x:v>
      </x:c>
      <x:c r="I321" t="str">
        <x:v>Dr. Mahesh Sharma</x:v>
      </x:c>
      <x:c r="J321" t="str">
        <x:v>BJP</x:v>
      </x:c>
      <x:c r="K321" t="str">
        <x:v>EVM row</x:v>
      </x:c>
      <x:c r="L321" s="133" t="str">
        <x:f>IF(D321&lt;=0,"No EVM votes",IF(E321&lt;$N$7,"Low",IF(E321&gt;$R$7,"High","Middle")))</x:f>
        <x:v>Low</x:v>
      </x:c>
      <x:c r="M321" s="133" t="str">
        <x:f>IF(D321&lt;=0,"No EVM votes",IF(H321&lt;-20%,"Large deficit",IF(H321&lt;-5%,"Moderate deficit",IF(H321&lt;0,"Narrow deficit",IF(H321&lt;=5%,"Narrow lead/tie",IF(H321&lt;=20%,"Moderate lead","Large lead"))))))</x:f>
        <x:v>Large deficit</x:v>
      </x:c>
    </x:row>
    <x:row r="322">
      <x:c r="A322" t="n">
        <x:v>263</x:v>
      </x:c>
      <x:c r="B322" t="str">
        <x:v>[Location not in Form 20 PDF]</x:v>
      </x:c>
      <x:c r="C322" s="83" t="n">
        <x:f>'2024 Form20'!H271</x:f>
        <x:v>35</x:v>
      </x:c>
      <x:c r="D322" s="83" t="n">
        <x:f>'2024 Form20'!D271</x:f>
        <x:v>511</x:v>
      </x:c>
      <x:c r="E322" s="50" t="n">
        <x:f>'2024 Form20'!W271</x:f>
        <x:v>0.0684931506849315</x:v>
      </x:c>
      <x:c r="F322" t="n">
        <x:f>'2024 Form20'!X271</x:f>
        <x:v>341</x:v>
      </x:c>
      <x:c r="G322" t="n">
        <x:f>'2024 Form20'!Y271</x:f>
        <x:v>-306</x:v>
      </x:c>
      <x:c r="H322" s="52" t="n">
        <x:f>'2024 Form20'!Z271</x:f>
        <x:v>-0.598825831702544</x:v>
      </x:c>
      <x:c r="I322" t="str">
        <x:v>Dr. Mahesh Sharma</x:v>
      </x:c>
      <x:c r="J322" t="str">
        <x:v>BJP</x:v>
      </x:c>
      <x:c r="K322" t="str">
        <x:v>EVM row</x:v>
      </x:c>
      <x:c r="L322" s="133" t="str">
        <x:f>IF(D322&lt;=0,"No EVM votes",IF(E322&lt;$N$7,"Low",IF(E322&gt;$R$7,"High","Middle")))</x:f>
        <x:v>Middle</x:v>
      </x:c>
      <x:c r="M322" s="133" t="str">
        <x:f>IF(D322&lt;=0,"No EVM votes",IF(H322&lt;-20%,"Large deficit",IF(H322&lt;-5%,"Moderate deficit",IF(H322&lt;0,"Narrow deficit",IF(H322&lt;=5%,"Narrow lead/tie",IF(H322&lt;=20%,"Moderate lead","Large lead"))))))</x:f>
        <x:v>Large deficit</x:v>
      </x:c>
    </x:row>
    <x:row r="323">
      <x:c r="A323" t="n">
        <x:v>264</x:v>
      </x:c>
      <x:c r="B323" t="str">
        <x:v>[Location not in Form 20 PDF]</x:v>
      </x:c>
      <x:c r="C323" s="83" t="n">
        <x:f>'2024 Form20'!H272</x:f>
        <x:v>16</x:v>
      </x:c>
      <x:c r="D323" s="83" t="n">
        <x:f>'2024 Form20'!D272</x:f>
        <x:v>542</x:v>
      </x:c>
      <x:c r="E323" s="50" t="n">
        <x:f>'2024 Form20'!W272</x:f>
        <x:v>0.02952029520295203</x:v>
      </x:c>
      <x:c r="F323" t="n">
        <x:f>'2024 Form20'!X272</x:f>
        <x:v>350</x:v>
      </x:c>
      <x:c r="G323" t="n">
        <x:f>'2024 Form20'!Y272</x:f>
        <x:v>-334</x:v>
      </x:c>
      <x:c r="H323" s="52" t="n">
        <x:f>'2024 Form20'!Z272</x:f>
        <x:v>-0.6162361623616236</x:v>
      </x:c>
      <x:c r="I323" t="str">
        <x:v>Dr. Mahesh Sharma</x:v>
      </x:c>
      <x:c r="J323" t="str">
        <x:v>BJP</x:v>
      </x:c>
      <x:c r="K323" t="str">
        <x:v>EVM row</x:v>
      </x:c>
      <x:c r="L323" s="133" t="str">
        <x:f>IF(D323&lt;=0,"No EVM votes",IF(E323&lt;$N$7,"Low",IF(E323&gt;$R$7,"High","Middle")))</x:f>
        <x:v>Low</x:v>
      </x:c>
      <x:c r="M323" s="133" t="str">
        <x:f>IF(D323&lt;=0,"No EVM votes",IF(H323&lt;-20%,"Large deficit",IF(H323&lt;-5%,"Moderate deficit",IF(H323&lt;0,"Narrow deficit",IF(H323&lt;=5%,"Narrow lead/tie",IF(H323&lt;=20%,"Moderate lead","Large lead"))))))</x:f>
        <x:v>Large deficit</x:v>
      </x:c>
    </x:row>
    <x:row r="324">
      <x:c r="A324" t="n">
        <x:v>265</x:v>
      </x:c>
      <x:c r="B324" t="str">
        <x:v>[Location not in Form 20 PDF]</x:v>
      </x:c>
      <x:c r="C324" s="83" t="n">
        <x:f>'2024 Form20'!H273</x:f>
        <x:v>19</x:v>
      </x:c>
      <x:c r="D324" s="83" t="n">
        <x:f>'2024 Form20'!D273</x:f>
        <x:v>515</x:v>
      </x:c>
      <x:c r="E324" s="50" t="n">
        <x:f>'2024 Form20'!W273</x:f>
        <x:v>0.036893203883495145</x:v>
      </x:c>
      <x:c r="F324" t="n">
        <x:f>'2024 Form20'!X273</x:f>
        <x:v>382</x:v>
      </x:c>
      <x:c r="G324" t="n">
        <x:f>'2024 Form20'!Y273</x:f>
        <x:v>-363</x:v>
      </x:c>
      <x:c r="H324" s="52" t="n">
        <x:f>'2024 Form20'!Z273</x:f>
        <x:v>-0.7048543689320388</x:v>
      </x:c>
      <x:c r="I324" t="str">
        <x:v>Rajendra Singh Solanki</x:v>
      </x:c>
      <x:c r="J324" t="str">
        <x:v>BSP</x:v>
      </x:c>
      <x:c r="K324" t="str">
        <x:v>EVM row</x:v>
      </x:c>
      <x:c r="L324" s="133" t="str">
        <x:f>IF(D324&lt;=0,"No EVM votes",IF(E324&lt;$N$7,"Low",IF(E324&gt;$R$7,"High","Middle")))</x:f>
        <x:v>Middle</x:v>
      </x:c>
      <x:c r="M324" s="133" t="str">
        <x:f>IF(D324&lt;=0,"No EVM votes",IF(H324&lt;-20%,"Large deficit",IF(H324&lt;-5%,"Moderate deficit",IF(H324&lt;0,"Narrow deficit",IF(H324&lt;=5%,"Narrow lead/tie",IF(H324&lt;=20%,"Moderate lead","Large lead"))))))</x:f>
        <x:v>Large deficit</x:v>
      </x:c>
    </x:row>
    <x:row r="325">
      <x:c r="A325" t="n">
        <x:v>266</x:v>
      </x:c>
      <x:c r="B325" t="str">
        <x:v>[Location not in Form 20 PDF]</x:v>
      </x:c>
      <x:c r="C325" s="83" t="n">
        <x:f>'2024 Form20'!H274</x:f>
        <x:v>8</x:v>
      </x:c>
      <x:c r="D325" s="83" t="n">
        <x:f>'2024 Form20'!D274</x:f>
        <x:v>622</x:v>
      </x:c>
      <x:c r="E325" s="50" t="n">
        <x:f>'2024 Form20'!W274</x:f>
        <x:v>0.012861736334405145</x:v>
      </x:c>
      <x:c r="F325" t="n">
        <x:f>'2024 Form20'!X274</x:f>
        <x:v>380</x:v>
      </x:c>
      <x:c r="G325" t="n">
        <x:f>'2024 Form20'!Y274</x:f>
        <x:v>-372</x:v>
      </x:c>
      <x:c r="H325" s="52" t="n">
        <x:f>'2024 Form20'!Z274</x:f>
        <x:v>-0.5980707395498392</x:v>
      </x:c>
      <x:c r="I325" t="str">
        <x:v>Dr. Mahesh Sharma</x:v>
      </x:c>
      <x:c r="J325" t="str">
        <x:v>BJP</x:v>
      </x:c>
      <x:c r="K325" t="str">
        <x:v>EVM row</x:v>
      </x:c>
      <x:c r="L325" s="133" t="str">
        <x:f>IF(D325&lt;=0,"No EVM votes",IF(E325&lt;$N$7,"Low",IF(E325&gt;$R$7,"High","Middle")))</x:f>
        <x:v>Low</x:v>
      </x:c>
      <x:c r="M325" s="133" t="str">
        <x:f>IF(D325&lt;=0,"No EVM votes",IF(H325&lt;-20%,"Large deficit",IF(H325&lt;-5%,"Moderate deficit",IF(H325&lt;0,"Narrow deficit",IF(H325&lt;=5%,"Narrow lead/tie",IF(H325&lt;=20%,"Moderate lead","Large lead"))))))</x:f>
        <x:v>Large deficit</x:v>
      </x:c>
    </x:row>
    <x:row r="326">
      <x:c r="A326" t="n">
        <x:v>267</x:v>
      </x:c>
      <x:c r="B326" t="str">
        <x:v>[Location not in Form 20 PDF]</x:v>
      </x:c>
      <x:c r="C326" s="83" t="n">
        <x:f>'2024 Form20'!H275</x:f>
        <x:v>16</x:v>
      </x:c>
      <x:c r="D326" s="83" t="n">
        <x:f>'2024 Form20'!D275</x:f>
        <x:v>420</x:v>
      </x:c>
      <x:c r="E326" s="50" t="n">
        <x:f>'2024 Form20'!W275</x:f>
        <x:v>0.0380952380952381</x:v>
      </x:c>
      <x:c r="F326" t="n">
        <x:f>'2024 Form20'!X275</x:f>
        <x:v>249</x:v>
      </x:c>
      <x:c r="G326" t="n">
        <x:f>'2024 Form20'!Y275</x:f>
        <x:v>-233</x:v>
      </x:c>
      <x:c r="H326" s="52" t="n">
        <x:f>'2024 Form20'!Z275</x:f>
        <x:v>-0.5547619047619048</x:v>
      </x:c>
      <x:c r="I326" t="str">
        <x:v>Dr. Mahesh Sharma</x:v>
      </x:c>
      <x:c r="J326" t="str">
        <x:v>BJP</x:v>
      </x:c>
      <x:c r="K326" t="str">
        <x:v>EVM row</x:v>
      </x:c>
      <x:c r="L326" s="133" t="str">
        <x:f>IF(D326&lt;=0,"No EVM votes",IF(E326&lt;$N$7,"Low",IF(E326&gt;$R$7,"High","Middle")))</x:f>
        <x:v>Middle</x:v>
      </x:c>
      <x:c r="M326" s="133" t="str">
        <x:f>IF(D326&lt;=0,"No EVM votes",IF(H326&lt;-20%,"Large deficit",IF(H326&lt;-5%,"Moderate deficit",IF(H326&lt;0,"Narrow deficit",IF(H326&lt;=5%,"Narrow lead/tie",IF(H326&lt;=20%,"Moderate lead","Large lead"))))))</x:f>
        <x:v>Large deficit</x:v>
      </x:c>
    </x:row>
    <x:row r="327">
      <x:c r="A327" t="n">
        <x:v>268</x:v>
      </x:c>
      <x:c r="B327" t="str">
        <x:v>[Location not in Form 20 PDF]</x:v>
      </x:c>
      <x:c r="C327" s="83" t="n">
        <x:f>'2024 Form20'!H276</x:f>
        <x:v>5</x:v>
      </x:c>
      <x:c r="D327" s="83" t="n">
        <x:f>'2024 Form20'!D276</x:f>
        <x:v>715</x:v>
      </x:c>
      <x:c r="E327" s="50" t="n">
        <x:f>'2024 Form20'!W276</x:f>
        <x:v>0.006993006993006993</x:v>
      </x:c>
      <x:c r="F327" t="n">
        <x:f>'2024 Form20'!X276</x:f>
        <x:v>515</x:v>
      </x:c>
      <x:c r="G327" t="n">
        <x:f>'2024 Form20'!Y276</x:f>
        <x:v>-510</x:v>
      </x:c>
      <x:c r="H327" s="52" t="n">
        <x:f>'2024 Form20'!Z276</x:f>
        <x:v>-0.7132867132867133</x:v>
      </x:c>
      <x:c r="I327" t="str">
        <x:v>Rajendra Singh Solanki</x:v>
      </x:c>
      <x:c r="J327" t="str">
        <x:v>BSP</x:v>
      </x:c>
      <x:c r="K327" t="str">
        <x:v>EVM row</x:v>
      </x:c>
      <x:c r="L327" s="133" t="str">
        <x:f>IF(D327&lt;=0,"No EVM votes",IF(E327&lt;$N$7,"Low",IF(E327&gt;$R$7,"High","Middle")))</x:f>
        <x:v>Low</x:v>
      </x:c>
      <x:c r="M327" s="133" t="str">
        <x:f>IF(D327&lt;=0,"No EVM votes",IF(H327&lt;-20%,"Large deficit",IF(H327&lt;-5%,"Moderate deficit",IF(H327&lt;0,"Narrow deficit",IF(H327&lt;=5%,"Narrow lead/tie",IF(H327&lt;=20%,"Moderate lead","Large lead"))))))</x:f>
        <x:v>Large deficit</x:v>
      </x:c>
    </x:row>
    <x:row r="328">
      <x:c r="A328" t="n">
        <x:v>269</x:v>
      </x:c>
      <x:c r="B328" t="str">
        <x:v>[Location not in Form 20 PDF]</x:v>
      </x:c>
      <x:c r="C328" s="83" t="n">
        <x:f>'2024 Form20'!H277</x:f>
        <x:v>8</x:v>
      </x:c>
      <x:c r="D328" s="83" t="n">
        <x:f>'2024 Form20'!D277</x:f>
        <x:v>465</x:v>
      </x:c>
      <x:c r="E328" s="50" t="n">
        <x:f>'2024 Form20'!W277</x:f>
        <x:v>0.017204301075268817</x:v>
      </x:c>
      <x:c r="F328" t="n">
        <x:f>'2024 Form20'!X277</x:f>
        <x:v>293</x:v>
      </x:c>
      <x:c r="G328" t="n">
        <x:f>'2024 Form20'!Y277</x:f>
        <x:v>-285</x:v>
      </x:c>
      <x:c r="H328" s="52" t="n">
        <x:f>'2024 Form20'!Z277</x:f>
        <x:v>-0.6129032258064516</x:v>
      </x:c>
      <x:c r="I328" t="str">
        <x:v>Dr. Mahesh Sharma</x:v>
      </x:c>
      <x:c r="J328" t="str">
        <x:v>BJP</x:v>
      </x:c>
      <x:c r="K328" t="str">
        <x:v>EVM row</x:v>
      </x:c>
      <x:c r="L328" s="133" t="str">
        <x:f>IF(D328&lt;=0,"No EVM votes",IF(E328&lt;$N$7,"Low",IF(E328&gt;$R$7,"High","Middle")))</x:f>
        <x:v>Low</x:v>
      </x:c>
      <x:c r="M328" s="133" t="str">
        <x:f>IF(D328&lt;=0,"No EVM votes",IF(H328&lt;-20%,"Large deficit",IF(H328&lt;-5%,"Moderate deficit",IF(H328&lt;0,"Narrow deficit",IF(H328&lt;=5%,"Narrow lead/tie",IF(H328&lt;=20%,"Moderate lead","Large lead"))))))</x:f>
        <x:v>Large deficit</x:v>
      </x:c>
    </x:row>
    <x:row r="329">
      <x:c r="A329" t="n">
        <x:v>270</x:v>
      </x:c>
      <x:c r="B329" t="str">
        <x:v>[Location not in Form 20 PDF]</x:v>
      </x:c>
      <x:c r="C329" s="83" t="n">
        <x:f>'2024 Form20'!H278</x:f>
        <x:v>6</x:v>
      </x:c>
      <x:c r="D329" s="83" t="n">
        <x:f>'2024 Form20'!D278</x:f>
        <x:v>695</x:v>
      </x:c>
      <x:c r="E329" s="50" t="n">
        <x:f>'2024 Form20'!W278</x:f>
        <x:v>0.008633093525179856</x:v>
      </x:c>
      <x:c r="F329" t="n">
        <x:f>'2024 Form20'!X278</x:f>
        <x:v>363</x:v>
      </x:c>
      <x:c r="G329" t="n">
        <x:f>'2024 Form20'!Y278</x:f>
        <x:v>-357</x:v>
      </x:c>
      <x:c r="H329" s="52" t="n">
        <x:f>'2024 Form20'!Z278</x:f>
        <x:v>-0.5136690647482014</x:v>
      </x:c>
      <x:c r="I329" t="str">
        <x:v>Dr. Mahesh Sharma</x:v>
      </x:c>
      <x:c r="J329" t="str">
        <x:v>BJP</x:v>
      </x:c>
      <x:c r="K329" t="str">
        <x:v>EVM row</x:v>
      </x:c>
      <x:c r="L329" s="133" t="str">
        <x:f>IF(D329&lt;=0,"No EVM votes",IF(E329&lt;$N$7,"Low",IF(E329&gt;$R$7,"High","Middle")))</x:f>
        <x:v>Low</x:v>
      </x:c>
      <x:c r="M329" s="133" t="str">
        <x:f>IF(D329&lt;=0,"No EVM votes",IF(H329&lt;-20%,"Large deficit",IF(H329&lt;-5%,"Moderate deficit",IF(H329&lt;0,"Narrow deficit",IF(H329&lt;=5%,"Narrow lead/tie",IF(H329&lt;=20%,"Moderate lead","Large lead"))))))</x:f>
        <x:v>Large deficit</x:v>
      </x:c>
    </x:row>
    <x:row r="330">
      <x:c r="A330" t="n">
        <x:v>271</x:v>
      </x:c>
      <x:c r="B330" t="str">
        <x:v>[Location not in Form 20 PDF]</x:v>
      </x:c>
      <x:c r="C330" s="83" t="n">
        <x:f>'2024 Form20'!H279</x:f>
        <x:v>2</x:v>
      </x:c>
      <x:c r="D330" s="83" t="n">
        <x:f>'2024 Form20'!D279</x:f>
        <x:v>503</x:v>
      </x:c>
      <x:c r="E330" s="50" t="n">
        <x:f>'2024 Form20'!W279</x:f>
        <x:v>0.003976143141153081</x:v>
      </x:c>
      <x:c r="F330" t="n">
        <x:f>'2024 Form20'!X279</x:f>
        <x:v>381</x:v>
      </x:c>
      <x:c r="G330" t="n">
        <x:f>'2024 Form20'!Y279</x:f>
        <x:v>-379</x:v>
      </x:c>
      <x:c r="H330" s="52" t="n">
        <x:f>'2024 Form20'!Z279</x:f>
        <x:v>-0.7534791252485089</x:v>
      </x:c>
      <x:c r="I330" t="str">
        <x:v>Dr. Mahesh Sharma</x:v>
      </x:c>
      <x:c r="J330" t="str">
        <x:v>BJP</x:v>
      </x:c>
      <x:c r="K330" t="str">
        <x:v>EVM row</x:v>
      </x:c>
      <x:c r="L330" s="133" t="str">
        <x:f>IF(D330&lt;=0,"No EVM votes",IF(E330&lt;$N$7,"Low",IF(E330&gt;$R$7,"High","Middle")))</x:f>
        <x:v>Low</x:v>
      </x:c>
      <x:c r="M330" s="133" t="str">
        <x:f>IF(D330&lt;=0,"No EVM votes",IF(H330&lt;-20%,"Large deficit",IF(H330&lt;-5%,"Moderate deficit",IF(H330&lt;0,"Narrow deficit",IF(H330&lt;=5%,"Narrow lead/tie",IF(H330&lt;=20%,"Moderate lead","Large lead"))))))</x:f>
        <x:v>Large deficit</x:v>
      </x:c>
    </x:row>
    <x:row r="331">
      <x:c r="A331" t="n">
        <x:v>272</x:v>
      </x:c>
      <x:c r="B331" t="str">
        <x:v>[Location not in Form 20 PDF]</x:v>
      </x:c>
      <x:c r="C331" s="83" t="n">
        <x:f>'2024 Form20'!H280</x:f>
        <x:v>14</x:v>
      </x:c>
      <x:c r="D331" s="83" t="n">
        <x:f>'2024 Form20'!D280</x:f>
        <x:v>741</x:v>
      </x:c>
      <x:c r="E331" s="50" t="n">
        <x:f>'2024 Form20'!W280</x:f>
        <x:v>0.018893387314439947</x:v>
      </x:c>
      <x:c r="F331" t="n">
        <x:f>'2024 Form20'!X280</x:f>
        <x:v>553</x:v>
      </x:c>
      <x:c r="G331" t="n">
        <x:f>'2024 Form20'!Y280</x:f>
        <x:v>-539</x:v>
      </x:c>
      <x:c r="H331" s="52" t="n">
        <x:f>'2024 Form20'!Z280</x:f>
        <x:v>-0.7273954116059379</x:v>
      </x:c>
      <x:c r="I331" t="str">
        <x:v>Dr. Mahesh Sharma</x:v>
      </x:c>
      <x:c r="J331" t="str">
        <x:v>BJP</x:v>
      </x:c>
      <x:c r="K331" t="str">
        <x:v>EVM row</x:v>
      </x:c>
      <x:c r="L331" s="133" t="str">
        <x:f>IF(D331&lt;=0,"No EVM votes",IF(E331&lt;$N$7,"Low",IF(E331&gt;$R$7,"High","Middle")))</x:f>
        <x:v>Low</x:v>
      </x:c>
      <x:c r="M331" s="133" t="str">
        <x:f>IF(D331&lt;=0,"No EVM votes",IF(H331&lt;-20%,"Large deficit",IF(H331&lt;-5%,"Moderate deficit",IF(H331&lt;0,"Narrow deficit",IF(H331&lt;=5%,"Narrow lead/tie",IF(H331&lt;=20%,"Moderate lead","Large lead"))))))</x:f>
        <x:v>Large deficit</x:v>
      </x:c>
    </x:row>
    <x:row r="332">
      <x:c r="A332" t="n">
        <x:v>273</x:v>
      </x:c>
      <x:c r="B332" t="str">
        <x:v>[Location not in Form 20 PDF]</x:v>
      </x:c>
      <x:c r="C332" s="83" t="n">
        <x:f>'2024 Form20'!H281</x:f>
        <x:v>151</x:v>
      </x:c>
      <x:c r="D332" s="83" t="n">
        <x:f>'2024 Form20'!D281</x:f>
        <x:v>477</x:v>
      </x:c>
      <x:c r="E332" s="50" t="n">
        <x:f>'2024 Form20'!W281</x:f>
        <x:v>0.3165618448637317</x:v>
      </x:c>
      <x:c r="F332" t="n">
        <x:f>'2024 Form20'!X281</x:f>
        <x:v>289</x:v>
      </x:c>
      <x:c r="G332" t="n">
        <x:f>'2024 Form20'!Y281</x:f>
        <x:v>-138</x:v>
      </x:c>
      <x:c r="H332" s="52" t="n">
        <x:f>'2024 Form20'!Z281</x:f>
        <x:v>-0.2893081761006289</x:v>
      </x:c>
      <x:c r="I332" t="str">
        <x:v>Rajendra Singh Solanki</x:v>
      </x:c>
      <x:c r="J332" t="str">
        <x:v>BSP</x:v>
      </x:c>
      <x:c r="K332" t="str">
        <x:v>EVM row</x:v>
      </x:c>
      <x:c r="L332" s="133" t="str">
        <x:f>IF(D332&lt;=0,"No EVM votes",IF(E332&lt;$N$7,"Low",IF(E332&gt;$R$7,"High","Middle")))</x:f>
        <x:v>High</x:v>
      </x:c>
      <x:c r="M332" s="133" t="str">
        <x:f>IF(D332&lt;=0,"No EVM votes",IF(H332&lt;-20%,"Large deficit",IF(H332&lt;-5%,"Moderate deficit",IF(H332&lt;0,"Narrow deficit",IF(H332&lt;=5%,"Narrow lead/tie",IF(H332&lt;=20%,"Moderate lead","Large lead"))))))</x:f>
        <x:v>Large deficit</x:v>
      </x:c>
    </x:row>
    <x:row r="333">
      <x:c r="A333" t="n">
        <x:v>274</x:v>
      </x:c>
      <x:c r="B333" t="str">
        <x:v>[Location not in Form 20 PDF]</x:v>
      </x:c>
      <x:c r="C333" s="83" t="n">
        <x:f>'2024 Form20'!H282</x:f>
        <x:v>377</x:v>
      </x:c>
      <x:c r="D333" s="83" t="n">
        <x:f>'2024 Form20'!D282</x:f>
        <x:v>715</x:v>
      </x:c>
      <x:c r="E333" s="50" t="n">
        <x:f>'2024 Form20'!W282</x:f>
        <x:v>0.5272727272727272</x:v>
      </x:c>
      <x:c r="F333" t="n">
        <x:f>'2024 Form20'!X282</x:f>
        <x:v>272</x:v>
      </x:c>
      <x:c r="G333" t="n">
        <x:f>'2024 Form20'!Y282</x:f>
        <x:v>105</x:v>
      </x:c>
      <x:c r="H333" s="52" t="n">
        <x:f>'2024 Form20'!Z282</x:f>
        <x:v>0.14685314685314685</x:v>
      </x:c>
      <x:c r="I333" t="str">
        <x:v>Dr. Mahendra Singh Nagar</x:v>
      </x:c>
      <x:c r="J333" t="str">
        <x:v>SP</x:v>
      </x:c>
      <x:c r="K333" t="str">
        <x:v>EVM row</x:v>
      </x:c>
      <x:c r="L333" s="133" t="str">
        <x:f>IF(D333&lt;=0,"No EVM votes",IF(E333&lt;$N$7,"Low",IF(E333&gt;$R$7,"High","Middle")))</x:f>
        <x:v>High</x:v>
      </x:c>
      <x:c r="M333" s="133" t="str">
        <x:f>IF(D333&lt;=0,"No EVM votes",IF(H333&lt;-20%,"Large deficit",IF(H333&lt;-5%,"Moderate deficit",IF(H333&lt;0,"Narrow deficit",IF(H333&lt;=5%,"Narrow lead/tie",IF(H333&lt;=20%,"Moderate lead","Large lead"))))))</x:f>
        <x:v>Moderate lead</x:v>
      </x:c>
    </x:row>
    <x:row r="334">
      <x:c r="A334" t="n">
        <x:v>275</x:v>
      </x:c>
      <x:c r="B334" t="str">
        <x:v>[Location not in Form 20 PDF]</x:v>
      </x:c>
      <x:c r="C334" s="83" t="n">
        <x:f>'2024 Form20'!H283</x:f>
        <x:v>299</x:v>
      </x:c>
      <x:c r="D334" s="83" t="n">
        <x:f>'2024 Form20'!D283</x:f>
        <x:v>544</x:v>
      </x:c>
      <x:c r="E334" s="50" t="n">
        <x:f>'2024 Form20'!W283</x:f>
        <x:v>0.5496323529411765</x:v>
      </x:c>
      <x:c r="F334" t="n">
        <x:f>'2024 Form20'!X283</x:f>
        <x:v>170</x:v>
      </x:c>
      <x:c r="G334" t="n">
        <x:f>'2024 Form20'!Y283</x:f>
        <x:v>129</x:v>
      </x:c>
      <x:c r="H334" s="52" t="n">
        <x:f>'2024 Form20'!Z283</x:f>
        <x:v>0.23713235294117646</x:v>
      </x:c>
      <x:c r="I334" t="str">
        <x:v>Dr. Mahendra Singh Nagar</x:v>
      </x:c>
      <x:c r="J334" t="str">
        <x:v>SP</x:v>
      </x:c>
      <x:c r="K334" t="str">
        <x:v>EVM row</x:v>
      </x:c>
      <x:c r="L334" s="133" t="str">
        <x:f>IF(D334&lt;=0,"No EVM votes",IF(E334&lt;$N$7,"Low",IF(E334&gt;$R$7,"High","Middle")))</x:f>
        <x:v>High</x:v>
      </x:c>
      <x:c r="M334" s="133" t="str">
        <x:f>IF(D334&lt;=0,"No EVM votes",IF(H334&lt;-20%,"Large deficit",IF(H334&lt;-5%,"Moderate deficit",IF(H334&lt;0,"Narrow deficit",IF(H334&lt;=5%,"Narrow lead/tie",IF(H334&lt;=20%,"Moderate lead","Large lead"))))))</x:f>
        <x:v>Large lead</x:v>
      </x:c>
    </x:row>
    <x:row r="335">
      <x:c r="A335" t="n">
        <x:v>276</x:v>
      </x:c>
      <x:c r="B335" t="str">
        <x:v>[Location not in Form 20 PDF]</x:v>
      </x:c>
      <x:c r="C335" s="83" t="n">
        <x:f>'2024 Form20'!H284</x:f>
        <x:v>5</x:v>
      </x:c>
      <x:c r="D335" s="83" t="n">
        <x:f>'2024 Form20'!D284</x:f>
        <x:v>529</x:v>
      </x:c>
      <x:c r="E335" s="50" t="n">
        <x:f>'2024 Form20'!W284</x:f>
        <x:v>0.00945179584120983</x:v>
      </x:c>
      <x:c r="F335" t="n">
        <x:f>'2024 Form20'!X284</x:f>
        <x:v>268</x:v>
      </x:c>
      <x:c r="G335" t="n">
        <x:f>'2024 Form20'!Y284</x:f>
        <x:v>-263</x:v>
      </x:c>
      <x:c r="H335" s="52" t="n">
        <x:f>'2024 Form20'!Z284</x:f>
        <x:v>-0.497164461247637</x:v>
      </x:c>
      <x:c r="I335" t="str">
        <x:v>Dr. Mahesh Sharma</x:v>
      </x:c>
      <x:c r="J335" t="str">
        <x:v>BJP</x:v>
      </x:c>
      <x:c r="K335" t="str">
        <x:v>EVM row</x:v>
      </x:c>
      <x:c r="L335" s="133" t="str">
        <x:f>IF(D335&lt;=0,"No EVM votes",IF(E335&lt;$N$7,"Low",IF(E335&gt;$R$7,"High","Middle")))</x:f>
        <x:v>Low</x:v>
      </x:c>
      <x:c r="M335" s="133" t="str">
        <x:f>IF(D335&lt;=0,"No EVM votes",IF(H335&lt;-20%,"Large deficit",IF(H335&lt;-5%,"Moderate deficit",IF(H335&lt;0,"Narrow deficit",IF(H335&lt;=5%,"Narrow lead/tie",IF(H335&lt;=20%,"Moderate lead","Large lead"))))))</x:f>
        <x:v>Large deficit</x:v>
      </x:c>
    </x:row>
    <x:row r="336">
      <x:c r="A336" t="n">
        <x:v>277</x:v>
      </x:c>
      <x:c r="B336" t="str">
        <x:v>[Location not in Form 20 PDF]</x:v>
      </x:c>
      <x:c r="C336" s="83" t="n">
        <x:f>'2024 Form20'!H285</x:f>
        <x:v>15</x:v>
      </x:c>
      <x:c r="D336" s="83" t="n">
        <x:f>'2024 Form20'!D285</x:f>
        <x:v>450</x:v>
      </x:c>
      <x:c r="E336" s="50" t="n">
        <x:f>'2024 Form20'!W285</x:f>
        <x:v>0.03333333333333333</x:v>
      </x:c>
      <x:c r="F336" t="n">
        <x:f>'2024 Form20'!X285</x:f>
        <x:v>402</x:v>
      </x:c>
      <x:c r="G336" t="n">
        <x:f>'2024 Form20'!Y285</x:f>
        <x:v>-387</x:v>
      </x:c>
      <x:c r="H336" s="52" t="n">
        <x:f>'2024 Form20'!Z285</x:f>
        <x:v>-0.86</x:v>
      </x:c>
      <x:c r="I336" t="str">
        <x:v>Dr. Mahesh Sharma</x:v>
      </x:c>
      <x:c r="J336" t="str">
        <x:v>BJP</x:v>
      </x:c>
      <x:c r="K336" t="str">
        <x:v>EVM row</x:v>
      </x:c>
      <x:c r="L336" s="133" t="str">
        <x:f>IF(D336&lt;=0,"No EVM votes",IF(E336&lt;$N$7,"Low",IF(E336&gt;$R$7,"High","Middle")))</x:f>
        <x:v>Middle</x:v>
      </x:c>
      <x:c r="M336" s="133" t="str">
        <x:f>IF(D336&lt;=0,"No EVM votes",IF(H336&lt;-20%,"Large deficit",IF(H336&lt;-5%,"Moderate deficit",IF(H336&lt;0,"Narrow deficit",IF(H336&lt;=5%,"Narrow lead/tie",IF(H336&lt;=20%,"Moderate lead","Large lead"))))))</x:f>
        <x:v>Large deficit</x:v>
      </x:c>
    </x:row>
    <x:row r="337">
      <x:c r="A337" t="n">
        <x:v>278</x:v>
      </x:c>
      <x:c r="B337" t="str">
        <x:v>[Location not in Form 20 PDF]</x:v>
      </x:c>
      <x:c r="C337" s="83" t="n">
        <x:f>'2024 Form20'!H286</x:f>
        <x:v>9</x:v>
      </x:c>
      <x:c r="D337" s="83" t="n">
        <x:f>'2024 Form20'!D286</x:f>
        <x:v>95</x:v>
      </x:c>
      <x:c r="E337" s="50" t="n">
        <x:f>'2024 Form20'!W286</x:f>
        <x:v>0.09473684210526316</x:v>
      </x:c>
      <x:c r="F337" t="n">
        <x:f>'2024 Form20'!X286</x:f>
        <x:v>82</x:v>
      </x:c>
      <x:c r="G337" t="n">
        <x:f>'2024 Form20'!Y286</x:f>
        <x:v>-73</x:v>
      </x:c>
      <x:c r="H337" s="52" t="n">
        <x:f>'2024 Form20'!Z286</x:f>
        <x:v>-0.7684210526315789</x:v>
      </x:c>
      <x:c r="I337" t="str">
        <x:v>Dr. Mahesh Sharma</x:v>
      </x:c>
      <x:c r="J337" t="str">
        <x:v>BJP</x:v>
      </x:c>
      <x:c r="K337" t="str">
        <x:v>EVM row</x:v>
      </x:c>
      <x:c r="L337" s="133" t="str">
        <x:f>IF(D337&lt;=0,"No EVM votes",IF(E337&lt;$N$7,"Low",IF(E337&gt;$R$7,"High","Middle")))</x:f>
        <x:v>Middle</x:v>
      </x:c>
      <x:c r="M337" s="133" t="str">
        <x:f>IF(D337&lt;=0,"No EVM votes",IF(H337&lt;-20%,"Large deficit",IF(H337&lt;-5%,"Moderate deficit",IF(H337&lt;0,"Narrow deficit",IF(H337&lt;=5%,"Narrow lead/tie",IF(H337&lt;=20%,"Moderate lead","Large lead"))))))</x:f>
        <x:v>Large deficit</x:v>
      </x:c>
    </x:row>
    <x:row r="338">
      <x:c r="A338" t="n">
        <x:v>279</x:v>
      </x:c>
      <x:c r="B338" t="str">
        <x:v>[Location not in Form 20 PDF]</x:v>
      </x:c>
      <x:c r="C338" s="83" t="n">
        <x:f>'2024 Form20'!H287</x:f>
        <x:v>1</x:v>
      </x:c>
      <x:c r="D338" s="83" t="n">
        <x:f>'2024 Form20'!D287</x:f>
        <x:v>43</x:v>
      </x:c>
      <x:c r="E338" s="50" t="n">
        <x:f>'2024 Form20'!W287</x:f>
        <x:v>0.023255813953488372</x:v>
      </x:c>
      <x:c r="F338" t="n">
        <x:f>'2024 Form20'!X287</x:f>
        <x:v>42</x:v>
      </x:c>
      <x:c r="G338" t="n">
        <x:f>'2024 Form20'!Y287</x:f>
        <x:v>-41</x:v>
      </x:c>
      <x:c r="H338" s="52" t="n">
        <x:f>'2024 Form20'!Z287</x:f>
        <x:v>-0.9534883720930233</x:v>
      </x:c>
      <x:c r="I338" t="str">
        <x:v>Dr. Mahesh Sharma</x:v>
      </x:c>
      <x:c r="J338" t="str">
        <x:v>BJP</x:v>
      </x:c>
      <x:c r="K338" t="str">
        <x:v>EVM row</x:v>
      </x:c>
      <x:c r="L338" s="133" t="str">
        <x:f>IF(D338&lt;=0,"No EVM votes",IF(E338&lt;$N$7,"Low",IF(E338&gt;$R$7,"High","Middle")))</x:f>
        <x:v>Low</x:v>
      </x:c>
      <x:c r="M338" s="133" t="str">
        <x:f>IF(D338&lt;=0,"No EVM votes",IF(H338&lt;-20%,"Large deficit",IF(H338&lt;-5%,"Moderate deficit",IF(H338&lt;0,"Narrow deficit",IF(H338&lt;=5%,"Narrow lead/tie",IF(H338&lt;=20%,"Moderate lead","Large lead"))))))</x:f>
        <x:v>Large deficit</x:v>
      </x:c>
    </x:row>
    <x:row r="339">
      <x:c r="A339" t="n">
        <x:v>280</x:v>
      </x:c>
      <x:c r="B339" t="str">
        <x:v>[Location not in Form 20 PDF]</x:v>
      </x:c>
      <x:c r="C339" s="83" t="n">
        <x:f>'2024 Form20'!H288</x:f>
        <x:v>3</x:v>
      </x:c>
      <x:c r="D339" s="83" t="n">
        <x:f>'2024 Form20'!D288</x:f>
        <x:v>110</x:v>
      </x:c>
      <x:c r="E339" s="50" t="n">
        <x:f>'2024 Form20'!W288</x:f>
        <x:v>0.02727272727272727</x:v>
      </x:c>
      <x:c r="F339" t="n">
        <x:f>'2024 Form20'!X288</x:f>
        <x:v>86</x:v>
      </x:c>
      <x:c r="G339" t="n">
        <x:f>'2024 Form20'!Y288</x:f>
        <x:v>-83</x:v>
      </x:c>
      <x:c r="H339" s="52" t="n">
        <x:f>'2024 Form20'!Z288</x:f>
        <x:v>-0.7545454545454545</x:v>
      </x:c>
      <x:c r="I339" t="str">
        <x:v>Dr. Mahesh Sharma</x:v>
      </x:c>
      <x:c r="J339" t="str">
        <x:v>BJP</x:v>
      </x:c>
      <x:c r="K339" t="str">
        <x:v>EVM row</x:v>
      </x:c>
      <x:c r="L339" s="133" t="str">
        <x:f>IF(D339&lt;=0,"No EVM votes",IF(E339&lt;$N$7,"Low",IF(E339&gt;$R$7,"High","Middle")))</x:f>
        <x:v>Low</x:v>
      </x:c>
      <x:c r="M339" s="133" t="str">
        <x:f>IF(D339&lt;=0,"No EVM votes",IF(H339&lt;-20%,"Large deficit",IF(H339&lt;-5%,"Moderate deficit",IF(H339&lt;0,"Narrow deficit",IF(H339&lt;=5%,"Narrow lead/tie",IF(H339&lt;=20%,"Moderate lead","Large lead"))))))</x:f>
        <x:v>Large deficit</x:v>
      </x:c>
    </x:row>
    <x:row r="340">
      <x:c r="A340" t="n">
        <x:v>281</x:v>
      </x:c>
      <x:c r="B340" t="str">
        <x:v>[Location not in Form 20 PDF]</x:v>
      </x:c>
      <x:c r="C340" s="83" t="n">
        <x:f>'2024 Form20'!H289</x:f>
        <x:v>0</x:v>
      </x:c>
      <x:c r="D340" s="83" t="n">
        <x:f>'2024 Form20'!D289</x:f>
        <x:v>56</x:v>
      </x:c>
      <x:c r="E340" s="50" t="n">
        <x:f>'2024 Form20'!W289</x:f>
        <x:v>0</x:v>
      </x:c>
      <x:c r="F340" t="n">
        <x:f>'2024 Form20'!X289</x:f>
        <x:v>35</x:v>
      </x:c>
      <x:c r="G340" t="n">
        <x:f>'2024 Form20'!Y289</x:f>
        <x:v>-35</x:v>
      </x:c>
      <x:c r="H340" s="52" t="n">
        <x:f>'2024 Form20'!Z289</x:f>
        <x:v>-0.625</x:v>
      </x:c>
      <x:c r="I340" t="str">
        <x:v>Dr. Mahesh Sharma</x:v>
      </x:c>
      <x:c r="J340" t="str">
        <x:v>BJP</x:v>
      </x:c>
      <x:c r="K340" t="str">
        <x:v>EVM row</x:v>
      </x:c>
      <x:c r="L340" s="133" t="str">
        <x:f>IF(D340&lt;=0,"No EVM votes",IF(E340&lt;$N$7,"Low",IF(E340&gt;$R$7,"High","Middle")))</x:f>
        <x:v>Low</x:v>
      </x:c>
      <x:c r="M340" s="133" t="str">
        <x:f>IF(D340&lt;=0,"No EVM votes",IF(H340&lt;-20%,"Large deficit",IF(H340&lt;-5%,"Moderate deficit",IF(H340&lt;0,"Narrow deficit",IF(H340&lt;=5%,"Narrow lead/tie",IF(H340&lt;=20%,"Moderate lead","Large lead"))))))</x:f>
        <x:v>Large deficit</x:v>
      </x:c>
    </x:row>
    <x:row r="341">
      <x:c r="A341" t="n">
        <x:v>282</x:v>
      </x:c>
      <x:c r="B341" t="str">
        <x:v>[Location not in Form 20 PDF]</x:v>
      </x:c>
      <x:c r="C341" s="83" t="n">
        <x:f>'2024 Form20'!H290</x:f>
        <x:v>33</x:v>
      </x:c>
      <x:c r="D341" s="83" t="n">
        <x:f>'2024 Form20'!D290</x:f>
        <x:v>515</x:v>
      </x:c>
      <x:c r="E341" s="50" t="n">
        <x:f>'2024 Form20'!W290</x:f>
        <x:v>0.06407766990291262</x:v>
      </x:c>
      <x:c r="F341" t="n">
        <x:f>'2024 Form20'!X290</x:f>
        <x:v>412</x:v>
      </x:c>
      <x:c r="G341" t="n">
        <x:f>'2024 Form20'!Y290</x:f>
        <x:v>-379</x:v>
      </x:c>
      <x:c r="H341" s="52" t="n">
        <x:f>'2024 Form20'!Z290</x:f>
        <x:v>-0.7359223300970874</x:v>
      </x:c>
      <x:c r="I341" t="str">
        <x:v>Dr. Mahesh Sharma</x:v>
      </x:c>
      <x:c r="J341" t="str">
        <x:v>BJP</x:v>
      </x:c>
      <x:c r="K341" t="str">
        <x:v>EVM row</x:v>
      </x:c>
      <x:c r="L341" s="133" t="str">
        <x:f>IF(D341&lt;=0,"No EVM votes",IF(E341&lt;$N$7,"Low",IF(E341&gt;$R$7,"High","Middle")))</x:f>
        <x:v>Middle</x:v>
      </x:c>
      <x:c r="M341" s="133" t="str">
        <x:f>IF(D341&lt;=0,"No EVM votes",IF(H341&lt;-20%,"Large deficit",IF(H341&lt;-5%,"Moderate deficit",IF(H341&lt;0,"Narrow deficit",IF(H341&lt;=5%,"Narrow lead/tie",IF(H341&lt;=20%,"Moderate lead","Large lead"))))))</x:f>
        <x:v>Large deficit</x:v>
      </x:c>
    </x:row>
    <x:row r="342">
      <x:c r="A342" t="n">
        <x:v>283</x:v>
      </x:c>
      <x:c r="B342" t="str">
        <x:v>[Location not in Form 20 PDF]</x:v>
      </x:c>
      <x:c r="C342" s="83" t="n">
        <x:f>'2024 Form20'!H291</x:f>
        <x:v>11</x:v>
      </x:c>
      <x:c r="D342" s="83" t="n">
        <x:f>'2024 Form20'!D291</x:f>
        <x:v>533</x:v>
      </x:c>
      <x:c r="E342" s="50" t="n">
        <x:f>'2024 Form20'!W291</x:f>
        <x:v>0.020637898686679174</x:v>
      </x:c>
      <x:c r="F342" t="n">
        <x:f>'2024 Form20'!X291</x:f>
        <x:v>444</x:v>
      </x:c>
      <x:c r="G342" t="n">
        <x:f>'2024 Form20'!Y291</x:f>
        <x:v>-433</x:v>
      </x:c>
      <x:c r="H342" s="52" t="n">
        <x:f>'2024 Form20'!Z291</x:f>
        <x:v>-0.8123827392120075</x:v>
      </x:c>
      <x:c r="I342" t="str">
        <x:v>Dr. Mahesh Sharma</x:v>
      </x:c>
      <x:c r="J342" t="str">
        <x:v>BJP</x:v>
      </x:c>
      <x:c r="K342" t="str">
        <x:v>EVM row</x:v>
      </x:c>
      <x:c r="L342" s="133" t="str">
        <x:f>IF(D342&lt;=0,"No EVM votes",IF(E342&lt;$N$7,"Low",IF(E342&gt;$R$7,"High","Middle")))</x:f>
        <x:v>Low</x:v>
      </x:c>
      <x:c r="M342" s="133" t="str">
        <x:f>IF(D342&lt;=0,"No EVM votes",IF(H342&lt;-20%,"Large deficit",IF(H342&lt;-5%,"Moderate deficit",IF(H342&lt;0,"Narrow deficit",IF(H342&lt;=5%,"Narrow lead/tie",IF(H342&lt;=20%,"Moderate lead","Large lead"))))))</x:f>
        <x:v>Large deficit</x:v>
      </x:c>
    </x:row>
    <x:row r="343">
      <x:c r="A343" t="n">
        <x:v>284</x:v>
      </x:c>
      <x:c r="B343" t="str">
        <x:v>[Location not in Form 20 PDF]</x:v>
      </x:c>
      <x:c r="C343" s="83" t="n">
        <x:f>'2024 Form20'!H292</x:f>
        <x:v>2</x:v>
      </x:c>
      <x:c r="D343" s="83" t="n">
        <x:f>'2024 Form20'!D292</x:f>
        <x:v>854</x:v>
      </x:c>
      <x:c r="E343" s="50" t="n">
        <x:f>'2024 Form20'!W292</x:f>
        <x:v>0.00234192037470726</x:v>
      </x:c>
      <x:c r="F343" t="n">
        <x:f>'2024 Form20'!X292</x:f>
        <x:v>809</x:v>
      </x:c>
      <x:c r="G343" t="n">
        <x:f>'2024 Form20'!Y292</x:f>
        <x:v>-807</x:v>
      </x:c>
      <x:c r="H343" s="52" t="n">
        <x:f>'2024 Form20'!Z292</x:f>
        <x:v>-0.9449648711943794</x:v>
      </x:c>
      <x:c r="I343" t="str">
        <x:v>Rajendra Singh Solanki</x:v>
      </x:c>
      <x:c r="J343" t="str">
        <x:v>BSP</x:v>
      </x:c>
      <x:c r="K343" t="str">
        <x:v>EVM row</x:v>
      </x:c>
      <x:c r="L343" s="133" t="str">
        <x:f>IF(D343&lt;=0,"No EVM votes",IF(E343&lt;$N$7,"Low",IF(E343&gt;$R$7,"High","Middle")))</x:f>
        <x:v>Low</x:v>
      </x:c>
      <x:c r="M343" s="133" t="str">
        <x:f>IF(D343&lt;=0,"No EVM votes",IF(H343&lt;-20%,"Large deficit",IF(H343&lt;-5%,"Moderate deficit",IF(H343&lt;0,"Narrow deficit",IF(H343&lt;=5%,"Narrow lead/tie",IF(H343&lt;=20%,"Moderate lead","Large lead"))))))</x:f>
        <x:v>Large deficit</x:v>
      </x:c>
    </x:row>
    <x:row r="344">
      <x:c r="A344" t="n">
        <x:v>285</x:v>
      </x:c>
      <x:c r="B344" t="str">
        <x:v>[Location not in Form 20 PDF]</x:v>
      </x:c>
      <x:c r="C344" s="83" t="n">
        <x:f>'2024 Form20'!H293</x:f>
        <x:v>10</x:v>
      </x:c>
      <x:c r="D344" s="83" t="n">
        <x:f>'2024 Form20'!D293</x:f>
        <x:v>485</x:v>
      </x:c>
      <x:c r="E344" s="50" t="n">
        <x:f>'2024 Form20'!W293</x:f>
        <x:v>0.020618556701030927</x:v>
      </x:c>
      <x:c r="F344" t="n">
        <x:f>'2024 Form20'!X293</x:f>
        <x:v>319</x:v>
      </x:c>
      <x:c r="G344" t="n">
        <x:f>'2024 Form20'!Y293</x:f>
        <x:v>-309</x:v>
      </x:c>
      <x:c r="H344" s="52" t="n">
        <x:f>'2024 Form20'!Z293</x:f>
        <x:v>-0.6371134020618556</x:v>
      </x:c>
      <x:c r="I344" t="str">
        <x:v>Dr. Mahesh Sharma</x:v>
      </x:c>
      <x:c r="J344" t="str">
        <x:v>BJP</x:v>
      </x:c>
      <x:c r="K344" t="str">
        <x:v>EVM row</x:v>
      </x:c>
      <x:c r="L344" s="133" t="str">
        <x:f>IF(D344&lt;=0,"No EVM votes",IF(E344&lt;$N$7,"Low",IF(E344&gt;$R$7,"High","Middle")))</x:f>
        <x:v>Low</x:v>
      </x:c>
      <x:c r="M344" s="133" t="str">
        <x:f>IF(D344&lt;=0,"No EVM votes",IF(H344&lt;-20%,"Large deficit",IF(H344&lt;-5%,"Moderate deficit",IF(H344&lt;0,"Narrow deficit",IF(H344&lt;=5%,"Narrow lead/tie",IF(H344&lt;=20%,"Moderate lead","Large lead"))))))</x:f>
        <x:v>Large deficit</x:v>
      </x:c>
    </x:row>
    <x:row r="345">
      <x:c r="A345" t="n">
        <x:v>286</x:v>
      </x:c>
      <x:c r="B345" t="str">
        <x:v>[Location not in Form 20 PDF]</x:v>
      </x:c>
      <x:c r="C345" s="83" t="n">
        <x:f>'2024 Form20'!H294</x:f>
        <x:v>19</x:v>
      </x:c>
      <x:c r="D345" s="83" t="n">
        <x:f>'2024 Form20'!D294</x:f>
        <x:v>533</x:v>
      </x:c>
      <x:c r="E345" s="50" t="n">
        <x:f>'2024 Form20'!W294</x:f>
        <x:v>0.03564727954971857</x:v>
      </x:c>
      <x:c r="F345" t="n">
        <x:f>'2024 Form20'!X294</x:f>
        <x:v>438</x:v>
      </x:c>
      <x:c r="G345" t="n">
        <x:f>'2024 Form20'!Y294</x:f>
        <x:v>-419</x:v>
      </x:c>
      <x:c r="H345" s="52" t="n">
        <x:f>'2024 Form20'!Z294</x:f>
        <x:v>-0.7861163227016885</x:v>
      </x:c>
      <x:c r="I345" t="str">
        <x:v>Rajendra Singh Solanki</x:v>
      </x:c>
      <x:c r="J345" t="str">
        <x:v>BSP</x:v>
      </x:c>
      <x:c r="K345" t="str">
        <x:v>EVM row</x:v>
      </x:c>
      <x:c r="L345" s="133" t="str">
        <x:f>IF(D345&lt;=0,"No EVM votes",IF(E345&lt;$N$7,"Low",IF(E345&gt;$R$7,"High","Middle")))</x:f>
        <x:v>Middle</x:v>
      </x:c>
      <x:c r="M345" s="133" t="str">
        <x:f>IF(D345&lt;=0,"No EVM votes",IF(H345&lt;-20%,"Large deficit",IF(H345&lt;-5%,"Moderate deficit",IF(H345&lt;0,"Narrow deficit",IF(H345&lt;=5%,"Narrow lead/tie",IF(H345&lt;=20%,"Moderate lead","Large lead"))))))</x:f>
        <x:v>Large deficit</x:v>
      </x:c>
    </x:row>
    <x:row r="346">
      <x:c r="A346" t="n">
        <x:v>287</x:v>
      </x:c>
      <x:c r="B346" t="str">
        <x:v>[Location not in Form 20 PDF]</x:v>
      </x:c>
      <x:c r="C346" s="83" t="n">
        <x:f>'2024 Form20'!H295</x:f>
        <x:v>1</x:v>
      </x:c>
      <x:c r="D346" s="83" t="n">
        <x:f>'2024 Form20'!D295</x:f>
        <x:v>338</x:v>
      </x:c>
      <x:c r="E346" s="50" t="n">
        <x:f>'2024 Form20'!W295</x:f>
        <x:v>0.0029585798816568047</x:v>
      </x:c>
      <x:c r="F346" t="n">
        <x:f>'2024 Form20'!X295</x:f>
        <x:v>231</x:v>
      </x:c>
      <x:c r="G346" t="n">
        <x:f>'2024 Form20'!Y295</x:f>
        <x:v>-230</x:v>
      </x:c>
      <x:c r="H346" s="52" t="n">
        <x:f>'2024 Form20'!Z295</x:f>
        <x:v>-0.6804733727810651</x:v>
      </x:c>
      <x:c r="I346" t="str">
        <x:v>Dr. Mahesh Sharma</x:v>
      </x:c>
      <x:c r="J346" t="str">
        <x:v>BJP</x:v>
      </x:c>
      <x:c r="K346" t="str">
        <x:v>EVM row</x:v>
      </x:c>
      <x:c r="L346" s="133" t="str">
        <x:f>IF(D346&lt;=0,"No EVM votes",IF(E346&lt;$N$7,"Low",IF(E346&gt;$R$7,"High","Middle")))</x:f>
        <x:v>Low</x:v>
      </x:c>
      <x:c r="M346" s="133" t="str">
        <x:f>IF(D346&lt;=0,"No EVM votes",IF(H346&lt;-20%,"Large deficit",IF(H346&lt;-5%,"Moderate deficit",IF(H346&lt;0,"Narrow deficit",IF(H346&lt;=5%,"Narrow lead/tie",IF(H346&lt;=20%,"Moderate lead","Large lead"))))))</x:f>
        <x:v>Large deficit</x:v>
      </x:c>
    </x:row>
    <x:row r="347">
      <x:c r="A347" t="n">
        <x:v>288</x:v>
      </x:c>
      <x:c r="B347" t="str">
        <x:v>[Location not in Form 20 PDF]</x:v>
      </x:c>
      <x:c r="C347" s="83" t="n">
        <x:f>'2024 Form20'!H296</x:f>
        <x:v>23</x:v>
      </x:c>
      <x:c r="D347" s="83" t="n">
        <x:f>'2024 Form20'!D296</x:f>
        <x:v>623</x:v>
      </x:c>
      <x:c r="E347" s="50" t="n">
        <x:f>'2024 Form20'!W296</x:f>
        <x:v>0.03691813804173355</x:v>
      </x:c>
      <x:c r="F347" t="n">
        <x:f>'2024 Form20'!X296</x:f>
        <x:v>478</x:v>
      </x:c>
      <x:c r="G347" t="n">
        <x:f>'2024 Form20'!Y296</x:f>
        <x:v>-455</x:v>
      </x:c>
      <x:c r="H347" s="52" t="n">
        <x:f>'2024 Form20'!Z296</x:f>
        <x:v>-0.7303370786516854</x:v>
      </x:c>
      <x:c r="I347" t="str">
        <x:v>Dr. Mahesh Sharma</x:v>
      </x:c>
      <x:c r="J347" t="str">
        <x:v>BJP</x:v>
      </x:c>
      <x:c r="K347" t="str">
        <x:v>EVM row</x:v>
      </x:c>
      <x:c r="L347" s="133" t="str">
        <x:f>IF(D347&lt;=0,"No EVM votes",IF(E347&lt;$N$7,"Low",IF(E347&gt;$R$7,"High","Middle")))</x:f>
        <x:v>Middle</x:v>
      </x:c>
      <x:c r="M347" s="133" t="str">
        <x:f>IF(D347&lt;=0,"No EVM votes",IF(H347&lt;-20%,"Large deficit",IF(H347&lt;-5%,"Moderate deficit",IF(H347&lt;0,"Narrow deficit",IF(H347&lt;=5%,"Narrow lead/tie",IF(H347&lt;=20%,"Moderate lead","Large lead"))))))</x:f>
        <x:v>Large deficit</x:v>
      </x:c>
    </x:row>
    <x:row r="348">
      <x:c r="A348" t="n">
        <x:v>289</x:v>
      </x:c>
      <x:c r="B348" t="str">
        <x:v>[Location not in Form 20 PDF]</x:v>
      </x:c>
      <x:c r="C348" s="83" t="n">
        <x:f>'2024 Form20'!H297</x:f>
        <x:v>11</x:v>
      </x:c>
      <x:c r="D348" s="83" t="n">
        <x:f>'2024 Form20'!D297</x:f>
        <x:v>609</x:v>
      </x:c>
      <x:c r="E348" s="50" t="n">
        <x:f>'2024 Form20'!W297</x:f>
        <x:v>0.0180623973727422</x:v>
      </x:c>
      <x:c r="F348" t="n">
        <x:f>'2024 Form20'!X297</x:f>
        <x:v>417</x:v>
      </x:c>
      <x:c r="G348" t="n">
        <x:f>'2024 Form20'!Y297</x:f>
        <x:v>-406</x:v>
      </x:c>
      <x:c r="H348" s="52" t="n">
        <x:f>'2024 Form20'!Z297</x:f>
        <x:v>-0.6666666666666666</x:v>
      </x:c>
      <x:c r="I348" t="str">
        <x:v>Rajendra Singh Solanki</x:v>
      </x:c>
      <x:c r="J348" t="str">
        <x:v>BSP</x:v>
      </x:c>
      <x:c r="K348" t="str">
        <x:v>EVM row</x:v>
      </x:c>
      <x:c r="L348" s="133" t="str">
        <x:f>IF(D348&lt;=0,"No EVM votes",IF(E348&lt;$N$7,"Low",IF(E348&gt;$R$7,"High","Middle")))</x:f>
        <x:v>Low</x:v>
      </x:c>
      <x:c r="M348" s="133" t="str">
        <x:f>IF(D348&lt;=0,"No EVM votes",IF(H348&lt;-20%,"Large deficit",IF(H348&lt;-5%,"Moderate deficit",IF(H348&lt;0,"Narrow deficit",IF(H348&lt;=5%,"Narrow lead/tie",IF(H348&lt;=20%,"Moderate lead","Large lead"))))))</x:f>
        <x:v>Large deficit</x:v>
      </x:c>
    </x:row>
    <x:row r="349">
      <x:c r="A349" t="n">
        <x:v>290</x:v>
      </x:c>
      <x:c r="B349" t="str">
        <x:v>[Location not in Form 20 PDF]</x:v>
      </x:c>
      <x:c r="C349" s="83" t="n">
        <x:f>'2024 Form20'!H298</x:f>
        <x:v>22</x:v>
      </x:c>
      <x:c r="D349" s="83" t="n">
        <x:f>'2024 Form20'!D298</x:f>
        <x:v>691</x:v>
      </x:c>
      <x:c r="E349" s="50" t="n">
        <x:f>'2024 Form20'!W298</x:f>
        <x:v>0.03183791606367583</x:v>
      </x:c>
      <x:c r="F349" t="n">
        <x:f>'2024 Form20'!X298</x:f>
        <x:v>433</x:v>
      </x:c>
      <x:c r="G349" t="n">
        <x:f>'2024 Form20'!Y298</x:f>
        <x:v>-411</x:v>
      </x:c>
      <x:c r="H349" s="52" t="n">
        <x:f>'2024 Form20'!Z298</x:f>
        <x:v>-0.5947901591895803</x:v>
      </x:c>
      <x:c r="I349" t="str">
        <x:v>Dr. Mahesh Sharma</x:v>
      </x:c>
      <x:c r="J349" t="str">
        <x:v>BJP</x:v>
      </x:c>
      <x:c r="K349" t="str">
        <x:v>EVM row</x:v>
      </x:c>
      <x:c r="L349" s="133" t="str">
        <x:f>IF(D349&lt;=0,"No EVM votes",IF(E349&lt;$N$7,"Low",IF(E349&gt;$R$7,"High","Middle")))</x:f>
        <x:v>Middle</x:v>
      </x:c>
      <x:c r="M349" s="133" t="str">
        <x:f>IF(D349&lt;=0,"No EVM votes",IF(H349&lt;-20%,"Large deficit",IF(H349&lt;-5%,"Moderate deficit",IF(H349&lt;0,"Narrow deficit",IF(H349&lt;=5%,"Narrow lead/tie",IF(H349&lt;=20%,"Moderate lead","Large lead"))))))</x:f>
        <x:v>Large deficit</x:v>
      </x:c>
    </x:row>
    <x:row r="350">
      <x:c r="A350" t="n">
        <x:v>291</x:v>
      </x:c>
      <x:c r="B350" t="str">
        <x:v>[Location not in Form 20 PDF]</x:v>
      </x:c>
      <x:c r="C350" s="83" t="n">
        <x:f>'2024 Form20'!H299</x:f>
        <x:v>18</x:v>
      </x:c>
      <x:c r="D350" s="83" t="n">
        <x:f>'2024 Form20'!D299</x:f>
        <x:v>386</x:v>
      </x:c>
      <x:c r="E350" s="50" t="n">
        <x:f>'2024 Form20'!W299</x:f>
        <x:v>0.046632124352331605</x:v>
      </x:c>
      <x:c r="F350" t="n">
        <x:f>'2024 Form20'!X299</x:f>
        <x:v>339</x:v>
      </x:c>
      <x:c r="G350" t="n">
        <x:f>'2024 Form20'!Y299</x:f>
        <x:v>-321</x:v>
      </x:c>
      <x:c r="H350" s="52" t="n">
        <x:f>'2024 Form20'!Z299</x:f>
        <x:v>-0.8316062176165803</x:v>
      </x:c>
      <x:c r="I350" t="str">
        <x:v>Dr. Mahesh Sharma</x:v>
      </x:c>
      <x:c r="J350" t="str">
        <x:v>BJP</x:v>
      </x:c>
      <x:c r="K350" t="str">
        <x:v>EVM row</x:v>
      </x:c>
      <x:c r="L350" s="133" t="str">
        <x:f>IF(D350&lt;=0,"No EVM votes",IF(E350&lt;$N$7,"Low",IF(E350&gt;$R$7,"High","Middle")))</x:f>
        <x:v>Middle</x:v>
      </x:c>
      <x:c r="M350" s="133" t="str">
        <x:f>IF(D350&lt;=0,"No EVM votes",IF(H350&lt;-20%,"Large deficit",IF(H350&lt;-5%,"Moderate deficit",IF(H350&lt;0,"Narrow deficit",IF(H350&lt;=5%,"Narrow lead/tie",IF(H350&lt;=20%,"Moderate lead","Large lead"))))))</x:f>
        <x:v>Large deficit</x:v>
      </x:c>
    </x:row>
    <x:row r="351">
      <x:c r="A351" t="n">
        <x:v>292</x:v>
      </x:c>
      <x:c r="B351" t="str">
        <x:v>[Location not in Form 20 PDF]</x:v>
      </x:c>
      <x:c r="C351" s="83" t="n">
        <x:f>'2024 Form20'!H300</x:f>
        <x:v>4</x:v>
      </x:c>
      <x:c r="D351" s="83" t="n">
        <x:f>'2024 Form20'!D300</x:f>
        <x:v>481</x:v>
      </x:c>
      <x:c r="E351" s="50" t="n">
        <x:f>'2024 Form20'!W300</x:f>
        <x:v>0.008316008316008316</x:v>
      </x:c>
      <x:c r="F351" t="n">
        <x:f>'2024 Form20'!X300</x:f>
        <x:v>416</x:v>
      </x:c>
      <x:c r="G351" t="n">
        <x:f>'2024 Form20'!Y300</x:f>
        <x:v>-412</x:v>
      </x:c>
      <x:c r="H351" s="52" t="n">
        <x:f>'2024 Form20'!Z300</x:f>
        <x:v>-0.8565488565488566</x:v>
      </x:c>
      <x:c r="I351" t="str">
        <x:v>Dr. Mahesh Sharma</x:v>
      </x:c>
      <x:c r="J351" t="str">
        <x:v>BJP</x:v>
      </x:c>
      <x:c r="K351" t="str">
        <x:v>EVM row</x:v>
      </x:c>
      <x:c r="L351" s="133" t="str">
        <x:f>IF(D351&lt;=0,"No EVM votes",IF(E351&lt;$N$7,"Low",IF(E351&gt;$R$7,"High","Middle")))</x:f>
        <x:v>Low</x:v>
      </x:c>
      <x:c r="M351" s="133" t="str">
        <x:f>IF(D351&lt;=0,"No EVM votes",IF(H351&lt;-20%,"Large deficit",IF(H351&lt;-5%,"Moderate deficit",IF(H351&lt;0,"Narrow deficit",IF(H351&lt;=5%,"Narrow lead/tie",IF(H351&lt;=20%,"Moderate lead","Large lead"))))))</x:f>
        <x:v>Large deficit</x:v>
      </x:c>
    </x:row>
    <x:row r="352">
      <x:c r="A352" t="n">
        <x:v>293</x:v>
      </x:c>
      <x:c r="B352" t="str">
        <x:v>[Location not in Form 20 PDF]</x:v>
      </x:c>
      <x:c r="C352" s="83" t="n">
        <x:f>'2024 Form20'!H301</x:f>
        <x:v>110</x:v>
      </x:c>
      <x:c r="D352" s="83" t="n">
        <x:f>'2024 Form20'!D301</x:f>
        <x:v>671</x:v>
      </x:c>
      <x:c r="E352" s="50" t="n">
        <x:f>'2024 Form20'!W301</x:f>
        <x:v>0.16393442622950818</x:v>
      </x:c>
      <x:c r="F352" t="n">
        <x:f>'2024 Form20'!X301</x:f>
        <x:v>418</x:v>
      </x:c>
      <x:c r="G352" t="n">
        <x:f>'2024 Form20'!Y301</x:f>
        <x:v>-308</x:v>
      </x:c>
      <x:c r="H352" s="52" t="n">
        <x:f>'2024 Form20'!Z301</x:f>
        <x:v>-0.45901639344262296</x:v>
      </x:c>
      <x:c r="I352" t="str">
        <x:v>Rajendra Singh Solanki</x:v>
      </x:c>
      <x:c r="J352" t="str">
        <x:v>BSP</x:v>
      </x:c>
      <x:c r="K352" t="str">
        <x:v>EVM row</x:v>
      </x:c>
      <x:c r="L352" s="133" t="str">
        <x:f>IF(D352&lt;=0,"No EVM votes",IF(E352&lt;$N$7,"Low",IF(E352&gt;$R$7,"High","Middle")))</x:f>
        <x:v>Middle</x:v>
      </x:c>
      <x:c r="M352" s="133" t="str">
        <x:f>IF(D352&lt;=0,"No EVM votes",IF(H352&lt;-20%,"Large deficit",IF(H352&lt;-5%,"Moderate deficit",IF(H352&lt;0,"Narrow deficit",IF(H352&lt;=5%,"Narrow lead/tie",IF(H352&lt;=20%,"Moderate lead","Large lead"))))))</x:f>
        <x:v>Large deficit</x:v>
      </x:c>
    </x:row>
    <x:row r="353">
      <x:c r="A353" t="n">
        <x:v>294</x:v>
      </x:c>
      <x:c r="B353" t="str">
        <x:v>[Location not in Form 20 PDF]</x:v>
      </x:c>
      <x:c r="C353" s="83" t="n">
        <x:f>'2024 Form20'!H302</x:f>
        <x:v>120</x:v>
      </x:c>
      <x:c r="D353" s="83" t="n">
        <x:f>'2024 Form20'!D302</x:f>
        <x:v>439</x:v>
      </x:c>
      <x:c r="E353" s="50" t="n">
        <x:f>'2024 Form20'!W302</x:f>
        <x:v>0.2733485193621868</x:v>
      </x:c>
      <x:c r="F353" t="n">
        <x:f>'2024 Form20'!X302</x:f>
        <x:v>172</x:v>
      </x:c>
      <x:c r="G353" t="n">
        <x:f>'2024 Form20'!Y302</x:f>
        <x:v>-52</x:v>
      </x:c>
      <x:c r="H353" s="52" t="n">
        <x:f>'2024 Form20'!Z302</x:f>
        <x:v>-0.11845102505694761</x:v>
      </x:c>
      <x:c r="I353" t="str">
        <x:v>Dr. Mahesh Sharma</x:v>
      </x:c>
      <x:c r="J353" t="str">
        <x:v>BJP</x:v>
      </x:c>
      <x:c r="K353" t="str">
        <x:v>EVM row</x:v>
      </x:c>
      <x:c r="L353" s="133" t="str">
        <x:f>IF(D353&lt;=0,"No EVM votes",IF(E353&lt;$N$7,"Low",IF(E353&gt;$R$7,"High","Middle")))</x:f>
        <x:v>High</x:v>
      </x:c>
      <x:c r="M353" s="133" t="str">
        <x:f>IF(D353&lt;=0,"No EVM votes",IF(H353&lt;-20%,"Large deficit",IF(H353&lt;-5%,"Moderate deficit",IF(H353&lt;0,"Narrow deficit",IF(H353&lt;=5%,"Narrow lead/tie",IF(H353&lt;=20%,"Moderate lead","Large lead"))))))</x:f>
        <x:v>Moderate deficit</x:v>
      </x:c>
    </x:row>
    <x:row r="354">
      <x:c r="A354" t="n">
        <x:v>295</x:v>
      </x:c>
      <x:c r="B354" t="str">
        <x:v>[Location not in Form 20 PDF]</x:v>
      </x:c>
      <x:c r="C354" s="83" t="n">
        <x:f>'2024 Form20'!H303</x:f>
        <x:v>50</x:v>
      </x:c>
      <x:c r="D354" s="83" t="n">
        <x:f>'2024 Form20'!D303</x:f>
        <x:v>562</x:v>
      </x:c>
      <x:c r="E354" s="50" t="n">
        <x:f>'2024 Form20'!W303</x:f>
        <x:v>0.08896797153024912</x:v>
      </x:c>
      <x:c r="F354" t="n">
        <x:f>'2024 Form20'!X303</x:f>
        <x:v>400</x:v>
      </x:c>
      <x:c r="G354" t="n">
        <x:f>'2024 Form20'!Y303</x:f>
        <x:v>-350</x:v>
      </x:c>
      <x:c r="H354" s="52" t="n">
        <x:f>'2024 Form20'!Z303</x:f>
        <x:v>-0.6227758007117438</x:v>
      </x:c>
      <x:c r="I354" t="str">
        <x:v>Dr. Mahesh Sharma</x:v>
      </x:c>
      <x:c r="J354" t="str">
        <x:v>BJP</x:v>
      </x:c>
      <x:c r="K354" t="str">
        <x:v>EVM row</x:v>
      </x:c>
      <x:c r="L354" s="133" t="str">
        <x:f>IF(D354&lt;=0,"No EVM votes",IF(E354&lt;$N$7,"Low",IF(E354&gt;$R$7,"High","Middle")))</x:f>
        <x:v>Middle</x:v>
      </x:c>
      <x:c r="M354" s="133" t="str">
        <x:f>IF(D354&lt;=0,"No EVM votes",IF(H354&lt;-20%,"Large deficit",IF(H354&lt;-5%,"Moderate deficit",IF(H354&lt;0,"Narrow deficit",IF(H354&lt;=5%,"Narrow lead/tie",IF(H354&lt;=20%,"Moderate lead","Large lead"))))))</x:f>
        <x:v>Large deficit</x:v>
      </x:c>
    </x:row>
    <x:row r="355">
      <x:c r="A355" t="n">
        <x:v>296</x:v>
      </x:c>
      <x:c r="B355" t="str">
        <x:v>[Location not in Form 20 PDF]</x:v>
      </x:c>
      <x:c r="C355" s="83" t="n">
        <x:f>'2024 Form20'!H304</x:f>
        <x:v>6</x:v>
      </x:c>
      <x:c r="D355" s="83" t="n">
        <x:f>'2024 Form20'!D304</x:f>
        <x:v>465</x:v>
      </x:c>
      <x:c r="E355" s="50" t="n">
        <x:f>'2024 Form20'!W304</x:f>
        <x:v>0.012903225806451613</x:v>
      </x:c>
      <x:c r="F355" t="n">
        <x:f>'2024 Form20'!X304</x:f>
        <x:v>306</x:v>
      </x:c>
      <x:c r="G355" t="n">
        <x:f>'2024 Form20'!Y304</x:f>
        <x:v>-300</x:v>
      </x:c>
      <x:c r="H355" s="52" t="n">
        <x:f>'2024 Form20'!Z304</x:f>
        <x:v>-0.6451612903225806</x:v>
      </x:c>
      <x:c r="I355" t="str">
        <x:v>Dr. Mahesh Sharma</x:v>
      </x:c>
      <x:c r="J355" t="str">
        <x:v>BJP</x:v>
      </x:c>
      <x:c r="K355" t="str">
        <x:v>EVM row</x:v>
      </x:c>
      <x:c r="L355" s="133" t="str">
        <x:f>IF(D355&lt;=0,"No EVM votes",IF(E355&lt;$N$7,"Low",IF(E355&gt;$R$7,"High","Middle")))</x:f>
        <x:v>Low</x:v>
      </x:c>
      <x:c r="M355" s="133" t="str">
        <x:f>IF(D355&lt;=0,"No EVM votes",IF(H355&lt;-20%,"Large deficit",IF(H355&lt;-5%,"Moderate deficit",IF(H355&lt;0,"Narrow deficit",IF(H355&lt;=5%,"Narrow lead/tie",IF(H355&lt;=20%,"Moderate lead","Large lead"))))))</x:f>
        <x:v>Large deficit</x:v>
      </x:c>
    </x:row>
    <x:row r="356">
      <x:c r="A356" t="n">
        <x:v>297</x:v>
      </x:c>
      <x:c r="B356" t="str">
        <x:v>[Location not in Form 20 PDF]</x:v>
      </x:c>
      <x:c r="C356" s="83" t="n">
        <x:f>'2024 Form20'!H305</x:f>
        <x:v>19</x:v>
      </x:c>
      <x:c r="D356" s="83" t="n">
        <x:f>'2024 Form20'!D305</x:f>
        <x:v>577</x:v>
      </x:c>
      <x:c r="E356" s="50" t="n">
        <x:f>'2024 Form20'!W305</x:f>
        <x:v>0.03292894280762565</x:v>
      </x:c>
      <x:c r="F356" t="n">
        <x:f>'2024 Form20'!X305</x:f>
        <x:v>423</x:v>
      </x:c>
      <x:c r="G356" t="n">
        <x:f>'2024 Form20'!Y305</x:f>
        <x:v>-404</x:v>
      </x:c>
      <x:c r="H356" s="52" t="n">
        <x:f>'2024 Form20'!Z305</x:f>
        <x:v>-0.7001733102253033</x:v>
      </x:c>
      <x:c r="I356" t="str">
        <x:v>Rajendra Singh Solanki</x:v>
      </x:c>
      <x:c r="J356" t="str">
        <x:v>BSP</x:v>
      </x:c>
      <x:c r="K356" t="str">
        <x:v>EVM row</x:v>
      </x:c>
      <x:c r="L356" s="133" t="str">
        <x:f>IF(D356&lt;=0,"No EVM votes",IF(E356&lt;$N$7,"Low",IF(E356&gt;$R$7,"High","Middle")))</x:f>
        <x:v>Middle</x:v>
      </x:c>
      <x:c r="M356" s="133" t="str">
        <x:f>IF(D356&lt;=0,"No EVM votes",IF(H356&lt;-20%,"Large deficit",IF(H356&lt;-5%,"Moderate deficit",IF(H356&lt;0,"Narrow deficit",IF(H356&lt;=5%,"Narrow lead/tie",IF(H356&lt;=20%,"Moderate lead","Large lead"))))))</x:f>
        <x:v>Large deficit</x:v>
      </x:c>
    </x:row>
    <x:row r="357">
      <x:c r="A357" t="n">
        <x:v>298</x:v>
      </x:c>
      <x:c r="B357" t="str">
        <x:v>[Location not in Form 20 PDF]</x:v>
      </x:c>
      <x:c r="C357" s="83" t="n">
        <x:f>'2024 Form20'!H306</x:f>
        <x:v>1</x:v>
      </x:c>
      <x:c r="D357" s="83" t="n">
        <x:f>'2024 Form20'!D306</x:f>
        <x:v>498</x:v>
      </x:c>
      <x:c r="E357" s="50" t="n">
        <x:f>'2024 Form20'!W306</x:f>
        <x:v>0.002008032128514056</x:v>
      </x:c>
      <x:c r="F357" t="n">
        <x:f>'2024 Form20'!X306</x:f>
        <x:v>416</x:v>
      </x:c>
      <x:c r="G357" t="n">
        <x:f>'2024 Form20'!Y306</x:f>
        <x:v>-415</x:v>
      </x:c>
      <x:c r="H357" s="52" t="n">
        <x:f>'2024 Form20'!Z306</x:f>
        <x:v>-0.8333333333333334</x:v>
      </x:c>
      <x:c r="I357" t="str">
        <x:v>Dr. Mahesh Sharma</x:v>
      </x:c>
      <x:c r="J357" t="str">
        <x:v>BJP</x:v>
      </x:c>
      <x:c r="K357" t="str">
        <x:v>EVM row</x:v>
      </x:c>
      <x:c r="L357" s="133" t="str">
        <x:f>IF(D357&lt;=0,"No EVM votes",IF(E357&lt;$N$7,"Low",IF(E357&gt;$R$7,"High","Middle")))</x:f>
        <x:v>Low</x:v>
      </x:c>
      <x:c r="M357" s="133" t="str">
        <x:f>IF(D357&lt;=0,"No EVM votes",IF(H357&lt;-20%,"Large deficit",IF(H357&lt;-5%,"Moderate deficit",IF(H357&lt;0,"Narrow deficit",IF(H357&lt;=5%,"Narrow lead/tie",IF(H357&lt;=20%,"Moderate lead","Large lead"))))))</x:f>
        <x:v>Large deficit</x:v>
      </x:c>
    </x:row>
    <x:row r="358">
      <x:c r="A358" t="n">
        <x:v>299</x:v>
      </x:c>
      <x:c r="B358" t="str">
        <x:v>[Location not in Form 20 PDF]</x:v>
      </x:c>
      <x:c r="C358" s="83" t="n">
        <x:f>'2024 Form20'!H307</x:f>
        <x:v>17</x:v>
      </x:c>
      <x:c r="D358" s="83" t="n">
        <x:f>'2024 Form20'!D307</x:f>
        <x:v>457</x:v>
      </x:c>
      <x:c r="E358" s="50" t="n">
        <x:f>'2024 Form20'!W307</x:f>
        <x:v>0.037199124726477024</x:v>
      </x:c>
      <x:c r="F358" t="n">
        <x:f>'2024 Form20'!X307</x:f>
        <x:v>372</x:v>
      </x:c>
      <x:c r="G358" t="n">
        <x:f>'2024 Form20'!Y307</x:f>
        <x:v>-355</x:v>
      </x:c>
      <x:c r="H358" s="52" t="n">
        <x:f>'2024 Form20'!Z307</x:f>
        <x:v>-0.7768052516411379</x:v>
      </x:c>
      <x:c r="I358" t="str">
        <x:v>Dr. Mahesh Sharma</x:v>
      </x:c>
      <x:c r="J358" t="str">
        <x:v>BJP</x:v>
      </x:c>
      <x:c r="K358" t="str">
        <x:v>EVM row</x:v>
      </x:c>
      <x:c r="L358" s="133" t="str">
        <x:f>IF(D358&lt;=0,"No EVM votes",IF(E358&lt;$N$7,"Low",IF(E358&gt;$R$7,"High","Middle")))</x:f>
        <x:v>Middle</x:v>
      </x:c>
      <x:c r="M358" s="133" t="str">
        <x:f>IF(D358&lt;=0,"No EVM votes",IF(H358&lt;-20%,"Large deficit",IF(H358&lt;-5%,"Moderate deficit",IF(H358&lt;0,"Narrow deficit",IF(H358&lt;=5%,"Narrow lead/tie",IF(H358&lt;=20%,"Moderate lead","Large lead"))))))</x:f>
        <x:v>Large deficit</x:v>
      </x:c>
    </x:row>
    <x:row r="359">
      <x:c r="A359" t="n">
        <x:v>300</x:v>
      </x:c>
      <x:c r="B359" t="str">
        <x:v>[Location not in Form 20 PDF]</x:v>
      </x:c>
      <x:c r="C359" s="83" t="n">
        <x:f>'2024 Form20'!H308</x:f>
        <x:v>33</x:v>
      </x:c>
      <x:c r="D359" s="83" t="n">
        <x:f>'2024 Form20'!D308</x:f>
        <x:v>473</x:v>
      </x:c>
      <x:c r="E359" s="50" t="n">
        <x:f>'2024 Form20'!W308</x:f>
        <x:v>0.06976744186046512</x:v>
      </x:c>
      <x:c r="F359" t="n">
        <x:f>'2024 Form20'!X308</x:f>
        <x:v>339</x:v>
      </x:c>
      <x:c r="G359" t="n">
        <x:f>'2024 Form20'!Y308</x:f>
        <x:v>-306</x:v>
      </x:c>
      <x:c r="H359" s="52" t="n">
        <x:f>'2024 Form20'!Z308</x:f>
        <x:v>-0.6469344608879493</x:v>
      </x:c>
      <x:c r="I359" t="str">
        <x:v>Rajendra Singh Solanki</x:v>
      </x:c>
      <x:c r="J359" t="str">
        <x:v>BSP</x:v>
      </x:c>
      <x:c r="K359" t="str">
        <x:v>EVM row</x:v>
      </x:c>
      <x:c r="L359" s="133" t="str">
        <x:f>IF(D359&lt;=0,"No EVM votes",IF(E359&lt;$N$7,"Low",IF(E359&gt;$R$7,"High","Middle")))</x:f>
        <x:v>Middle</x:v>
      </x:c>
      <x:c r="M359" s="133" t="str">
        <x:f>IF(D359&lt;=0,"No EVM votes",IF(H359&lt;-20%,"Large deficit",IF(H359&lt;-5%,"Moderate deficit",IF(H359&lt;0,"Narrow deficit",IF(H359&lt;=5%,"Narrow lead/tie",IF(H359&lt;=20%,"Moderate lead","Large lead"))))))</x:f>
        <x:v>Large deficit</x:v>
      </x:c>
    </x:row>
    <x:row r="360">
      <x:c r="A360" t="n">
        <x:v>301</x:v>
      </x:c>
      <x:c r="B360" t="str">
        <x:v>[Location not in Form 20 PDF]</x:v>
      </x:c>
      <x:c r="C360" s="83" t="n">
        <x:f>'2024 Form20'!H309</x:f>
        <x:v>1</x:v>
      </x:c>
      <x:c r="D360" s="83" t="n">
        <x:f>'2024 Form20'!D309</x:f>
        <x:v>222</x:v>
      </x:c>
      <x:c r="E360" s="50" t="n">
        <x:f>'2024 Form20'!W309</x:f>
        <x:v>0.0045045045045045045</x:v>
      </x:c>
      <x:c r="F360" t="n">
        <x:f>'2024 Form20'!X309</x:f>
        <x:v>133</x:v>
      </x:c>
      <x:c r="G360" t="n">
        <x:f>'2024 Form20'!Y309</x:f>
        <x:v>-132</x:v>
      </x:c>
      <x:c r="H360" s="52" t="n">
        <x:f>'2024 Form20'!Z309</x:f>
        <x:v>-0.5945945945945946</x:v>
      </x:c>
      <x:c r="I360" t="str">
        <x:v>Rajendra Singh Solanki</x:v>
      </x:c>
      <x:c r="J360" t="str">
        <x:v>BSP</x:v>
      </x:c>
      <x:c r="K360" t="str">
        <x:v>EVM row</x:v>
      </x:c>
      <x:c r="L360" s="133" t="str">
        <x:f>IF(D360&lt;=0,"No EVM votes",IF(E360&lt;$N$7,"Low",IF(E360&gt;$R$7,"High","Middle")))</x:f>
        <x:v>Low</x:v>
      </x:c>
      <x:c r="M360" s="133" t="str">
        <x:f>IF(D360&lt;=0,"No EVM votes",IF(H360&lt;-20%,"Large deficit",IF(H360&lt;-5%,"Moderate deficit",IF(H360&lt;0,"Narrow deficit",IF(H360&lt;=5%,"Narrow lead/tie",IF(H360&lt;=20%,"Moderate lead","Large lead"))))))</x:f>
        <x:v>Large deficit</x:v>
      </x:c>
    </x:row>
    <x:row r="361">
      <x:c r="A361" t="n">
        <x:v>302</x:v>
      </x:c>
      <x:c r="B361" t="str">
        <x:v>[Location not in Form 20 PDF]</x:v>
      </x:c>
      <x:c r="C361" s="83" t="n">
        <x:f>'2024 Form20'!H310</x:f>
        <x:v>24</x:v>
      </x:c>
      <x:c r="D361" s="83" t="n">
        <x:f>'2024 Form20'!D310</x:f>
        <x:v>488</x:v>
      </x:c>
      <x:c r="E361" s="50" t="n">
        <x:f>'2024 Form20'!W310</x:f>
        <x:v>0.04918032786885246</x:v>
      </x:c>
      <x:c r="F361" t="n">
        <x:f>'2024 Form20'!X310</x:f>
        <x:v>450</x:v>
      </x:c>
      <x:c r="G361" t="n">
        <x:f>'2024 Form20'!Y310</x:f>
        <x:v>-426</x:v>
      </x:c>
      <x:c r="H361" s="52" t="n">
        <x:f>'2024 Form20'!Z310</x:f>
        <x:v>-0.8729508196721312</x:v>
      </x:c>
      <x:c r="I361" t="str">
        <x:v>Dr. Mahesh Sharma</x:v>
      </x:c>
      <x:c r="J361" t="str">
        <x:v>BJP</x:v>
      </x:c>
      <x:c r="K361" t="str">
        <x:v>EVM row</x:v>
      </x:c>
      <x:c r="L361" s="133" t="str">
        <x:f>IF(D361&lt;=0,"No EVM votes",IF(E361&lt;$N$7,"Low",IF(E361&gt;$R$7,"High","Middle")))</x:f>
        <x:v>Middle</x:v>
      </x:c>
      <x:c r="M361" s="133" t="str">
        <x:f>IF(D361&lt;=0,"No EVM votes",IF(H361&lt;-20%,"Large deficit",IF(H361&lt;-5%,"Moderate deficit",IF(H361&lt;0,"Narrow deficit",IF(H361&lt;=5%,"Narrow lead/tie",IF(H361&lt;=20%,"Moderate lead","Large lead"))))))</x:f>
        <x:v>Large deficit</x:v>
      </x:c>
    </x:row>
    <x:row r="362">
      <x:c r="A362" t="n">
        <x:v>303</x:v>
      </x:c>
      <x:c r="B362" t="str">
        <x:v>[Location not in Form 20 PDF]</x:v>
      </x:c>
      <x:c r="C362" s="83" t="n">
        <x:f>'2024 Form20'!H311</x:f>
        <x:v>17</x:v>
      </x:c>
      <x:c r="D362" s="83" t="n">
        <x:f>'2024 Form20'!D311</x:f>
        <x:v>423</x:v>
      </x:c>
      <x:c r="E362" s="50" t="n">
        <x:f>'2024 Form20'!W311</x:f>
        <x:v>0.04018912529550828</x:v>
      </x:c>
      <x:c r="F362" t="n">
        <x:f>'2024 Form20'!X311</x:f>
        <x:v>278</x:v>
      </x:c>
      <x:c r="G362" t="n">
        <x:f>'2024 Form20'!Y311</x:f>
        <x:v>-261</x:v>
      </x:c>
      <x:c r="H362" s="52" t="n">
        <x:f>'2024 Form20'!Z311</x:f>
        <x:v>-0.6170212765957447</x:v>
      </x:c>
      <x:c r="I362" t="str">
        <x:v>Dr. Mahesh Sharma</x:v>
      </x:c>
      <x:c r="J362" t="str">
        <x:v>BJP</x:v>
      </x:c>
      <x:c r="K362" t="str">
        <x:v>EVM row</x:v>
      </x:c>
      <x:c r="L362" s="133" t="str">
        <x:f>IF(D362&lt;=0,"No EVM votes",IF(E362&lt;$N$7,"Low",IF(E362&gt;$R$7,"High","Middle")))</x:f>
        <x:v>Middle</x:v>
      </x:c>
      <x:c r="M362" s="133" t="str">
        <x:f>IF(D362&lt;=0,"No EVM votes",IF(H362&lt;-20%,"Large deficit",IF(H362&lt;-5%,"Moderate deficit",IF(H362&lt;0,"Narrow deficit",IF(H362&lt;=5%,"Narrow lead/tie",IF(H362&lt;=20%,"Moderate lead","Large lead"))))))</x:f>
        <x:v>Large deficit</x:v>
      </x:c>
    </x:row>
    <x:row r="363">
      <x:c r="A363" t="n">
        <x:v>304</x:v>
      </x:c>
      <x:c r="B363" t="str">
        <x:v>[Location not in Form 20 PDF]</x:v>
      </x:c>
      <x:c r="C363" s="83" t="n">
        <x:f>'2024 Form20'!H312</x:f>
        <x:v>10</x:v>
      </x:c>
      <x:c r="D363" s="83" t="n">
        <x:f>'2024 Form20'!D312</x:f>
        <x:v>529</x:v>
      </x:c>
      <x:c r="E363" s="50" t="n">
        <x:f>'2024 Form20'!W312</x:f>
        <x:v>0.01890359168241966</x:v>
      </x:c>
      <x:c r="F363" t="n">
        <x:f>'2024 Form20'!X312</x:f>
        <x:v>393</x:v>
      </x:c>
      <x:c r="G363" t="n">
        <x:f>'2024 Form20'!Y312</x:f>
        <x:v>-383</x:v>
      </x:c>
      <x:c r="H363" s="52" t="n">
        <x:f>'2024 Form20'!Z312</x:f>
        <x:v>-0.724007561436673</x:v>
      </x:c>
      <x:c r="I363" t="str">
        <x:v>Rajendra Singh Solanki</x:v>
      </x:c>
      <x:c r="J363" t="str">
        <x:v>BSP</x:v>
      </x:c>
      <x:c r="K363" t="str">
        <x:v>EVM row</x:v>
      </x:c>
      <x:c r="L363" s="133" t="str">
        <x:f>IF(D363&lt;=0,"No EVM votes",IF(E363&lt;$N$7,"Low",IF(E363&gt;$R$7,"High","Middle")))</x:f>
        <x:v>Low</x:v>
      </x:c>
      <x:c r="M363" s="133" t="str">
        <x:f>IF(D363&lt;=0,"No EVM votes",IF(H363&lt;-20%,"Large deficit",IF(H363&lt;-5%,"Moderate deficit",IF(H363&lt;0,"Narrow deficit",IF(H363&lt;=5%,"Narrow lead/tie",IF(H363&lt;=20%,"Moderate lead","Large lead"))))))</x:f>
        <x:v>Large deficit</x:v>
      </x:c>
    </x:row>
    <x:row r="364">
      <x:c r="A364" t="n">
        <x:v>305</x:v>
      </x:c>
      <x:c r="B364" t="str">
        <x:v>[Location not in Form 20 PDF]</x:v>
      </x:c>
      <x:c r="C364" s="83" t="n">
        <x:f>'2024 Form20'!H313</x:f>
        <x:v>10</x:v>
      </x:c>
      <x:c r="D364" s="83" t="n">
        <x:f>'2024 Form20'!D313</x:f>
        <x:v>366</x:v>
      </x:c>
      <x:c r="E364" s="50" t="n">
        <x:f>'2024 Form20'!W313</x:f>
        <x:v>0.0273224043715847</x:v>
      </x:c>
      <x:c r="F364" t="n">
        <x:f>'2024 Form20'!X313</x:f>
        <x:v>203</x:v>
      </x:c>
      <x:c r="G364" t="n">
        <x:f>'2024 Form20'!Y313</x:f>
        <x:v>-193</x:v>
      </x:c>
      <x:c r="H364" s="52" t="n">
        <x:f>'2024 Form20'!Z313</x:f>
        <x:v>-0.5273224043715847</x:v>
      </x:c>
      <x:c r="I364" t="str">
        <x:v>Dr. Mahesh Sharma</x:v>
      </x:c>
      <x:c r="J364" t="str">
        <x:v>BJP</x:v>
      </x:c>
      <x:c r="K364" t="str">
        <x:v>EVM row</x:v>
      </x:c>
      <x:c r="L364" s="133" t="str">
        <x:f>IF(D364&lt;=0,"No EVM votes",IF(E364&lt;$N$7,"Low",IF(E364&gt;$R$7,"High","Middle")))</x:f>
        <x:v>Low</x:v>
      </x:c>
      <x:c r="M364" s="133" t="str">
        <x:f>IF(D364&lt;=0,"No EVM votes",IF(H364&lt;-20%,"Large deficit",IF(H364&lt;-5%,"Moderate deficit",IF(H364&lt;0,"Narrow deficit",IF(H364&lt;=5%,"Narrow lead/tie",IF(H364&lt;=20%,"Moderate lead","Large lead"))))))</x:f>
        <x:v>Large deficit</x:v>
      </x:c>
    </x:row>
    <x:row r="365">
      <x:c r="A365" t="n">
        <x:v>306</x:v>
      </x:c>
      <x:c r="B365" t="str">
        <x:v>[Location not in Form 20 PDF]</x:v>
      </x:c>
      <x:c r="C365" s="83" t="n">
        <x:f>'2024 Form20'!H314</x:f>
        <x:v>9</x:v>
      </x:c>
      <x:c r="D365" s="83" t="n">
        <x:f>'2024 Form20'!D314</x:f>
        <x:v>595</x:v>
      </x:c>
      <x:c r="E365" s="50" t="n">
        <x:f>'2024 Form20'!W314</x:f>
        <x:v>0.015126050420168067</x:v>
      </x:c>
      <x:c r="F365" t="n">
        <x:f>'2024 Form20'!X314</x:f>
        <x:v>292</x:v>
      </x:c>
      <x:c r="G365" t="n">
        <x:f>'2024 Form20'!Y314</x:f>
        <x:v>-283</x:v>
      </x:c>
      <x:c r="H365" s="52" t="n">
        <x:f>'2024 Form20'!Z314</x:f>
        <x:v>-0.4756302521008403</x:v>
      </x:c>
      <x:c r="I365" t="str">
        <x:v>Rajendra Singh Solanki</x:v>
      </x:c>
      <x:c r="J365" t="str">
        <x:v>BSP</x:v>
      </x:c>
      <x:c r="K365" t="str">
        <x:v>EVM row</x:v>
      </x:c>
      <x:c r="L365" s="133" t="str">
        <x:f>IF(D365&lt;=0,"No EVM votes",IF(E365&lt;$N$7,"Low",IF(E365&gt;$R$7,"High","Middle")))</x:f>
        <x:v>Low</x:v>
      </x:c>
      <x:c r="M365" s="133" t="str">
        <x:f>IF(D365&lt;=0,"No EVM votes",IF(H365&lt;-20%,"Large deficit",IF(H365&lt;-5%,"Moderate deficit",IF(H365&lt;0,"Narrow deficit",IF(H365&lt;=5%,"Narrow lead/tie",IF(H365&lt;=20%,"Moderate lead","Large lead"))))))</x:f>
        <x:v>Large deficit</x:v>
      </x:c>
    </x:row>
    <x:row r="366">
      <x:c r="A366" t="n">
        <x:v>307</x:v>
      </x:c>
      <x:c r="B366" t="str">
        <x:v>[Location not in Form 20 PDF]</x:v>
      </x:c>
      <x:c r="C366" s="83" t="n">
        <x:f>'2024 Form20'!H315</x:f>
        <x:v>8</x:v>
      </x:c>
      <x:c r="D366" s="83" t="n">
        <x:f>'2024 Form20'!D315</x:f>
        <x:v>477</x:v>
      </x:c>
      <x:c r="E366" s="50" t="n">
        <x:f>'2024 Form20'!W315</x:f>
        <x:v>0.016771488469601678</x:v>
      </x:c>
      <x:c r="F366" t="n">
        <x:f>'2024 Form20'!X315</x:f>
        <x:v>299</x:v>
      </x:c>
      <x:c r="G366" t="n">
        <x:f>'2024 Form20'!Y315</x:f>
        <x:v>-291</x:v>
      </x:c>
      <x:c r="H366" s="52" t="n">
        <x:f>'2024 Form20'!Z315</x:f>
        <x:v>-0.610062893081761</x:v>
      </x:c>
      <x:c r="I366" t="str">
        <x:v>Rajendra Singh Solanki</x:v>
      </x:c>
      <x:c r="J366" t="str">
        <x:v>BSP</x:v>
      </x:c>
      <x:c r="K366" t="str">
        <x:v>EVM row</x:v>
      </x:c>
      <x:c r="L366" s="133" t="str">
        <x:f>IF(D366&lt;=0,"No EVM votes",IF(E366&lt;$N$7,"Low",IF(E366&gt;$R$7,"High","Middle")))</x:f>
        <x:v>Low</x:v>
      </x:c>
      <x:c r="M366" s="133" t="str">
        <x:f>IF(D366&lt;=0,"No EVM votes",IF(H366&lt;-20%,"Large deficit",IF(H366&lt;-5%,"Moderate deficit",IF(H366&lt;0,"Narrow deficit",IF(H366&lt;=5%,"Narrow lead/tie",IF(H366&lt;=20%,"Moderate lead","Large lead"))))))</x:f>
        <x:v>Large deficit</x:v>
      </x:c>
    </x:row>
    <x:row r="367">
      <x:c r="A367" t="n">
        <x:v>308</x:v>
      </x:c>
      <x:c r="B367" t="str">
        <x:v>[Location not in Form 20 PDF]</x:v>
      </x:c>
      <x:c r="C367" s="83" t="n">
        <x:f>'2024 Form20'!H316</x:f>
        <x:v>12</x:v>
      </x:c>
      <x:c r="D367" s="83" t="n">
        <x:f>'2024 Form20'!D316</x:f>
        <x:v>484</x:v>
      </x:c>
      <x:c r="E367" s="50" t="n">
        <x:f>'2024 Form20'!W316</x:f>
        <x:v>0.024793388429752067</x:v>
      </x:c>
      <x:c r="F367" t="n">
        <x:f>'2024 Form20'!X316</x:f>
        <x:v>285</x:v>
      </x:c>
      <x:c r="G367" t="n">
        <x:f>'2024 Form20'!Y316</x:f>
        <x:v>-273</x:v>
      </x:c>
      <x:c r="H367" s="52" t="n">
        <x:f>'2024 Form20'!Z316</x:f>
        <x:v>-0.5640495867768595</x:v>
      </x:c>
      <x:c r="I367" t="str">
        <x:v>Dr. Mahesh Sharma</x:v>
      </x:c>
      <x:c r="J367" t="str">
        <x:v>BJP</x:v>
      </x:c>
      <x:c r="K367" t="str">
        <x:v>EVM row</x:v>
      </x:c>
      <x:c r="L367" s="133" t="str">
        <x:f>IF(D367&lt;=0,"No EVM votes",IF(E367&lt;$N$7,"Low",IF(E367&gt;$R$7,"High","Middle")))</x:f>
        <x:v>Low</x:v>
      </x:c>
      <x:c r="M367" s="133" t="str">
        <x:f>IF(D367&lt;=0,"No EVM votes",IF(H367&lt;-20%,"Large deficit",IF(H367&lt;-5%,"Moderate deficit",IF(H367&lt;0,"Narrow deficit",IF(H367&lt;=5%,"Narrow lead/tie",IF(H367&lt;=20%,"Moderate lead","Large lead"))))))</x:f>
        <x:v>Large deficit</x:v>
      </x:c>
    </x:row>
    <x:row r="368">
      <x:c r="A368" t="n">
        <x:v>309</x:v>
      </x:c>
      <x:c r="B368" t="str">
        <x:v>[Location not in Form 20 PDF]</x:v>
      </x:c>
      <x:c r="C368" s="83" t="n">
        <x:f>'2024 Form20'!H317</x:f>
        <x:v>9</x:v>
      </x:c>
      <x:c r="D368" s="83" t="n">
        <x:f>'2024 Form20'!D317</x:f>
        <x:v>643</x:v>
      </x:c>
      <x:c r="E368" s="50" t="n">
        <x:f>'2024 Form20'!W317</x:f>
        <x:v>0.013996889580093312</x:v>
      </x:c>
      <x:c r="F368" t="n">
        <x:f>'2024 Form20'!X317</x:f>
        <x:v>448</x:v>
      </x:c>
      <x:c r="G368" t="n">
        <x:f>'2024 Form20'!Y317</x:f>
        <x:v>-439</x:v>
      </x:c>
      <x:c r="H368" s="52" t="n">
        <x:f>'2024 Form20'!Z317</x:f>
        <x:v>-0.6827371695178849</x:v>
      </x:c>
      <x:c r="I368" t="str">
        <x:v>Dr. Mahesh Sharma</x:v>
      </x:c>
      <x:c r="J368" t="str">
        <x:v>BJP</x:v>
      </x:c>
      <x:c r="K368" t="str">
        <x:v>EVM row</x:v>
      </x:c>
      <x:c r="L368" s="133" t="str">
        <x:f>IF(D368&lt;=0,"No EVM votes",IF(E368&lt;$N$7,"Low",IF(E368&gt;$R$7,"High","Middle")))</x:f>
        <x:v>Low</x:v>
      </x:c>
      <x:c r="M368" s="133" t="str">
        <x:f>IF(D368&lt;=0,"No EVM votes",IF(H368&lt;-20%,"Large deficit",IF(H368&lt;-5%,"Moderate deficit",IF(H368&lt;0,"Narrow deficit",IF(H368&lt;=5%,"Narrow lead/tie",IF(H368&lt;=20%,"Moderate lead","Large lead"))))))</x:f>
        <x:v>Large deficit</x:v>
      </x:c>
    </x:row>
    <x:row r="369">
      <x:c r="A369" t="n">
        <x:v>310</x:v>
      </x:c>
      <x:c r="B369" t="str">
        <x:v>[Location not in Form 20 PDF]</x:v>
      </x:c>
      <x:c r="C369" s="83" t="n">
        <x:f>'2024 Form20'!H318</x:f>
        <x:v>70</x:v>
      </x:c>
      <x:c r="D369" s="83" t="n">
        <x:f>'2024 Form20'!D318</x:f>
        <x:v>201</x:v>
      </x:c>
      <x:c r="E369" s="50" t="n">
        <x:f>'2024 Form20'!W318</x:f>
        <x:v>0.3482587064676617</x:v>
      </x:c>
      <x:c r="F369" t="n">
        <x:f>'2024 Form20'!X318</x:f>
        <x:v>103</x:v>
      </x:c>
      <x:c r="G369" t="n">
        <x:f>'2024 Form20'!Y318</x:f>
        <x:v>-33</x:v>
      </x:c>
      <x:c r="H369" s="52" t="n">
        <x:f>'2024 Form20'!Z318</x:f>
        <x:v>-0.16417910447761194</x:v>
      </x:c>
      <x:c r="I369" t="str">
        <x:v>Dr. Mahesh Sharma</x:v>
      </x:c>
      <x:c r="J369" t="str">
        <x:v>BJP</x:v>
      </x:c>
      <x:c r="K369" t="str">
        <x:v>EVM row</x:v>
      </x:c>
      <x:c r="L369" s="133" t="str">
        <x:f>IF(D369&lt;=0,"No EVM votes",IF(E369&lt;$N$7,"Low",IF(E369&gt;$R$7,"High","Middle")))</x:f>
        <x:v>High</x:v>
      </x:c>
      <x:c r="M369" s="133" t="str">
        <x:f>IF(D369&lt;=0,"No EVM votes",IF(H369&lt;-20%,"Large deficit",IF(H369&lt;-5%,"Moderate deficit",IF(H369&lt;0,"Narrow deficit",IF(H369&lt;=5%,"Narrow lead/tie",IF(H369&lt;=20%,"Moderate lead","Large lead"))))))</x:f>
        <x:v>Moderate deficit</x:v>
      </x:c>
    </x:row>
    <x:row r="370">
      <x:c r="A370" t="n">
        <x:v>311</x:v>
      </x:c>
      <x:c r="B370" t="str">
        <x:v>[Location not in Form 20 PDF]</x:v>
      </x:c>
      <x:c r="C370" s="83" t="n">
        <x:f>'2024 Form20'!H319</x:f>
        <x:v>14</x:v>
      </x:c>
      <x:c r="D370" s="83" t="n">
        <x:f>'2024 Form20'!D319</x:f>
        <x:v>625</x:v>
      </x:c>
      <x:c r="E370" s="50" t="n">
        <x:f>'2024 Form20'!W319</x:f>
        <x:v>0.0224</x:v>
      </x:c>
      <x:c r="F370" t="n">
        <x:f>'2024 Form20'!X319</x:f>
        <x:v>377</x:v>
      </x:c>
      <x:c r="G370" t="n">
        <x:f>'2024 Form20'!Y319</x:f>
        <x:v>-363</x:v>
      </x:c>
      <x:c r="H370" s="52" t="n">
        <x:f>'2024 Form20'!Z319</x:f>
        <x:v>-0.5808</x:v>
      </x:c>
      <x:c r="I370" t="str">
        <x:v>Dr. Mahesh Sharma</x:v>
      </x:c>
      <x:c r="J370" t="str">
        <x:v>BJP</x:v>
      </x:c>
      <x:c r="K370" t="str">
        <x:v>EVM row</x:v>
      </x:c>
      <x:c r="L370" s="133" t="str">
        <x:f>IF(D370&lt;=0,"No EVM votes",IF(E370&lt;$N$7,"Low",IF(E370&gt;$R$7,"High","Middle")))</x:f>
        <x:v>Low</x:v>
      </x:c>
      <x:c r="M370" s="133" t="str">
        <x:f>IF(D370&lt;=0,"No EVM votes",IF(H370&lt;-20%,"Large deficit",IF(H370&lt;-5%,"Moderate deficit",IF(H370&lt;0,"Narrow deficit",IF(H370&lt;=5%,"Narrow lead/tie",IF(H370&lt;=20%,"Moderate lead","Large lead"))))))</x:f>
        <x:v>Large deficit</x:v>
      </x:c>
    </x:row>
    <x:row r="371">
      <x:c r="A371" t="n">
        <x:v>312</x:v>
      </x:c>
      <x:c r="B371" t="str">
        <x:v>[Location not in Form 20 PDF]</x:v>
      </x:c>
      <x:c r="C371" s="83" t="n">
        <x:f>'2024 Form20'!H320</x:f>
        <x:v>6</x:v>
      </x:c>
      <x:c r="D371" s="83" t="n">
        <x:f>'2024 Form20'!D320</x:f>
        <x:v>794</x:v>
      </x:c>
      <x:c r="E371" s="50" t="n">
        <x:f>'2024 Form20'!W320</x:f>
        <x:v>0.007556675062972292</x:v>
      </x:c>
      <x:c r="F371" t="n">
        <x:f>'2024 Form20'!X320</x:f>
        <x:v>492</x:v>
      </x:c>
      <x:c r="G371" t="n">
        <x:f>'2024 Form20'!Y320</x:f>
        <x:v>-486</x:v>
      </x:c>
      <x:c r="H371" s="52" t="n">
        <x:f>'2024 Form20'!Z320</x:f>
        <x:v>-0.6120906801007556</x:v>
      </x:c>
      <x:c r="I371" t="str">
        <x:v>Dr. Mahesh Sharma</x:v>
      </x:c>
      <x:c r="J371" t="str">
        <x:v>BJP</x:v>
      </x:c>
      <x:c r="K371" t="str">
        <x:v>EVM row</x:v>
      </x:c>
      <x:c r="L371" s="133" t="str">
        <x:f>IF(D371&lt;=0,"No EVM votes",IF(E371&lt;$N$7,"Low",IF(E371&gt;$R$7,"High","Middle")))</x:f>
        <x:v>Low</x:v>
      </x:c>
      <x:c r="M371" s="133" t="str">
        <x:f>IF(D371&lt;=0,"No EVM votes",IF(H371&lt;-20%,"Large deficit",IF(H371&lt;-5%,"Moderate deficit",IF(H371&lt;0,"Narrow deficit",IF(H371&lt;=5%,"Narrow lead/tie",IF(H371&lt;=20%,"Moderate lead","Large lead"))))))</x:f>
        <x:v>Large deficit</x:v>
      </x:c>
    </x:row>
    <x:row r="372">
      <x:c r="A372" t="n">
        <x:v>313</x:v>
      </x:c>
      <x:c r="B372" t="str">
        <x:v>[Location not in Form 20 PDF]</x:v>
      </x:c>
      <x:c r="C372" s="83" t="n">
        <x:f>'2024 Form20'!H321</x:f>
        <x:v>2</x:v>
      </x:c>
      <x:c r="D372" s="83" t="n">
        <x:f>'2024 Form20'!D321</x:f>
        <x:v>584</x:v>
      </x:c>
      <x:c r="E372" s="50" t="n">
        <x:f>'2024 Form20'!W321</x:f>
        <x:v>0.003424657534246575</x:v>
      </x:c>
      <x:c r="F372" t="n">
        <x:f>'2024 Form20'!X321</x:f>
        <x:v>497</x:v>
      </x:c>
      <x:c r="G372" t="n">
        <x:f>'2024 Form20'!Y321</x:f>
        <x:v>-495</x:v>
      </x:c>
      <x:c r="H372" s="52" t="n">
        <x:f>'2024 Form20'!Z321</x:f>
        <x:v>-0.8476027397260274</x:v>
      </x:c>
      <x:c r="I372" t="str">
        <x:v>Dr. Mahesh Sharma</x:v>
      </x:c>
      <x:c r="J372" t="str">
        <x:v>BJP</x:v>
      </x:c>
      <x:c r="K372" t="str">
        <x:v>EVM row</x:v>
      </x:c>
      <x:c r="L372" s="133" t="str">
        <x:f>IF(D372&lt;=0,"No EVM votes",IF(E372&lt;$N$7,"Low",IF(E372&gt;$R$7,"High","Middle")))</x:f>
        <x:v>Low</x:v>
      </x:c>
      <x:c r="M372" s="133" t="str">
        <x:f>IF(D372&lt;=0,"No EVM votes",IF(H372&lt;-20%,"Large deficit",IF(H372&lt;-5%,"Moderate deficit",IF(H372&lt;0,"Narrow deficit",IF(H372&lt;=5%,"Narrow lead/tie",IF(H372&lt;=20%,"Moderate lead","Large lead"))))))</x:f>
        <x:v>Large deficit</x:v>
      </x:c>
    </x:row>
    <x:row r="373">
      <x:c r="A373" t="n">
        <x:v>314</x:v>
      </x:c>
      <x:c r="B373" t="str">
        <x:v>[Location not in Form 20 PDF]</x:v>
      </x:c>
      <x:c r="C373" s="83" t="n">
        <x:f>'2024 Form20'!H322</x:f>
        <x:v>15</x:v>
      </x:c>
      <x:c r="D373" s="83" t="n">
        <x:f>'2024 Form20'!D322</x:f>
        <x:v>626</x:v>
      </x:c>
      <x:c r="E373" s="50" t="n">
        <x:f>'2024 Form20'!W322</x:f>
        <x:v>0.023961661341853034</x:v>
      </x:c>
      <x:c r="F373" t="n">
        <x:f>'2024 Form20'!X322</x:f>
        <x:v>469</x:v>
      </x:c>
      <x:c r="G373" t="n">
        <x:f>'2024 Form20'!Y322</x:f>
        <x:v>-454</x:v>
      </x:c>
      <x:c r="H373" s="52" t="n">
        <x:f>'2024 Form20'!Z322</x:f>
        <x:v>-0.7252396166134185</x:v>
      </x:c>
      <x:c r="I373" t="str">
        <x:v>Dr. Mahesh Sharma</x:v>
      </x:c>
      <x:c r="J373" t="str">
        <x:v>BJP</x:v>
      </x:c>
      <x:c r="K373" t="str">
        <x:v>EVM row</x:v>
      </x:c>
      <x:c r="L373" s="133" t="str">
        <x:f>IF(D373&lt;=0,"No EVM votes",IF(E373&lt;$N$7,"Low",IF(E373&gt;$R$7,"High","Middle")))</x:f>
        <x:v>Low</x:v>
      </x:c>
      <x:c r="M373" s="133" t="str">
        <x:f>IF(D373&lt;=0,"No EVM votes",IF(H373&lt;-20%,"Large deficit",IF(H373&lt;-5%,"Moderate deficit",IF(H373&lt;0,"Narrow deficit",IF(H373&lt;=5%,"Narrow lead/tie",IF(H373&lt;=20%,"Moderate lead","Large lead"))))))</x:f>
        <x:v>Large deficit</x:v>
      </x:c>
    </x:row>
    <x:row r="374">
      <x:c r="A374" t="n">
        <x:v>315</x:v>
      </x:c>
      <x:c r="B374" t="str">
        <x:v>[Location not in Form 20 PDF]</x:v>
      </x:c>
      <x:c r="C374" s="83" t="n">
        <x:f>'2024 Form20'!H323</x:f>
        <x:v>25</x:v>
      </x:c>
      <x:c r="D374" s="83" t="n">
        <x:f>'2024 Form20'!D323</x:f>
        <x:v>486</x:v>
      </x:c>
      <x:c r="E374" s="50" t="n">
        <x:f>'2024 Form20'!W323</x:f>
        <x:v>0.051440329218107</x:v>
      </x:c>
      <x:c r="F374" t="n">
        <x:f>'2024 Form20'!X323</x:f>
        <x:v>226</x:v>
      </x:c>
      <x:c r="G374" t="n">
        <x:f>'2024 Form20'!Y323</x:f>
        <x:v>-201</x:v>
      </x:c>
      <x:c r="H374" s="52" t="n">
        <x:f>'2024 Form20'!Z323</x:f>
        <x:v>-0.41358024691358025</x:v>
      </x:c>
      <x:c r="I374" t="str">
        <x:v>Dr. Mahesh Sharma</x:v>
      </x:c>
      <x:c r="J374" t="str">
        <x:v>BJP</x:v>
      </x:c>
      <x:c r="K374" t="str">
        <x:v>EVM row</x:v>
      </x:c>
      <x:c r="L374" s="133" t="str">
        <x:f>IF(D374&lt;=0,"No EVM votes",IF(E374&lt;$N$7,"Low",IF(E374&gt;$R$7,"High","Middle")))</x:f>
        <x:v>Middle</x:v>
      </x:c>
      <x:c r="M374" s="133" t="str">
        <x:f>IF(D374&lt;=0,"No EVM votes",IF(H374&lt;-20%,"Large deficit",IF(H374&lt;-5%,"Moderate deficit",IF(H374&lt;0,"Narrow deficit",IF(H374&lt;=5%,"Narrow lead/tie",IF(H374&lt;=20%,"Moderate lead","Large lead"))))))</x:f>
        <x:v>Large deficit</x:v>
      </x:c>
    </x:row>
    <x:row r="375">
      <x:c r="A375" t="n">
        <x:v>316</x:v>
      </x:c>
      <x:c r="B375" t="str">
        <x:v>[Location not in Form 20 PDF]</x:v>
      </x:c>
      <x:c r="C375" s="83" t="n">
        <x:f>'2024 Form20'!H324</x:f>
        <x:v>25</x:v>
      </x:c>
      <x:c r="D375" s="83" t="n">
        <x:f>'2024 Form20'!D324</x:f>
        <x:v>605</x:v>
      </x:c>
      <x:c r="E375" s="50" t="n">
        <x:f>'2024 Form20'!W324</x:f>
        <x:v>0.04132231404958678</x:v>
      </x:c>
      <x:c r="F375" t="n">
        <x:f>'2024 Form20'!X324</x:f>
        <x:v>344</x:v>
      </x:c>
      <x:c r="G375" t="n">
        <x:f>'2024 Form20'!Y324</x:f>
        <x:v>-319</x:v>
      </x:c>
      <x:c r="H375" s="52" t="n">
        <x:f>'2024 Form20'!Z324</x:f>
        <x:v>-0.5272727272727272</x:v>
      </x:c>
      <x:c r="I375" t="str">
        <x:v>Rajendra Singh Solanki</x:v>
      </x:c>
      <x:c r="J375" t="str">
        <x:v>BSP</x:v>
      </x:c>
      <x:c r="K375" t="str">
        <x:v>EVM row</x:v>
      </x:c>
      <x:c r="L375" s="133" t="str">
        <x:f>IF(D375&lt;=0,"No EVM votes",IF(E375&lt;$N$7,"Low",IF(E375&gt;$R$7,"High","Middle")))</x:f>
        <x:v>Middle</x:v>
      </x:c>
      <x:c r="M375" s="133" t="str">
        <x:f>IF(D375&lt;=0,"No EVM votes",IF(H375&lt;-20%,"Large deficit",IF(H375&lt;-5%,"Moderate deficit",IF(H375&lt;0,"Narrow deficit",IF(H375&lt;=5%,"Narrow lead/tie",IF(H375&lt;=20%,"Moderate lead","Large lead"))))))</x:f>
        <x:v>Large deficit</x:v>
      </x:c>
    </x:row>
    <x:row r="376">
      <x:c r="A376" t="n">
        <x:v>317</x:v>
      </x:c>
      <x:c r="B376" t="str">
        <x:v>[Location not in Form 20 PDF]</x:v>
      </x:c>
      <x:c r="C376" s="83" t="n">
        <x:f>'2024 Form20'!H325</x:f>
        <x:v>7</x:v>
      </x:c>
      <x:c r="D376" s="83" t="n">
        <x:f>'2024 Form20'!D325</x:f>
        <x:v>490</x:v>
      </x:c>
      <x:c r="E376" s="50" t="n">
        <x:f>'2024 Form20'!W325</x:f>
        <x:v>0.014285714285714285</x:v>
      </x:c>
      <x:c r="F376" t="n">
        <x:f>'2024 Form20'!X325</x:f>
        <x:v>396</x:v>
      </x:c>
      <x:c r="G376" t="n">
        <x:f>'2024 Form20'!Y325</x:f>
        <x:v>-389</x:v>
      </x:c>
      <x:c r="H376" s="52" t="n">
        <x:f>'2024 Form20'!Z325</x:f>
        <x:v>-0.7938775510204081</x:v>
      </x:c>
      <x:c r="I376" t="str">
        <x:v>Dr. Mahesh Sharma</x:v>
      </x:c>
      <x:c r="J376" t="str">
        <x:v>BJP</x:v>
      </x:c>
      <x:c r="K376" t="str">
        <x:v>EVM row</x:v>
      </x:c>
      <x:c r="L376" s="133" t="str">
        <x:f>IF(D376&lt;=0,"No EVM votes",IF(E376&lt;$N$7,"Low",IF(E376&gt;$R$7,"High","Middle")))</x:f>
        <x:v>Low</x:v>
      </x:c>
      <x:c r="M376" s="133" t="str">
        <x:f>IF(D376&lt;=0,"No EVM votes",IF(H376&lt;-20%,"Large deficit",IF(H376&lt;-5%,"Moderate deficit",IF(H376&lt;0,"Narrow deficit",IF(H376&lt;=5%,"Narrow lead/tie",IF(H376&lt;=20%,"Moderate lead","Large lead"))))))</x:f>
        <x:v>Large deficit</x:v>
      </x:c>
    </x:row>
    <x:row r="377">
      <x:c r="A377" t="n">
        <x:v>318</x:v>
      </x:c>
      <x:c r="B377" t="str">
        <x:v>[Location not in Form 20 PDF]</x:v>
      </x:c>
      <x:c r="C377" s="83" t="n">
        <x:f>'2024 Form20'!H326</x:f>
        <x:v>7</x:v>
      </x:c>
      <x:c r="D377" s="83" t="n">
        <x:f>'2024 Form20'!D326</x:f>
        <x:v>408</x:v>
      </x:c>
      <x:c r="E377" s="50" t="n">
        <x:f>'2024 Form20'!W326</x:f>
        <x:v>0.01715686274509804</x:v>
      </x:c>
      <x:c r="F377" t="n">
        <x:f>'2024 Form20'!X326</x:f>
        <x:v>220</x:v>
      </x:c>
      <x:c r="G377" t="n">
        <x:f>'2024 Form20'!Y326</x:f>
        <x:v>-213</x:v>
      </x:c>
      <x:c r="H377" s="52" t="n">
        <x:f>'2024 Form20'!Z326</x:f>
        <x:v>-0.5220588235294118</x:v>
      </x:c>
      <x:c r="I377" t="str">
        <x:v>Dr. Mahesh Sharma</x:v>
      </x:c>
      <x:c r="J377" t="str">
        <x:v>BJP</x:v>
      </x:c>
      <x:c r="K377" t="str">
        <x:v>EVM row</x:v>
      </x:c>
      <x:c r="L377" s="133" t="str">
        <x:f>IF(D377&lt;=0,"No EVM votes",IF(E377&lt;$N$7,"Low",IF(E377&gt;$R$7,"High","Middle")))</x:f>
        <x:v>Low</x:v>
      </x:c>
      <x:c r="M377" s="133" t="str">
        <x:f>IF(D377&lt;=0,"No EVM votes",IF(H377&lt;-20%,"Large deficit",IF(H377&lt;-5%,"Moderate deficit",IF(H377&lt;0,"Narrow deficit",IF(H377&lt;=5%,"Narrow lead/tie",IF(H377&lt;=20%,"Moderate lead","Large lead"))))))</x:f>
        <x:v>Large deficit</x:v>
      </x:c>
    </x:row>
    <x:row r="378">
      <x:c r="A378" t="n">
        <x:v>319</x:v>
      </x:c>
      <x:c r="B378" t="str">
        <x:v>[Location not in Form 20 PDF]</x:v>
      </x:c>
      <x:c r="C378" s="83" t="n">
        <x:f>'2024 Form20'!H327</x:f>
        <x:v>114</x:v>
      </x:c>
      <x:c r="D378" s="83" t="n">
        <x:f>'2024 Form20'!D327</x:f>
        <x:v>735</x:v>
      </x:c>
      <x:c r="E378" s="50" t="n">
        <x:f>'2024 Form20'!W327</x:f>
        <x:v>0.15510204081632653</x:v>
      </x:c>
      <x:c r="F378" t="n">
        <x:f>'2024 Form20'!X327</x:f>
        <x:v>403</x:v>
      </x:c>
      <x:c r="G378" t="n">
        <x:f>'2024 Form20'!Y327</x:f>
        <x:v>-289</x:v>
      </x:c>
      <x:c r="H378" s="52" t="n">
        <x:f>'2024 Form20'!Z327</x:f>
        <x:v>-0.39319727891156464</x:v>
      </x:c>
      <x:c r="I378" t="str">
        <x:v>Rajendra Singh Solanki</x:v>
      </x:c>
      <x:c r="J378" t="str">
        <x:v>BSP</x:v>
      </x:c>
      <x:c r="K378" t="str">
        <x:v>EVM row</x:v>
      </x:c>
      <x:c r="L378" s="133" t="str">
        <x:f>IF(D378&lt;=0,"No EVM votes",IF(E378&lt;$N$7,"Low",IF(E378&gt;$R$7,"High","Middle")))</x:f>
        <x:v>Middle</x:v>
      </x:c>
      <x:c r="M378" s="133" t="str">
        <x:f>IF(D378&lt;=0,"No EVM votes",IF(H378&lt;-20%,"Large deficit",IF(H378&lt;-5%,"Moderate deficit",IF(H378&lt;0,"Narrow deficit",IF(H378&lt;=5%,"Narrow lead/tie",IF(H378&lt;=20%,"Moderate lead","Large lead"))))))</x:f>
        <x:v>Large deficit</x:v>
      </x:c>
    </x:row>
    <x:row r="379">
      <x:c r="A379" t="n">
        <x:v>320</x:v>
      </x:c>
      <x:c r="B379" t="str">
        <x:v>[Location not in Form 20 PDF]</x:v>
      </x:c>
      <x:c r="C379" s="83" t="n">
        <x:f>'2024 Form20'!H328</x:f>
        <x:v>163</x:v>
      </x:c>
      <x:c r="D379" s="83" t="n">
        <x:f>'2024 Form20'!D328</x:f>
        <x:v>573</x:v>
      </x:c>
      <x:c r="E379" s="50" t="n">
        <x:f>'2024 Form20'!W328</x:f>
        <x:v>0.2844677137870855</x:v>
      </x:c>
      <x:c r="F379" t="n">
        <x:f>'2024 Form20'!X328</x:f>
        <x:v>363</x:v>
      </x:c>
      <x:c r="G379" t="n">
        <x:f>'2024 Form20'!Y328</x:f>
        <x:v>-200</x:v>
      </x:c>
      <x:c r="H379" s="52" t="n">
        <x:f>'2024 Form20'!Z328</x:f>
        <x:v>-0.34904013961605584</x:v>
      </x:c>
      <x:c r="I379" t="str">
        <x:v>Dr. Mahesh Sharma</x:v>
      </x:c>
      <x:c r="J379" t="str">
        <x:v>BJP</x:v>
      </x:c>
      <x:c r="K379" t="str">
        <x:v>EVM row</x:v>
      </x:c>
      <x:c r="L379" s="133" t="str">
        <x:f>IF(D379&lt;=0,"No EVM votes",IF(E379&lt;$N$7,"Low",IF(E379&gt;$R$7,"High","Middle")))</x:f>
        <x:v>High</x:v>
      </x:c>
      <x:c r="M379" s="133" t="str">
        <x:f>IF(D379&lt;=0,"No EVM votes",IF(H379&lt;-20%,"Large deficit",IF(H379&lt;-5%,"Moderate deficit",IF(H379&lt;0,"Narrow deficit",IF(H379&lt;=5%,"Narrow lead/tie",IF(H379&lt;=20%,"Moderate lead","Large lead"))))))</x:f>
        <x:v>Large deficit</x:v>
      </x:c>
    </x:row>
    <x:row r="380">
      <x:c r="A380" t="n">
        <x:v>321</x:v>
      </x:c>
      <x:c r="B380" t="str">
        <x:v>[Location not in Form 20 PDF]</x:v>
      </x:c>
      <x:c r="C380" s="83" t="n">
        <x:f>'2024 Form20'!H329</x:f>
        <x:v>81</x:v>
      </x:c>
      <x:c r="D380" s="83" t="n">
        <x:f>'2024 Form20'!D329</x:f>
        <x:v>417</x:v>
      </x:c>
      <x:c r="E380" s="50" t="n">
        <x:f>'2024 Form20'!W329</x:f>
        <x:v>0.19424460431654678</x:v>
      </x:c>
      <x:c r="F380" t="n">
        <x:f>'2024 Form20'!X329</x:f>
        <x:v>233</x:v>
      </x:c>
      <x:c r="G380" t="n">
        <x:f>'2024 Form20'!Y329</x:f>
        <x:v>-152</x:v>
      </x:c>
      <x:c r="H380" s="52" t="n">
        <x:f>'2024 Form20'!Z329</x:f>
        <x:v>-0.3645083932853717</x:v>
      </x:c>
      <x:c r="I380" t="str">
        <x:v>Dr. Mahesh Sharma</x:v>
      </x:c>
      <x:c r="J380" t="str">
        <x:v>BJP</x:v>
      </x:c>
      <x:c r="K380" t="str">
        <x:v>EVM row</x:v>
      </x:c>
      <x:c r="L380" s="133" t="str">
        <x:f>IF(D380&lt;=0,"No EVM votes",IF(E380&lt;$N$7,"Low",IF(E380&gt;$R$7,"High","Middle")))</x:f>
        <x:v>Middle</x:v>
      </x:c>
      <x:c r="M380" s="133" t="str">
        <x:f>IF(D380&lt;=0,"No EVM votes",IF(H380&lt;-20%,"Large deficit",IF(H380&lt;-5%,"Moderate deficit",IF(H380&lt;0,"Narrow deficit",IF(H380&lt;=5%,"Narrow lead/tie",IF(H380&lt;=20%,"Moderate lead","Large lead"))))))</x:f>
        <x:v>Large deficit</x:v>
      </x:c>
    </x:row>
    <x:row r="381">
      <x:c r="A381" t="n">
        <x:v>322</x:v>
      </x:c>
      <x:c r="B381" t="str">
        <x:v>[Location not in Form 20 PDF]</x:v>
      </x:c>
      <x:c r="C381" s="83" t="n">
        <x:f>'2024 Form20'!H330</x:f>
        <x:v>29</x:v>
      </x:c>
      <x:c r="D381" s="83" t="n">
        <x:f>'2024 Form20'!D330</x:f>
        <x:v>579</x:v>
      </x:c>
      <x:c r="E381" s="50" t="n">
        <x:f>'2024 Form20'!W330</x:f>
        <x:v>0.05008635578583765</x:v>
      </x:c>
      <x:c r="F381" t="n">
        <x:f>'2024 Form20'!X330</x:f>
        <x:v>489</x:v>
      </x:c>
      <x:c r="G381" t="n">
        <x:f>'2024 Form20'!Y330</x:f>
        <x:v>-460</x:v>
      </x:c>
      <x:c r="H381" s="52" t="n">
        <x:f>'2024 Form20'!Z330</x:f>
        <x:v>-0.7944732297063903</x:v>
      </x:c>
      <x:c r="I381" t="str">
        <x:v>Dr. Mahesh Sharma</x:v>
      </x:c>
      <x:c r="J381" t="str">
        <x:v>BJP</x:v>
      </x:c>
      <x:c r="K381" t="str">
        <x:v>EVM row</x:v>
      </x:c>
      <x:c r="L381" s="133" t="str">
        <x:f>IF(D381&lt;=0,"No EVM votes",IF(E381&lt;$N$7,"Low",IF(E381&gt;$R$7,"High","Middle")))</x:f>
        <x:v>Middle</x:v>
      </x:c>
      <x:c r="M381" s="133" t="str">
        <x:f>IF(D381&lt;=0,"No EVM votes",IF(H381&lt;-20%,"Large deficit",IF(H381&lt;-5%,"Moderate deficit",IF(H381&lt;0,"Narrow deficit",IF(H381&lt;=5%,"Narrow lead/tie",IF(H381&lt;=20%,"Moderate lead","Large lead"))))))</x:f>
        <x:v>Large deficit</x:v>
      </x:c>
    </x:row>
    <x:row r="382">
      <x:c r="A382" t="n">
        <x:v>323</x:v>
      </x:c>
      <x:c r="B382" t="str">
        <x:v>[Location not in Form 20 PDF]</x:v>
      </x:c>
      <x:c r="C382" s="83" t="n">
        <x:f>'2024 Form20'!H331</x:f>
        <x:v>111</x:v>
      </x:c>
      <x:c r="D382" s="83" t="n">
        <x:f>'2024 Form20'!D331</x:f>
        <x:v>605</x:v>
      </x:c>
      <x:c r="E382" s="50" t="n">
        <x:f>'2024 Form20'!W331</x:f>
        <x:v>0.1834710743801653</x:v>
      </x:c>
      <x:c r="F382" t="n">
        <x:f>'2024 Form20'!X331</x:f>
        <x:v>430</x:v>
      </x:c>
      <x:c r="G382" t="n">
        <x:f>'2024 Form20'!Y331</x:f>
        <x:v>-319</x:v>
      </x:c>
      <x:c r="H382" s="52" t="n">
        <x:f>'2024 Form20'!Z331</x:f>
        <x:v>-0.5272727272727272</x:v>
      </x:c>
      <x:c r="I382" t="str">
        <x:v>Dr. Mahesh Sharma</x:v>
      </x:c>
      <x:c r="J382" t="str">
        <x:v>BJP</x:v>
      </x:c>
      <x:c r="K382" t="str">
        <x:v>EVM row</x:v>
      </x:c>
      <x:c r="L382" s="133" t="str">
        <x:f>IF(D382&lt;=0,"No EVM votes",IF(E382&lt;$N$7,"Low",IF(E382&gt;$R$7,"High","Middle")))</x:f>
        <x:v>Middle</x:v>
      </x:c>
      <x:c r="M382" s="133" t="str">
        <x:f>IF(D382&lt;=0,"No EVM votes",IF(H382&lt;-20%,"Large deficit",IF(H382&lt;-5%,"Moderate deficit",IF(H382&lt;0,"Narrow deficit",IF(H382&lt;=5%,"Narrow lead/tie",IF(H382&lt;=20%,"Moderate lead","Large lead"))))))</x:f>
        <x:v>Large deficit</x:v>
      </x:c>
    </x:row>
    <x:row r="383">
      <x:c r="A383" t="n">
        <x:v>324</x:v>
      </x:c>
      <x:c r="B383" t="str">
        <x:v>[Location not in Form 20 PDF]</x:v>
      </x:c>
      <x:c r="C383" s="83" t="n">
        <x:f>'2024 Form20'!H332</x:f>
        <x:v>102</x:v>
      </x:c>
      <x:c r="D383" s="83" t="n">
        <x:f>'2024 Form20'!D332</x:f>
        <x:v>545</x:v>
      </x:c>
      <x:c r="E383" s="50" t="n">
        <x:f>'2024 Form20'!W332</x:f>
        <x:v>0.1871559633027523</x:v>
      </x:c>
      <x:c r="F383" t="n">
        <x:f>'2024 Form20'!X332</x:f>
        <x:v>264</x:v>
      </x:c>
      <x:c r="G383" t="n">
        <x:f>'2024 Form20'!Y332</x:f>
        <x:v>-162</x:v>
      </x:c>
      <x:c r="H383" s="52" t="n">
        <x:f>'2024 Form20'!Z332</x:f>
        <x:v>-0.29724770642201837</x:v>
      </x:c>
      <x:c r="I383" t="str">
        <x:v>Rajendra Singh Solanki</x:v>
      </x:c>
      <x:c r="J383" t="str">
        <x:v>BSP</x:v>
      </x:c>
      <x:c r="K383" t="str">
        <x:v>EVM row</x:v>
      </x:c>
      <x:c r="L383" s="133" t="str">
        <x:f>IF(D383&lt;=0,"No EVM votes",IF(E383&lt;$N$7,"Low",IF(E383&gt;$R$7,"High","Middle")))</x:f>
        <x:v>Middle</x:v>
      </x:c>
      <x:c r="M383" s="133" t="str">
        <x:f>IF(D383&lt;=0,"No EVM votes",IF(H383&lt;-20%,"Large deficit",IF(H383&lt;-5%,"Moderate deficit",IF(H383&lt;0,"Narrow deficit",IF(H383&lt;=5%,"Narrow lead/tie",IF(H383&lt;=20%,"Moderate lead","Large lead"))))))</x:f>
        <x:v>Large deficit</x:v>
      </x:c>
    </x:row>
    <x:row r="384">
      <x:c r="A384" t="n">
        <x:v>325</x:v>
      </x:c>
      <x:c r="B384" t="str">
        <x:v>[Location not in Form 20 PDF]</x:v>
      </x:c>
      <x:c r="C384" s="83" t="n">
        <x:f>'2024 Form20'!H333</x:f>
        <x:v>21</x:v>
      </x:c>
      <x:c r="D384" s="83" t="n">
        <x:f>'2024 Form20'!D333</x:f>
        <x:v>777</x:v>
      </x:c>
      <x:c r="E384" s="50" t="n">
        <x:f>'2024 Form20'!W333</x:f>
        <x:v>0.02702702702702703</x:v>
      </x:c>
      <x:c r="F384" t="n">
        <x:f>'2024 Form20'!X333</x:f>
        <x:v>688</x:v>
      </x:c>
      <x:c r="G384" t="n">
        <x:f>'2024 Form20'!Y333</x:f>
        <x:v>-667</x:v>
      </x:c>
      <x:c r="H384" s="52" t="n">
        <x:f>'2024 Form20'!Z333</x:f>
        <x:v>-0.8584298584298584</x:v>
      </x:c>
      <x:c r="I384" t="str">
        <x:v>Dr. Mahesh Sharma</x:v>
      </x:c>
      <x:c r="J384" t="str">
        <x:v>BJP</x:v>
      </x:c>
      <x:c r="K384" t="str">
        <x:v>EVM row</x:v>
      </x:c>
      <x:c r="L384" s="133" t="str">
        <x:f>IF(D384&lt;=0,"No EVM votes",IF(E384&lt;$N$7,"Low",IF(E384&gt;$R$7,"High","Middle")))</x:f>
        <x:v>Low</x:v>
      </x:c>
      <x:c r="M384" s="133" t="str">
        <x:f>IF(D384&lt;=0,"No EVM votes",IF(H384&lt;-20%,"Large deficit",IF(H384&lt;-5%,"Moderate deficit",IF(H384&lt;0,"Narrow deficit",IF(H384&lt;=5%,"Narrow lead/tie",IF(H384&lt;=20%,"Moderate lead","Large lead"))))))</x:f>
        <x:v>Large deficit</x:v>
      </x:c>
    </x:row>
    <x:row r="385">
      <x:c r="A385" t="n">
        <x:v>326</x:v>
      </x:c>
      <x:c r="B385" t="str">
        <x:v>[Location not in Form 20 PDF]</x:v>
      </x:c>
      <x:c r="C385" s="83" t="n">
        <x:f>'2024 Form20'!H334</x:f>
        <x:v>45</x:v>
      </x:c>
      <x:c r="D385" s="83" t="n">
        <x:f>'2024 Form20'!D334</x:f>
        <x:v>641</x:v>
      </x:c>
      <x:c r="E385" s="50" t="n">
        <x:f>'2024 Form20'!W334</x:f>
        <x:v>0.07020280811232449</x:v>
      </x:c>
      <x:c r="F385" t="n">
        <x:f>'2024 Form20'!X334</x:f>
        <x:v>407</x:v>
      </x:c>
      <x:c r="G385" t="n">
        <x:f>'2024 Form20'!Y334</x:f>
        <x:v>-362</x:v>
      </x:c>
      <x:c r="H385" s="52" t="n">
        <x:f>'2024 Form20'!Z334</x:f>
        <x:v>-0.5647425897035881</x:v>
      </x:c>
      <x:c r="I385" t="str">
        <x:v>Rajendra Singh Solanki</x:v>
      </x:c>
      <x:c r="J385" t="str">
        <x:v>BSP</x:v>
      </x:c>
      <x:c r="K385" t="str">
        <x:v>EVM row</x:v>
      </x:c>
      <x:c r="L385" s="133" t="str">
        <x:f>IF(D385&lt;=0,"No EVM votes",IF(E385&lt;$N$7,"Low",IF(E385&gt;$R$7,"High","Middle")))</x:f>
        <x:v>Middle</x:v>
      </x:c>
      <x:c r="M385" s="133" t="str">
        <x:f>IF(D385&lt;=0,"No EVM votes",IF(H385&lt;-20%,"Large deficit",IF(H385&lt;-5%,"Moderate deficit",IF(H385&lt;0,"Narrow deficit",IF(H385&lt;=5%,"Narrow lead/tie",IF(H385&lt;=20%,"Moderate lead","Large lead"))))))</x:f>
        <x:v>Large deficit</x:v>
      </x:c>
    </x:row>
    <x:row r="386">
      <x:c r="A386" t="n">
        <x:v>327</x:v>
      </x:c>
      <x:c r="B386" t="str">
        <x:v>[Location not in Form 20 PDF]</x:v>
      </x:c>
      <x:c r="C386" s="83" t="n">
        <x:f>'2024 Form20'!H335</x:f>
        <x:v>0</x:v>
      </x:c>
      <x:c r="D386" s="83" t="n">
        <x:f>'2024 Form20'!D335</x:f>
        <x:v>0</x:v>
      </x:c>
      <x:c r="E386" s="50" t="str">
        <x:f>'2024 Form20'!W335</x:f>
      </x:c>
      <x:c r="F386" t="n">
        <x:f>'2024 Form20'!X335</x:f>
        <x:v>0</x:v>
      </x:c>
      <x:c r="G386" t="n">
        <x:f>'2024 Form20'!Y335</x:f>
        <x:v>0</x:v>
      </x:c>
      <x:c r="H386" s="52" t="str">
        <x:f>'2024 Form20'!Z335</x:f>
      </x:c>
      <x:c r="I386" t="str">
        <x:v>No votes polled</x:v>
      </x:c>
      <x:c r="J386" t="str">
        <x:v>—</x:v>
      </x:c>
      <x:c r="K386" t="str">
        <x:v>Zero EVM votes</x:v>
      </x:c>
      <x:c r="L386" s="133" t="str">
        <x:f>IF(D386&lt;=0,"No EVM votes",IF(E386&lt;$N$7,"Low",IF(E386&gt;$R$7,"High","Middle")))</x:f>
        <x:v>No EVM votes</x:v>
      </x:c>
      <x:c r="M386" s="133" t="str">
        <x:f>IF(D386&lt;=0,"No EVM votes",IF(H386&lt;-20%,"Large deficit",IF(H386&lt;-5%,"Moderate deficit",IF(H386&lt;0,"Narrow deficit",IF(H386&lt;=5%,"Narrow lead/tie",IF(H386&lt;=20%,"Moderate lead","Large lead"))))))</x:f>
        <x:v>No EVM votes</x:v>
      </x:c>
    </x:row>
    <x:row r="387">
      <x:c r="A387" t="n">
        <x:v>328</x:v>
      </x:c>
      <x:c r="B387" t="str">
        <x:v>[Location not in Form 20 PDF]</x:v>
      </x:c>
      <x:c r="C387" s="83" t="n">
        <x:f>'2024 Form20'!H336</x:f>
        <x:v>167</x:v>
      </x:c>
      <x:c r="D387" s="83" t="n">
        <x:f>'2024 Form20'!D336</x:f>
        <x:v>546</x:v>
      </x:c>
      <x:c r="E387" s="50" t="n">
        <x:f>'2024 Form20'!W336</x:f>
        <x:v>0.3058608058608059</x:v>
      </x:c>
      <x:c r="F387" t="n">
        <x:f>'2024 Form20'!X336</x:f>
        <x:v>188</x:v>
      </x:c>
      <x:c r="G387" t="n">
        <x:f>'2024 Form20'!Y336</x:f>
        <x:v>-21</x:v>
      </x:c>
      <x:c r="H387" s="52" t="n">
        <x:f>'2024 Form20'!Z336</x:f>
        <x:v>-0.038461538461538464</x:v>
      </x:c>
      <x:c r="I387" t="str">
        <x:v>Dr. Mahesh Sharma</x:v>
      </x:c>
      <x:c r="J387" t="str">
        <x:v>BJP</x:v>
      </x:c>
      <x:c r="K387" t="str">
        <x:v>EVM row</x:v>
      </x:c>
      <x:c r="L387" s="133" t="str">
        <x:f>IF(D387&lt;=0,"No EVM votes",IF(E387&lt;$N$7,"Low",IF(E387&gt;$R$7,"High","Middle")))</x:f>
        <x:v>High</x:v>
      </x:c>
      <x:c r="M387" s="133" t="str">
        <x:f>IF(D387&lt;=0,"No EVM votes",IF(H387&lt;-20%,"Large deficit",IF(H387&lt;-5%,"Moderate deficit",IF(H387&lt;0,"Narrow deficit",IF(H387&lt;=5%,"Narrow lead/tie",IF(H387&lt;=20%,"Moderate lead","Large lead"))))))</x:f>
        <x:v>Narrow deficit</x:v>
      </x:c>
    </x:row>
    <x:row r="388">
      <x:c r="A388" t="n">
        <x:v>329</x:v>
      </x:c>
      <x:c r="B388" t="str">
        <x:v>[Location not in Form 20 PDF]</x:v>
      </x:c>
      <x:c r="C388" s="83" t="n">
        <x:f>'2024 Form20'!H337</x:f>
        <x:v>244</x:v>
      </x:c>
      <x:c r="D388" s="83" t="n">
        <x:f>'2024 Form20'!D337</x:f>
        <x:v>435</x:v>
      </x:c>
      <x:c r="E388" s="50" t="n">
        <x:f>'2024 Form20'!W337</x:f>
        <x:v>0.5609195402298851</x:v>
      </x:c>
      <x:c r="F388" t="n">
        <x:f>'2024 Form20'!X337</x:f>
        <x:v>123</x:v>
      </x:c>
      <x:c r="G388" t="n">
        <x:f>'2024 Form20'!Y337</x:f>
        <x:v>121</x:v>
      </x:c>
      <x:c r="H388" s="52" t="n">
        <x:f>'2024 Form20'!Z337</x:f>
        <x:v>0.27816091954022987</x:v>
      </x:c>
      <x:c r="I388" t="str">
        <x:v>Dr. Mahendra Singh Nagar</x:v>
      </x:c>
      <x:c r="J388" t="str">
        <x:v>SP</x:v>
      </x:c>
      <x:c r="K388" t="str">
        <x:v>EVM row</x:v>
      </x:c>
      <x:c r="L388" s="133" t="str">
        <x:f>IF(D388&lt;=0,"No EVM votes",IF(E388&lt;$N$7,"Low",IF(E388&gt;$R$7,"High","Middle")))</x:f>
        <x:v>High</x:v>
      </x:c>
      <x:c r="M388" s="133" t="str">
        <x:f>IF(D388&lt;=0,"No EVM votes",IF(H388&lt;-20%,"Large deficit",IF(H388&lt;-5%,"Moderate deficit",IF(H388&lt;0,"Narrow deficit",IF(H388&lt;=5%,"Narrow lead/tie",IF(H388&lt;=20%,"Moderate lead","Large lead"))))))</x:f>
        <x:v>Large lead</x:v>
      </x:c>
    </x:row>
    <x:row r="389">
      <x:c r="A389" t="n">
        <x:v>330</x:v>
      </x:c>
      <x:c r="B389" t="str">
        <x:v>[Location not in Form 20 PDF]</x:v>
      </x:c>
      <x:c r="C389" s="83" t="n">
        <x:f>'2024 Form20'!H338</x:f>
        <x:v>50</x:v>
      </x:c>
      <x:c r="D389" s="83" t="n">
        <x:f>'2024 Form20'!D338</x:f>
        <x:v>353</x:v>
      </x:c>
      <x:c r="E389" s="50" t="n">
        <x:f>'2024 Form20'!W338</x:f>
        <x:v>0.141643059490085</x:v>
      </x:c>
      <x:c r="F389" t="n">
        <x:f>'2024 Form20'!X338</x:f>
        <x:v>263</x:v>
      </x:c>
      <x:c r="G389" t="n">
        <x:f>'2024 Form20'!Y338</x:f>
        <x:v>-213</x:v>
      </x:c>
      <x:c r="H389" s="52" t="n">
        <x:f>'2024 Form20'!Z338</x:f>
        <x:v>-0.603399433427762</x:v>
      </x:c>
      <x:c r="I389" t="str">
        <x:v>Dr. Mahesh Sharma</x:v>
      </x:c>
      <x:c r="J389" t="str">
        <x:v>BJP</x:v>
      </x:c>
      <x:c r="K389" t="str">
        <x:v>EVM row</x:v>
      </x:c>
      <x:c r="L389" s="133" t="str">
        <x:f>IF(D389&lt;=0,"No EVM votes",IF(E389&lt;$N$7,"Low",IF(E389&gt;$R$7,"High","Middle")))</x:f>
        <x:v>Middle</x:v>
      </x:c>
      <x:c r="M389" s="133" t="str">
        <x:f>IF(D389&lt;=0,"No EVM votes",IF(H389&lt;-20%,"Large deficit",IF(H389&lt;-5%,"Moderate deficit",IF(H389&lt;0,"Narrow deficit",IF(H389&lt;=5%,"Narrow lead/tie",IF(H389&lt;=20%,"Moderate lead","Large lead"))))))</x:f>
        <x:v>Large deficit</x:v>
      </x:c>
    </x:row>
    <x:row r="390">
      <x:c r="A390" t="n">
        <x:v>331</x:v>
      </x:c>
      <x:c r="B390" t="str">
        <x:v>[Location not in Form 20 PDF]</x:v>
      </x:c>
      <x:c r="C390" s="83" t="n">
        <x:f>'2024 Form20'!H339</x:f>
        <x:v>55</x:v>
      </x:c>
      <x:c r="D390" s="83" t="n">
        <x:f>'2024 Form20'!D339</x:f>
        <x:v>438</x:v>
      </x:c>
      <x:c r="E390" s="50" t="n">
        <x:f>'2024 Form20'!W339</x:f>
        <x:v>0.12557077625570776</x:v>
      </x:c>
      <x:c r="F390" t="n">
        <x:f>'2024 Form20'!X339</x:f>
        <x:v>351</x:v>
      </x:c>
      <x:c r="G390" t="n">
        <x:f>'2024 Form20'!Y339</x:f>
        <x:v>-296</x:v>
      </x:c>
      <x:c r="H390" s="52" t="n">
        <x:f>'2024 Form20'!Z339</x:f>
        <x:v>-0.6757990867579908</x:v>
      </x:c>
      <x:c r="I390" t="str">
        <x:v>Dr. Mahesh Sharma</x:v>
      </x:c>
      <x:c r="J390" t="str">
        <x:v>BJP</x:v>
      </x:c>
      <x:c r="K390" t="str">
        <x:v>EVM row</x:v>
      </x:c>
      <x:c r="L390" s="133" t="str">
        <x:f>IF(D390&lt;=0,"No EVM votes",IF(E390&lt;$N$7,"Low",IF(E390&gt;$R$7,"High","Middle")))</x:f>
        <x:v>Middle</x:v>
      </x:c>
      <x:c r="M390" s="133" t="str">
        <x:f>IF(D390&lt;=0,"No EVM votes",IF(H390&lt;-20%,"Large deficit",IF(H390&lt;-5%,"Moderate deficit",IF(H390&lt;0,"Narrow deficit",IF(H390&lt;=5%,"Narrow lead/tie",IF(H390&lt;=20%,"Moderate lead","Large lead"))))))</x:f>
        <x:v>Large deficit</x:v>
      </x:c>
    </x:row>
    <x:row r="391">
      <x:c r="A391" t="n">
        <x:v>332</x:v>
      </x:c>
      <x:c r="B391" t="str">
        <x:v>[Location not in Form 20 PDF]</x:v>
      </x:c>
      <x:c r="C391" s="83" t="n">
        <x:f>'2024 Form20'!H340</x:f>
        <x:v>35</x:v>
      </x:c>
      <x:c r="D391" s="83" t="n">
        <x:f>'2024 Form20'!D340</x:f>
        <x:v>336</x:v>
      </x:c>
      <x:c r="E391" s="50" t="n">
        <x:f>'2024 Form20'!W340</x:f>
        <x:v>0.10416666666666667</x:v>
      </x:c>
      <x:c r="F391" t="n">
        <x:f>'2024 Form20'!X340</x:f>
        <x:v>277</x:v>
      </x:c>
      <x:c r="G391" t="n">
        <x:f>'2024 Form20'!Y340</x:f>
        <x:v>-242</x:v>
      </x:c>
      <x:c r="H391" s="52" t="n">
        <x:f>'2024 Form20'!Z340</x:f>
        <x:v>-0.7202380952380952</x:v>
      </x:c>
      <x:c r="I391" t="str">
        <x:v>Dr. Mahesh Sharma</x:v>
      </x:c>
      <x:c r="J391" t="str">
        <x:v>BJP</x:v>
      </x:c>
      <x:c r="K391" t="str">
        <x:v>EVM row</x:v>
      </x:c>
      <x:c r="L391" s="133" t="str">
        <x:f>IF(D391&lt;=0,"No EVM votes",IF(E391&lt;$N$7,"Low",IF(E391&gt;$R$7,"High","Middle")))</x:f>
        <x:v>Middle</x:v>
      </x:c>
      <x:c r="M391" s="133" t="str">
        <x:f>IF(D391&lt;=0,"No EVM votes",IF(H391&lt;-20%,"Large deficit",IF(H391&lt;-5%,"Moderate deficit",IF(H391&lt;0,"Narrow deficit",IF(H391&lt;=5%,"Narrow lead/tie",IF(H391&lt;=20%,"Moderate lead","Large lead"))))))</x:f>
        <x:v>Large deficit</x:v>
      </x:c>
    </x:row>
    <x:row r="392">
      <x:c r="A392" t="n">
        <x:v>333</x:v>
      </x:c>
      <x:c r="B392" t="str">
        <x:v>[Location not in Form 20 PDF]</x:v>
      </x:c>
      <x:c r="C392" s="83" t="n">
        <x:f>'2024 Form20'!H341</x:f>
        <x:v>9</x:v>
      </x:c>
      <x:c r="D392" s="83" t="n">
        <x:f>'2024 Form20'!D341</x:f>
        <x:v>322</x:v>
      </x:c>
      <x:c r="E392" s="50" t="n">
        <x:f>'2024 Form20'!W341</x:f>
        <x:v>0.027950310559006212</x:v>
      </x:c>
      <x:c r="F392" t="n">
        <x:f>'2024 Form20'!X341</x:f>
        <x:v>226</x:v>
      </x:c>
      <x:c r="G392" t="n">
        <x:f>'2024 Form20'!Y341</x:f>
        <x:v>-217</x:v>
      </x:c>
      <x:c r="H392" s="52" t="n">
        <x:f>'2024 Form20'!Z341</x:f>
        <x:v>-0.6739130434782609</x:v>
      </x:c>
      <x:c r="I392" t="str">
        <x:v>Dr. Mahesh Sharma</x:v>
      </x:c>
      <x:c r="J392" t="str">
        <x:v>BJP</x:v>
      </x:c>
      <x:c r="K392" t="str">
        <x:v>EVM row</x:v>
      </x:c>
      <x:c r="L392" s="133" t="str">
        <x:f>IF(D392&lt;=0,"No EVM votes",IF(E392&lt;$N$7,"Low",IF(E392&gt;$R$7,"High","Middle")))</x:f>
        <x:v>Low</x:v>
      </x:c>
      <x:c r="M392" s="133" t="str">
        <x:f>IF(D392&lt;=0,"No EVM votes",IF(H392&lt;-20%,"Large deficit",IF(H392&lt;-5%,"Moderate deficit",IF(H392&lt;0,"Narrow deficit",IF(H392&lt;=5%,"Narrow lead/tie",IF(H392&lt;=20%,"Moderate lead","Large lead"))))))</x:f>
        <x:v>Large deficit</x:v>
      </x:c>
    </x:row>
    <x:row r="393">
      <x:c r="A393" t="n">
        <x:v>334</x:v>
      </x:c>
      <x:c r="B393" t="str">
        <x:v>[Location not in Form 20 PDF]</x:v>
      </x:c>
      <x:c r="C393" s="83" t="n">
        <x:f>'2024 Form20'!H342</x:f>
        <x:v>14</x:v>
      </x:c>
      <x:c r="D393" s="83" t="n">
        <x:f>'2024 Form20'!D342</x:f>
        <x:v>502</x:v>
      </x:c>
      <x:c r="E393" s="50" t="n">
        <x:f>'2024 Form20'!W342</x:f>
        <x:v>0.027888446215139442</x:v>
      </x:c>
      <x:c r="F393" t="n">
        <x:f>'2024 Form20'!X342</x:f>
        <x:v>440</x:v>
      </x:c>
      <x:c r="G393" t="n">
        <x:f>'2024 Form20'!Y342</x:f>
        <x:v>-426</x:v>
      </x:c>
      <x:c r="H393" s="52" t="n">
        <x:f>'2024 Form20'!Z342</x:f>
        <x:v>-0.848605577689243</x:v>
      </x:c>
      <x:c r="I393" t="str">
        <x:v>Dr. Mahesh Sharma</x:v>
      </x:c>
      <x:c r="J393" t="str">
        <x:v>BJP</x:v>
      </x:c>
      <x:c r="K393" t="str">
        <x:v>EVM row</x:v>
      </x:c>
      <x:c r="L393" s="133" t="str">
        <x:f>IF(D393&lt;=0,"No EVM votes",IF(E393&lt;$N$7,"Low",IF(E393&gt;$R$7,"High","Middle")))</x:f>
        <x:v>Low</x:v>
      </x:c>
      <x:c r="M393" s="133" t="str">
        <x:f>IF(D393&lt;=0,"No EVM votes",IF(H393&lt;-20%,"Large deficit",IF(H393&lt;-5%,"Moderate deficit",IF(H393&lt;0,"Narrow deficit",IF(H393&lt;=5%,"Narrow lead/tie",IF(H393&lt;=20%,"Moderate lead","Large lead"))))))</x:f>
        <x:v>Large deficit</x:v>
      </x:c>
    </x:row>
    <x:row r="394">
      <x:c r="A394" t="n">
        <x:v>335</x:v>
      </x:c>
      <x:c r="B394" t="str">
        <x:v>[Location not in Form 20 PDF]</x:v>
      </x:c>
      <x:c r="C394" s="83" t="n">
        <x:f>'2024 Form20'!H343</x:f>
        <x:v>233</x:v>
      </x:c>
      <x:c r="D394" s="83" t="n">
        <x:f>'2024 Form20'!D343</x:f>
        <x:v>489</x:v>
      </x:c>
      <x:c r="E394" s="50" t="n">
        <x:f>'2024 Form20'!W343</x:f>
        <x:v>0.47648261758691207</x:v>
      </x:c>
      <x:c r="F394" t="n">
        <x:f>'2024 Form20'!X343</x:f>
        <x:v>219</x:v>
      </x:c>
      <x:c r="G394" t="n">
        <x:f>'2024 Form20'!Y343</x:f>
        <x:v>14</x:v>
      </x:c>
      <x:c r="H394" s="52" t="n">
        <x:f>'2024 Form20'!Z343</x:f>
        <x:v>0.028629856850715747</x:v>
      </x:c>
      <x:c r="I394" t="str">
        <x:v>Dr. Mahendra Singh Nagar</x:v>
      </x:c>
      <x:c r="J394" t="str">
        <x:v>SP</x:v>
      </x:c>
      <x:c r="K394" t="str">
        <x:v>EVM row</x:v>
      </x:c>
      <x:c r="L394" s="133" t="str">
        <x:f>IF(D394&lt;=0,"No EVM votes",IF(E394&lt;$N$7,"Low",IF(E394&gt;$R$7,"High","Middle")))</x:f>
        <x:v>High</x:v>
      </x:c>
      <x:c r="M394" s="133" t="str">
        <x:f>IF(D394&lt;=0,"No EVM votes",IF(H394&lt;-20%,"Large deficit",IF(H394&lt;-5%,"Moderate deficit",IF(H394&lt;0,"Narrow deficit",IF(H394&lt;=5%,"Narrow lead/tie",IF(H394&lt;=20%,"Moderate lead","Large lead"))))))</x:f>
        <x:v>Narrow lead/tie</x:v>
      </x:c>
    </x:row>
    <x:row r="395">
      <x:c r="A395" t="n">
        <x:v>336</x:v>
      </x:c>
      <x:c r="B395" t="str">
        <x:v>[Location not in Form 20 PDF]</x:v>
      </x:c>
      <x:c r="C395" s="83" t="n">
        <x:f>'2024 Form20'!H344</x:f>
        <x:v>28</x:v>
      </x:c>
      <x:c r="D395" s="83" t="n">
        <x:f>'2024 Form20'!D344</x:f>
        <x:v>571</x:v>
      </x:c>
      <x:c r="E395" s="50" t="n">
        <x:f>'2024 Form20'!W344</x:f>
        <x:v>0.04903677758318739</x:v>
      </x:c>
      <x:c r="F395" t="n">
        <x:f>'2024 Form20'!X344</x:f>
        <x:v>494</x:v>
      </x:c>
      <x:c r="G395" t="n">
        <x:f>'2024 Form20'!Y344</x:f>
        <x:v>-466</x:v>
      </x:c>
      <x:c r="H395" s="52" t="n">
        <x:f>'2024 Form20'!Z344</x:f>
        <x:v>-0.8161120840630472</x:v>
      </x:c>
      <x:c r="I395" t="str">
        <x:v>Dr. Mahesh Sharma</x:v>
      </x:c>
      <x:c r="J395" t="str">
        <x:v>BJP</x:v>
      </x:c>
      <x:c r="K395" t="str">
        <x:v>EVM row</x:v>
      </x:c>
      <x:c r="L395" s="133" t="str">
        <x:f>IF(D395&lt;=0,"No EVM votes",IF(E395&lt;$N$7,"Low",IF(E395&gt;$R$7,"High","Middle")))</x:f>
        <x:v>Middle</x:v>
      </x:c>
      <x:c r="M395" s="133" t="str">
        <x:f>IF(D395&lt;=0,"No EVM votes",IF(H395&lt;-20%,"Large deficit",IF(H395&lt;-5%,"Moderate deficit",IF(H395&lt;0,"Narrow deficit",IF(H395&lt;=5%,"Narrow lead/tie",IF(H395&lt;=20%,"Moderate lead","Large lead"))))))</x:f>
        <x:v>Large deficit</x:v>
      </x:c>
    </x:row>
    <x:row r="396">
      <x:c r="A396" t="n">
        <x:v>337</x:v>
      </x:c>
      <x:c r="B396" t="str">
        <x:v>[Location not in Form 20 PDF]</x:v>
      </x:c>
      <x:c r="C396" s="83" t="n">
        <x:f>'2024 Form20'!H345</x:f>
        <x:v>80</x:v>
      </x:c>
      <x:c r="D396" s="83" t="n">
        <x:f>'2024 Form20'!D345</x:f>
        <x:v>647</x:v>
      </x:c>
      <x:c r="E396" s="50" t="n">
        <x:f>'2024 Form20'!W345</x:f>
        <x:v>0.12364760432766615</x:v>
      </x:c>
      <x:c r="F396" t="n">
        <x:f>'2024 Form20'!X345</x:f>
        <x:v>504</x:v>
      </x:c>
      <x:c r="G396" t="n">
        <x:f>'2024 Form20'!Y345</x:f>
        <x:v>-424</x:v>
      </x:c>
      <x:c r="H396" s="52" t="n">
        <x:f>'2024 Form20'!Z345</x:f>
        <x:v>-0.6553323029366306</x:v>
      </x:c>
      <x:c r="I396" t="str">
        <x:v>Dr. Mahesh Sharma</x:v>
      </x:c>
      <x:c r="J396" t="str">
        <x:v>BJP</x:v>
      </x:c>
      <x:c r="K396" t="str">
        <x:v>EVM row</x:v>
      </x:c>
      <x:c r="L396" s="133" t="str">
        <x:f>IF(D396&lt;=0,"No EVM votes",IF(E396&lt;$N$7,"Low",IF(E396&gt;$R$7,"High","Middle")))</x:f>
        <x:v>Middle</x:v>
      </x:c>
      <x:c r="M396" s="133" t="str">
        <x:f>IF(D396&lt;=0,"No EVM votes",IF(H396&lt;-20%,"Large deficit",IF(H396&lt;-5%,"Moderate deficit",IF(H396&lt;0,"Narrow deficit",IF(H396&lt;=5%,"Narrow lead/tie",IF(H396&lt;=20%,"Moderate lead","Large lead"))))))</x:f>
        <x:v>Large deficit</x:v>
      </x:c>
    </x:row>
    <x:row r="397">
      <x:c r="A397" t="n">
        <x:v>338</x:v>
      </x:c>
      <x:c r="B397" t="str">
        <x:v>[Location not in Form 20 PDF]</x:v>
      </x:c>
      <x:c r="C397" s="83" t="n">
        <x:f>'2024 Form20'!H346</x:f>
        <x:v>134</x:v>
      </x:c>
      <x:c r="D397" s="83" t="n">
        <x:f>'2024 Form20'!D346</x:f>
        <x:v>530</x:v>
      </x:c>
      <x:c r="E397" s="50" t="n">
        <x:f>'2024 Form20'!W346</x:f>
        <x:v>0.2528301886792453</x:v>
      </x:c>
      <x:c r="F397" t="n">
        <x:f>'2024 Form20'!X346</x:f>
        <x:v>247</x:v>
      </x:c>
      <x:c r="G397" t="n">
        <x:f>'2024 Form20'!Y346</x:f>
        <x:v>-113</x:v>
      </x:c>
      <x:c r="H397" s="52" t="n">
        <x:f>'2024 Form20'!Z346</x:f>
        <x:v>-0.21320754716981133</x:v>
      </x:c>
      <x:c r="I397" t="str">
        <x:v>Dr. Mahesh Sharma</x:v>
      </x:c>
      <x:c r="J397" t="str">
        <x:v>BJP</x:v>
      </x:c>
      <x:c r="K397" t="str">
        <x:v>EVM row</x:v>
      </x:c>
      <x:c r="L397" s="133" t="str">
        <x:f>IF(D397&lt;=0,"No EVM votes",IF(E397&lt;$N$7,"Low",IF(E397&gt;$R$7,"High","Middle")))</x:f>
        <x:v>High</x:v>
      </x:c>
      <x:c r="M397" s="133" t="str">
        <x:f>IF(D397&lt;=0,"No EVM votes",IF(H397&lt;-20%,"Large deficit",IF(H397&lt;-5%,"Moderate deficit",IF(H397&lt;0,"Narrow deficit",IF(H397&lt;=5%,"Narrow lead/tie",IF(H397&lt;=20%,"Moderate lead","Large lead"))))))</x:f>
        <x:v>Large deficit</x:v>
      </x:c>
    </x:row>
    <x:row r="398">
      <x:c r="A398" t="n">
        <x:v>339</x:v>
      </x:c>
      <x:c r="B398" t="str">
        <x:v>[Location not in Form 20 PDF]</x:v>
      </x:c>
      <x:c r="C398" s="83" t="n">
        <x:f>'2024 Form20'!H347</x:f>
        <x:v>65</x:v>
      </x:c>
      <x:c r="D398" s="83" t="n">
        <x:f>'2024 Form20'!D347</x:f>
        <x:v>406</x:v>
      </x:c>
      <x:c r="E398" s="50" t="n">
        <x:f>'2024 Form20'!W347</x:f>
        <x:v>0.16009852216748768</x:v>
      </x:c>
      <x:c r="F398" t="n">
        <x:f>'2024 Form20'!X347</x:f>
        <x:v>258</x:v>
      </x:c>
      <x:c r="G398" t="n">
        <x:f>'2024 Form20'!Y347</x:f>
        <x:v>-193</x:v>
      </x:c>
      <x:c r="H398" s="52" t="n">
        <x:f>'2024 Form20'!Z347</x:f>
        <x:v>-0.4753694581280788</x:v>
      </x:c>
      <x:c r="I398" t="str">
        <x:v>Rajendra Singh Solanki</x:v>
      </x:c>
      <x:c r="J398" t="str">
        <x:v>BSP</x:v>
      </x:c>
      <x:c r="K398" t="str">
        <x:v>EVM row</x:v>
      </x:c>
      <x:c r="L398" s="133" t="str">
        <x:f>IF(D398&lt;=0,"No EVM votes",IF(E398&lt;$N$7,"Low",IF(E398&gt;$R$7,"High","Middle")))</x:f>
        <x:v>Middle</x:v>
      </x:c>
      <x:c r="M398" s="133" t="str">
        <x:f>IF(D398&lt;=0,"No EVM votes",IF(H398&lt;-20%,"Large deficit",IF(H398&lt;-5%,"Moderate deficit",IF(H398&lt;0,"Narrow deficit",IF(H398&lt;=5%,"Narrow lead/tie",IF(H398&lt;=20%,"Moderate lead","Large lead"))))))</x:f>
        <x:v>Large deficit</x:v>
      </x:c>
    </x:row>
    <x:row r="399">
      <x:c r="A399" t="n">
        <x:v>340</x:v>
      </x:c>
      <x:c r="B399" t="str">
        <x:v>[Location not in Form 20 PDF]</x:v>
      </x:c>
      <x:c r="C399" s="83" t="n">
        <x:f>'2024 Form20'!H348</x:f>
        <x:v>51</x:v>
      </x:c>
      <x:c r="D399" s="83" t="n">
        <x:f>'2024 Form20'!D348</x:f>
        <x:v>401</x:v>
      </x:c>
      <x:c r="E399" s="50" t="n">
        <x:f>'2024 Form20'!W348</x:f>
        <x:v>0.12718204488778054</x:v>
      </x:c>
      <x:c r="F399" t="n">
        <x:f>'2024 Form20'!X348</x:f>
        <x:v>321</x:v>
      </x:c>
      <x:c r="G399" t="n">
        <x:f>'2024 Form20'!Y348</x:f>
        <x:v>-270</x:v>
      </x:c>
      <x:c r="H399" s="52" t="n">
        <x:f>'2024 Form20'!Z348</x:f>
        <x:v>-0.6733167082294265</x:v>
      </x:c>
      <x:c r="I399" t="str">
        <x:v>Rajendra Singh Solanki</x:v>
      </x:c>
      <x:c r="J399" t="str">
        <x:v>BSP</x:v>
      </x:c>
      <x:c r="K399" t="str">
        <x:v>EVM row</x:v>
      </x:c>
      <x:c r="L399" s="133" t="str">
        <x:f>IF(D399&lt;=0,"No EVM votes",IF(E399&lt;$N$7,"Low",IF(E399&gt;$R$7,"High","Middle")))</x:f>
        <x:v>Middle</x:v>
      </x:c>
      <x:c r="M399" s="133" t="str">
        <x:f>IF(D399&lt;=0,"No EVM votes",IF(H399&lt;-20%,"Large deficit",IF(H399&lt;-5%,"Moderate deficit",IF(H399&lt;0,"Narrow deficit",IF(H399&lt;=5%,"Narrow lead/tie",IF(H399&lt;=20%,"Moderate lead","Large lead"))))))</x:f>
        <x:v>Large deficit</x:v>
      </x:c>
    </x:row>
    <x:row r="400">
      <x:c r="A400" t="n">
        <x:v>341</x:v>
      </x:c>
      <x:c r="B400" t="str">
        <x:v>[Location not in Form 20 PDF]</x:v>
      </x:c>
      <x:c r="C400" s="83" t="n">
        <x:f>'2024 Form20'!H349</x:f>
        <x:v>21</x:v>
      </x:c>
      <x:c r="D400" s="83" t="n">
        <x:f>'2024 Form20'!D349</x:f>
        <x:v>422</x:v>
      </x:c>
      <x:c r="E400" s="50" t="n">
        <x:f>'2024 Form20'!W349</x:f>
        <x:v>0.04976303317535545</x:v>
      </x:c>
      <x:c r="F400" t="n">
        <x:f>'2024 Form20'!X349</x:f>
        <x:v>353</x:v>
      </x:c>
      <x:c r="G400" t="n">
        <x:f>'2024 Form20'!Y349</x:f>
        <x:v>-332</x:v>
      </x:c>
      <x:c r="H400" s="52" t="n">
        <x:f>'2024 Form20'!Z349</x:f>
        <x:v>-0.7867298578199052</x:v>
      </x:c>
      <x:c r="I400" t="str">
        <x:v>Dr. Mahesh Sharma</x:v>
      </x:c>
      <x:c r="J400" t="str">
        <x:v>BJP</x:v>
      </x:c>
      <x:c r="K400" t="str">
        <x:v>EVM row</x:v>
      </x:c>
      <x:c r="L400" s="133" t="str">
        <x:f>IF(D400&lt;=0,"No EVM votes",IF(E400&lt;$N$7,"Low",IF(E400&gt;$R$7,"High","Middle")))</x:f>
        <x:v>Middle</x:v>
      </x:c>
      <x:c r="M400" s="133" t="str">
        <x:f>IF(D400&lt;=0,"No EVM votes",IF(H400&lt;-20%,"Large deficit",IF(H400&lt;-5%,"Moderate deficit",IF(H400&lt;0,"Narrow deficit",IF(H400&lt;=5%,"Narrow lead/tie",IF(H400&lt;=20%,"Moderate lead","Large lead"))))))</x:f>
        <x:v>Large deficit</x:v>
      </x:c>
    </x:row>
    <x:row r="401">
      <x:c r="A401" t="n">
        <x:v>342</x:v>
      </x:c>
      <x:c r="B401" t="str">
        <x:v>[Location not in Form 20 PDF]</x:v>
      </x:c>
      <x:c r="C401" s="83" t="n">
        <x:f>'2024 Form20'!H350</x:f>
        <x:v>6</x:v>
      </x:c>
      <x:c r="D401" s="83" t="n">
        <x:f>'2024 Form20'!D350</x:f>
        <x:v>451</x:v>
      </x:c>
      <x:c r="E401" s="50" t="n">
        <x:f>'2024 Form20'!W350</x:f>
        <x:v>0.013303769401330377</x:v>
      </x:c>
      <x:c r="F401" t="n">
        <x:f>'2024 Form20'!X350</x:f>
        <x:v>429</x:v>
      </x:c>
      <x:c r="G401" t="n">
        <x:f>'2024 Form20'!Y350</x:f>
        <x:v>-423</x:v>
      </x:c>
      <x:c r="H401" s="52" t="n">
        <x:f>'2024 Form20'!Z350</x:f>
        <x:v>-0.9379157427937915</x:v>
      </x:c>
      <x:c r="I401" t="str">
        <x:v>Rajendra Singh Solanki</x:v>
      </x:c>
      <x:c r="J401" t="str">
        <x:v>BSP</x:v>
      </x:c>
      <x:c r="K401" t="str">
        <x:v>EVM row</x:v>
      </x:c>
      <x:c r="L401" s="133" t="str">
        <x:f>IF(D401&lt;=0,"No EVM votes",IF(E401&lt;$N$7,"Low",IF(E401&gt;$R$7,"High","Middle")))</x:f>
        <x:v>Low</x:v>
      </x:c>
      <x:c r="M401" s="133" t="str">
        <x:f>IF(D401&lt;=0,"No EVM votes",IF(H401&lt;-20%,"Large deficit",IF(H401&lt;-5%,"Moderate deficit",IF(H401&lt;0,"Narrow deficit",IF(H401&lt;=5%,"Narrow lead/tie",IF(H401&lt;=20%,"Moderate lead","Large lead"))))))</x:f>
        <x:v>Large deficit</x:v>
      </x:c>
    </x:row>
    <x:row r="402">
      <x:c r="A402" t="n">
        <x:v>343</x:v>
      </x:c>
      <x:c r="B402" t="str">
        <x:v>[Location not in Form 20 PDF]</x:v>
      </x:c>
      <x:c r="C402" s="83" t="n">
        <x:f>'2024 Form20'!H351</x:f>
        <x:v>64</x:v>
      </x:c>
      <x:c r="D402" s="83" t="n">
        <x:f>'2024 Form20'!D351</x:f>
        <x:v>289</x:v>
      </x:c>
      <x:c r="E402" s="50" t="n">
        <x:f>'2024 Form20'!W351</x:f>
        <x:v>0.22145328719723184</x:v>
      </x:c>
      <x:c r="F402" t="n">
        <x:f>'2024 Form20'!X351</x:f>
        <x:v>126</x:v>
      </x:c>
      <x:c r="G402" t="n">
        <x:f>'2024 Form20'!Y351</x:f>
        <x:v>-62</x:v>
      </x:c>
      <x:c r="H402" s="52" t="n">
        <x:f>'2024 Form20'!Z351</x:f>
        <x:v>-0.21453287197231835</x:v>
      </x:c>
      <x:c r="I402" t="str">
        <x:v>Rajendra Singh Solanki</x:v>
      </x:c>
      <x:c r="J402" t="str">
        <x:v>BSP</x:v>
      </x:c>
      <x:c r="K402" t="str">
        <x:v>EVM row</x:v>
      </x:c>
      <x:c r="L402" s="133" t="str">
        <x:f>IF(D402&lt;=0,"No EVM votes",IF(E402&lt;$N$7,"Low",IF(E402&gt;$R$7,"High","Middle")))</x:f>
        <x:v>Middle</x:v>
      </x:c>
      <x:c r="M402" s="133" t="str">
        <x:f>IF(D402&lt;=0,"No EVM votes",IF(H402&lt;-20%,"Large deficit",IF(H402&lt;-5%,"Moderate deficit",IF(H402&lt;0,"Narrow deficit",IF(H402&lt;=5%,"Narrow lead/tie",IF(H402&lt;=20%,"Moderate lead","Large lead"))))))</x:f>
        <x:v>Large deficit</x:v>
      </x:c>
    </x:row>
    <x:row r="403">
      <x:c r="A403" t="n">
        <x:v>344</x:v>
      </x:c>
      <x:c r="B403" t="str">
        <x:v>[Location not in Form 20 PDF]</x:v>
      </x:c>
      <x:c r="C403" s="83" t="n">
        <x:f>'2024 Form20'!H352</x:f>
        <x:v>162</x:v>
      </x:c>
      <x:c r="D403" s="83" t="n">
        <x:f>'2024 Form20'!D352</x:f>
        <x:v>615</x:v>
      </x:c>
      <x:c r="E403" s="50" t="n">
        <x:f>'2024 Form20'!W352</x:f>
        <x:v>0.2634146341463415</x:v>
      </x:c>
      <x:c r="F403" t="n">
        <x:f>'2024 Form20'!X352</x:f>
        <x:v>345</x:v>
      </x:c>
      <x:c r="G403" t="n">
        <x:f>'2024 Form20'!Y352</x:f>
        <x:v>-183</x:v>
      </x:c>
      <x:c r="H403" s="52" t="n">
        <x:f>'2024 Form20'!Z352</x:f>
        <x:v>-0.2975609756097561</x:v>
      </x:c>
      <x:c r="I403" t="str">
        <x:v>Dr. Mahesh Sharma</x:v>
      </x:c>
      <x:c r="J403" t="str">
        <x:v>BJP</x:v>
      </x:c>
      <x:c r="K403" t="str">
        <x:v>EVM row</x:v>
      </x:c>
      <x:c r="L403" s="133" t="str">
        <x:f>IF(D403&lt;=0,"No EVM votes",IF(E403&lt;$N$7,"Low",IF(E403&gt;$R$7,"High","Middle")))</x:f>
        <x:v>High</x:v>
      </x:c>
      <x:c r="M403" s="133" t="str">
        <x:f>IF(D403&lt;=0,"No EVM votes",IF(H403&lt;-20%,"Large deficit",IF(H403&lt;-5%,"Moderate deficit",IF(H403&lt;0,"Narrow deficit",IF(H403&lt;=5%,"Narrow lead/tie",IF(H403&lt;=20%,"Moderate lead","Large lead"))))))</x:f>
        <x:v>Large deficit</x:v>
      </x:c>
    </x:row>
    <x:row r="404">
      <x:c r="A404" t="n">
        <x:v>345</x:v>
      </x:c>
      <x:c r="B404" t="str">
        <x:v>[Location not in Form 20 PDF]</x:v>
      </x:c>
      <x:c r="C404" s="83" t="n">
        <x:f>'2024 Form20'!H353</x:f>
        <x:v>139</x:v>
      </x:c>
      <x:c r="D404" s="83" t="n">
        <x:f>'2024 Form20'!D353</x:f>
        <x:v>343</x:v>
      </x:c>
      <x:c r="E404" s="50" t="n">
        <x:f>'2024 Form20'!W353</x:f>
        <x:v>0.40524781341107874</x:v>
      </x:c>
      <x:c r="F404" t="n">
        <x:f>'2024 Form20'!X353</x:f>
        <x:v>126</x:v>
      </x:c>
      <x:c r="G404" t="n">
        <x:f>'2024 Form20'!Y353</x:f>
        <x:v>13</x:v>
      </x:c>
      <x:c r="H404" s="52" t="n">
        <x:f>'2024 Form20'!Z353</x:f>
        <x:v>0.037900874635568516</x:v>
      </x:c>
      <x:c r="I404" t="str">
        <x:v>Dr. Mahendra Singh Nagar</x:v>
      </x:c>
      <x:c r="J404" t="str">
        <x:v>SP</x:v>
      </x:c>
      <x:c r="K404" t="str">
        <x:v>EVM row</x:v>
      </x:c>
      <x:c r="L404" s="133" t="str">
        <x:f>IF(D404&lt;=0,"No EVM votes",IF(E404&lt;$N$7,"Low",IF(E404&gt;$R$7,"High","Middle")))</x:f>
        <x:v>High</x:v>
      </x:c>
      <x:c r="M404" s="133" t="str">
        <x:f>IF(D404&lt;=0,"No EVM votes",IF(H404&lt;-20%,"Large deficit",IF(H404&lt;-5%,"Moderate deficit",IF(H404&lt;0,"Narrow deficit",IF(H404&lt;=5%,"Narrow lead/tie",IF(H404&lt;=20%,"Moderate lead","Large lead"))))))</x:f>
        <x:v>Narrow lead/tie</x:v>
      </x:c>
    </x:row>
    <x:row r="405">
      <x:c r="A405" t="n">
        <x:v>346</x:v>
      </x:c>
      <x:c r="B405" t="str">
        <x:v>[Location not in Form 20 PDF]</x:v>
      </x:c>
      <x:c r="C405" s="83" t="n">
        <x:f>'2024 Form20'!H354</x:f>
        <x:v>131</x:v>
      </x:c>
      <x:c r="D405" s="83" t="n">
        <x:f>'2024 Form20'!D354</x:f>
        <x:v>541</x:v>
      </x:c>
      <x:c r="E405" s="50" t="n">
        <x:f>'2024 Form20'!W354</x:f>
        <x:v>0.24214417744916822</x:v>
      </x:c>
      <x:c r="F405" t="n">
        <x:f>'2024 Form20'!X354</x:f>
        <x:v>310</x:v>
      </x:c>
      <x:c r="G405" t="n">
        <x:f>'2024 Form20'!Y354</x:f>
        <x:v>-179</x:v>
      </x:c>
      <x:c r="H405" s="52" t="n">
        <x:f>'2024 Form20'!Z354</x:f>
        <x:v>-0.33086876155268025</x:v>
      </x:c>
      <x:c r="I405" t="str">
        <x:v>Dr. Mahesh Sharma</x:v>
      </x:c>
      <x:c r="J405" t="str">
        <x:v>BJP</x:v>
      </x:c>
      <x:c r="K405" t="str">
        <x:v>EVM row</x:v>
      </x:c>
      <x:c r="L405" s="133" t="str">
        <x:f>IF(D405&lt;=0,"No EVM votes",IF(E405&lt;$N$7,"Low",IF(E405&gt;$R$7,"High","Middle")))</x:f>
        <x:v>High</x:v>
      </x:c>
      <x:c r="M405" s="133" t="str">
        <x:f>IF(D405&lt;=0,"No EVM votes",IF(H405&lt;-20%,"Large deficit",IF(H405&lt;-5%,"Moderate deficit",IF(H405&lt;0,"Narrow deficit",IF(H405&lt;=5%,"Narrow lead/tie",IF(H405&lt;=20%,"Moderate lead","Large lead"))))))</x:f>
        <x:v>Large deficit</x:v>
      </x:c>
    </x:row>
    <x:row r="406">
      <x:c r="A406" t="n">
        <x:v>347</x:v>
      </x:c>
      <x:c r="B406" t="str">
        <x:v>[Location not in Form 20 PDF]</x:v>
      </x:c>
      <x:c r="C406" s="83" t="n">
        <x:f>'2024 Form20'!H355</x:f>
        <x:v>18</x:v>
      </x:c>
      <x:c r="D406" s="83" t="n">
        <x:f>'2024 Form20'!D355</x:f>
        <x:v>329</x:v>
      </x:c>
      <x:c r="E406" s="50" t="n">
        <x:f>'2024 Form20'!W355</x:f>
        <x:v>0.0547112462006079</x:v>
      </x:c>
      <x:c r="F406" t="n">
        <x:f>'2024 Form20'!X355</x:f>
        <x:v>274</x:v>
      </x:c>
      <x:c r="G406" t="n">
        <x:f>'2024 Form20'!Y355</x:f>
        <x:v>-256</x:v>
      </x:c>
      <x:c r="H406" s="52" t="n">
        <x:f>'2024 Form20'!Z355</x:f>
        <x:v>-0.7781155015197568</x:v>
      </x:c>
      <x:c r="I406" t="str">
        <x:v>Dr. Mahesh Sharma</x:v>
      </x:c>
      <x:c r="J406" t="str">
        <x:v>BJP</x:v>
      </x:c>
      <x:c r="K406" t="str">
        <x:v>EVM row</x:v>
      </x:c>
      <x:c r="L406" s="133" t="str">
        <x:f>IF(D406&lt;=0,"No EVM votes",IF(E406&lt;$N$7,"Low",IF(E406&gt;$R$7,"High","Middle")))</x:f>
        <x:v>Middle</x:v>
      </x:c>
      <x:c r="M406" s="133" t="str">
        <x:f>IF(D406&lt;=0,"No EVM votes",IF(H406&lt;-20%,"Large deficit",IF(H406&lt;-5%,"Moderate deficit",IF(H406&lt;0,"Narrow deficit",IF(H406&lt;=5%,"Narrow lead/tie",IF(H406&lt;=20%,"Moderate lead","Large lead"))))))</x:f>
        <x:v>Large deficit</x:v>
      </x:c>
    </x:row>
    <x:row r="407">
      <x:c r="A407" t="n">
        <x:v>348</x:v>
      </x:c>
      <x:c r="B407" t="str">
        <x:v>[Location not in Form 20 PDF]</x:v>
      </x:c>
      <x:c r="C407" s="83" t="n">
        <x:f>'2024 Form20'!H356</x:f>
        <x:v>298</x:v>
      </x:c>
      <x:c r="D407" s="83" t="n">
        <x:f>'2024 Form20'!D356</x:f>
        <x:v>645</x:v>
      </x:c>
      <x:c r="E407" s="50" t="n">
        <x:f>'2024 Form20'!W356</x:f>
        <x:v>0.462015503875969</x:v>
      </x:c>
      <x:c r="F407" t="n">
        <x:f>'2024 Form20'!X356</x:f>
        <x:v>270</x:v>
      </x:c>
      <x:c r="G407" t="n">
        <x:f>'2024 Form20'!Y356</x:f>
        <x:v>28</x:v>
      </x:c>
      <x:c r="H407" s="52" t="n">
        <x:f>'2024 Form20'!Z356</x:f>
        <x:v>0.043410852713178294</x:v>
      </x:c>
      <x:c r="I407" t="str">
        <x:v>Dr. Mahendra Singh Nagar</x:v>
      </x:c>
      <x:c r="J407" t="str">
        <x:v>SP</x:v>
      </x:c>
      <x:c r="K407" t="str">
        <x:v>EVM row</x:v>
      </x:c>
      <x:c r="L407" s="133" t="str">
        <x:f>IF(D407&lt;=0,"No EVM votes",IF(E407&lt;$N$7,"Low",IF(E407&gt;$R$7,"High","Middle")))</x:f>
        <x:v>High</x:v>
      </x:c>
      <x:c r="M407" s="133" t="str">
        <x:f>IF(D407&lt;=0,"No EVM votes",IF(H407&lt;-20%,"Large deficit",IF(H407&lt;-5%,"Moderate deficit",IF(H407&lt;0,"Narrow deficit",IF(H407&lt;=5%,"Narrow lead/tie",IF(H407&lt;=20%,"Moderate lead","Large lead"))))))</x:f>
        <x:v>Narrow lead/tie</x:v>
      </x:c>
    </x:row>
    <x:row r="408">
      <x:c r="A408" t="n">
        <x:v>349</x:v>
      </x:c>
      <x:c r="B408" t="str">
        <x:v>[Location not in Form 20 PDF]</x:v>
      </x:c>
      <x:c r="C408" s="83" t="n">
        <x:f>'2024 Form20'!H357</x:f>
        <x:v>166</x:v>
      </x:c>
      <x:c r="D408" s="83" t="n">
        <x:f>'2024 Form20'!D357</x:f>
        <x:v>402</x:v>
      </x:c>
      <x:c r="E408" s="50" t="n">
        <x:f>'2024 Form20'!W357</x:f>
        <x:v>0.4129353233830846</x:v>
      </x:c>
      <x:c r="F408" t="n">
        <x:f>'2024 Form20'!X357</x:f>
        <x:v>125</x:v>
      </x:c>
      <x:c r="G408" t="n">
        <x:f>'2024 Form20'!Y357</x:f>
        <x:v>41</x:v>
      </x:c>
      <x:c r="H408" s="52" t="n">
        <x:f>'2024 Form20'!Z357</x:f>
        <x:v>0.10199004975124377</x:v>
      </x:c>
      <x:c r="I408" t="str">
        <x:v>Dr. Mahendra Singh Nagar</x:v>
      </x:c>
      <x:c r="J408" t="str">
        <x:v>SP</x:v>
      </x:c>
      <x:c r="K408" t="str">
        <x:v>EVM row</x:v>
      </x:c>
      <x:c r="L408" s="133" t="str">
        <x:f>IF(D408&lt;=0,"No EVM votes",IF(E408&lt;$N$7,"Low",IF(E408&gt;$R$7,"High","Middle")))</x:f>
        <x:v>High</x:v>
      </x:c>
      <x:c r="M408" s="133" t="str">
        <x:f>IF(D408&lt;=0,"No EVM votes",IF(H408&lt;-20%,"Large deficit",IF(H408&lt;-5%,"Moderate deficit",IF(H408&lt;0,"Narrow deficit",IF(H408&lt;=5%,"Narrow lead/tie",IF(H408&lt;=20%,"Moderate lead","Large lead"))))))</x:f>
        <x:v>Moderate lead</x:v>
      </x:c>
    </x:row>
    <x:row r="409">
      <x:c r="A409" t="n">
        <x:v>350</x:v>
      </x:c>
      <x:c r="B409" t="str">
        <x:v>[Location not in Form 20 PDF]</x:v>
      </x:c>
      <x:c r="C409" s="83" t="n">
        <x:f>'2024 Form20'!H358</x:f>
        <x:v>10</x:v>
      </x:c>
      <x:c r="D409" s="83" t="n">
        <x:f>'2024 Form20'!D358</x:f>
        <x:v>366</x:v>
      </x:c>
      <x:c r="E409" s="50" t="n">
        <x:f>'2024 Form20'!W358</x:f>
        <x:v>0.0273224043715847</x:v>
      </x:c>
      <x:c r="F409" t="n">
        <x:f>'2024 Form20'!X358</x:f>
        <x:v>338</x:v>
      </x:c>
      <x:c r="G409" t="n">
        <x:f>'2024 Form20'!Y358</x:f>
        <x:v>-328</x:v>
      </x:c>
      <x:c r="H409" s="52" t="n">
        <x:f>'2024 Form20'!Z358</x:f>
        <x:v>-0.8961748633879781</x:v>
      </x:c>
      <x:c r="I409" t="str">
        <x:v>Rajendra Singh Solanki</x:v>
      </x:c>
      <x:c r="J409" t="str">
        <x:v>BSP</x:v>
      </x:c>
      <x:c r="K409" t="str">
        <x:v>EVM row</x:v>
      </x:c>
      <x:c r="L409" s="133" t="str">
        <x:f>IF(D409&lt;=0,"No EVM votes",IF(E409&lt;$N$7,"Low",IF(E409&gt;$R$7,"High","Middle")))</x:f>
        <x:v>Low</x:v>
      </x:c>
      <x:c r="M409" s="133" t="str">
        <x:f>IF(D409&lt;=0,"No EVM votes",IF(H409&lt;-20%,"Large deficit",IF(H409&lt;-5%,"Moderate deficit",IF(H409&lt;0,"Narrow deficit",IF(H409&lt;=5%,"Narrow lead/tie",IF(H409&lt;=20%,"Moderate lead","Large lead"))))))</x:f>
        <x:v>Large deficit</x:v>
      </x:c>
    </x:row>
    <x:row r="410">
      <x:c r="A410" t="n">
        <x:v>351</x:v>
      </x:c>
      <x:c r="B410" t="str">
        <x:v>[Location not in Form 20 PDF]</x:v>
      </x:c>
      <x:c r="C410" s="83" t="n">
        <x:f>'2024 Form20'!H359</x:f>
        <x:v>155</x:v>
      </x:c>
      <x:c r="D410" s="83" t="n">
        <x:f>'2024 Form20'!D359</x:f>
        <x:v>514</x:v>
      </x:c>
      <x:c r="E410" s="50" t="n">
        <x:f>'2024 Form20'!W359</x:f>
        <x:v>0.301556420233463</x:v>
      </x:c>
      <x:c r="F410" t="n">
        <x:f>'2024 Form20'!X359</x:f>
        <x:v>256</x:v>
      </x:c>
      <x:c r="G410" t="n">
        <x:f>'2024 Form20'!Y359</x:f>
        <x:v>-101</x:v>
      </x:c>
      <x:c r="H410" s="52" t="n">
        <x:f>'2024 Form20'!Z359</x:f>
        <x:v>-0.19649805447470817</x:v>
      </x:c>
      <x:c r="I410" t="str">
        <x:v>Dr. Mahesh Sharma</x:v>
      </x:c>
      <x:c r="J410" t="str">
        <x:v>BJP</x:v>
      </x:c>
      <x:c r="K410" t="str">
        <x:v>EVM row</x:v>
      </x:c>
      <x:c r="L410" s="133" t="str">
        <x:f>IF(D410&lt;=0,"No EVM votes",IF(E410&lt;$N$7,"Low",IF(E410&gt;$R$7,"High","Middle")))</x:f>
        <x:v>High</x:v>
      </x:c>
      <x:c r="M410" s="133" t="str">
        <x:f>IF(D410&lt;=0,"No EVM votes",IF(H410&lt;-20%,"Large deficit",IF(H410&lt;-5%,"Moderate deficit",IF(H410&lt;0,"Narrow deficit",IF(H410&lt;=5%,"Narrow lead/tie",IF(H410&lt;=20%,"Moderate lead","Large lead"))))))</x:f>
        <x:v>Moderate deficit</x:v>
      </x:c>
    </x:row>
    <x:row r="411">
      <x:c r="A411" t="n">
        <x:v>352</x:v>
      </x:c>
      <x:c r="B411" t="str">
        <x:v>[Location not in Form 20 PDF]</x:v>
      </x:c>
      <x:c r="C411" s="83" t="n">
        <x:f>'2024 Form20'!H360</x:f>
        <x:v>307</x:v>
      </x:c>
      <x:c r="D411" s="83" t="n">
        <x:f>'2024 Form20'!D360</x:f>
        <x:v>647</x:v>
      </x:c>
      <x:c r="E411" s="50" t="n">
        <x:f>'2024 Form20'!W360</x:f>
        <x:v>0.47449768160741884</x:v>
      </x:c>
      <x:c r="F411" t="n">
        <x:f>'2024 Form20'!X360</x:f>
        <x:v>185</x:v>
      </x:c>
      <x:c r="G411" t="n">
        <x:f>'2024 Form20'!Y360</x:f>
        <x:v>122</x:v>
      </x:c>
      <x:c r="H411" s="52" t="n">
        <x:f>'2024 Form20'!Z360</x:f>
        <x:v>0.18856259659969088</x:v>
      </x:c>
      <x:c r="I411" t="str">
        <x:v>Dr. Mahendra Singh Nagar</x:v>
      </x:c>
      <x:c r="J411" t="str">
        <x:v>SP</x:v>
      </x:c>
      <x:c r="K411" t="str">
        <x:v>EVM row</x:v>
      </x:c>
      <x:c r="L411" s="133" t="str">
        <x:f>IF(D411&lt;=0,"No EVM votes",IF(E411&lt;$N$7,"Low",IF(E411&gt;$R$7,"High","Middle")))</x:f>
        <x:v>High</x:v>
      </x:c>
      <x:c r="M411" s="133" t="str">
        <x:f>IF(D411&lt;=0,"No EVM votes",IF(H411&lt;-20%,"Large deficit",IF(H411&lt;-5%,"Moderate deficit",IF(H411&lt;0,"Narrow deficit",IF(H411&lt;=5%,"Narrow lead/tie",IF(H411&lt;=20%,"Moderate lead","Large lead"))))))</x:f>
        <x:v>Moderate lead</x:v>
      </x:c>
    </x:row>
    <x:row r="412">
      <x:c r="A412" t="n">
        <x:v>353</x:v>
      </x:c>
      <x:c r="B412" t="str">
        <x:v>[Location not in Form 20 PDF]</x:v>
      </x:c>
      <x:c r="C412" s="83" t="n">
        <x:f>'2024 Form20'!H361</x:f>
        <x:v>59</x:v>
      </x:c>
      <x:c r="D412" s="83" t="n">
        <x:f>'2024 Form20'!D361</x:f>
        <x:v>582</x:v>
      </x:c>
      <x:c r="E412" s="50" t="n">
        <x:f>'2024 Form20'!W361</x:f>
        <x:v>0.1013745704467354</x:v>
      </x:c>
      <x:c r="F412" t="n">
        <x:f>'2024 Form20'!X361</x:f>
        <x:v>500</x:v>
      </x:c>
      <x:c r="G412" t="n">
        <x:f>'2024 Form20'!Y361</x:f>
        <x:v>-441</x:v>
      </x:c>
      <x:c r="H412" s="52" t="n">
        <x:f>'2024 Form20'!Z361</x:f>
        <x:v>-0.7577319587628866</x:v>
      </x:c>
      <x:c r="I412" t="str">
        <x:v>Dr. Mahesh Sharma</x:v>
      </x:c>
      <x:c r="J412" t="str">
        <x:v>BJP</x:v>
      </x:c>
      <x:c r="K412" t="str">
        <x:v>EVM row</x:v>
      </x:c>
      <x:c r="L412" s="133" t="str">
        <x:f>IF(D412&lt;=0,"No EVM votes",IF(E412&lt;$N$7,"Low",IF(E412&gt;$R$7,"High","Middle")))</x:f>
        <x:v>Middle</x:v>
      </x:c>
      <x:c r="M412" s="133" t="str">
        <x:f>IF(D412&lt;=0,"No EVM votes",IF(H412&lt;-20%,"Large deficit",IF(H412&lt;-5%,"Moderate deficit",IF(H412&lt;0,"Narrow deficit",IF(H412&lt;=5%,"Narrow lead/tie",IF(H412&lt;=20%,"Moderate lead","Large lead"))))))</x:f>
        <x:v>Large deficit</x:v>
      </x:c>
    </x:row>
    <x:row r="413">
      <x:c r="A413" t="n">
        <x:v>354</x:v>
      </x:c>
      <x:c r="B413" t="str">
        <x:v>[Location not in Form 20 PDF]</x:v>
      </x:c>
      <x:c r="C413" s="83" t="n">
        <x:f>'2024 Form20'!H362</x:f>
        <x:v>227</x:v>
      </x:c>
      <x:c r="D413" s="83" t="n">
        <x:f>'2024 Form20'!D362</x:f>
        <x:v>497</x:v>
      </x:c>
      <x:c r="E413" s="50" t="n">
        <x:f>'2024 Form20'!W362</x:f>
        <x:v>0.4567404426559356</x:v>
      </x:c>
      <x:c r="F413" t="n">
        <x:f>'2024 Form20'!X362</x:f>
        <x:v>216</x:v>
      </x:c>
      <x:c r="G413" t="n">
        <x:f>'2024 Form20'!Y362</x:f>
        <x:v>11</x:v>
      </x:c>
      <x:c r="H413" s="52" t="n">
        <x:f>'2024 Form20'!Z362</x:f>
        <x:v>0.022132796780684104</x:v>
      </x:c>
      <x:c r="I413" t="str">
        <x:v>Dr. Mahendra Singh Nagar</x:v>
      </x:c>
      <x:c r="J413" t="str">
        <x:v>SP</x:v>
      </x:c>
      <x:c r="K413" t="str">
        <x:v>EVM row</x:v>
      </x:c>
      <x:c r="L413" s="133" t="str">
        <x:f>IF(D413&lt;=0,"No EVM votes",IF(E413&lt;$N$7,"Low",IF(E413&gt;$R$7,"High","Middle")))</x:f>
        <x:v>High</x:v>
      </x:c>
      <x:c r="M413" s="133" t="str">
        <x:f>IF(D413&lt;=0,"No EVM votes",IF(H413&lt;-20%,"Large deficit",IF(H413&lt;-5%,"Moderate deficit",IF(H413&lt;0,"Narrow deficit",IF(H413&lt;=5%,"Narrow lead/tie",IF(H413&lt;=20%,"Moderate lead","Large lead"))))))</x:f>
        <x:v>Narrow lead/tie</x:v>
      </x:c>
    </x:row>
    <x:row r="414">
      <x:c r="A414" t="n">
        <x:v>355</x:v>
      </x:c>
      <x:c r="B414" t="str">
        <x:v>[Location not in Form 20 PDF]</x:v>
      </x:c>
      <x:c r="C414" s="83" t="n">
        <x:f>'2024 Form20'!H363</x:f>
        <x:v>315</x:v>
      </x:c>
      <x:c r="D414" s="83" t="n">
        <x:f>'2024 Form20'!D363</x:f>
        <x:v>626</x:v>
      </x:c>
      <x:c r="E414" s="50" t="n">
        <x:f>'2024 Form20'!W363</x:f>
        <x:v>0.5031948881789138</x:v>
      </x:c>
      <x:c r="F414" t="n">
        <x:f>'2024 Form20'!X363</x:f>
        <x:v>150</x:v>
      </x:c>
      <x:c r="G414" t="n">
        <x:f>'2024 Form20'!Y363</x:f>
        <x:v>165</x:v>
      </x:c>
      <x:c r="H414" s="52" t="n">
        <x:f>'2024 Form20'!Z363</x:f>
        <x:v>0.26357827476038337</x:v>
      </x:c>
      <x:c r="I414" t="str">
        <x:v>Dr. Mahendra Singh Nagar</x:v>
      </x:c>
      <x:c r="J414" t="str">
        <x:v>SP</x:v>
      </x:c>
      <x:c r="K414" t="str">
        <x:v>EVM row</x:v>
      </x:c>
      <x:c r="L414" s="133" t="str">
        <x:f>IF(D414&lt;=0,"No EVM votes",IF(E414&lt;$N$7,"Low",IF(E414&gt;$R$7,"High","Middle")))</x:f>
        <x:v>High</x:v>
      </x:c>
      <x:c r="M414" s="133" t="str">
        <x:f>IF(D414&lt;=0,"No EVM votes",IF(H414&lt;-20%,"Large deficit",IF(H414&lt;-5%,"Moderate deficit",IF(H414&lt;0,"Narrow deficit",IF(H414&lt;=5%,"Narrow lead/tie",IF(H414&lt;=20%,"Moderate lead","Large lead"))))))</x:f>
        <x:v>Large lead</x:v>
      </x:c>
    </x:row>
    <x:row r="415">
      <x:c r="A415" t="n">
        <x:v>356</x:v>
      </x:c>
      <x:c r="B415" t="str">
        <x:v>[Location not in Form 20 PDF]</x:v>
      </x:c>
      <x:c r="C415" s="83" t="n">
        <x:f>'2024 Form20'!H364</x:f>
        <x:v>12</x:v>
      </x:c>
      <x:c r="D415" s="83" t="n">
        <x:f>'2024 Form20'!D364</x:f>
        <x:v>307</x:v>
      </x:c>
      <x:c r="E415" s="50" t="n">
        <x:f>'2024 Form20'!W364</x:f>
        <x:v>0.03908794788273615</x:v>
      </x:c>
      <x:c r="F415" t="n">
        <x:f>'2024 Form20'!X364</x:f>
        <x:v>238</x:v>
      </x:c>
      <x:c r="G415" t="n">
        <x:f>'2024 Form20'!Y364</x:f>
        <x:v>-226</x:v>
      </x:c>
      <x:c r="H415" s="52" t="n">
        <x:f>'2024 Form20'!Z364</x:f>
        <x:v>-0.7361563517915309</x:v>
      </x:c>
      <x:c r="I415" t="str">
        <x:v>Dr. Mahesh Sharma</x:v>
      </x:c>
      <x:c r="J415" t="str">
        <x:v>BJP</x:v>
      </x:c>
      <x:c r="K415" t="str">
        <x:v>EVM row</x:v>
      </x:c>
      <x:c r="L415" s="133" t="str">
        <x:f>IF(D415&lt;=0,"No EVM votes",IF(E415&lt;$N$7,"Low",IF(E415&gt;$R$7,"High","Middle")))</x:f>
        <x:v>Middle</x:v>
      </x:c>
      <x:c r="M415" s="133" t="str">
        <x:f>IF(D415&lt;=0,"No EVM votes",IF(H415&lt;-20%,"Large deficit",IF(H415&lt;-5%,"Moderate deficit",IF(H415&lt;0,"Narrow deficit",IF(H415&lt;=5%,"Narrow lead/tie",IF(H415&lt;=20%,"Moderate lead","Large lead"))))))</x:f>
        <x:v>Large deficit</x:v>
      </x:c>
    </x:row>
    <x:row r="416">
      <x:c r="A416" t="n">
        <x:v>357</x:v>
      </x:c>
      <x:c r="B416" t="str">
        <x:v>[Location not in Form 20 PDF]</x:v>
      </x:c>
      <x:c r="C416" s="83" t="n">
        <x:f>'2024 Form20'!H365</x:f>
        <x:v>46</x:v>
      </x:c>
      <x:c r="D416" s="83" t="n">
        <x:f>'2024 Form20'!D365</x:f>
        <x:v>494</x:v>
      </x:c>
      <x:c r="E416" s="50" t="n">
        <x:f>'2024 Form20'!W365</x:f>
        <x:v>0.0931174089068826</x:v>
      </x:c>
      <x:c r="F416" t="n">
        <x:f>'2024 Form20'!X365</x:f>
        <x:v>284</x:v>
      </x:c>
      <x:c r="G416" t="n">
        <x:f>'2024 Form20'!Y365</x:f>
        <x:v>-238</x:v>
      </x:c>
      <x:c r="H416" s="52" t="n">
        <x:f>'2024 Form20'!Z365</x:f>
        <x:v>-0.4817813765182186</x:v>
      </x:c>
      <x:c r="I416" t="str">
        <x:v>Dr. Mahesh Sharma</x:v>
      </x:c>
      <x:c r="J416" t="str">
        <x:v>BJP</x:v>
      </x:c>
      <x:c r="K416" t="str">
        <x:v>EVM row</x:v>
      </x:c>
      <x:c r="L416" s="133" t="str">
        <x:f>IF(D416&lt;=0,"No EVM votes",IF(E416&lt;$N$7,"Low",IF(E416&gt;$R$7,"High","Middle")))</x:f>
        <x:v>Middle</x:v>
      </x:c>
      <x:c r="M416" s="133" t="str">
        <x:f>IF(D416&lt;=0,"No EVM votes",IF(H416&lt;-20%,"Large deficit",IF(H416&lt;-5%,"Moderate deficit",IF(H416&lt;0,"Narrow deficit",IF(H416&lt;=5%,"Narrow lead/tie",IF(H416&lt;=20%,"Moderate lead","Large lead"))))))</x:f>
        <x:v>Large deficit</x:v>
      </x:c>
    </x:row>
    <x:row r="417">
      <x:c r="A417" t="n">
        <x:v>358</x:v>
      </x:c>
      <x:c r="B417" t="str">
        <x:v>[Location not in Form 20 PDF]</x:v>
      </x:c>
      <x:c r="C417" s="83" t="n">
        <x:f>'2024 Form20'!H366</x:f>
        <x:v>147</x:v>
      </x:c>
      <x:c r="D417" s="83" t="n">
        <x:f>'2024 Form20'!D366</x:f>
        <x:v>623</x:v>
      </x:c>
      <x:c r="E417" s="50" t="n">
        <x:f>'2024 Form20'!W366</x:f>
        <x:v>0.23595505617977527</x:v>
      </x:c>
      <x:c r="F417" t="n">
        <x:f>'2024 Form20'!X366</x:f>
        <x:v>394</x:v>
      </x:c>
      <x:c r="G417" t="n">
        <x:f>'2024 Form20'!Y366</x:f>
        <x:v>-247</x:v>
      </x:c>
      <x:c r="H417" s="52" t="n">
        <x:f>'2024 Form20'!Z366</x:f>
        <x:v>-0.39646869983948635</x:v>
      </x:c>
      <x:c r="I417" t="str">
        <x:v>Dr. Mahesh Sharma</x:v>
      </x:c>
      <x:c r="J417" t="str">
        <x:v>BJP</x:v>
      </x:c>
      <x:c r="K417" t="str">
        <x:v>EVM row</x:v>
      </x:c>
      <x:c r="L417" s="133" t="str">
        <x:f>IF(D417&lt;=0,"No EVM votes",IF(E417&lt;$N$7,"Low",IF(E417&gt;$R$7,"High","Middle")))</x:f>
        <x:v>High</x:v>
      </x:c>
      <x:c r="M417" s="133" t="str">
        <x:f>IF(D417&lt;=0,"No EVM votes",IF(H417&lt;-20%,"Large deficit",IF(H417&lt;-5%,"Moderate deficit",IF(H417&lt;0,"Narrow deficit",IF(H417&lt;=5%,"Narrow lead/tie",IF(H417&lt;=20%,"Moderate lead","Large lead"))))))</x:f>
        <x:v>Large deficit</x:v>
      </x:c>
    </x:row>
    <x:row r="418">
      <x:c r="A418" t="n">
        <x:v>359</x:v>
      </x:c>
      <x:c r="B418" t="str">
        <x:v>[Location not in Form 20 PDF]</x:v>
      </x:c>
      <x:c r="C418" s="83" t="n">
        <x:f>'2024 Form20'!H367</x:f>
        <x:v>222</x:v>
      </x:c>
      <x:c r="D418" s="83" t="n">
        <x:f>'2024 Form20'!D367</x:f>
        <x:v>707</x:v>
      </x:c>
      <x:c r="E418" s="50" t="n">
        <x:f>'2024 Form20'!W367</x:f>
        <x:v>0.314002828854314</x:v>
      </x:c>
      <x:c r="F418" t="n">
        <x:f>'2024 Form20'!X367</x:f>
        <x:v>339</x:v>
      </x:c>
      <x:c r="G418" t="n">
        <x:f>'2024 Form20'!Y367</x:f>
        <x:v>-117</x:v>
      </x:c>
      <x:c r="H418" s="52" t="n">
        <x:f>'2024 Form20'!Z367</x:f>
        <x:v>-0.16548797736916548</x:v>
      </x:c>
      <x:c r="I418" t="str">
        <x:v>Dr. Mahesh Sharma</x:v>
      </x:c>
      <x:c r="J418" t="str">
        <x:v>BJP</x:v>
      </x:c>
      <x:c r="K418" t="str">
        <x:v>EVM row</x:v>
      </x:c>
      <x:c r="L418" s="133" t="str">
        <x:f>IF(D418&lt;=0,"No EVM votes",IF(E418&lt;$N$7,"Low",IF(E418&gt;$R$7,"High","Middle")))</x:f>
        <x:v>High</x:v>
      </x:c>
      <x:c r="M418" s="133" t="str">
        <x:f>IF(D418&lt;=0,"No EVM votes",IF(H418&lt;-20%,"Large deficit",IF(H418&lt;-5%,"Moderate deficit",IF(H418&lt;0,"Narrow deficit",IF(H418&lt;=5%,"Narrow lead/tie",IF(H418&lt;=20%,"Moderate lead","Large lead"))))))</x:f>
        <x:v>Moderate deficit</x:v>
      </x:c>
    </x:row>
    <x:row r="419">
      <x:c r="A419" t="n">
        <x:v>360</x:v>
      </x:c>
      <x:c r="B419" t="str">
        <x:v>[Location not in Form 20 PDF]</x:v>
      </x:c>
      <x:c r="C419" s="83" t="n">
        <x:f>'2024 Form20'!H368</x:f>
        <x:v>402</x:v>
      </x:c>
      <x:c r="D419" s="83" t="n">
        <x:f>'2024 Form20'!D368</x:f>
        <x:v>878</x:v>
      </x:c>
      <x:c r="E419" s="50" t="n">
        <x:f>'2024 Form20'!W368</x:f>
        <x:v>0.45785876993166286</x:v>
      </x:c>
      <x:c r="F419" t="n">
        <x:f>'2024 Form20'!X368</x:f>
        <x:v>218</x:v>
      </x:c>
      <x:c r="G419" t="n">
        <x:f>'2024 Form20'!Y368</x:f>
        <x:v>184</x:v>
      </x:c>
      <x:c r="H419" s="52" t="n">
        <x:f>'2024 Form20'!Z368</x:f>
        <x:v>0.20956719817767655</x:v>
      </x:c>
      <x:c r="I419" t="str">
        <x:v>Dr. Mahendra Singh Nagar</x:v>
      </x:c>
      <x:c r="J419" t="str">
        <x:v>SP</x:v>
      </x:c>
      <x:c r="K419" t="str">
        <x:v>EVM row</x:v>
      </x:c>
      <x:c r="L419" s="133" t="str">
        <x:f>IF(D419&lt;=0,"No EVM votes",IF(E419&lt;$N$7,"Low",IF(E419&gt;$R$7,"High","Middle")))</x:f>
        <x:v>High</x:v>
      </x:c>
      <x:c r="M419" s="133" t="str">
        <x:f>IF(D419&lt;=0,"No EVM votes",IF(H419&lt;-20%,"Large deficit",IF(H419&lt;-5%,"Moderate deficit",IF(H419&lt;0,"Narrow deficit",IF(H419&lt;=5%,"Narrow lead/tie",IF(H419&lt;=20%,"Moderate lead","Large lead"))))))</x:f>
        <x:v>Large lead</x:v>
      </x:c>
    </x:row>
    <x:row r="420">
      <x:c r="A420" t="n">
        <x:v>361</x:v>
      </x:c>
      <x:c r="B420" t="str">
        <x:v>[Location not in Form 20 PDF]</x:v>
      </x:c>
      <x:c r="C420" s="83" t="n">
        <x:f>'2024 Form20'!H369</x:f>
        <x:v>70</x:v>
      </x:c>
      <x:c r="D420" s="83" t="n">
        <x:f>'2024 Form20'!D369</x:f>
        <x:v>610</x:v>
      </x:c>
      <x:c r="E420" s="50" t="n">
        <x:f>'2024 Form20'!W369</x:f>
        <x:v>0.11475409836065574</x:v>
      </x:c>
      <x:c r="F420" t="n">
        <x:f>'2024 Form20'!X369</x:f>
        <x:v>481</x:v>
      </x:c>
      <x:c r="G420" t="n">
        <x:f>'2024 Form20'!Y369</x:f>
        <x:v>-411</x:v>
      </x:c>
      <x:c r="H420" s="52" t="n">
        <x:f>'2024 Form20'!Z369</x:f>
        <x:v>-0.6737704918032786</x:v>
      </x:c>
      <x:c r="I420" t="str">
        <x:v>Dr. Mahesh Sharma</x:v>
      </x:c>
      <x:c r="J420" t="str">
        <x:v>BJP</x:v>
      </x:c>
      <x:c r="K420" t="str">
        <x:v>EVM row</x:v>
      </x:c>
      <x:c r="L420" s="133" t="str">
        <x:f>IF(D420&lt;=0,"No EVM votes",IF(E420&lt;$N$7,"Low",IF(E420&gt;$R$7,"High","Middle")))</x:f>
        <x:v>Middle</x:v>
      </x:c>
      <x:c r="M420" s="133" t="str">
        <x:f>IF(D420&lt;=0,"No EVM votes",IF(H420&lt;-20%,"Large deficit",IF(H420&lt;-5%,"Moderate deficit",IF(H420&lt;0,"Narrow deficit",IF(H420&lt;=5%,"Narrow lead/tie",IF(H420&lt;=20%,"Moderate lead","Large lead"))))))</x:f>
        <x:v>Large deficit</x:v>
      </x:c>
    </x:row>
    <x:row r="421">
      <x:c r="A421" t="n">
        <x:v>362</x:v>
      </x:c>
      <x:c r="B421" t="str">
        <x:v>[Location not in Form 20 PDF]</x:v>
      </x:c>
      <x:c r="C421" s="83" t="n">
        <x:f>'2024 Form20'!H370</x:f>
        <x:v>35</x:v>
      </x:c>
      <x:c r="D421" s="83" t="n">
        <x:f>'2024 Form20'!D370</x:f>
        <x:v>633</x:v>
      </x:c>
      <x:c r="E421" s="50" t="n">
        <x:f>'2024 Form20'!W370</x:f>
        <x:v>0.05529225908372828</x:v>
      </x:c>
      <x:c r="F421" t="n">
        <x:f>'2024 Form20'!X370</x:f>
        <x:v>393</x:v>
      </x:c>
      <x:c r="G421" t="n">
        <x:f>'2024 Form20'!Y370</x:f>
        <x:v>-358</x:v>
      </x:c>
      <x:c r="H421" s="52" t="n">
        <x:f>'2024 Form20'!Z370</x:f>
        <x:v>-0.5655608214849921</x:v>
      </x:c>
      <x:c r="I421" t="str">
        <x:v>Dr. Mahesh Sharma</x:v>
      </x:c>
      <x:c r="J421" t="str">
        <x:v>BJP</x:v>
      </x:c>
      <x:c r="K421" t="str">
        <x:v>EVM row</x:v>
      </x:c>
      <x:c r="L421" s="133" t="str">
        <x:f>IF(D421&lt;=0,"No EVM votes",IF(E421&lt;$N$7,"Low",IF(E421&gt;$R$7,"High","Middle")))</x:f>
        <x:v>Middle</x:v>
      </x:c>
      <x:c r="M421" s="133" t="str">
        <x:f>IF(D421&lt;=0,"No EVM votes",IF(H421&lt;-20%,"Large deficit",IF(H421&lt;-5%,"Moderate deficit",IF(H421&lt;0,"Narrow deficit",IF(H421&lt;=5%,"Narrow lead/tie",IF(H421&lt;=20%,"Moderate lead","Large lead"))))))</x:f>
        <x:v>Large deficit</x:v>
      </x:c>
    </x:row>
    <x:row r="422">
      <x:c r="A422" t="n">
        <x:v>363</x:v>
      </x:c>
      <x:c r="B422" t="str">
        <x:v>[Location not in Form 20 PDF]</x:v>
      </x:c>
      <x:c r="C422" s="83" t="n">
        <x:f>'2024 Form20'!H371</x:f>
        <x:v>112</x:v>
      </x:c>
      <x:c r="D422" s="83" t="n">
        <x:f>'2024 Form20'!D371</x:f>
        <x:v>556</x:v>
      </x:c>
      <x:c r="E422" s="50" t="n">
        <x:f>'2024 Form20'!W371</x:f>
        <x:v>0.2014388489208633</x:v>
      </x:c>
      <x:c r="F422" t="n">
        <x:f>'2024 Form20'!X371</x:f>
        <x:v>422</x:v>
      </x:c>
      <x:c r="G422" t="n">
        <x:f>'2024 Form20'!Y371</x:f>
        <x:v>-310</x:v>
      </x:c>
      <x:c r="H422" s="52" t="n">
        <x:f>'2024 Form20'!Z371</x:f>
        <x:v>-0.5575539568345323</x:v>
      </x:c>
      <x:c r="I422" t="str">
        <x:v>Dr. Mahesh Sharma</x:v>
      </x:c>
      <x:c r="J422" t="str">
        <x:v>BJP</x:v>
      </x:c>
      <x:c r="K422" t="str">
        <x:v>EVM row</x:v>
      </x:c>
      <x:c r="L422" s="133" t="str">
        <x:f>IF(D422&lt;=0,"No EVM votes",IF(E422&lt;$N$7,"Low",IF(E422&gt;$R$7,"High","Middle")))</x:f>
        <x:v>Middle</x:v>
      </x:c>
      <x:c r="M422" s="133" t="str">
        <x:f>IF(D422&lt;=0,"No EVM votes",IF(H422&lt;-20%,"Large deficit",IF(H422&lt;-5%,"Moderate deficit",IF(H422&lt;0,"Narrow deficit",IF(H422&lt;=5%,"Narrow lead/tie",IF(H422&lt;=20%,"Moderate lead","Large lead"))))))</x:f>
        <x:v>Large deficit</x:v>
      </x:c>
    </x:row>
    <x:row r="423">
      <x:c r="A423" t="n">
        <x:v>364</x:v>
      </x:c>
      <x:c r="B423" t="str">
        <x:v>[Location not in Form 20 PDF]</x:v>
      </x:c>
      <x:c r="C423" s="83" t="n">
        <x:f>'2024 Form20'!H372</x:f>
        <x:v>34</x:v>
      </x:c>
      <x:c r="D423" s="83" t="n">
        <x:f>'2024 Form20'!D372</x:f>
        <x:v>480</x:v>
      </x:c>
      <x:c r="E423" s="50" t="n">
        <x:f>'2024 Form20'!W372</x:f>
        <x:v>0.07083333333333333</x:v>
      </x:c>
      <x:c r="F423" t="n">
        <x:f>'2024 Form20'!X372</x:f>
        <x:v>252</x:v>
      </x:c>
      <x:c r="G423" t="n">
        <x:f>'2024 Form20'!Y372</x:f>
        <x:v>-218</x:v>
      </x:c>
      <x:c r="H423" s="52" t="n">
        <x:f>'2024 Form20'!Z372</x:f>
        <x:v>-0.45416666666666666</x:v>
      </x:c>
      <x:c r="I423" t="str">
        <x:v>Dr. Mahesh Sharma</x:v>
      </x:c>
      <x:c r="J423" t="str">
        <x:v>BJP</x:v>
      </x:c>
      <x:c r="K423" t="str">
        <x:v>EVM row</x:v>
      </x:c>
      <x:c r="L423" s="133" t="str">
        <x:f>IF(D423&lt;=0,"No EVM votes",IF(E423&lt;$N$7,"Low",IF(E423&gt;$R$7,"High","Middle")))</x:f>
        <x:v>Middle</x:v>
      </x:c>
      <x:c r="M423" s="133" t="str">
        <x:f>IF(D423&lt;=0,"No EVM votes",IF(H423&lt;-20%,"Large deficit",IF(H423&lt;-5%,"Moderate deficit",IF(H423&lt;0,"Narrow deficit",IF(H423&lt;=5%,"Narrow lead/tie",IF(H423&lt;=20%,"Moderate lead","Large lead"))))))</x:f>
        <x:v>Large deficit</x:v>
      </x:c>
    </x:row>
    <x:row r="424">
      <x:c r="A424" t="n">
        <x:v>365</x:v>
      </x:c>
      <x:c r="B424" t="str">
        <x:v>[Location not in Form 20 PDF]</x:v>
      </x:c>
      <x:c r="C424" s="83" t="n">
        <x:f>'2024 Form20'!H373</x:f>
        <x:v>11</x:v>
      </x:c>
      <x:c r="D424" s="83" t="n">
        <x:f>'2024 Form20'!D373</x:f>
        <x:v>589</x:v>
      </x:c>
      <x:c r="E424" s="50" t="n">
        <x:f>'2024 Form20'!W373</x:f>
        <x:v>0.01867572156196944</x:v>
      </x:c>
      <x:c r="F424" t="n">
        <x:f>'2024 Form20'!X373</x:f>
        <x:v>361</x:v>
      </x:c>
      <x:c r="G424" t="n">
        <x:f>'2024 Form20'!Y373</x:f>
        <x:v>-350</x:v>
      </x:c>
      <x:c r="H424" s="52" t="n">
        <x:f>'2024 Form20'!Z373</x:f>
        <x:v>-0.5942275042444821</x:v>
      </x:c>
      <x:c r="I424" t="str">
        <x:v>Dr. Mahesh Sharma</x:v>
      </x:c>
      <x:c r="J424" t="str">
        <x:v>BJP</x:v>
      </x:c>
      <x:c r="K424" t="str">
        <x:v>EVM row</x:v>
      </x:c>
      <x:c r="L424" s="133" t="str">
        <x:f>IF(D424&lt;=0,"No EVM votes",IF(E424&lt;$N$7,"Low",IF(E424&gt;$R$7,"High","Middle")))</x:f>
        <x:v>Low</x:v>
      </x:c>
      <x:c r="M424" s="133" t="str">
        <x:f>IF(D424&lt;=0,"No EVM votes",IF(H424&lt;-20%,"Large deficit",IF(H424&lt;-5%,"Moderate deficit",IF(H424&lt;0,"Narrow deficit",IF(H424&lt;=5%,"Narrow lead/tie",IF(H424&lt;=20%,"Moderate lead","Large lead"))))))</x:f>
        <x:v>Large deficit</x:v>
      </x:c>
    </x:row>
    <x:row r="425">
      <x:c r="A425" t="n">
        <x:v>366</x:v>
      </x:c>
      <x:c r="B425" t="str">
        <x:v>[Location not in Form 20 PDF]</x:v>
      </x:c>
      <x:c r="C425" s="83" t="n">
        <x:f>'2024 Form20'!H374</x:f>
        <x:v>58</x:v>
      </x:c>
      <x:c r="D425" s="83" t="n">
        <x:f>'2024 Form20'!D374</x:f>
        <x:v>400</x:v>
      </x:c>
      <x:c r="E425" s="50" t="n">
        <x:f>'2024 Form20'!W374</x:f>
        <x:v>0.145</x:v>
      </x:c>
      <x:c r="F425" t="n">
        <x:f>'2024 Form20'!X374</x:f>
        <x:v>303</x:v>
      </x:c>
      <x:c r="G425" t="n">
        <x:f>'2024 Form20'!Y374</x:f>
        <x:v>-245</x:v>
      </x:c>
      <x:c r="H425" s="52" t="n">
        <x:f>'2024 Form20'!Z374</x:f>
        <x:v>-0.6125</x:v>
      </x:c>
      <x:c r="I425" t="str">
        <x:v>Dr. Mahesh Sharma</x:v>
      </x:c>
      <x:c r="J425" t="str">
        <x:v>BJP</x:v>
      </x:c>
      <x:c r="K425" t="str">
        <x:v>EVM row</x:v>
      </x:c>
      <x:c r="L425" s="133" t="str">
        <x:f>IF(D425&lt;=0,"No EVM votes",IF(E425&lt;$N$7,"Low",IF(E425&gt;$R$7,"High","Middle")))</x:f>
        <x:v>Middle</x:v>
      </x:c>
      <x:c r="M425" s="133" t="str">
        <x:f>IF(D425&lt;=0,"No EVM votes",IF(H425&lt;-20%,"Large deficit",IF(H425&lt;-5%,"Moderate deficit",IF(H425&lt;0,"Narrow deficit",IF(H425&lt;=5%,"Narrow lead/tie",IF(H425&lt;=20%,"Moderate lead","Large lead"))))))</x:f>
        <x:v>Large deficit</x:v>
      </x:c>
    </x:row>
    <x:row r="426">
      <x:c r="A426" t="n">
        <x:v>367</x:v>
      </x:c>
      <x:c r="B426" t="str">
        <x:v>[Location not in Form 20 PDF]</x:v>
      </x:c>
      <x:c r="C426" s="83" t="n">
        <x:f>'2024 Form20'!H375</x:f>
        <x:v>60</x:v>
      </x:c>
      <x:c r="D426" s="83" t="n">
        <x:f>'2024 Form20'!D375</x:f>
        <x:v>567</x:v>
      </x:c>
      <x:c r="E426" s="50" t="n">
        <x:f>'2024 Form20'!W375</x:f>
        <x:v>0.10582010582010581</x:v>
      </x:c>
      <x:c r="F426" t="n">
        <x:f>'2024 Form20'!X375</x:f>
        <x:v>340</x:v>
      </x:c>
      <x:c r="G426" t="n">
        <x:f>'2024 Form20'!Y375</x:f>
        <x:v>-280</x:v>
      </x:c>
      <x:c r="H426" s="52" t="n">
        <x:f>'2024 Form20'!Z375</x:f>
        <x:v>-0.49382716049382713</x:v>
      </x:c>
      <x:c r="I426" t="str">
        <x:v>Rajendra Singh Solanki</x:v>
      </x:c>
      <x:c r="J426" t="str">
        <x:v>BSP</x:v>
      </x:c>
      <x:c r="K426" t="str">
        <x:v>EVM row</x:v>
      </x:c>
      <x:c r="L426" s="133" t="str">
        <x:f>IF(D426&lt;=0,"No EVM votes",IF(E426&lt;$N$7,"Low",IF(E426&gt;$R$7,"High","Middle")))</x:f>
        <x:v>Middle</x:v>
      </x:c>
      <x:c r="M426" s="133" t="str">
        <x:f>IF(D426&lt;=0,"No EVM votes",IF(H426&lt;-20%,"Large deficit",IF(H426&lt;-5%,"Moderate deficit",IF(H426&lt;0,"Narrow deficit",IF(H426&lt;=5%,"Narrow lead/tie",IF(H426&lt;=20%,"Moderate lead","Large lead"))))))</x:f>
        <x:v>Large deficit</x:v>
      </x:c>
    </x:row>
    <x:row r="427">
      <x:c r="A427" t="n">
        <x:v>368</x:v>
      </x:c>
      <x:c r="B427" t="str">
        <x:v>[Location not in Form 20 PDF]</x:v>
      </x:c>
      <x:c r="C427" s="83" t="n">
        <x:f>'2024 Form20'!H376</x:f>
        <x:v>66</x:v>
      </x:c>
      <x:c r="D427" s="83" t="n">
        <x:f>'2024 Form20'!D376</x:f>
        <x:v>311</x:v>
      </x:c>
      <x:c r="E427" s="50" t="n">
        <x:f>'2024 Form20'!W376</x:f>
        <x:v>0.21221864951768488</x:v>
      </x:c>
      <x:c r="F427" t="n">
        <x:f>'2024 Form20'!X376</x:f>
        <x:v>212</x:v>
      </x:c>
      <x:c r="G427" t="n">
        <x:f>'2024 Form20'!Y376</x:f>
        <x:v>-146</x:v>
      </x:c>
      <x:c r="H427" s="52" t="n">
        <x:f>'2024 Form20'!Z376</x:f>
        <x:v>-0.4694533762057878</x:v>
      </x:c>
      <x:c r="I427" t="str">
        <x:v>Dr. Mahesh Sharma</x:v>
      </x:c>
      <x:c r="J427" t="str">
        <x:v>BJP</x:v>
      </x:c>
      <x:c r="K427" t="str">
        <x:v>EVM row</x:v>
      </x:c>
      <x:c r="L427" s="133" t="str">
        <x:f>IF(D427&lt;=0,"No EVM votes",IF(E427&lt;$N$7,"Low",IF(E427&gt;$R$7,"High","Middle")))</x:f>
        <x:v>Middle</x:v>
      </x:c>
      <x:c r="M427" s="133" t="str">
        <x:f>IF(D427&lt;=0,"No EVM votes",IF(H427&lt;-20%,"Large deficit",IF(H427&lt;-5%,"Moderate deficit",IF(H427&lt;0,"Narrow deficit",IF(H427&lt;=5%,"Narrow lead/tie",IF(H427&lt;=20%,"Moderate lead","Large lead"))))))</x:f>
        <x:v>Large deficit</x:v>
      </x:c>
    </x:row>
    <x:row r="428">
      <x:c r="A428" t="n">
        <x:v>369</x:v>
      </x:c>
      <x:c r="B428" t="str">
        <x:v>[Location not in Form 20 PDF]</x:v>
      </x:c>
      <x:c r="C428" s="83" t="n">
        <x:f>'2024 Form20'!H377</x:f>
        <x:v>29</x:v>
      </x:c>
      <x:c r="D428" s="83" t="n">
        <x:f>'2024 Form20'!D377</x:f>
        <x:v>616</x:v>
      </x:c>
      <x:c r="E428" s="50" t="n">
        <x:f>'2024 Form20'!W377</x:f>
        <x:v>0.04707792207792208</x:v>
      </x:c>
      <x:c r="F428" t="n">
        <x:f>'2024 Form20'!X377</x:f>
        <x:v>360</x:v>
      </x:c>
      <x:c r="G428" t="n">
        <x:f>'2024 Form20'!Y377</x:f>
        <x:v>-331</x:v>
      </x:c>
      <x:c r="H428" s="52" t="n">
        <x:f>'2024 Form20'!Z377</x:f>
        <x:v>-0.5373376623376623</x:v>
      </x:c>
      <x:c r="I428" t="str">
        <x:v>Dr. Mahesh Sharma</x:v>
      </x:c>
      <x:c r="J428" t="str">
        <x:v>BJP</x:v>
      </x:c>
      <x:c r="K428" t="str">
        <x:v>EVM row</x:v>
      </x:c>
      <x:c r="L428" s="133" t="str">
        <x:f>IF(D428&lt;=0,"No EVM votes",IF(E428&lt;$N$7,"Low",IF(E428&gt;$R$7,"High","Middle")))</x:f>
        <x:v>Middle</x:v>
      </x:c>
      <x:c r="M428" s="133" t="str">
        <x:f>IF(D428&lt;=0,"No EVM votes",IF(H428&lt;-20%,"Large deficit",IF(H428&lt;-5%,"Moderate deficit",IF(H428&lt;0,"Narrow deficit",IF(H428&lt;=5%,"Narrow lead/tie",IF(H428&lt;=20%,"Moderate lead","Large lead"))))))</x:f>
        <x:v>Large deficit</x:v>
      </x:c>
    </x:row>
    <x:row r="429">
      <x:c r="A429" t="n">
        <x:v>370</x:v>
      </x:c>
      <x:c r="B429" t="str">
        <x:v>[Location not in Form 20 PDF]</x:v>
      </x:c>
      <x:c r="C429" s="83" t="n">
        <x:f>'2024 Form20'!H378</x:f>
        <x:v>47</x:v>
      </x:c>
      <x:c r="D429" s="83" t="n">
        <x:f>'2024 Form20'!D378</x:f>
        <x:v>642</x:v>
      </x:c>
      <x:c r="E429" s="50" t="n">
        <x:f>'2024 Form20'!W378</x:f>
        <x:v>0.07320872274143302</x:v>
      </x:c>
      <x:c r="F429" t="n">
        <x:f>'2024 Form20'!X378</x:f>
        <x:v>557</x:v>
      </x:c>
      <x:c r="G429" t="n">
        <x:f>'2024 Form20'!Y378</x:f>
        <x:v>-510</x:v>
      </x:c>
      <x:c r="H429" s="52" t="n">
        <x:f>'2024 Form20'!Z378</x:f>
        <x:v>-0.794392523364486</x:v>
      </x:c>
      <x:c r="I429" t="str">
        <x:v>Dr. Mahesh Sharma</x:v>
      </x:c>
      <x:c r="J429" t="str">
        <x:v>BJP</x:v>
      </x:c>
      <x:c r="K429" t="str">
        <x:v>EVM row</x:v>
      </x:c>
      <x:c r="L429" s="133" t="str">
        <x:f>IF(D429&lt;=0,"No EVM votes",IF(E429&lt;$N$7,"Low",IF(E429&gt;$R$7,"High","Middle")))</x:f>
        <x:v>Middle</x:v>
      </x:c>
      <x:c r="M429" s="133" t="str">
        <x:f>IF(D429&lt;=0,"No EVM votes",IF(H429&lt;-20%,"Large deficit",IF(H429&lt;-5%,"Moderate deficit",IF(H429&lt;0,"Narrow deficit",IF(H429&lt;=5%,"Narrow lead/tie",IF(H429&lt;=20%,"Moderate lead","Large lead"))))))</x:f>
        <x:v>Large deficit</x:v>
      </x:c>
    </x:row>
    <x:row r="430">
      <x:c r="A430" t="n">
        <x:v>371</x:v>
      </x:c>
      <x:c r="B430" t="str">
        <x:v>[Location not in Form 20 PDF]</x:v>
      </x:c>
      <x:c r="C430" s="83" t="n">
        <x:f>'2024 Form20'!H379</x:f>
        <x:v>393</x:v>
      </x:c>
      <x:c r="D430" s="83" t="n">
        <x:f>'2024 Form20'!D379</x:f>
        <x:v>604</x:v>
      </x:c>
      <x:c r="E430" s="50" t="n">
        <x:f>'2024 Form20'!W379</x:f>
        <x:v>0.6506622516556292</x:v>
      </x:c>
      <x:c r="F430" t="n">
        <x:f>'2024 Form20'!X379</x:f>
        <x:v>109</x:v>
      </x:c>
      <x:c r="G430" t="n">
        <x:f>'2024 Form20'!Y379</x:f>
        <x:v>284</x:v>
      </x:c>
      <x:c r="H430" s="52" t="n">
        <x:f>'2024 Form20'!Z379</x:f>
        <x:v>0.47019867549668876</x:v>
      </x:c>
      <x:c r="I430" t="str">
        <x:v>Dr. Mahendra Singh Nagar</x:v>
      </x:c>
      <x:c r="J430" t="str">
        <x:v>SP</x:v>
      </x:c>
      <x:c r="K430" t="str">
        <x:v>EVM row</x:v>
      </x:c>
      <x:c r="L430" s="133" t="str">
        <x:f>IF(D430&lt;=0,"No EVM votes",IF(E430&lt;$N$7,"Low",IF(E430&gt;$R$7,"High","Middle")))</x:f>
        <x:v>High</x:v>
      </x:c>
      <x:c r="M430" s="133" t="str">
        <x:f>IF(D430&lt;=0,"No EVM votes",IF(H430&lt;-20%,"Large deficit",IF(H430&lt;-5%,"Moderate deficit",IF(H430&lt;0,"Narrow deficit",IF(H430&lt;=5%,"Narrow lead/tie",IF(H430&lt;=20%,"Moderate lead","Large lead"))))))</x:f>
        <x:v>Large lead</x:v>
      </x:c>
    </x:row>
    <x:row r="431">
      <x:c r="A431" t="n">
        <x:v>372</x:v>
      </x:c>
      <x:c r="B431" t="str">
        <x:v>[Location not in Form 20 PDF]</x:v>
      </x:c>
      <x:c r="C431" s="83" t="n">
        <x:f>'2024 Form20'!H380</x:f>
        <x:v>11</x:v>
      </x:c>
      <x:c r="D431" s="83" t="n">
        <x:f>'2024 Form20'!D380</x:f>
        <x:v>446</x:v>
      </x:c>
      <x:c r="E431" s="50" t="n">
        <x:f>'2024 Form20'!W380</x:f>
        <x:v>0.02466367713004484</x:v>
      </x:c>
      <x:c r="F431" t="n">
        <x:f>'2024 Form20'!X380</x:f>
        <x:v>421</x:v>
      </x:c>
      <x:c r="G431" t="n">
        <x:f>'2024 Form20'!Y380</x:f>
        <x:v>-410</x:v>
      </x:c>
      <x:c r="H431" s="52" t="n">
        <x:f>'2024 Form20'!Z380</x:f>
        <x:v>-0.9192825112107623</x:v>
      </x:c>
      <x:c r="I431" t="str">
        <x:v>Dr. Mahesh Sharma</x:v>
      </x:c>
      <x:c r="J431" t="str">
        <x:v>BJP</x:v>
      </x:c>
      <x:c r="K431" t="str">
        <x:v>EVM row</x:v>
      </x:c>
      <x:c r="L431" s="133" t="str">
        <x:f>IF(D431&lt;=0,"No EVM votes",IF(E431&lt;$N$7,"Low",IF(E431&gt;$R$7,"High","Middle")))</x:f>
        <x:v>Low</x:v>
      </x:c>
      <x:c r="M431" s="133" t="str">
        <x:f>IF(D431&lt;=0,"No EVM votes",IF(H431&lt;-20%,"Large deficit",IF(H431&lt;-5%,"Moderate deficit",IF(H431&lt;0,"Narrow deficit",IF(H431&lt;=5%,"Narrow lead/tie",IF(H431&lt;=20%,"Moderate lead","Large lead"))))))</x:f>
        <x:v>Large deficit</x:v>
      </x:c>
    </x:row>
    <x:row r="432">
      <x:c r="A432" t="n">
        <x:v>373</x:v>
      </x:c>
      <x:c r="B432" t="str">
        <x:v>[Location not in Form 20 PDF]</x:v>
      </x:c>
      <x:c r="C432" s="83" t="n">
        <x:f>'2024 Form20'!H381</x:f>
        <x:v>22</x:v>
      </x:c>
      <x:c r="D432" s="83" t="n">
        <x:f>'2024 Form20'!D381</x:f>
        <x:v>568</x:v>
      </x:c>
      <x:c r="E432" s="50" t="n">
        <x:f>'2024 Form20'!W381</x:f>
        <x:v>0.03873239436619718</x:v>
      </x:c>
      <x:c r="F432" t="n">
        <x:f>'2024 Form20'!X381</x:f>
        <x:v>273</x:v>
      </x:c>
      <x:c r="G432" t="n">
        <x:f>'2024 Form20'!Y381</x:f>
        <x:v>-251</x:v>
      </x:c>
      <x:c r="H432" s="52" t="n">
        <x:f>'2024 Form20'!Z381</x:f>
        <x:v>-0.44190140845070425</x:v>
      </x:c>
      <x:c r="I432" t="str">
        <x:v>Rajendra Singh Solanki</x:v>
      </x:c>
      <x:c r="J432" t="str">
        <x:v>BSP</x:v>
      </x:c>
      <x:c r="K432" t="str">
        <x:v>EVM row</x:v>
      </x:c>
      <x:c r="L432" s="133" t="str">
        <x:f>IF(D432&lt;=0,"No EVM votes",IF(E432&lt;$N$7,"Low",IF(E432&gt;$R$7,"High","Middle")))</x:f>
        <x:v>Middle</x:v>
      </x:c>
      <x:c r="M432" s="133" t="str">
        <x:f>IF(D432&lt;=0,"No EVM votes",IF(H432&lt;-20%,"Large deficit",IF(H432&lt;-5%,"Moderate deficit",IF(H432&lt;0,"Narrow deficit",IF(H432&lt;=5%,"Narrow lead/tie",IF(H432&lt;=20%,"Moderate lead","Large lead"))))))</x:f>
        <x:v>Large deficit</x:v>
      </x:c>
    </x:row>
    <x:row r="433">
      <x:c r="A433" t="n">
        <x:v>374</x:v>
      </x:c>
      <x:c r="B433" t="str">
        <x:v>[Location not in Form 20 PDF]</x:v>
      </x:c>
      <x:c r="C433" s="83" t="n">
        <x:f>'2024 Form20'!H382</x:f>
        <x:v>10</x:v>
      </x:c>
      <x:c r="D433" s="83" t="n">
        <x:f>'2024 Form20'!D382</x:f>
        <x:v>328</x:v>
      </x:c>
      <x:c r="E433" s="50" t="n">
        <x:f>'2024 Form20'!W382</x:f>
        <x:v>0.03048780487804878</x:v>
      </x:c>
      <x:c r="F433" t="n">
        <x:f>'2024 Form20'!X382</x:f>
        <x:v>256</x:v>
      </x:c>
      <x:c r="G433" t="n">
        <x:f>'2024 Form20'!Y382</x:f>
        <x:v>-246</x:v>
      </x:c>
      <x:c r="H433" s="52" t="n">
        <x:f>'2024 Form20'!Z382</x:f>
        <x:v>-0.75</x:v>
      </x:c>
      <x:c r="I433" t="str">
        <x:v>Dr. Mahesh Sharma</x:v>
      </x:c>
      <x:c r="J433" t="str">
        <x:v>BJP</x:v>
      </x:c>
      <x:c r="K433" t="str">
        <x:v>EVM row</x:v>
      </x:c>
      <x:c r="L433" s="133" t="str">
        <x:f>IF(D433&lt;=0,"No EVM votes",IF(E433&lt;$N$7,"Low",IF(E433&gt;$R$7,"High","Middle")))</x:f>
        <x:v>Middle</x:v>
      </x:c>
      <x:c r="M433" s="133" t="str">
        <x:f>IF(D433&lt;=0,"No EVM votes",IF(H433&lt;-20%,"Large deficit",IF(H433&lt;-5%,"Moderate deficit",IF(H433&lt;0,"Narrow deficit",IF(H433&lt;=5%,"Narrow lead/tie",IF(H433&lt;=20%,"Moderate lead","Large lead"))))))</x:f>
        <x:v>Large deficit</x:v>
      </x:c>
    </x:row>
    <x:row r="434">
      <x:c r="A434" t="n">
        <x:v>375</x:v>
      </x:c>
      <x:c r="B434" t="str">
        <x:v>[Location not in Form 20 PDF]</x:v>
      </x:c>
      <x:c r="C434" s="83" t="n">
        <x:f>'2024 Form20'!H383</x:f>
        <x:v>97</x:v>
      </x:c>
      <x:c r="D434" s="83" t="n">
        <x:f>'2024 Form20'!D383</x:f>
        <x:v>462</x:v>
      </x:c>
      <x:c r="E434" s="50" t="n">
        <x:f>'2024 Form20'!W383</x:f>
        <x:v>0.20995670995670995</x:v>
      </x:c>
      <x:c r="F434" t="n">
        <x:f>'2024 Form20'!X383</x:f>
        <x:v>225</x:v>
      </x:c>
      <x:c r="G434" t="n">
        <x:f>'2024 Form20'!Y383</x:f>
        <x:v>-128</x:v>
      </x:c>
      <x:c r="H434" s="52" t="n">
        <x:f>'2024 Form20'!Z383</x:f>
        <x:v>-0.27705627705627706</x:v>
      </x:c>
      <x:c r="I434" t="str">
        <x:v>Rajendra Singh Solanki</x:v>
      </x:c>
      <x:c r="J434" t="str">
        <x:v>BSP</x:v>
      </x:c>
      <x:c r="K434" t="str">
        <x:v>EVM row</x:v>
      </x:c>
      <x:c r="L434" s="133" t="str">
        <x:f>IF(D434&lt;=0,"No EVM votes",IF(E434&lt;$N$7,"Low",IF(E434&gt;$R$7,"High","Middle")))</x:f>
        <x:v>Middle</x:v>
      </x:c>
      <x:c r="M434" s="133" t="str">
        <x:f>IF(D434&lt;=0,"No EVM votes",IF(H434&lt;-20%,"Large deficit",IF(H434&lt;-5%,"Moderate deficit",IF(H434&lt;0,"Narrow deficit",IF(H434&lt;=5%,"Narrow lead/tie",IF(H434&lt;=20%,"Moderate lead","Large lead"))))))</x:f>
        <x:v>Large deficit</x:v>
      </x:c>
    </x:row>
    <x:row r="435">
      <x:c r="A435" t="n">
        <x:v>376</x:v>
      </x:c>
      <x:c r="B435" t="str">
        <x:v>[Location not in Form 20 PDF]</x:v>
      </x:c>
      <x:c r="C435" s="83" t="n">
        <x:f>'2024 Form20'!H384</x:f>
        <x:v>176</x:v>
      </x:c>
      <x:c r="D435" s="83" t="n">
        <x:f>'2024 Form20'!D384</x:f>
        <x:v>484</x:v>
      </x:c>
      <x:c r="E435" s="50" t="n">
        <x:f>'2024 Form20'!W384</x:f>
        <x:v>0.36363636363636365</x:v>
      </x:c>
      <x:c r="F435" t="n">
        <x:f>'2024 Form20'!X384</x:f>
        <x:v>211</x:v>
      </x:c>
      <x:c r="G435" t="n">
        <x:f>'2024 Form20'!Y384</x:f>
        <x:v>-35</x:v>
      </x:c>
      <x:c r="H435" s="52" t="n">
        <x:f>'2024 Form20'!Z384</x:f>
        <x:v>-0.07231404958677685</x:v>
      </x:c>
      <x:c r="I435" t="str">
        <x:v>Dr. Mahesh Sharma</x:v>
      </x:c>
      <x:c r="J435" t="str">
        <x:v>BJP</x:v>
      </x:c>
      <x:c r="K435" t="str">
        <x:v>EVM row</x:v>
      </x:c>
      <x:c r="L435" s="133" t="str">
        <x:f>IF(D435&lt;=0,"No EVM votes",IF(E435&lt;$N$7,"Low",IF(E435&gt;$R$7,"High","Middle")))</x:f>
        <x:v>High</x:v>
      </x:c>
      <x:c r="M435" s="133" t="str">
        <x:f>IF(D435&lt;=0,"No EVM votes",IF(H435&lt;-20%,"Large deficit",IF(H435&lt;-5%,"Moderate deficit",IF(H435&lt;0,"Narrow deficit",IF(H435&lt;=5%,"Narrow lead/tie",IF(H435&lt;=20%,"Moderate lead","Large lead"))))))</x:f>
        <x:v>Moderate deficit</x:v>
      </x:c>
    </x:row>
    <x:row r="436">
      <x:c r="A436" t="n">
        <x:v>377</x:v>
      </x:c>
      <x:c r="B436" t="str">
        <x:v>[Location not in Form 20 PDF]</x:v>
      </x:c>
      <x:c r="C436" s="83" t="n">
        <x:f>'2024 Form20'!H385</x:f>
        <x:v>138</x:v>
      </x:c>
      <x:c r="D436" s="83" t="n">
        <x:f>'2024 Form20'!D385</x:f>
        <x:v>464</x:v>
      </x:c>
      <x:c r="E436" s="50" t="n">
        <x:f>'2024 Form20'!W385</x:f>
        <x:v>0.2974137931034483</x:v>
      </x:c>
      <x:c r="F436" t="n">
        <x:f>'2024 Form20'!X385</x:f>
        <x:v>242</x:v>
      </x:c>
      <x:c r="G436" t="n">
        <x:f>'2024 Form20'!Y385</x:f>
        <x:v>-104</x:v>
      </x:c>
      <x:c r="H436" s="52" t="n">
        <x:f>'2024 Form20'!Z385</x:f>
        <x:v>-0.22413793103448276</x:v>
      </x:c>
      <x:c r="I436" t="str">
        <x:v>Dr. Mahesh Sharma</x:v>
      </x:c>
      <x:c r="J436" t="str">
        <x:v>BJP</x:v>
      </x:c>
      <x:c r="K436" t="str">
        <x:v>EVM row</x:v>
      </x:c>
      <x:c r="L436" s="133" t="str">
        <x:f>IF(D436&lt;=0,"No EVM votes",IF(E436&lt;$N$7,"Low",IF(E436&gt;$R$7,"High","Middle")))</x:f>
        <x:v>High</x:v>
      </x:c>
      <x:c r="M436" s="133" t="str">
        <x:f>IF(D436&lt;=0,"No EVM votes",IF(H436&lt;-20%,"Large deficit",IF(H436&lt;-5%,"Moderate deficit",IF(H436&lt;0,"Narrow deficit",IF(H436&lt;=5%,"Narrow lead/tie",IF(H436&lt;=20%,"Moderate lead","Large lead"))))))</x:f>
        <x:v>Large deficit</x:v>
      </x:c>
    </x:row>
    <x:row r="437">
      <x:c r="A437" t="n">
        <x:v>378</x:v>
      </x:c>
      <x:c r="B437" t="str">
        <x:v>[Location not in Form 20 PDF]</x:v>
      </x:c>
      <x:c r="C437" s="83" t="n">
        <x:f>'2024 Form20'!H386</x:f>
        <x:v>92</x:v>
      </x:c>
      <x:c r="D437" s="83" t="n">
        <x:f>'2024 Form20'!D386</x:f>
        <x:v>447</x:v>
      </x:c>
      <x:c r="E437" s="50" t="n">
        <x:f>'2024 Form20'!W386</x:f>
        <x:v>0.2058165548098434</x:v>
      </x:c>
      <x:c r="F437" t="n">
        <x:f>'2024 Form20'!X386</x:f>
        <x:v>212</x:v>
      </x:c>
      <x:c r="G437" t="n">
        <x:f>'2024 Form20'!Y386</x:f>
        <x:v>-120</x:v>
      </x:c>
      <x:c r="H437" s="52" t="n">
        <x:f>'2024 Form20'!Z386</x:f>
        <x:v>-0.2684563758389262</x:v>
      </x:c>
      <x:c r="I437" t="str">
        <x:v>Dr. Mahesh Sharma</x:v>
      </x:c>
      <x:c r="J437" t="str">
        <x:v>BJP</x:v>
      </x:c>
      <x:c r="K437" t="str">
        <x:v>EVM row</x:v>
      </x:c>
      <x:c r="L437" s="133" t="str">
        <x:f>IF(D437&lt;=0,"No EVM votes",IF(E437&lt;$N$7,"Low",IF(E437&gt;$R$7,"High","Middle")))</x:f>
        <x:v>Middle</x:v>
      </x:c>
      <x:c r="M437" s="133" t="str">
        <x:f>IF(D437&lt;=0,"No EVM votes",IF(H437&lt;-20%,"Large deficit",IF(H437&lt;-5%,"Moderate deficit",IF(H437&lt;0,"Narrow deficit",IF(H437&lt;=5%,"Narrow lead/tie",IF(H437&lt;=20%,"Moderate lead","Large lead"))))))</x:f>
        <x:v>Large deficit</x:v>
      </x:c>
    </x:row>
    <x:row r="438">
      <x:c r="A438" t="n">
        <x:v>379</x:v>
      </x:c>
      <x:c r="B438" t="str">
        <x:v>[Location not in Form 20 PDF]</x:v>
      </x:c>
      <x:c r="C438" s="83" t="n">
        <x:f>'2024 Form20'!H387</x:f>
        <x:v>96</x:v>
      </x:c>
      <x:c r="D438" s="83" t="n">
        <x:f>'2024 Form20'!D387</x:f>
        <x:v>388</x:v>
      </x:c>
      <x:c r="E438" s="50" t="n">
        <x:f>'2024 Form20'!W387</x:f>
        <x:v>0.24742268041237114</x:v>
      </x:c>
      <x:c r="F438" t="n">
        <x:f>'2024 Form20'!X387</x:f>
        <x:v>152</x:v>
      </x:c>
      <x:c r="G438" t="n">
        <x:f>'2024 Form20'!Y387</x:f>
        <x:v>-56</x:v>
      </x:c>
      <x:c r="H438" s="52" t="n">
        <x:f>'2024 Form20'!Z387</x:f>
        <x:v>-0.14432989690721648</x:v>
      </x:c>
      <x:c r="I438" t="str">
        <x:v>Rajendra Singh Solanki</x:v>
      </x:c>
      <x:c r="J438" t="str">
        <x:v>BSP</x:v>
      </x:c>
      <x:c r="K438" t="str">
        <x:v>EVM row</x:v>
      </x:c>
      <x:c r="L438" s="133" t="str">
        <x:f>IF(D438&lt;=0,"No EVM votes",IF(E438&lt;$N$7,"Low",IF(E438&gt;$R$7,"High","Middle")))</x:f>
        <x:v>High</x:v>
      </x:c>
      <x:c r="M438" s="133" t="str">
        <x:f>IF(D438&lt;=0,"No EVM votes",IF(H438&lt;-20%,"Large deficit",IF(H438&lt;-5%,"Moderate deficit",IF(H438&lt;0,"Narrow deficit",IF(H438&lt;=5%,"Narrow lead/tie",IF(H438&lt;=20%,"Moderate lead","Large lead"))))))</x:f>
        <x:v>Moderate deficit</x:v>
      </x:c>
    </x:row>
    <x:row r="439">
      <x:c r="A439" t="n">
        <x:v>380</x:v>
      </x:c>
      <x:c r="B439" t="str">
        <x:v>[Location not in Form 20 PDF]</x:v>
      </x:c>
      <x:c r="C439" s="83" t="n">
        <x:f>'2024 Form20'!H388</x:f>
        <x:v>82</x:v>
      </x:c>
      <x:c r="D439" s="83" t="n">
        <x:f>'2024 Form20'!D388</x:f>
        <x:v>789</x:v>
      </x:c>
      <x:c r="E439" s="50" t="n">
        <x:f>'2024 Form20'!W388</x:f>
        <x:v>0.10392902408111533</x:v>
      </x:c>
      <x:c r="F439" t="n">
        <x:f>'2024 Form20'!X388</x:f>
        <x:v>534</x:v>
      </x:c>
      <x:c r="G439" t="n">
        <x:f>'2024 Form20'!Y388</x:f>
        <x:v>-452</x:v>
      </x:c>
      <x:c r="H439" s="52" t="n">
        <x:f>'2024 Form20'!Z388</x:f>
        <x:v>-0.5728770595690748</x:v>
      </x:c>
      <x:c r="I439" t="str">
        <x:v>Dr. Mahesh Sharma</x:v>
      </x:c>
      <x:c r="J439" t="str">
        <x:v>BJP</x:v>
      </x:c>
      <x:c r="K439" t="str">
        <x:v>EVM row</x:v>
      </x:c>
      <x:c r="L439" s="133" t="str">
        <x:f>IF(D439&lt;=0,"No EVM votes",IF(E439&lt;$N$7,"Low",IF(E439&gt;$R$7,"High","Middle")))</x:f>
        <x:v>Middle</x:v>
      </x:c>
      <x:c r="M439" s="133" t="str">
        <x:f>IF(D439&lt;=0,"No EVM votes",IF(H439&lt;-20%,"Large deficit",IF(H439&lt;-5%,"Moderate deficit",IF(H439&lt;0,"Narrow deficit",IF(H439&lt;=5%,"Narrow lead/tie",IF(H439&lt;=20%,"Moderate lead","Large lead"))))))</x:f>
        <x:v>Large deficit</x:v>
      </x:c>
    </x:row>
    <x:row r="440">
      <x:c r="A440" t="n">
        <x:v>381</x:v>
      </x:c>
      <x:c r="B440" t="str">
        <x:v>[Location not in Form 20 PDF]</x:v>
      </x:c>
      <x:c r="C440" s="83" t="n">
        <x:f>'2024 Form20'!H389</x:f>
        <x:v>4</x:v>
      </x:c>
      <x:c r="D440" s="83" t="n">
        <x:f>'2024 Form20'!D389</x:f>
        <x:v>659</x:v>
      </x:c>
      <x:c r="E440" s="50" t="n">
        <x:f>'2024 Form20'!W389</x:f>
        <x:v>0.006069802731411229</x:v>
      </x:c>
      <x:c r="F440" t="n">
        <x:f>'2024 Form20'!X389</x:f>
        <x:v>379</x:v>
      </x:c>
      <x:c r="G440" t="n">
        <x:f>'2024 Form20'!Y389</x:f>
        <x:v>-375</x:v>
      </x:c>
      <x:c r="H440" s="52" t="n">
        <x:f>'2024 Form20'!Z389</x:f>
        <x:v>-0.5690440060698028</x:v>
      </x:c>
      <x:c r="I440" t="str">
        <x:v>Dr. Mahesh Sharma</x:v>
      </x:c>
      <x:c r="J440" t="str">
        <x:v>BJP</x:v>
      </x:c>
      <x:c r="K440" t="str">
        <x:v>EVM row</x:v>
      </x:c>
      <x:c r="L440" s="133" t="str">
        <x:f>IF(D440&lt;=0,"No EVM votes",IF(E440&lt;$N$7,"Low",IF(E440&gt;$R$7,"High","Middle")))</x:f>
        <x:v>Low</x:v>
      </x:c>
      <x:c r="M440" s="133" t="str">
        <x:f>IF(D440&lt;=0,"No EVM votes",IF(H440&lt;-20%,"Large deficit",IF(H440&lt;-5%,"Moderate deficit",IF(H440&lt;0,"Narrow deficit",IF(H440&lt;=5%,"Narrow lead/tie",IF(H440&lt;=20%,"Moderate lead","Large lead"))))))</x:f>
        <x:v>Large deficit</x:v>
      </x:c>
    </x:row>
    <x:row r="441">
      <x:c r="A441" t="n">
        <x:v>382</x:v>
      </x:c>
      <x:c r="B441" t="str">
        <x:v>[Location not in Form 20 PDF]</x:v>
      </x:c>
      <x:c r="C441" s="83" t="n">
        <x:f>'2024 Form20'!H390</x:f>
        <x:v>45</x:v>
      </x:c>
      <x:c r="D441" s="83" t="n">
        <x:f>'2024 Form20'!D390</x:f>
        <x:v>541</x:v>
      </x:c>
      <x:c r="E441" s="50" t="n">
        <x:f>'2024 Form20'!W390</x:f>
        <x:v>0.08317929759704251</x:v>
      </x:c>
      <x:c r="F441" t="n">
        <x:f>'2024 Form20'!X390</x:f>
        <x:v>356</x:v>
      </x:c>
      <x:c r="G441" t="n">
        <x:f>'2024 Form20'!Y390</x:f>
        <x:v>-311</x:v>
      </x:c>
      <x:c r="H441" s="52" t="n">
        <x:f>'2024 Form20'!Z390</x:f>
        <x:v>-0.5748613678373382</x:v>
      </x:c>
      <x:c r="I441" t="str">
        <x:v>Dr. Mahesh Sharma</x:v>
      </x:c>
      <x:c r="J441" t="str">
        <x:v>BJP</x:v>
      </x:c>
      <x:c r="K441" t="str">
        <x:v>EVM row</x:v>
      </x:c>
      <x:c r="L441" s="133" t="str">
        <x:f>IF(D441&lt;=0,"No EVM votes",IF(E441&lt;$N$7,"Low",IF(E441&gt;$R$7,"High","Middle")))</x:f>
        <x:v>Middle</x:v>
      </x:c>
      <x:c r="M441" s="133" t="str">
        <x:f>IF(D441&lt;=0,"No EVM votes",IF(H441&lt;-20%,"Large deficit",IF(H441&lt;-5%,"Moderate deficit",IF(H441&lt;0,"Narrow deficit",IF(H441&lt;=5%,"Narrow lead/tie",IF(H441&lt;=20%,"Moderate lead","Large lead"))))))</x:f>
        <x:v>Large deficit</x:v>
      </x:c>
    </x:row>
    <x:row r="442">
      <x:c r="A442" t="n">
        <x:v>383</x:v>
      </x:c>
      <x:c r="B442" t="str">
        <x:v>[Location not in Form 20 PDF]</x:v>
      </x:c>
      <x:c r="C442" s="83" t="n">
        <x:f>'2024 Form20'!H391</x:f>
        <x:v>4</x:v>
      </x:c>
      <x:c r="D442" s="83" t="n">
        <x:f>'2024 Form20'!D391</x:f>
        <x:v>500</x:v>
      </x:c>
      <x:c r="E442" s="50" t="n">
        <x:f>'2024 Form20'!W391</x:f>
        <x:v>0.008</x:v>
      </x:c>
      <x:c r="F442" t="n">
        <x:f>'2024 Form20'!X391</x:f>
        <x:v>310</x:v>
      </x:c>
      <x:c r="G442" t="n">
        <x:f>'2024 Form20'!Y391</x:f>
        <x:v>-306</x:v>
      </x:c>
      <x:c r="H442" s="52" t="n">
        <x:f>'2024 Form20'!Z391</x:f>
        <x:v>-0.612</x:v>
      </x:c>
      <x:c r="I442" t="str">
        <x:v>Rajendra Singh Solanki</x:v>
      </x:c>
      <x:c r="J442" t="str">
        <x:v>BSP</x:v>
      </x:c>
      <x:c r="K442" t="str">
        <x:v>EVM row</x:v>
      </x:c>
      <x:c r="L442" s="133" t="str">
        <x:f>IF(D442&lt;=0,"No EVM votes",IF(E442&lt;$N$7,"Low",IF(E442&gt;$R$7,"High","Middle")))</x:f>
        <x:v>Low</x:v>
      </x:c>
      <x:c r="M442" s="133" t="str">
        <x:f>IF(D442&lt;=0,"No EVM votes",IF(H442&lt;-20%,"Large deficit",IF(H442&lt;-5%,"Moderate deficit",IF(H442&lt;0,"Narrow deficit",IF(H442&lt;=5%,"Narrow lead/tie",IF(H442&lt;=20%,"Moderate lead","Large lead"))))))</x:f>
        <x:v>Large deficit</x:v>
      </x:c>
    </x:row>
    <x:row r="443">
      <x:c r="A443" t="n">
        <x:v>384</x:v>
      </x:c>
      <x:c r="B443" t="str">
        <x:v>[Location not in Form 20 PDF]</x:v>
      </x:c>
      <x:c r="C443" s="83" t="n">
        <x:f>'2024 Form20'!H392</x:f>
        <x:v>32</x:v>
      </x:c>
      <x:c r="D443" s="83" t="n">
        <x:f>'2024 Form20'!D392</x:f>
        <x:v>445</x:v>
      </x:c>
      <x:c r="E443" s="50" t="n">
        <x:f>'2024 Form20'!W392</x:f>
        <x:v>0.07191011235955057</x:v>
      </x:c>
      <x:c r="F443" t="n">
        <x:f>'2024 Form20'!X392</x:f>
        <x:v>351</x:v>
      </x:c>
      <x:c r="G443" t="n">
        <x:f>'2024 Form20'!Y392</x:f>
        <x:v>-319</x:v>
      </x:c>
      <x:c r="H443" s="52" t="n">
        <x:f>'2024 Form20'!Z392</x:f>
        <x:v>-0.7168539325842697</x:v>
      </x:c>
      <x:c r="I443" t="str">
        <x:v>Dr. Mahesh Sharma</x:v>
      </x:c>
      <x:c r="J443" t="str">
        <x:v>BJP</x:v>
      </x:c>
      <x:c r="K443" t="str">
        <x:v>EVM row</x:v>
      </x:c>
      <x:c r="L443" s="133" t="str">
        <x:f>IF(D443&lt;=0,"No EVM votes",IF(E443&lt;$N$7,"Low",IF(E443&gt;$R$7,"High","Middle")))</x:f>
        <x:v>Middle</x:v>
      </x:c>
      <x:c r="M443" s="133" t="str">
        <x:f>IF(D443&lt;=0,"No EVM votes",IF(H443&lt;-20%,"Large deficit",IF(H443&lt;-5%,"Moderate deficit",IF(H443&lt;0,"Narrow deficit",IF(H443&lt;=5%,"Narrow lead/tie",IF(H443&lt;=20%,"Moderate lead","Large lead"))))))</x:f>
        <x:v>Large deficit</x:v>
      </x:c>
    </x:row>
    <x:row r="444">
      <x:c r="A444" t="n">
        <x:v>385</x:v>
      </x:c>
      <x:c r="B444" t="str">
        <x:v>[Location not in Form 20 PDF]</x:v>
      </x:c>
      <x:c r="C444" s="83" t="n">
        <x:f>'2024 Form20'!H393</x:f>
        <x:v>29</x:v>
      </x:c>
      <x:c r="D444" s="83" t="n">
        <x:f>'2024 Form20'!D393</x:f>
        <x:v>441</x:v>
      </x:c>
      <x:c r="E444" s="50" t="n">
        <x:f>'2024 Form20'!W393</x:f>
        <x:v>0.06575963718820861</x:v>
      </x:c>
      <x:c r="F444" t="n">
        <x:f>'2024 Form20'!X393</x:f>
        <x:v>212</x:v>
      </x:c>
      <x:c r="G444" t="n">
        <x:f>'2024 Form20'!Y393</x:f>
        <x:v>-183</x:v>
      </x:c>
      <x:c r="H444" s="52" t="n">
        <x:f>'2024 Form20'!Z393</x:f>
        <x:v>-0.41496598639455784</x:v>
      </x:c>
      <x:c r="I444" t="str">
        <x:v>Rajendra Singh Solanki</x:v>
      </x:c>
      <x:c r="J444" t="str">
        <x:v>BSP</x:v>
      </x:c>
      <x:c r="K444" t="str">
        <x:v>EVM row</x:v>
      </x:c>
      <x:c r="L444" s="133" t="str">
        <x:f>IF(D444&lt;=0,"No EVM votes",IF(E444&lt;$N$7,"Low",IF(E444&gt;$R$7,"High","Middle")))</x:f>
        <x:v>Middle</x:v>
      </x:c>
      <x:c r="M444" s="133" t="str">
        <x:f>IF(D444&lt;=0,"No EVM votes",IF(H444&lt;-20%,"Large deficit",IF(H444&lt;-5%,"Moderate deficit",IF(H444&lt;0,"Narrow deficit",IF(H444&lt;=5%,"Narrow lead/tie",IF(H444&lt;=20%,"Moderate lead","Large lead"))))))</x:f>
        <x:v>Large deficit</x:v>
      </x:c>
    </x:row>
    <x:row r="445">
      <x:c r="A445" t="n">
        <x:v>386</x:v>
      </x:c>
      <x:c r="B445" t="str">
        <x:v>[Location not in Form 20 PDF]</x:v>
      </x:c>
      <x:c r="C445" s="83" t="n">
        <x:f>'2024 Form20'!H394</x:f>
        <x:v>32</x:v>
      </x:c>
      <x:c r="D445" s="83" t="n">
        <x:f>'2024 Form20'!D394</x:f>
        <x:v>325</x:v>
      </x:c>
      <x:c r="E445" s="50" t="n">
        <x:f>'2024 Form20'!W394</x:f>
        <x:v>0.09846153846153846</x:v>
      </x:c>
      <x:c r="F445" t="n">
        <x:f>'2024 Form20'!X394</x:f>
        <x:v>154</x:v>
      </x:c>
      <x:c r="G445" t="n">
        <x:f>'2024 Form20'!Y394</x:f>
        <x:v>-122</x:v>
      </x:c>
      <x:c r="H445" s="52" t="n">
        <x:f>'2024 Form20'!Z394</x:f>
        <x:v>-0.37538461538461537</x:v>
      </x:c>
      <x:c r="I445" t="str">
        <x:v>Rajendra Singh Solanki</x:v>
      </x:c>
      <x:c r="J445" t="str">
        <x:v>BSP</x:v>
      </x:c>
      <x:c r="K445" t="str">
        <x:v>EVM row</x:v>
      </x:c>
      <x:c r="L445" s="133" t="str">
        <x:f>IF(D445&lt;=0,"No EVM votes",IF(E445&lt;$N$7,"Low",IF(E445&gt;$R$7,"High","Middle")))</x:f>
        <x:v>Middle</x:v>
      </x:c>
      <x:c r="M445" s="133" t="str">
        <x:f>IF(D445&lt;=0,"No EVM votes",IF(H445&lt;-20%,"Large deficit",IF(H445&lt;-5%,"Moderate deficit",IF(H445&lt;0,"Narrow deficit",IF(H445&lt;=5%,"Narrow lead/tie",IF(H445&lt;=20%,"Moderate lead","Large lead"))))))</x:f>
        <x:v>Large deficit</x:v>
      </x:c>
    </x:row>
    <x:row r="446">
      <x:c r="A446" t="n">
        <x:v>387</x:v>
      </x:c>
      <x:c r="B446" t="str">
        <x:v>[Location not in Form 20 PDF]</x:v>
      </x:c>
      <x:c r="C446" s="83" t="n">
        <x:f>'2024 Form20'!H395</x:f>
        <x:v>8</x:v>
      </x:c>
      <x:c r="D446" s="83" t="n">
        <x:f>'2024 Form20'!D395</x:f>
        <x:v>374</x:v>
      </x:c>
      <x:c r="E446" s="50" t="n">
        <x:f>'2024 Form20'!W395</x:f>
        <x:v>0.0213903743315508</x:v>
      </x:c>
      <x:c r="F446" t="n">
        <x:f>'2024 Form20'!X395</x:f>
        <x:v>303</x:v>
      </x:c>
      <x:c r="G446" t="n">
        <x:f>'2024 Form20'!Y395</x:f>
        <x:v>-295</x:v>
      </x:c>
      <x:c r="H446" s="52" t="n">
        <x:f>'2024 Form20'!Z395</x:f>
        <x:v>-0.7887700534759359</x:v>
      </x:c>
      <x:c r="I446" t="str">
        <x:v>Dr. Mahesh Sharma</x:v>
      </x:c>
      <x:c r="J446" t="str">
        <x:v>BJP</x:v>
      </x:c>
      <x:c r="K446" t="str">
        <x:v>EVM row</x:v>
      </x:c>
      <x:c r="L446" s="133" t="str">
        <x:f>IF(D446&lt;=0,"No EVM votes",IF(E446&lt;$N$7,"Low",IF(E446&gt;$R$7,"High","Middle")))</x:f>
        <x:v>Low</x:v>
      </x:c>
      <x:c r="M446" s="133" t="str">
        <x:f>IF(D446&lt;=0,"No EVM votes",IF(H446&lt;-20%,"Large deficit",IF(H446&lt;-5%,"Moderate deficit",IF(H446&lt;0,"Narrow deficit",IF(H446&lt;=5%,"Narrow lead/tie",IF(H446&lt;=20%,"Moderate lead","Large lead"))))))</x:f>
        <x:v>Large deficit</x:v>
      </x:c>
    </x:row>
    <x:row r="447">
      <x:c r="A447" t="n">
        <x:v>388</x:v>
      </x:c>
      <x:c r="B447" t="str">
        <x:v>[Location not in Form 20 PDF]</x:v>
      </x:c>
      <x:c r="C447" s="83" t="n">
        <x:f>'2024 Form20'!H396</x:f>
        <x:v>11</x:v>
      </x:c>
      <x:c r="D447" s="83" t="n">
        <x:f>'2024 Form20'!D396</x:f>
        <x:v>541</x:v>
      </x:c>
      <x:c r="E447" s="50" t="n">
        <x:f>'2024 Form20'!W396</x:f>
        <x:v>0.02033271719038817</x:v>
      </x:c>
      <x:c r="F447" t="n">
        <x:f>'2024 Form20'!X396</x:f>
        <x:v>358</x:v>
      </x:c>
      <x:c r="G447" t="n">
        <x:f>'2024 Form20'!Y396</x:f>
        <x:v>-347</x:v>
      </x:c>
      <x:c r="H447" s="52" t="n">
        <x:f>'2024 Form20'!Z396</x:f>
        <x:v>-0.6414048059149723</x:v>
      </x:c>
      <x:c r="I447" t="str">
        <x:v>Dr. Mahesh Sharma</x:v>
      </x:c>
      <x:c r="J447" t="str">
        <x:v>BJP</x:v>
      </x:c>
      <x:c r="K447" t="str">
        <x:v>EVM row</x:v>
      </x:c>
      <x:c r="L447" s="133" t="str">
        <x:f>IF(D447&lt;=0,"No EVM votes",IF(E447&lt;$N$7,"Low",IF(E447&gt;$R$7,"High","Middle")))</x:f>
        <x:v>Low</x:v>
      </x:c>
      <x:c r="M447" s="133" t="str">
        <x:f>IF(D447&lt;=0,"No EVM votes",IF(H447&lt;-20%,"Large deficit",IF(H447&lt;-5%,"Moderate deficit",IF(H447&lt;0,"Narrow deficit",IF(H447&lt;=5%,"Narrow lead/tie",IF(H447&lt;=20%,"Moderate lead","Large lead"))))))</x:f>
        <x:v>Large deficit</x:v>
      </x:c>
    </x:row>
    <x:row r="448">
      <x:c r="A448" t="n">
        <x:v>389</x:v>
      </x:c>
      <x:c r="B448" t="str">
        <x:v>[Location not in Form 20 PDF]</x:v>
      </x:c>
      <x:c r="C448" s="83" t="n">
        <x:f>'2024 Form20'!H397</x:f>
        <x:v>16</x:v>
      </x:c>
      <x:c r="D448" s="83" t="n">
        <x:f>'2024 Form20'!D397</x:f>
        <x:v>480</x:v>
      </x:c>
      <x:c r="E448" s="50" t="n">
        <x:f>'2024 Form20'!W397</x:f>
        <x:v>0.03333333333333333</x:v>
      </x:c>
      <x:c r="F448" t="n">
        <x:f>'2024 Form20'!X397</x:f>
        <x:v>365</x:v>
      </x:c>
      <x:c r="G448" t="n">
        <x:f>'2024 Form20'!Y397</x:f>
        <x:v>-349</x:v>
      </x:c>
      <x:c r="H448" s="52" t="n">
        <x:f>'2024 Form20'!Z397</x:f>
        <x:v>-0.7270833333333333</x:v>
      </x:c>
      <x:c r="I448" t="str">
        <x:v>Dr. Mahesh Sharma</x:v>
      </x:c>
      <x:c r="J448" t="str">
        <x:v>BJP</x:v>
      </x:c>
      <x:c r="K448" t="str">
        <x:v>EVM row</x:v>
      </x:c>
      <x:c r="L448" s="133" t="str">
        <x:f>IF(D448&lt;=0,"No EVM votes",IF(E448&lt;$N$7,"Low",IF(E448&gt;$R$7,"High","Middle")))</x:f>
        <x:v>Middle</x:v>
      </x:c>
      <x:c r="M448" s="133" t="str">
        <x:f>IF(D448&lt;=0,"No EVM votes",IF(H448&lt;-20%,"Large deficit",IF(H448&lt;-5%,"Moderate deficit",IF(H448&lt;0,"Narrow deficit",IF(H448&lt;=5%,"Narrow lead/tie",IF(H448&lt;=20%,"Moderate lead","Large lead"))))))</x:f>
        <x:v>Large deficit</x:v>
      </x:c>
    </x:row>
    <x:row r="449">
      <x:c r="A449" t="n">
        <x:v>390</x:v>
      </x:c>
      <x:c r="B449" t="str">
        <x:v>[Location not in Form 20 PDF]</x:v>
      </x:c>
      <x:c r="C449" s="83" t="n">
        <x:f>'2024 Form20'!H398</x:f>
        <x:v>82</x:v>
      </x:c>
      <x:c r="D449" s="83" t="n">
        <x:f>'2024 Form20'!D398</x:f>
        <x:v>651</x:v>
      </x:c>
      <x:c r="E449" s="50" t="n">
        <x:f>'2024 Form20'!W398</x:f>
        <x:v>0.1259600614439324</x:v>
      </x:c>
      <x:c r="F449" t="n">
        <x:f>'2024 Form20'!X398</x:f>
        <x:v>404</x:v>
      </x:c>
      <x:c r="G449" t="n">
        <x:f>'2024 Form20'!Y398</x:f>
        <x:v>-322</x:v>
      </x:c>
      <x:c r="H449" s="52" t="n">
        <x:f>'2024 Form20'!Z398</x:f>
        <x:v>-0.4946236559139785</x:v>
      </x:c>
      <x:c r="I449" t="str">
        <x:v>Dr. Mahesh Sharma</x:v>
      </x:c>
      <x:c r="J449" t="str">
        <x:v>BJP</x:v>
      </x:c>
      <x:c r="K449" t="str">
        <x:v>EVM row</x:v>
      </x:c>
      <x:c r="L449" s="133" t="str">
        <x:f>IF(D449&lt;=0,"No EVM votes",IF(E449&lt;$N$7,"Low",IF(E449&gt;$R$7,"High","Middle")))</x:f>
        <x:v>Middle</x:v>
      </x:c>
      <x:c r="M449" s="133" t="str">
        <x:f>IF(D449&lt;=0,"No EVM votes",IF(H449&lt;-20%,"Large deficit",IF(H449&lt;-5%,"Moderate deficit",IF(H449&lt;0,"Narrow deficit",IF(H449&lt;=5%,"Narrow lead/tie",IF(H449&lt;=20%,"Moderate lead","Large lead"))))))</x:f>
        <x:v>Large deficit</x:v>
      </x:c>
    </x:row>
    <x:row r="450">
      <x:c r="A450" t="n">
        <x:v>391</x:v>
      </x:c>
      <x:c r="B450" t="str">
        <x:v>[Location not in Form 20 PDF]</x:v>
      </x:c>
      <x:c r="C450" s="83" t="n">
        <x:f>'2024 Form20'!H399</x:f>
        <x:v>62</x:v>
      </x:c>
      <x:c r="D450" s="83" t="n">
        <x:f>'2024 Form20'!D399</x:f>
        <x:v>655</x:v>
      </x:c>
      <x:c r="E450" s="50" t="n">
        <x:f>'2024 Form20'!W399</x:f>
        <x:v>0.09465648854961832</x:v>
      </x:c>
      <x:c r="F450" t="n">
        <x:f>'2024 Form20'!X399</x:f>
        <x:v>421</x:v>
      </x:c>
      <x:c r="G450" t="n">
        <x:f>'2024 Form20'!Y399</x:f>
        <x:v>-359</x:v>
      </x:c>
      <x:c r="H450" s="52" t="n">
        <x:f>'2024 Form20'!Z399</x:f>
        <x:v>-0.5480916030534351</x:v>
      </x:c>
      <x:c r="I450" t="str">
        <x:v>Dr. Mahesh Sharma</x:v>
      </x:c>
      <x:c r="J450" t="str">
        <x:v>BJP</x:v>
      </x:c>
      <x:c r="K450" t="str">
        <x:v>EVM row</x:v>
      </x:c>
      <x:c r="L450" s="133" t="str">
        <x:f>IF(D450&lt;=0,"No EVM votes",IF(E450&lt;$N$7,"Low",IF(E450&gt;$R$7,"High","Middle")))</x:f>
        <x:v>Middle</x:v>
      </x:c>
      <x:c r="M450" s="133" t="str">
        <x:f>IF(D450&lt;=0,"No EVM votes",IF(H450&lt;-20%,"Large deficit",IF(H450&lt;-5%,"Moderate deficit",IF(H450&lt;0,"Narrow deficit",IF(H450&lt;=5%,"Narrow lead/tie",IF(H450&lt;=20%,"Moderate lead","Large lead"))))))</x:f>
        <x:v>Large deficit</x:v>
      </x:c>
    </x:row>
    <x:row r="451">
      <x:c r="A451" t="n">
        <x:v>392</x:v>
      </x:c>
      <x:c r="B451" t="str">
        <x:v>[Location not in Form 20 PDF]</x:v>
      </x:c>
      <x:c r="C451" s="83" t="n">
        <x:f>'2024 Form20'!H400</x:f>
        <x:v>184</x:v>
      </x:c>
      <x:c r="D451" s="83" t="n">
        <x:f>'2024 Form20'!D400</x:f>
        <x:v>617</x:v>
      </x:c>
      <x:c r="E451" s="50" t="n">
        <x:f>'2024 Form20'!W400</x:f>
        <x:v>0.29821717990275526</x:v>
      </x:c>
      <x:c r="F451" t="n">
        <x:f>'2024 Form20'!X400</x:f>
        <x:v>246</x:v>
      </x:c>
      <x:c r="G451" t="n">
        <x:f>'2024 Form20'!Y400</x:f>
        <x:v>-62</x:v>
      </x:c>
      <x:c r="H451" s="52" t="n">
        <x:f>'2024 Form20'!Z400</x:f>
        <x:v>-0.10048622366288493</x:v>
      </x:c>
      <x:c r="I451" t="str">
        <x:v>Dr. Mahesh Sharma</x:v>
      </x:c>
      <x:c r="J451" t="str">
        <x:v>BJP</x:v>
      </x:c>
      <x:c r="K451" t="str">
        <x:v>EVM row</x:v>
      </x:c>
      <x:c r="L451" s="133" t="str">
        <x:f>IF(D451&lt;=0,"No EVM votes",IF(E451&lt;$N$7,"Low",IF(E451&gt;$R$7,"High","Middle")))</x:f>
        <x:v>High</x:v>
      </x:c>
      <x:c r="M451" s="133" t="str">
        <x:f>IF(D451&lt;=0,"No EVM votes",IF(H451&lt;-20%,"Large deficit",IF(H451&lt;-5%,"Moderate deficit",IF(H451&lt;0,"Narrow deficit",IF(H451&lt;=5%,"Narrow lead/tie",IF(H451&lt;=20%,"Moderate lead","Large lead"))))))</x:f>
        <x:v>Moderate deficit</x:v>
      </x:c>
    </x:row>
    <x:row r="452">
      <x:c r="A452" t="n">
        <x:v>393</x:v>
      </x:c>
      <x:c r="B452" t="str">
        <x:v>[Location not in Form 20 PDF]</x:v>
      </x:c>
      <x:c r="C452" s="83" t="n">
        <x:f>'2024 Form20'!H401</x:f>
        <x:v>373</x:v>
      </x:c>
      <x:c r="D452" s="83" t="n">
        <x:f>'2024 Form20'!D401</x:f>
        <x:v>604</x:v>
      </x:c>
      <x:c r="E452" s="50" t="n">
        <x:f>'2024 Form20'!W401</x:f>
        <x:v>0.6175496688741722</x:v>
      </x:c>
      <x:c r="F452" t="n">
        <x:f>'2024 Form20'!X401</x:f>
        <x:v>188</x:v>
      </x:c>
      <x:c r="G452" t="n">
        <x:f>'2024 Form20'!Y401</x:f>
        <x:v>185</x:v>
      </x:c>
      <x:c r="H452" s="52" t="n">
        <x:f>'2024 Form20'!Z401</x:f>
        <x:v>0.30629139072847683</x:v>
      </x:c>
      <x:c r="I452" t="str">
        <x:v>Dr. Mahendra Singh Nagar</x:v>
      </x:c>
      <x:c r="J452" t="str">
        <x:v>SP</x:v>
      </x:c>
      <x:c r="K452" t="str">
        <x:v>EVM row</x:v>
      </x:c>
      <x:c r="L452" s="133" t="str">
        <x:f>IF(D452&lt;=0,"No EVM votes",IF(E452&lt;$N$7,"Low",IF(E452&gt;$R$7,"High","Middle")))</x:f>
        <x:v>High</x:v>
      </x:c>
      <x:c r="M452" s="133" t="str">
        <x:f>IF(D452&lt;=0,"No EVM votes",IF(H452&lt;-20%,"Large deficit",IF(H452&lt;-5%,"Moderate deficit",IF(H452&lt;0,"Narrow deficit",IF(H452&lt;=5%,"Narrow lead/tie",IF(H452&lt;=20%,"Moderate lead","Large lead"))))))</x:f>
        <x:v>Large lead</x:v>
      </x:c>
    </x:row>
    <x:row r="453">
      <x:c r="A453" t="n">
        <x:v>394</x:v>
      </x:c>
      <x:c r="B453" t="str">
        <x:v>[Location not in Form 20 PDF]</x:v>
      </x:c>
      <x:c r="C453" s="83" t="n">
        <x:f>'2024 Form20'!H402</x:f>
        <x:v>19</x:v>
      </x:c>
      <x:c r="D453" s="83" t="n">
        <x:f>'2024 Form20'!D402</x:f>
        <x:v>178</x:v>
      </x:c>
      <x:c r="E453" s="50" t="n">
        <x:f>'2024 Form20'!W402</x:f>
        <x:v>0.10674157303370786</x:v>
      </x:c>
      <x:c r="F453" t="n">
        <x:f>'2024 Form20'!X402</x:f>
        <x:v>128</x:v>
      </x:c>
      <x:c r="G453" t="n">
        <x:f>'2024 Form20'!Y402</x:f>
        <x:v>-109</x:v>
      </x:c>
      <x:c r="H453" s="52" t="n">
        <x:f>'2024 Form20'!Z402</x:f>
        <x:v>-0.6123595505617978</x:v>
      </x:c>
      <x:c r="I453" t="str">
        <x:v>Dr. Mahesh Sharma</x:v>
      </x:c>
      <x:c r="J453" t="str">
        <x:v>BJP</x:v>
      </x:c>
      <x:c r="K453" t="str">
        <x:v>EVM row</x:v>
      </x:c>
      <x:c r="L453" s="133" t="str">
        <x:f>IF(D453&lt;=0,"No EVM votes",IF(E453&lt;$N$7,"Low",IF(E453&gt;$R$7,"High","Middle")))</x:f>
        <x:v>Middle</x:v>
      </x:c>
      <x:c r="M453" s="133" t="str">
        <x:f>IF(D453&lt;=0,"No EVM votes",IF(H453&lt;-20%,"Large deficit",IF(H453&lt;-5%,"Moderate deficit",IF(H453&lt;0,"Narrow deficit",IF(H453&lt;=5%,"Narrow lead/tie",IF(H453&lt;=20%,"Moderate lead","Large lead"))))))</x:f>
        <x:v>Large deficit</x:v>
      </x:c>
    </x:row>
    <x:row r="454">
      <x:c r="A454" t="n">
        <x:v>395</x:v>
      </x:c>
      <x:c r="B454" t="str">
        <x:v>[Location not in Form 20 PDF]</x:v>
      </x:c>
      <x:c r="C454" s="83" t="n">
        <x:f>'2024 Form20'!H403</x:f>
        <x:v>9</x:v>
      </x:c>
      <x:c r="D454" s="83" t="n">
        <x:f>'2024 Form20'!D403</x:f>
        <x:v>308</x:v>
      </x:c>
      <x:c r="E454" s="50" t="n">
        <x:f>'2024 Form20'!W403</x:f>
        <x:v>0.02922077922077922</x:v>
      </x:c>
      <x:c r="F454" t="n">
        <x:f>'2024 Form20'!X403</x:f>
        <x:v>263</x:v>
      </x:c>
      <x:c r="G454" t="n">
        <x:f>'2024 Form20'!Y403</x:f>
        <x:v>-254</x:v>
      </x:c>
      <x:c r="H454" s="52" t="n">
        <x:f>'2024 Form20'!Z403</x:f>
        <x:v>-0.8246753246753247</x:v>
      </x:c>
      <x:c r="I454" t="str">
        <x:v>Rajendra Singh Solanki</x:v>
      </x:c>
      <x:c r="J454" t="str">
        <x:v>BSP</x:v>
      </x:c>
      <x:c r="K454" t="str">
        <x:v>EVM row</x:v>
      </x:c>
      <x:c r="L454" s="133" t="str">
        <x:f>IF(D454&lt;=0,"No EVM votes",IF(E454&lt;$N$7,"Low",IF(E454&gt;$R$7,"High","Middle")))</x:f>
        <x:v>Low</x:v>
      </x:c>
      <x:c r="M454" s="133" t="str">
        <x:f>IF(D454&lt;=0,"No EVM votes",IF(H454&lt;-20%,"Large deficit",IF(H454&lt;-5%,"Moderate deficit",IF(H454&lt;0,"Narrow deficit",IF(H454&lt;=5%,"Narrow lead/tie",IF(H454&lt;=20%,"Moderate lead","Large lead"))))))</x:f>
        <x:v>Large deficit</x:v>
      </x:c>
    </x:row>
    <x:row r="455">
      <x:c r="A455" t="n">
        <x:v>396</x:v>
      </x:c>
      <x:c r="B455" t="str">
        <x:v>[Location not in Form 20 PDF]</x:v>
      </x:c>
      <x:c r="C455" s="83" t="n">
        <x:f>'2024 Form20'!H404</x:f>
        <x:v>4</x:v>
      </x:c>
      <x:c r="D455" s="83" t="n">
        <x:f>'2024 Form20'!D404</x:f>
        <x:v>488</x:v>
      </x:c>
      <x:c r="E455" s="50" t="n">
        <x:f>'2024 Form20'!W404</x:f>
        <x:v>0.00819672131147541</x:v>
      </x:c>
      <x:c r="F455" t="n">
        <x:f>'2024 Form20'!X404</x:f>
        <x:v>452</x:v>
      </x:c>
      <x:c r="G455" t="n">
        <x:f>'2024 Form20'!Y404</x:f>
        <x:v>-448</x:v>
      </x:c>
      <x:c r="H455" s="52" t="n">
        <x:f>'2024 Form20'!Z404</x:f>
        <x:v>-0.9180327868852459</x:v>
      </x:c>
      <x:c r="I455" t="str">
        <x:v>Dr. Mahesh Sharma</x:v>
      </x:c>
      <x:c r="J455" t="str">
        <x:v>BJP</x:v>
      </x:c>
      <x:c r="K455" t="str">
        <x:v>EVM row</x:v>
      </x:c>
      <x:c r="L455" s="133" t="str">
        <x:f>IF(D455&lt;=0,"No EVM votes",IF(E455&lt;$N$7,"Low",IF(E455&gt;$R$7,"High","Middle")))</x:f>
        <x:v>Low</x:v>
      </x:c>
      <x:c r="M455" s="133" t="str">
        <x:f>IF(D455&lt;=0,"No EVM votes",IF(H455&lt;-20%,"Large deficit",IF(H455&lt;-5%,"Moderate deficit",IF(H455&lt;0,"Narrow deficit",IF(H455&lt;=5%,"Narrow lead/tie",IF(H455&lt;=20%,"Moderate lead","Large lead"))))))</x:f>
        <x:v>Large deficit</x:v>
      </x:c>
    </x:row>
    <x:row r="456">
      <x:c r="A456" t="n">
        <x:v>397</x:v>
      </x:c>
      <x:c r="B456" t="str">
        <x:v>[Location not in Form 20 PDF]</x:v>
      </x:c>
      <x:c r="C456" s="83" t="n">
        <x:f>'2024 Form20'!H405</x:f>
        <x:v>53</x:v>
      </x:c>
      <x:c r="D456" s="83" t="n">
        <x:f>'2024 Form20'!D405</x:f>
        <x:v>455</x:v>
      </x:c>
      <x:c r="E456" s="50" t="n">
        <x:f>'2024 Form20'!W405</x:f>
        <x:v>0.11648351648351649</x:v>
      </x:c>
      <x:c r="F456" t="n">
        <x:f>'2024 Form20'!X405</x:f>
        <x:v>267</x:v>
      </x:c>
      <x:c r="G456" t="n">
        <x:f>'2024 Form20'!Y405</x:f>
        <x:v>-214</x:v>
      </x:c>
      <x:c r="H456" s="52" t="n">
        <x:f>'2024 Form20'!Z405</x:f>
        <x:v>-0.4703296703296703</x:v>
      </x:c>
      <x:c r="I456" t="str">
        <x:v>Dr. Mahesh Sharma</x:v>
      </x:c>
      <x:c r="J456" t="str">
        <x:v>BJP</x:v>
      </x:c>
      <x:c r="K456" t="str">
        <x:v>EVM row</x:v>
      </x:c>
      <x:c r="L456" s="133" t="str">
        <x:f>IF(D456&lt;=0,"No EVM votes",IF(E456&lt;$N$7,"Low",IF(E456&gt;$R$7,"High","Middle")))</x:f>
        <x:v>Middle</x:v>
      </x:c>
      <x:c r="M456" s="133" t="str">
        <x:f>IF(D456&lt;=0,"No EVM votes",IF(H456&lt;-20%,"Large deficit",IF(H456&lt;-5%,"Moderate deficit",IF(H456&lt;0,"Narrow deficit",IF(H456&lt;=5%,"Narrow lead/tie",IF(H456&lt;=20%,"Moderate lead","Large lead"))))))</x:f>
        <x:v>Large deficit</x:v>
      </x:c>
    </x:row>
    <x:row r="457">
      <x:c r="A457" t="n">
        <x:v>398</x:v>
      </x:c>
      <x:c r="B457" t="str">
        <x:v>[Location not in Form 20 PDF]</x:v>
      </x:c>
      <x:c r="C457" s="83" t="n">
        <x:f>'2024 Form20'!H406</x:f>
        <x:v>78</x:v>
      </x:c>
      <x:c r="D457" s="83" t="n">
        <x:f>'2024 Form20'!D406</x:f>
        <x:v>471</x:v>
      </x:c>
      <x:c r="E457" s="50" t="n">
        <x:f>'2024 Form20'!W406</x:f>
        <x:v>0.16560509554140126</x:v>
      </x:c>
      <x:c r="F457" t="n">
        <x:f>'2024 Form20'!X406</x:f>
        <x:v>324</x:v>
      </x:c>
      <x:c r="G457" t="n">
        <x:f>'2024 Form20'!Y406</x:f>
        <x:v>-246</x:v>
      </x:c>
      <x:c r="H457" s="52" t="n">
        <x:f>'2024 Form20'!Z406</x:f>
        <x:v>-0.5222929936305732</x:v>
      </x:c>
      <x:c r="I457" t="str">
        <x:v>Dr. Mahesh Sharma</x:v>
      </x:c>
      <x:c r="J457" t="str">
        <x:v>BJP</x:v>
      </x:c>
      <x:c r="K457" t="str">
        <x:v>EVM row</x:v>
      </x:c>
      <x:c r="L457" s="133" t="str">
        <x:f>IF(D457&lt;=0,"No EVM votes",IF(E457&lt;$N$7,"Low",IF(E457&gt;$R$7,"High","Middle")))</x:f>
        <x:v>Middle</x:v>
      </x:c>
      <x:c r="M457" s="133" t="str">
        <x:f>IF(D457&lt;=0,"No EVM votes",IF(H457&lt;-20%,"Large deficit",IF(H457&lt;-5%,"Moderate deficit",IF(H457&lt;0,"Narrow deficit",IF(H457&lt;=5%,"Narrow lead/tie",IF(H457&lt;=20%,"Moderate lead","Large lead"))))))</x:f>
        <x:v>Large deficit</x:v>
      </x:c>
    </x:row>
  </x:sheetData>
  <x:mergeCells>
    <x:mergeCell ref="A5:G5"/>
    <x:mergeCell ref="A9:G9"/>
    <x:mergeCell ref="A26:F26"/>
    <x:mergeCell ref="A37:F37"/>
    <x:mergeCell ref="D27:J27"/>
    <x:mergeCell ref="A58:K58"/>
    <x:mergeCell ref="A4:K4"/>
    <x:mergeCell ref="M5:T5"/>
    <x:mergeCell ref="M16:T16"/>
    <x:mergeCell ref="M17:T17"/>
    <x:mergeCell ref="M18:T18"/>
    <x:mergeCell ref="M19:T19"/>
    <x:mergeCell ref="M21:T21"/>
    <x:mergeCell ref="M22:T22"/>
    <x:mergeCell ref="M26:T26"/>
    <x:mergeCell ref="M28:T28"/>
    <x:mergeCell ref="M35:T35"/>
    <x:mergeCell ref="M36:T36"/>
    <x:mergeCell ref="M37:T37"/>
    <x:mergeCell ref="M39:T39"/>
    <x:mergeCell ref="R42:T42"/>
    <x:mergeCell ref="A1:K2"/>
    <x:mergeCell ref="A3:K3"/>
    <x:mergeCell ref="H7:K9"/>
  </x:mergeCells>
  <x:conditionalFormatting sqref="D11:D25">
    <x:cfRule type="dataBar" priority="1">
      <x:dataBar>
        <x:cfvo type="min"/>
        <x:cfvo type="max"/>
        <x:color rgb="FF44B4AC"/>
      </x:dataBar>
      <x:extLst>
        <x:ext xmlns:x14="http://schemas.microsoft.com/office/spreadsheetml/2009/9/main" uri="{B025F937-C7B1-47D3-B67F-A62EFF666E3E}">
          <x14:id>{A1720C15-6F19-5AC1-87B1-E67B3A4974BB}</x14:id>
        </x:ext>
      </x:extLst>
    </x:cfRule>
  </x:conditionalFormatting>
  <x:conditionalFormatting sqref="E11:E25">
    <x:cfRule type="dataBar" priority="2">
      <x:dataBar>
        <x:cfvo type="min"/>
        <x:cfvo type="max"/>
        <x:color rgb="FF7EA5CB"/>
      </x:dataBar>
      <x:extLst>
        <x:ext xmlns:x14="http://schemas.microsoft.com/office/spreadsheetml/2009/9/main" uri="{B025F937-C7B1-47D3-B67F-A62EFF666E3E}">
          <x14:id>{83250340-2978-2188-6F51-EF711DFBAA6B}</x14:id>
        </x:ext>
      </x:extLst>
    </x:cfRule>
  </x:conditionalFormatting>
  <x:conditionalFormatting sqref="E60:E457">
    <x:cfRule type="dataBar" priority="3">
      <x:dataBar>
        <x:cfvo type="min"/>
        <x:cfvo type="max"/>
        <x:color rgb="FF6EBBAE"/>
      </x:dataBar>
      <x:extLst>
        <x:ext xmlns:x14="http://schemas.microsoft.com/office/spreadsheetml/2009/9/main" uri="{B025F937-C7B1-47D3-B67F-A62EFF666E3E}">
          <x14:id>{C40447D8-1261-E40C-341B-B23D5150121E}</x14:id>
        </x:ext>
      </x:extLst>
    </x:cfRule>
  </x:conditionalFormatting>
  <x:conditionalFormatting sqref="H60:H457">
    <x:cfRule type="colorScale" priority="4">
      <x:colorScale>
        <x:cfvo type="min"/>
        <x:cfvo type="percentile" val="50"/>
        <x:cfvo type="max"/>
        <x:color rgb="FFFBD0C9"/>
        <x:color rgb="FFFFFFFF"/>
        <x:color rgb="FFB4E2D3"/>
      </x:colorScale>
    </x:cfRule>
  </x:conditionalFormatting>
  <x:conditionalFormatting sqref="N30:S32">
    <x:cfRule type="colorScale" priority="5">
      <x:colorScale>
        <x:cfvo type="min"/>
        <x:cfvo type="percentile" val="50"/>
        <x:cfvo type="max"/>
        <x:color rgb="FFFFFFFF"/>
        <x:color rgb="FFD5EEF5"/>
        <x:color rgb="FF3D8AA5"/>
      </x:colorScale>
    </x:cfRule>
  </x:conditionalFormatting>
  <x:conditionalFormatting sqref="L60:L457">
    <x:cfRule type="expression" dxfId="11" priority="6">
      <x:formula>L60="High"</x:formula>
    </x:cfRule>
    <x:cfRule type="expression" dxfId="12" priority="7">
      <x:formula>L60="Low"</x:formula>
    </x:cfRule>
  </x:conditionalFormatting>
  <x:conditionalFormatting sqref="T44:T63">
    <x:cfRule type="dataBar" priority="8">
      <x:dataBar>
        <x:cfvo type="min"/>
        <x:cfvo type="max"/>
        <x:color rgb="FF4C96AF"/>
      </x:dataBar>
      <x:extLst>
        <x:ext xmlns:x14="http://schemas.microsoft.com/office/spreadsheetml/2009/9/main" uri="{B025F937-C7B1-47D3-B67F-A62EFF666E3E}">
          <x14:id>{71C45985-6B26-BC17-E02A-5246B6E8C12E}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de83541006e407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1720C15-6F19-5AC1-87B1-E67B3A4974BB}">
            <x14:dataBar gradient="1">
              <x14:cfvo type="min"/>
              <x14:cfvo type="max"/>
              <x14:fillColor rgb="FF44B4AC"/>
            </x14:dataBar>
          </x14:cfRule>
          <xm:sqref>D11:D25</xm:sqref>
        </x14:conditionalFormatting>
        <x14:conditionalFormatting>
          <x14:cfRule type="dataBar" priority="2" id="{83250340-2978-2188-6F51-EF711DFBAA6B}">
            <x14:dataBar gradient="1">
              <x14:cfvo type="min"/>
              <x14:cfvo type="max"/>
              <x14:fillColor rgb="FF7EA5CB"/>
            </x14:dataBar>
          </x14:cfRule>
          <xm:sqref>E11:E25</xm:sqref>
        </x14:conditionalFormatting>
        <x14:conditionalFormatting>
          <x14:cfRule type="dataBar" priority="3" id="{C40447D8-1261-E40C-341B-B23D5150121E}">
            <x14:dataBar gradient="1">
              <x14:cfvo type="min"/>
              <x14:cfvo type="max"/>
              <x14:fillColor rgb="FF6EBBAE"/>
            </x14:dataBar>
          </x14:cfRule>
          <xm:sqref>E60:E457</xm:sqref>
        </x14:conditionalFormatting>
        <x14:conditionalFormatting>
          <x14:cfRule type="dataBar" priority="8" id="{71C45985-6B26-BC17-E02A-5246B6E8C12E}">
            <x14:dataBar gradient="0">
              <x14:cfvo type="min"/>
              <x14:cfvo type="max"/>
              <x14:fillColor rgb="FF4C96AF"/>
            </x14:dataBar>
          </x14:cfRule>
          <xm:sqref>T44:T63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  <x:col min="4" max="4" width="51" hidden="0" customWidth="1"/>
    <x:col min="5" max="5" width="46" hidden="0" customWidth="1"/>
    <x:col min="6" max="6" width="21" hidden="0" customWidth="1"/>
    <x:col min="7" max="7" width="65" hidden="0" customWidth="1"/>
  </x:cols>
  <x:sheetData>
    <x:row r="1" ht="25" customHeight="1">
      <x:c r="A1" s="4" t="str">
        <x:v>2017 | OVERALL FINDINGS &amp; SOURCE-BASED INSIGHTS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10" t="str">
        <x:v>Jewar AC63 • verified Form20 metrics and dated external reporting • scope: Narender Nagar (SP)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32" t="str">
        <x:v>IMPORTANT: Describes past records, sourced public issues, and research gaps. It does not forecast 2027 outcomes, infer present voting preferences, or establish that a reported issue caused specific votes.</x:v>
      </x:c>
      <x:c r="B5" s="32"/>
      <x:c r="C5" s="32"/>
      <x:c r="D5" s="32"/>
      <x:c r="E5" s="32"/>
      <x:c r="F5" s="32"/>
      <x:c r="G5" s="32"/>
    </x:row>
    <x:row r="7" ht="38" customHeight="1">
      <x:c r="A7" s="45" t="str">
        <x:v>Subject</x:v>
      </x:c>
      <x:c r="B7" s="45" t="str">
        <x:v>What the evidence actually shows</x:v>
      </x:c>
      <x:c r="C7" s="45" t="str">
        <x:v>Interpretation (historical only)</x:v>
      </x:c>
      <x:c r="D7" s="45" t="str">
        <x:v>Question to verify</x:v>
      </x:c>
      <x:c r="E7" s="45" t="str">
        <x:v>How an evidence-based research service helps</x:v>
      </x:c>
      <x:c r="F7" s="45" t="str">
        <x:v>Basis</x:v>
      </x:c>
      <x:c r="G7" s="45" t="str">
        <x:v>Link / input filename</x:v>
      </x:c>
    </x:row>
    <x:row r="8" ht="79" customHeight="1">
      <x:c r="A8" s="27" t="str">
        <x:v>Narender Nagar personally on the ballot</x:v>
      </x:c>
      <x:c r="B8" s="22" t="str">
        <x:v>The 2017 Form 20 lists Narender Nagar (SP) with 13,216 EVM votes over 343 stations. Declared result is 13,239 including non-booth additions.</x:v>
      </x:c>
      <x:c r="C8" s="22" t="str">
        <x:v>Use booth-level EVM share for station analysis; declared totals for election result summaries.</x:v>
      </x:c>
      <x:c r="D8" s="22" t="str">
        <x:v>Confirm original affidavit and postal-ballot result record.</x:v>
      </x:c>
      <x:c r="E8" s="22" t="str">
        <x:v>Nomination and record matching</x:v>
      </x:c>
      <x:c r="F8" s="70" t="str">
        <x:v>Uploaded Form 20</x:v>
      </x:c>
      <x:c r="G8" s="22" t="str">
        <x:v>63- jewar 2017 form 20.xls</x:v>
      </x:c>
    </x:row>
    <x:row r="9" ht="79" customHeight="1">
      <x:c r="A9" s="27" t="str">
        <x:v>Very uneven historical station distribution</x:v>
      </x:c>
      <x:c r="B9" s="22" t="str">
        <x:v>227/343 stations had less than 5% SP share; 7 stations had Narender Nagar as sole EVM leader.</x:v>
      </x:c>
      <x:c r="C9" s="22" t="str">
        <x:v>A low overall share coexisted with a small number of station-level pockets; not a current preference estimate.</x:v>
      </x:c>
      <x:c r="D9" s="22" t="str">
        <x:v>Why were station shares different? Do not guess demographics.</x:v>
      </x:c>
      <x:c r="E9" s="22" t="str">
        <x:v>Documented qualitative issue interviews</x:v>
      </x:c>
      <x:c r="F9" s="70" t="str">
        <x:v>Uploaded Form 20</x:v>
      </x:c>
      <x:c r="G9" s="22" t="str">
        <x:v>63- jewar 2017 form 20.xls</x:v>
      </x:c>
    </x:row>
    <x:row r="10" ht="79" customHeight="1">
      <x:c r="A10" s="27" t="str">
        <x:v>Historical BJP–BSP contest</x:v>
      </x:c>
      <x:c r="B10" s="22" t="str">
        <x:v>BJP had 102,931 EVM votes; BSP had 80,762; SP 13,216 in the station sheet.</x:v>
      </x:c>
      <x:c r="C10" s="22" t="str">
        <x:v>The top two party candidates were well ahead in the 2017 recorded constituency vote.</x:v>
      </x:c>
      <x:c r="D10" s="22" t="str">
        <x:v>Verify any time-specific candidate/persona effect with primary evidence.</x:v>
      </x:c>
      <x:c r="E10" s="22" t="str">
        <x:v>Baseline vote and candidate record</x:v>
      </x:c>
      <x:c r="F10" s="70" t="str">
        <x:v>Uploaded Form 20</x:v>
      </x:c>
      <x:c r="G10" s="22" t="str">
        <x:v>63- jewar 2017 form 20.xls</x:v>
      </x:c>
    </x:row>
    <x:row r="11" ht="79" customHeight="1">
      <x:c r="A11" s="27" t="str">
        <x:v>Statewide SP–Congress alliance</x:v>
      </x:c>
      <x:c r="B11" s="22" t="str">
        <x:v>SP and Congress announced a 298/105 seat alliance on 22 Jan 2017. Jewar had SP candidate Nagar, and no separate Congress symbol candidate in the uploaded sheet.</x:v>
      </x:c>
      <x:c r="C11" s="22" t="str">
        <x:v>A statewide alliance is not a directly observed transfer of votes at a Jewar booth.</x:v>
      </x:c>
      <x:c r="D11" s="22" t="str">
        <x:v>What 2017 collaboration records exist locally?</x:v>
      </x:c>
      <x:c r="E11" s="22" t="str">
        <x:v>Alliance chronology record</x:v>
      </x:c>
      <x:c r="F11" s="70" t="str">
        <x:v>Dated article / official document</x:v>
      </x:c>
      <x:c r="G11" s="22" t="str">
        <x:v>Check Research Sources</x:v>
      </x:c>
    </x:row>
    <x:row r="12" ht="79" customHeight="1">
      <x:c r="A12" s="27" t="str">
        <x:v>RLD contested separately</x:v>
      </x:c>
      <x:c r="B12" s="22" t="str">
        <x:v>Kamal Sharma appeared as an RLD candidate in the 2017 Jewar Form 20.</x:v>
      </x:c>
      <x:c r="C12" s="22" t="str">
        <x:v>2017 RLD EVM votes should not be added to SP votes as a formal alliance total.</x:v>
      </x:c>
      <x:c r="D12" s="22" t="str">
        <x:v>How were local alliances publicly positioned?</x:v>
      </x:c>
      <x:c r="E12" s="22" t="str">
        <x:v>Historical source check</x:v>
      </x:c>
      <x:c r="F12" s="70" t="str">
        <x:v>Uploaded Form 20</x:v>
      </x:c>
      <x:c r="G12" s="22" t="str">
        <x:v>63- jewar 2017 form 20.xls</x:v>
      </x:c>
    </x:row>
    <x:row r="13" ht="79" customHeight="1">
      <x:c r="A13" s="27" t="str">
        <x:v>Candidate nomination changed</x:v>
      </x:c>
      <x:c r="B13" s="22" t="str">
        <x:v>Contemporary Jan 20 reporting says SP nominated Narender Nagar for Jewar after candidate-list revisions.</x:v>
      </x:c>
      <x:c r="C13" s="22" t="str">
        <x:v>Clarify formal nomination and candidate biography before quoting personal background.</x:v>
      </x:c>
      <x:c r="D13" s="22" t="str">
        <x:v>Ask candidate to confirm his earlier party and public activities.</x:v>
      </x:c>
      <x:c r="E13" s="22" t="str">
        <x:v>Verified political profile dossier</x:v>
      </x:c>
      <x:c r="F13" s="70" t="str">
        <x:v>Dated article / official document</x:v>
      </x:c>
      <x:c r="G13" s="22" t="str">
        <x:v>Check Research Sources</x:v>
      </x:c>
    </x:row>
    <x:row r="14" ht="79" customHeight="1">
      <x:c r="A14" s="27" t="str">
        <x:v>Airport chronology caution</x:v>
      </x:c>
      <x:c r="B14" s="22" t="str">
        <x:v>July 2017 reporting on airport acquisition concerns POSTDATES the February–March 2017 Assembly election.</x:v>
      </x:c>
      <x:c r="C14" s="22" t="str">
        <x:v>Do not attribute the 2017 election result to protests that happened afterward.</x:v>
      </x:c>
      <x:c r="D14" s="22" t="str">
        <x:v>When did each airport concern emerge?</x:v>
      </x:c>
      <x:c r="E14" s="22" t="str">
        <x:v>Dated constituency issue timeline</x:v>
      </x:c>
      <x:c r="F14" s="70" t="str">
        <x:v>Dated article / official document</x:v>
      </x:c>
      <x:c r="G14" s="22" t="str">
        <x:v>Check Research Sources</x:v>
      </x:c>
    </x:row>
    <x:row r="15" ht="79" customHeight="1">
      <x:c r="A15" s="27" t="str">
        <x:v>2017 election vs 2027</x:v>
      </x:c>
      <x:c r="B15" s="22" t="str">
        <x:v>No contemporary 2026 opinion poll or 2027 nomination is contained in the 2017 station results.</x:v>
      </x:c>
      <x:c r="C15" s="22" t="str">
        <x:v>The 2017 data gives a historical baseline only.</x:v>
      </x:c>
      <x:c r="D15" s="22" t="str">
        <x:v>Ask which constituency public issues he now wants examined.</x:v>
      </x:c>
      <x:c r="E15" s="22" t="str">
        <x:v>Current nonpartisan issue and service audit</x:v>
      </x:c>
      <x:c r="F15" s="70" t="str">
        <x:v>Uploaded Form 20</x:v>
      </x:c>
      <x:c r="G15" s="22" t="str">
        <x:v>63- jewar 2017 form 20.xls</x:v>
      </x:c>
    </x:row>
    <x:row r="18" ht="27" customHeight="1">
      <x:c r="A18" s="16" t="str">
        <x:v>THREE TAKEAWAYS TO SPEAK — NOT AN ELECTION FORECAST</x:v>
      </x:c>
      <x:c r="B18" s="16"/>
      <x:c r="C18" s="16"/>
      <x:c r="D18" s="16"/>
      <x:c r="E18" s="16"/>
      <x:c r="F18" s="16"/>
      <x:c r="G18" s="16"/>
    </x:row>
    <x:row r="20" ht="55" customHeight="1">
      <x:c r="A20" s="15" t="str">
        <x:v>01</x:v>
      </x:c>
      <x:c r="B20" s="73" t="str">
        <x:v>Narender Nagar's personal 2017 historical baseline is 13,216 EVM votes across 343 stations; 13,239 is the declared result.</x:v>
      </x:c>
    </x:row>
    <x:row r="21" ht="55" customHeight="1">
      <x:c r="A21" s="15" t="str">
        <x:v>02</x:v>
      </x:c>
      <x:c r="B21" s="73" t="str">
        <x:v>At 7 stations he was the outright EVM leader; the constituency-wide contest was led by BJP and BSP.</x:v>
      </x:c>
    </x:row>
    <x:row r="22" ht="55" customHeight="1">
      <x:c r="A22" s="15" t="str">
        <x:v>03</x:v>
      </x:c>
      <x:c r="B22" s="73" t="str">
        <x:v>For 2027 discussion, do not extrapolate station patterns. Ask what current public problems and service gaps need an independent, sourced audit.</x:v>
      </x:c>
    </x:row>
  </x:sheetData>
  <x:mergeCells>
    <x:mergeCell ref="A1:P2"/>
    <x:mergeCell ref="A3:P3"/>
    <x:mergeCell ref="A5:G5"/>
    <x:mergeCell ref="A18:G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  <x:col min="4" max="4" width="51" hidden="0" customWidth="1"/>
    <x:col min="5" max="5" width="46" hidden="0" customWidth="1"/>
    <x:col min="6" max="6" width="21" hidden="0" customWidth="1"/>
    <x:col min="7" max="7" width="65" hidden="0" customWidth="1"/>
  </x:cols>
  <x:sheetData>
    <x:row r="1" ht="25" customHeight="1">
      <x:c r="A1" s="4" t="str">
        <x:v>2019 | OVERALL FINDINGS &amp; SOURCE-BASED INSIGHTS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10" t="str">
        <x:v>Jewar AC63 • verified Form20 metrics and dated external reporting • scope: SATVEER (BSP)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32" t="str">
        <x:v>IMPORTANT: Describes past records, sourced public issues, and research gaps. It does not forecast 2027 outcomes, infer present voting preferences, or establish that a reported issue caused specific votes.</x:v>
      </x:c>
      <x:c r="B5" s="32"/>
      <x:c r="C5" s="32"/>
      <x:c r="D5" s="32"/>
      <x:c r="E5" s="32"/>
      <x:c r="F5" s="32"/>
      <x:c r="G5" s="32"/>
    </x:row>
    <x:row r="7" ht="38" customHeight="1">
      <x:c r="A7" s="45" t="str">
        <x:v>Subject</x:v>
      </x:c>
      <x:c r="B7" s="45" t="str">
        <x:v>What the evidence actually shows</x:v>
      </x:c>
      <x:c r="C7" s="45" t="str">
        <x:v>Interpretation (historical only)</x:v>
      </x:c>
      <x:c r="D7" s="45" t="str">
        <x:v>Question to verify</x:v>
      </x:c>
      <x:c r="E7" s="45" t="str">
        <x:v>How an evidence-based research service helps</x:v>
      </x:c>
      <x:c r="F7" s="45" t="str">
        <x:v>Basis</x:v>
      </x:c>
      <x:c r="G7" s="45" t="str">
        <x:v>Link / input filename</x:v>
      </x:c>
    </x:row>
    <x:row r="8" ht="79" customHeight="1">
      <x:c r="A8" s="27" t="str">
        <x:v>SP had no symbol candidate</x:v>
      </x:c>
      <x:c r="B8" s="22" t="str">
        <x:v>Satveer contested as BSP nominee of BSP-SP-RLD alliance in the 2019 Gautam Buddha Nagar parliamentary election.</x:v>
      </x:c>
      <x:c r="C8" s="22" t="str">
        <x:v>2019 Satveer votes are candidate votes, NOT SP-only votes and NOT Nagar personal votes.</x:v>
      </x:c>
      <x:c r="D8" s="22" t="str">
        <x:v>Separate electoral alliances from party identity.</x:v>
      </x:c>
      <x:c r="E8" s="22" t="str">
        <x:v>Alliance provenance table</x:v>
      </x:c>
      <x:c r="F8" s="70" t="str">
        <x:v>Dated article / official document</x:v>
      </x:c>
      <x:c r="G8" s="22" t="str">
        <x:v>Check Research Sources</x:v>
      </x:c>
    </x:row>
    <x:row r="9" ht="79" customHeight="1">
      <x:c r="A9" s="27" t="str">
        <x:v>Close BJP-BSP Jewar EVM totals</x:v>
      </x:c>
      <x:c r="B9" s="22" t="str">
        <x:v>BJP Mahesh Sharma 108,264; BSP Satveer 101,005 at the station level: 7,259 EVM vote difference.</x:v>
      </x:c>
      <x:c r="C9" s="22" t="str">
        <x:v>This refers to the JEWAR parliamentary segment, not an Assembly-election winner.</x:v>
      </x:c>
      <x:c r="D9" s="22" t="str">
        <x:v>Map and verify station totals; 2019 sheet has one faulty candidate-total row.</x:v>
      </x:c>
      <x:c r="E9" s="22" t="str">
        <x:v>Form20 discrepancy reconciliation</x:v>
      </x:c>
      <x:c r="F9" s="70" t="str">
        <x:v>Uploaded Form 20</x:v>
      </x:c>
      <x:c r="G9" s="22" t="str">
        <x:v>63- 2019 form 20 data.xls</x:v>
      </x:c>
    </x:row>
    <x:row r="10" ht="79" customHeight="1">
      <x:c r="A10" s="27" t="str">
        <x:v>Candidate vs alliance caveat</x:v>
      </x:c>
      <x:c r="B10" s="22" t="str">
        <x:v>Satveer led at 175 of 388 stations in 2019 Form20 data.</x:v>
      </x:c>
      <x:c r="C10" s="22" t="str">
        <x:v>This does not reveal which 2017 SP, BSP or RLD voters supported the nominee.</x:v>
      </x:c>
      <x:c r="D10" s="22" t="str">
        <x:v>No individual vote-transfer estimate without survey design.</x:v>
      </x:c>
      <x:c r="E10" s="22" t="str">
        <x:v>Cohort/booth matching only after boundary validation</x:v>
      </x:c>
      <x:c r="F10" s="70" t="str">
        <x:v>Uploaded Form 20</x:v>
      </x:c>
      <x:c r="G10" s="22" t="str">
        <x:v>63- 2019 form 20 data.xls</x:v>
      </x:c>
    </x:row>
    <x:row r="11" ht="79" customHeight="1">
      <x:c r="A11" s="27" t="str">
        <x:v>2019 Congress separate</x:v>
      </x:c>
      <x:c r="B11" s="22" t="str">
        <x:v>Dr Arvind Kumar Singh was a Congress nominee against the BJP and alliance BSP nominee.</x:v>
      </x:c>
      <x:c r="C11" s="22" t="str">
        <x:v>The coalition configuration was different from 2017 and 2024.</x:v>
      </x:c>
      <x:c r="D11" s="22" t="str">
        <x:v>Label coalition each year before interpreting movements.</x:v>
      </x:c>
      <x:c r="E11" s="22" t="str">
        <x:v>Alliance chronology</x:v>
      </x:c>
      <x:c r="F11" s="70" t="str">
        <x:v>Dated article / official document</x:v>
      </x:c>
      <x:c r="G11" s="22" t="str">
        <x:v>Check Research Sources</x:v>
      </x:c>
    </x:row>
    <x:row r="12" ht="79" customHeight="1">
      <x:c r="A12" s="27" t="str">
        <x:v>Source total mismatch</x:v>
      </x:c>
      <x:c r="B12" s="22" t="str">
        <x:v>2019 station 1 source column Candidate Total says 675 although candidate columns sum to 585; recorded turnout 588 and NOTA 3.</x:v>
      </x:c>
      <x:c r="C12" s="22" t="str">
        <x:v>Use candidate-column sum 585; the source total row is overstated by 90 versus station-summed candidates.</x:v>
      </x:c>
      <x:c r="D12" s="22" t="str">
        <x:v>Confirm with returning officer / original PDF scan.</x:v>
      </x:c>
      <x:c r="E12" s="22" t="str">
        <x:v>Forensic reconciliation</x:v>
      </x:c>
      <x:c r="F12" s="70" t="str">
        <x:v>Uploaded Form 20</x:v>
      </x:c>
      <x:c r="G12" s="22" t="str">
        <x:v>63- 2019 form 20 data.xls</x:v>
      </x:c>
    </x:row>
    <x:row r="13" ht="79" customHeight="1">
      <x:c r="A13" s="27" t="str">
        <x:v>No 2027 extrapolation</x:v>
      </x:c>
      <x:c r="B13" s="22" t="str">
        <x:v>2019 is a Lok Sabha election, different candidate/seat type/alliances and electorate.</x:v>
      </x:c>
      <x:c r="C13" s="22" t="str">
        <x:v>Descriptive trend only, no extrapolated victory probabilities.</x:v>
      </x:c>
      <x:c r="D13" s="22" t="str">
        <x:v>Ask candidate for a current public-issue research brief.</x:v>
      </x:c>
      <x:c r="E13" s="22" t="str">
        <x:v>Field data with sampling notes</x:v>
      </x:c>
      <x:c r="F13" s="70" t="str">
        <x:v>Uploaded Form 20</x:v>
      </x:c>
      <x:c r="G13" s="22" t="str">
        <x:v>63- 2019 form 20 data.xls</x:v>
      </x:c>
    </x:row>
    <x:row r="16" ht="27" customHeight="1">
      <x:c r="A16" s="16" t="str">
        <x:v>THREE TAKEAWAYS TO SPEAK — NOT AN ELECTION FORECAST</x:v>
      </x:c>
      <x:c r="B16" s="16"/>
      <x:c r="C16" s="16"/>
      <x:c r="D16" s="16"/>
      <x:c r="E16" s="16"/>
      <x:c r="F16" s="16"/>
      <x:c r="G16" s="16"/>
    </x:row>
    <x:row r="18" ht="55" customHeight="1">
      <x:c r="A18" s="15" t="str">
        <x:v>01</x:v>
      </x:c>
      <x:c r="B18" s="73" t="str">
        <x:v>2019 candidate Satveer was from BSP, jointly backed by SP-BSP-RLD. This is not Narender Nagar's personal election result.</x:v>
      </x:c>
    </x:row>
    <x:row r="19" ht="55" customHeight="1">
      <x:c r="A19" s="15" t="str">
        <x:v>02</x:v>
      </x:c>
      <x:c r="B19" s="73" t="str">
        <x:v>BJP vs BSP station-row EVM difference was 7,259; the file's candidate-total row contains a 90-vote inconsistency.</x:v>
      </x:c>
    </x:row>
    <x:row r="20" ht="55" customHeight="1">
      <x:c r="A20" s="15" t="str">
        <x:v>03</x:v>
      </x:c>
      <x:c r="B20" s="73" t="str">
        <x:v>Political alliances changed, and we should not translate candidate votes into an SP-only support estimate.</x:v>
      </x:c>
    </x:row>
  </x:sheetData>
  <x:mergeCells>
    <x:mergeCell ref="A1:P2"/>
    <x:mergeCell ref="A3:P3"/>
    <x:mergeCell ref="A5:G5"/>
    <x:mergeCell ref="A16:G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  <x:col min="4" max="4" width="51" hidden="0" customWidth="1"/>
    <x:col min="5" max="5" width="46" hidden="0" customWidth="1"/>
    <x:col min="6" max="6" width="21" hidden="0" customWidth="1"/>
    <x:col min="7" max="7" width="65" hidden="0" customWidth="1"/>
  </x:cols>
  <x:sheetData>
    <x:row r="1" ht="25" customHeight="1">
      <x:c r="A1" s="4" t="str">
        <x:v>2022 | OVERALL FINDINGS &amp; SOURCE-BASED INSIGHTS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10" t="str">
        <x:v>Jewar AC63 • verified Form20 metrics and dated external reporting • scope: AVTAR SINGH BHADANA (Rashtriya Lok Dal)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32" t="str">
        <x:v>IMPORTANT: Describes past records, sourced public issues, and research gaps. It does not forecast 2027 outcomes, infer present voting preferences, or establish that a reported issue caused specific votes.</x:v>
      </x:c>
      <x:c r="B5" s="32"/>
      <x:c r="C5" s="32"/>
      <x:c r="D5" s="32"/>
      <x:c r="E5" s="32"/>
      <x:c r="F5" s="32"/>
      <x:c r="G5" s="32"/>
    </x:row>
    <x:row r="7" ht="38" customHeight="1">
      <x:c r="A7" s="45" t="str">
        <x:v>Subject</x:v>
      </x:c>
      <x:c r="B7" s="45" t="str">
        <x:v>What the evidence actually shows</x:v>
      </x:c>
      <x:c r="C7" s="45" t="str">
        <x:v>Interpretation (historical only)</x:v>
      </x:c>
      <x:c r="D7" s="45" t="str">
        <x:v>Question to verify</x:v>
      </x:c>
      <x:c r="E7" s="45" t="str">
        <x:v>How an evidence-based research service helps</x:v>
      </x:c>
      <x:c r="F7" s="45" t="str">
        <x:v>Basis</x:v>
      </x:c>
      <x:c r="G7" s="45" t="str">
        <x:v>Link / input filename</x:v>
      </x:c>
    </x:row>
    <x:row r="8" ht="79" customHeight="1">
      <x:c r="A8" s="27" t="str">
        <x:v>SP did not field own symbol candidate</x:v>
      </x:c>
      <x:c r="B8" s="22" t="str">
        <x:v>SP-RLD alliance nominee in Jewar was RLD candidate Avtar Singh Bhadana.</x:v>
      </x:c>
      <x:c r="C8" s="22" t="str">
        <x:v>RLD candidate vote is an alliance-context result; not SP-only personal support.</x:v>
      </x:c>
      <x:c r="D8" s="22" t="str">
        <x:v>Check alliance configuration for any new election independently.</x:v>
      </x:c>
      <x:c r="E8" s="22" t="str">
        <x:v>Alliance attribution and source notes</x:v>
      </x:c>
      <x:c r="F8" s="70" t="str">
        <x:v>Dated article / official document</x:v>
      </x:c>
      <x:c r="G8" s="22" t="str">
        <x:v>Check Research Sources</x:v>
      </x:c>
    </x:row>
    <x:row r="9" ht="79" customHeight="1">
      <x:c r="A9" s="27" t="str">
        <x:v>Narender Kumar is different</x:v>
      </x:c>
      <x:c r="B9" s="22" t="str">
        <x:v>2022 BSP candidate is Narender Kumar; do NOT conflate with Narender Nagar (2017 SP).</x:v>
      </x:c>
      <x:c r="C9" s="22" t="str">
        <x:v>The candidate identity distinction is essential for a factual comparison.</x:v>
      </x:c>
      <x:c r="D9" s="22" t="str">
        <x:v>Confirm by nomination papers/affidavits.</x:v>
      </x:c>
      <x:c r="E9" s="22" t="str">
        <x:v>Candidate registry cleanup</x:v>
      </x:c>
      <x:c r="F9" s="70" t="str">
        <x:v>Uploaded Form 20</x:v>
      </x:c>
      <x:c r="G9" s="22" t="str">
        <x:v>AC63- form 20 jewar 2022.xls</x:v>
      </x:c>
    </x:row>
    <x:row r="10" ht="79" customHeight="1">
      <x:c r="A10" s="27" t="str">
        <x:v>BJP official constituency victory</x:v>
      </x:c>
      <x:c r="B10" s="22" t="str">
        <x:v>Declared final votes BJP 117,205; RLD 60,890; BSP 45,256; BJP–RLD margin 56,315.</x:v>
      </x:c>
      <x:c r="C10" s="22" t="str">
        <x:v>Official totals include postal votes and should not be substituted into station-level EVM figures.</x:v>
      </x:c>
      <x:c r="D10" s="22" t="str">
        <x:v>Do not infer specific current voter decisions from declared margins.</x:v>
      </x:c>
      <x:c r="E10" s="22" t="str">
        <x:v>Official-vs-EVM split in dashboard</x:v>
      </x:c>
      <x:c r="F10" s="70" t="str">
        <x:v>Uploaded Form 20</x:v>
      </x:c>
      <x:c r="G10" s="22" t="str">
        <x:v>AC63- form 20 jewar 2022.xls</x:v>
      </x:c>
    </x:row>
    <x:row r="11" ht="79" customHeight="1">
      <x:c r="A11" s="27" t="str">
        <x:v>Station-level RLD distribution</x:v>
      </x:c>
      <x:c r="B11" s="22" t="str">
        <x:v>In the provided row data RLD Avtar led alone at 89 of 419 stations; 2 stations have tied maxima.</x:v>
      </x:c>
      <x:c r="C11" s="22" t="str">
        <x:v>Station patterns may differ substantially from constituency aggregate.</x:v>
      </x:c>
      <x:c r="D11" s="22" t="str">
        <x:v>Survey evidence is needed for current local concerns.</x:v>
      </x:c>
      <x:c r="E11" s="22" t="str">
        <x:v>Station descriptive analytics</x:v>
      </x:c>
      <x:c r="F11" s="70" t="str">
        <x:v>Uploaded Form 20</x:v>
      </x:c>
      <x:c r="G11" s="22" t="str">
        <x:v>AC63- form 20 jewar 2022.xls</x:v>
      </x:c>
    </x:row>
    <x:row r="12" ht="79" customHeight="1">
      <x:c r="A12" s="27" t="str">
        <x:v>Land acquisition as a documented issue</x:v>
      </x:c>
      <x:c r="B12" s="22" t="str">
        <x:v>Jan 2022 reporting covered disagreement over land compensation, with multiple farmer viewpoints.</x:v>
      </x:c>
      <x:c r="C12" s="22" t="str">
        <x:v>Land compensation was a visible PUBLIC issue in 2022 reporting; not proof that it caused any booth result.</x:v>
      </x:c>
      <x:c r="D12" s="22" t="str">
        <x:v>Check official village compensation and rehabilitation records.</x:v>
      </x:c>
      <x:c r="E12" s="22" t="str">
        <x:v>Public-interest issues documentation</x:v>
      </x:c>
      <x:c r="F12" s="70" t="str">
        <x:v>Dated article / official document</x:v>
      </x:c>
      <x:c r="G12" s="22" t="str">
        <x:v>Check Research Sources</x:v>
      </x:c>
    </x:row>
    <x:row r="13" ht="79" customHeight="1">
      <x:c r="A13" s="27" t="str">
        <x:v>Airport development perceptions varied</x:v>
      </x:c>
      <x:c r="B13" s="22" t="str">
        <x:v>Indian Express 2022 reporting includes both support and criticism of the airport project.</x:v>
      </x:c>
      <x:c r="C13" s="22" t="str">
        <x:v>Use attributed quotes and multiple sources, never a single claim as constituency sentiment.</x:v>
      </x:c>
      <x:c r="D13" s="22" t="str">
        <x:v>What projects were completed and what remains pending?</x:v>
      </x:c>
      <x:c r="E13" s="22" t="str">
        <x:v>Development delivery tracker</x:v>
      </x:c>
      <x:c r="F13" s="70" t="str">
        <x:v>Dated article / official document</x:v>
      </x:c>
      <x:c r="G13" s="22" t="str">
        <x:v>Check Research Sources</x:v>
      </x:c>
    </x:row>
    <x:row r="14" ht="79" customHeight="1">
      <x:c r="A14" s="27" t="str">
        <x:v>Form 20 source totals must be reconciled</x:v>
      </x:c>
      <x:c r="B14" s="22" t="str">
        <x:v>419 entered station rows sum to 230,872 EVM votes but the uploaded EVM total row prints 231,196: difference 324.</x:v>
      </x:c>
      <x:c r="C14" s="22" t="str">
        <x:v>Published totals and station chart aggregates are kept separate until the discrepancy is resolved.</x:v>
      </x:c>
      <x:c r="D14" s="22" t="str">
        <x:v>Check original scanned returns or Returning Officer data.</x:v>
      </x:c>
      <x:c r="E14" s="22" t="str">
        <x:v>Independent raw-data audit</x:v>
      </x:c>
      <x:c r="F14" s="70" t="str">
        <x:v>Uploaded Form 20</x:v>
      </x:c>
      <x:c r="G14" s="22" t="str">
        <x:v>AC63- form 20 jewar 2022.xls</x:v>
      </x:c>
    </x:row>
    <x:row r="15" ht="79" customHeight="1">
      <x:c r="A15" s="27" t="str">
        <x:v>Postal votes separate</x:v>
      </x:c>
      <x:c r="B15" s="22" t="str">
        <x:v>The 2022 sheet lists 763 postal ballot votes and a grand total of 231,959 (printed).</x:v>
      </x:c>
      <x:c r="C15" s="22" t="str">
        <x:v>Do not distribute postal votes across polling stations or assume every station total reconciles.</x:v>
      </x:c>
      <x:c r="D15" s="22" t="str">
        <x:v>Verify the EVM subtotal gap separately.</x:v>
      </x:c>
      <x:c r="E15" s="22" t="str">
        <x:v>Two-layer validation</x:v>
      </x:c>
      <x:c r="F15" s="70" t="str">
        <x:v>Uploaded Form 20</x:v>
      </x:c>
      <x:c r="G15" s="22" t="str">
        <x:v>AC63- form 20 jewar 2022.xls</x:v>
      </x:c>
    </x:row>
    <x:row r="18" ht="27" customHeight="1">
      <x:c r="A18" s="16" t="str">
        <x:v>THREE TAKEAWAYS TO SPEAK — NOT AN ELECTION FORECAST</x:v>
      </x:c>
      <x:c r="B18" s="16"/>
      <x:c r="C18" s="16"/>
      <x:c r="D18" s="16"/>
      <x:c r="E18" s="16"/>
      <x:c r="F18" s="16"/>
      <x:c r="G18" s="16"/>
    </x:row>
    <x:row r="20" ht="55" customHeight="1">
      <x:c r="A20" s="15" t="str">
        <x:v>01</x:v>
      </x:c>
      <x:c r="B20" s="73" t="str">
        <x:v>Jewar's SP-alliance contender was Avtar Singh Bhadana on an RLD ticket. Narender Kumar (BSP) is another individual.</x:v>
      </x:c>
    </x:row>
    <x:row r="21" ht="55" customHeight="1">
      <x:c r="A21" s="15" t="str">
        <x:v>02</x:v>
      </x:c>
      <x:c r="B21" s="73" t="str">
        <x:v>Provided station-level EVM tally is 230,872, but the source's EVM grand subtotal is 231,196: a discrepancy of 324 requiring checking.</x:v>
      </x:c>
    </x:row>
    <x:row r="22" ht="55" customHeight="1">
      <x:c r="A22" s="15" t="str">
        <x:v>03</x:v>
      </x:c>
      <x:c r="B22" s="73" t="str">
        <x:v>2022 compensation reporting included both supportive and critical responses to the airport project; current conditions need fresh verification.</x:v>
      </x:c>
    </x:row>
  </x:sheetData>
  <x:mergeCells>
    <x:mergeCell ref="A1:P2"/>
    <x:mergeCell ref="A3:P3"/>
    <x:mergeCell ref="A5:G5"/>
    <x:mergeCell ref="A18:G1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  <x:col min="4" max="4" width="51" hidden="0" customWidth="1"/>
    <x:col min="5" max="5" width="46" hidden="0" customWidth="1"/>
    <x:col min="6" max="6" width="21" hidden="0" customWidth="1"/>
    <x:col min="7" max="7" width="65" hidden="0" customWidth="1"/>
  </x:cols>
  <x:sheetData>
    <x:row r="1" ht="25" customHeight="1">
      <x:c r="A1" s="4" t="str">
        <x:v>2024 | OVERALL FINDINGS &amp; SOURCE-BASED INSIGHTS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10" t="str">
        <x:v>Jewar AC63 • verified Form20 metrics and dated external reporting • scope: Dr. Mahendra Singh Nagar (SP)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32" t="str">
        <x:v>IMPORTANT: Describes past records, sourced public issues, and research gaps. It does not forecast 2027 outcomes, infer present voting preferences, or establish that a reported issue caused specific votes.</x:v>
      </x:c>
      <x:c r="B5" s="32"/>
      <x:c r="C5" s="32"/>
      <x:c r="D5" s="32"/>
      <x:c r="E5" s="32"/>
      <x:c r="F5" s="32"/>
      <x:c r="G5" s="32"/>
    </x:row>
    <x:row r="7" ht="38" customHeight="1">
      <x:c r="A7" s="45" t="str">
        <x:v>Subject</x:v>
      </x:c>
      <x:c r="B7" s="45" t="str">
        <x:v>What the evidence actually shows</x:v>
      </x:c>
      <x:c r="C7" s="45" t="str">
        <x:v>Interpretation (historical only)</x:v>
      </x:c>
      <x:c r="D7" s="45" t="str">
        <x:v>Question to verify</x:v>
      </x:c>
      <x:c r="E7" s="45" t="str">
        <x:v>How an evidence-based research service helps</x:v>
      </x:c>
      <x:c r="F7" s="45" t="str">
        <x:v>Basis</x:v>
      </x:c>
      <x:c r="G7" s="45" t="str">
        <x:v>Link / input filename</x:v>
      </x:c>
    </x:row>
    <x:row r="8" ht="79" customHeight="1">
      <x:c r="A8" s="27" t="str">
        <x:v>Different SP parliamentary nominee</x:v>
      </x:c>
      <x:c r="B8" s="22" t="str">
        <x:v>Dr Mahendra Singh Nagar (SP) was parliamentary nominee for Gautam Buddha Nagar; Narender Nagar was not the candidate.</x:v>
      </x:c>
      <x:c r="C8" s="22" t="str">
        <x:v>SP symbol trend is not Narender Nagar personal voting history.</x:v>
      </x:c>
      <x:c r="D8" s="22" t="str">
        <x:v>Ask candidate for any later personal election record, if applicable.</x:v>
      </x:c>
      <x:c r="E8" s="22" t="str">
        <x:v>Candidate timeline</x:v>
      </x:c>
      <x:c r="F8" s="70" t="str">
        <x:v>Uploaded Form 20</x:v>
      </x:c>
      <x:c r="G8" s="22" t="str">
        <x:v>form 20 data 2024.pdf</x:v>
      </x:c>
    </x:row>
    <x:row r="9" ht="79" customHeight="1">
      <x:c r="A9" s="27" t="str">
        <x:v>2024 official Form20 downloaded</x:v>
      </x:c>
      <x:c r="B9" s="22" t="str">
        <x:v>398 Jewar polling-station rows contain 31,228 SP, 104,759 BJP, 62,662 BSP EVM votes.</x:v>
      </x:c>
      <x:c r="C9" s="22" t="str">
        <x:v>SP candidate was third in segment votes; this was Lok Sabha, not Assembly.</x:v>
      </x:c>
      <x:c r="D9" s="22" t="str">
        <x:v>Monitor current governance issues separately.</x:v>
      </x:c>
      <x:c r="E9" s="22" t="str">
        <x:v>Official 2024 source data</x:v>
      </x:c>
      <x:c r="F9" s="70" t="str">
        <x:v>Uploaded Form 20</x:v>
      </x:c>
      <x:c r="G9" s="22" t="str">
        <x:v>form 20 data 2024.pdf</x:v>
      </x:c>
    </x:row>
    <x:row r="10" ht="79" customHeight="1">
      <x:c r="A10" s="27" t="str">
        <x:v>2024 BJP-BSP gap and SP-BSP gap</x:v>
      </x:c>
      <x:c r="B10" s="22" t="str">
        <x:v>BJP–BSP EVM difference 42,097; BSP–SP difference 31,434.</x:v>
      </x:c>
      <x:c r="C10" s="22" t="str">
        <x:v>These are observed candidate vote differences, not a current election margin.</x:v>
      </x:c>
      <x:c r="D10" s="22" t="str">
        <x:v>Explain which election and denominator each chart uses.</x:v>
      </x:c>
      <x:c r="E10" s="22" t="str">
        <x:v>Historical explanatory notes</x:v>
      </x:c>
      <x:c r="F10" s="70" t="str">
        <x:v>Uploaded Form 20</x:v>
      </x:c>
      <x:c r="G10" s="22" t="str">
        <x:v>form 20 data 2024.pdf</x:v>
      </x:c>
    </x:row>
    <x:row r="11" ht="79" customHeight="1">
      <x:c r="A11" s="27" t="str">
        <x:v>2024 SP station distributions</x:v>
      </x:c>
      <x:c r="B11" s="22" t="str">
        <x:v>SP candidate led outright at 27 stations. The official sheet contains a 0-vote row at PS 327.</x:v>
      </x:c>
      <x:c r="C11" s="22" t="str">
        <x:v>The zero-vote row is not evidence of party preference; station counts include the row.</x:v>
      </x:c>
      <x:c r="D11" s="22" t="str">
        <x:v>Verify with CEO whether the station was unused.</x:v>
      </x:c>
      <x:c r="E11" s="22" t="str">
        <x:v>QA and station mapping</x:v>
      </x:c>
      <x:c r="F11" s="70" t="str">
        <x:v>Uploaded Form 20</x:v>
      </x:c>
      <x:c r="G11" s="22" t="str">
        <x:v>form 20 data 2024.pdf</x:v>
      </x:c>
    </x:row>
    <x:row r="12" ht="79" customHeight="1">
      <x:c r="A12" s="27" t="str">
        <x:v>Local land rates in April 2024</x:v>
      </x:c>
      <x:c r="B12" s="22" t="str">
        <x:v>HT documented land-acquisition rates and rehabilitation perks as live public concerns, with parties making competing claims.</x:v>
      </x:c>
      <x:c r="C12" s="22" t="str">
        <x:v>An issue appearing in reporting does not prove its effect on votes.</x:v>
      </x:c>
      <x:c r="D12" s="22" t="str">
        <x:v>Can affected residents independently confirm current case status?</x:v>
      </x:c>
      <x:c r="E12" s="22" t="str">
        <x:v>Dated public-issue investigation</x:v>
      </x:c>
      <x:c r="F12" s="70" t="str">
        <x:v>Dated article / official document</x:v>
      </x:c>
      <x:c r="G12" s="22" t="str">
        <x:v>Check Research Sources</x:v>
      </x:c>
    </x:row>
    <x:row r="13" ht="79" customHeight="1">
      <x:c r="A13" s="27" t="str">
        <x:v>Ranhera rehabilitation complaints</x:v>
      </x:c>
      <x:c r="B13" s="22" t="str">
        <x:v>TOI documented concerns about promised community facilities in a resettlement township; allegations are attributed.</x:v>
      </x:c>
      <x:c r="C13" s="22" t="str">
        <x:v>Verify facility status and official response before presenting a resolved conclusion.</x:v>
      </x:c>
      <x:c r="D13" s="22" t="str">
        <x:v>Request facility inventories, site photos, official works orders.</x:v>
      </x:c>
      <x:c r="E13" s="22" t="str">
        <x:v>Local public facilities audit</x:v>
      </x:c>
      <x:c r="F13" s="70" t="str">
        <x:v>Dated article / official document</x:v>
      </x:c>
      <x:c r="G13" s="22" t="str">
        <x:v>Check Research Sources</x:v>
      </x:c>
    </x:row>
    <x:row r="14" ht="79" customHeight="1">
      <x:c r="A14" s="27" t="str">
        <x:v>Airport now operational</x:v>
      </x:c>
      <x:c r="B14" s="22" t="str">
        <x:v>Airport operator confirms first commercial services began June 2026 following March 2026 inauguration.</x:v>
      </x:c>
      <x:c r="C14" s="22" t="str">
        <x:v>2024 expectations and late-2026 circumstances differ.</x:v>
      </x:c>
      <x:c r="D14" s="22" t="str">
        <x:v>Document measured employment, access, and service changes since operations began.</x:v>
      </x:c>
      <x:c r="E14" s="22" t="str">
        <x:v>2026–2027 project monitoring</x:v>
      </x:c>
      <x:c r="F14" s="70" t="str">
        <x:v>Dated article / official document</x:v>
      </x:c>
      <x:c r="G14" s="22" t="str">
        <x:v>Check Research Sources</x:v>
      </x:c>
    </x:row>
    <x:row r="15" ht="79" customHeight="1">
      <x:c r="A15" s="27" t="str">
        <x:v>Land law and rehabilitation</x:v>
      </x:c>
      <x:c r="B15" s="22" t="str">
        <x:v>April 2026 HC judgment describes Stage-2 acquisition and rehabilitation requirements for affected villages.</x:v>
      </x:c>
      <x:c r="C15" s="22" t="str">
        <x:v>Treat judicial requirements as legal obligations; report current implementation only with updated official records.</x:v>
      </x:c>
      <x:c r="D15" s="22" t="str">
        <x:v>Track compliance documents by village.</x:v>
      </x:c>
      <x:c r="E15" s="22" t="str">
        <x:v>Source-linked legal compliance tracker</x:v>
      </x:c>
      <x:c r="F15" s="70" t="str">
        <x:v>Dated article / official document</x:v>
      </x:c>
      <x:c r="G15" s="22" t="str">
        <x:v>Check Research Sources</x:v>
      </x:c>
    </x:row>
    <x:row r="16" ht="79" customHeight="1">
      <x:c r="A16" s="27" t="str">
        <x:v>2027 alliance unknown</x:v>
      </x:c>
      <x:c r="B16" s="22" t="str">
        <x:v>Contemporary Oct 2026 reporting shows 2027 SP–Congress seat-sharing unresolved.</x:v>
      </x:c>
      <x:c r="C16" s="22" t="str">
        <x:v>A hypothetical candidate/coalition combination cannot be inserted as a 2027 fact.</x:v>
      </x:c>
      <x:c r="D16" s="22" t="str">
        <x:v>Reconfirm alliances and ticket announcements when formally issued.</x:v>
      </x:c>
      <x:c r="E16" s="22" t="str">
        <x:v>Regular public election document updates</x:v>
      </x:c>
      <x:c r="F16" s="70" t="str">
        <x:v>Dated article / official document</x:v>
      </x:c>
      <x:c r="G16" s="22" t="str">
        <x:v>Check Research Sources</x:v>
      </x:c>
    </x:row>
    <x:row r="19" ht="27" customHeight="1">
      <x:c r="A19" s="16" t="str">
        <x:v>THREE TAKEAWAYS TO SPEAK — NOT AN ELECTION FORECAST</x:v>
      </x:c>
      <x:c r="B19" s="16"/>
      <x:c r="C19" s="16"/>
      <x:c r="D19" s="16"/>
      <x:c r="E19" s="16"/>
      <x:c r="F19" s="16"/>
      <x:c r="G19" s="16"/>
    </x:row>
    <x:row r="21" ht="55" customHeight="1">
      <x:c r="A21" s="15" t="str">
        <x:v>01</x:v>
      </x:c>
      <x:c r="B21" s="73" t="str">
        <x:v>SP's candidate was Dr Mahendra Singh Nagar in the parliamentary race, not 2017 Assembly candidate Narender Nagar.</x:v>
      </x:c>
    </x:row>
    <x:row r="22" ht="55" customHeight="1">
      <x:c r="A22" s="15" t="str">
        <x:v>02</x:v>
      </x:c>
      <x:c r="B22" s="73" t="str">
        <x:v>Official 2024 Jewar EVM totals: SP 31,228, BJP 104,759, BSP 62,662 across 398 station rows.</x:v>
      </x:c>
    </x:row>
    <x:row r="23" ht="55" customHeight="1">
      <x:c r="A23" s="15" t="str">
        <x:v>03</x:v>
      </x:c>
      <x:c r="B23" s="73" t="str">
        <x:v>Airport expansion and rehabilitation remain documented public issues; the airport has since begun commercial operations, so date matters.</x:v>
      </x:c>
    </x:row>
  </x:sheetData>
  <x:mergeCells>
    <x:mergeCell ref="A1:P2"/>
    <x:mergeCell ref="A3:P3"/>
    <x:mergeCell ref="A5:G5"/>
    <x:mergeCell ref="A19:G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60" hidden="0" customWidth="1"/>
    <x:col min="4" max="4" width="53" hidden="0" customWidth="1"/>
    <x:col min="5" max="5" width="63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24" hidden="0" customWidth="1"/>
  </x:cols>
  <x:sheetData>
    <x:row r="1" ht="25" customHeight="1">
      <x:c r="A1" s="4" t="str">
        <x:v>JEWAR | FOUR-ELECTION LONGITUDINAL READOUT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s="10" t="str">
        <x:v>Compare what is comparable. Two Assembly elections (2017, 2022); two Lok Sabha Jewar segments (2019, 2024). All displayed counts are station EVM rows.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27" customHeight="1">
      <x:c r="A5" s="16" t="str">
        <x:v>ELECTION TIMELINE — WHAT EACH YEAR ACTUALLY MEASURES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7" ht="38" customHeight="1">
      <x:c r="A7" s="45" t="str">
        <x:v>Year</x:v>
      </x:c>
      <x:c r="B7" s="45" t="str">
        <x:v>Type</x:v>
      </x:c>
      <x:c r="C7" s="45" t="str">
        <x:v>Focal candidate</x:v>
      </x:c>
      <x:c r="D7" s="45" t="str">
        <x:v>Party</x:v>
      </x:c>
      <x:c r="E7" s="45" t="str">
        <x:v>Alliance context</x:v>
      </x:c>
      <x:c r="F7" s="45" t="str">
        <x:v>PS rows</x:v>
      </x:c>
      <x:c r="G7" s="45" t="str">
        <x:v>EVM votes</x:v>
      </x:c>
      <x:c r="H7" s="45" t="str">
        <x:v>Segment EVM votes</x:v>
      </x:c>
      <x:c r="I7" s="45" t="str">
        <x:v>Focus EVM share</x:v>
      </x:c>
      <x:c r="J7" s="45" t="str">
        <x:v>Focus station leads</x:v>
      </x:c>
      <x:c r="K7" s="45" t="str">
        <x:v>Station vote leader</x:v>
      </x:c>
      <x:c r="L7" s="45" t="str">
        <x:v>Top two EVM gap</x:v>
      </x:c>
    </x:row>
    <x:row r="8" ht="68" customHeight="1">
      <x:c r="A8" t="n">
        <x:v>2017</x:v>
      </x:c>
      <x:c r="B8" t="str">
        <x:v>Assembly</x:v>
      </x:c>
      <x:c r="C8" s="36" t="str">
        <x:v>Narender Nagar</x:v>
      </x:c>
      <x:c r="D8" t="str">
        <x:v>SP</x:v>
      </x:c>
      <x:c r="E8" t="str">
        <x:v>SP + INC statewide alliance (298 SP / 105 INC seats); Jewar contested by Narender Nagar (SP). RLD and BSP fielded separate candidates.</x:v>
      </x:c>
      <x:c r="F8" t="n">
        <x:v>343</x:v>
      </x:c>
      <x:c r="G8" t="n">
        <x:f>SUM('2017 Form20'!H9:H351)</x:f>
        <x:v>13216</x:v>
      </x:c>
      <x:c r="H8" t="n">
        <x:f>SUM('2017 Form20'!D9:D351)</x:f>
        <x:v>211292</x:v>
      </x:c>
      <x:c r="I8" s="50" t="n">
        <x:f>IFERROR(G8/H8,0)</x:f>
        <x:v>0.06254851106525566</x:v>
      </x:c>
      <x:c r="J8" t="n">
        <x:v>7</x:v>
      </x:c>
      <x:c r="K8" t="str">
        <x:v>Dhirendra Singh</x:v>
      </x:c>
      <x:c r="L8" t="n">
        <x:v>22169</x:v>
      </x:c>
    </x:row>
    <x:row r="9" ht="68" customHeight="1">
      <x:c r="A9" t="n">
        <x:v>2019</x:v>
      </x:c>
      <x:c r="B9" t="str">
        <x:v>Lok Sabha segment</x:v>
      </x:c>
      <x:c r="C9" s="36" t="str">
        <x:v>SATVEER</x:v>
      </x:c>
      <x:c r="D9" t="str">
        <x:v>BSP</x:v>
      </x:c>
      <x:c r="E9" t="str">
        <x:v>BSP + SP + RLD Lok Sabha alliance; Satveer (BSP) contested Gautam Buddha Nagar. NO separate SP candidate in Jewar segment. INC separately contested.</x:v>
      </x:c>
      <x:c r="F9" t="n">
        <x:v>388</x:v>
      </x:c>
      <x:c r="G9" t="n">
        <x:f>SUM('2019 Form20'!H9:H396)</x:f>
        <x:v>101005</x:v>
      </x:c>
      <x:c r="H9" t="n">
        <x:f>SUM('2019 Form20'!D9:D396)</x:f>
        <x:v>216782</x:v>
      </x:c>
      <x:c r="I9" s="50" t="n">
        <x:f>IFERROR(G9/H9,0)</x:f>
        <x:v>0.4659289055364375</x:v>
      </x:c>
      <x:c r="J9" t="n">
        <x:v>175</x:v>
      </x:c>
      <x:c r="K9" t="str">
        <x:v>DR. MAHESH SHARMA</x:v>
      </x:c>
      <x:c r="L9" t="n">
        <x:v>7259</x:v>
      </x:c>
    </x:row>
    <x:row r="10" ht="68" customHeight="1">
      <x:c r="A10" t="n">
        <x:v>2022</x:v>
      </x:c>
      <x:c r="B10" t="str">
        <x:v>Assembly</x:v>
      </x:c>
      <x:c r="C10" s="36" t="str">
        <x:v>AVTAR SINGH BHADANA</x:v>
      </x:c>
      <x:c r="D10" t="str">
        <x:v>Rashtriya Lok Dal</x:v>
      </x:c>
      <x:c r="E10" t="str">
        <x:v>SP + RLD Assembly alliance; Jewar was contested by Avtar Singh Bhadana (RLD). NO SP-symbol candidate; BSP's Narender Kumar is not Narender Nagar.</x:v>
      </x:c>
      <x:c r="F10" t="n">
        <x:v>419</x:v>
      </x:c>
      <x:c r="G10" t="n">
        <x:f>SUM('2022 Form20'!H9:H427)</x:f>
        <x:v>60696</x:v>
      </x:c>
      <x:c r="H10" t="n">
        <x:f>SUM('2022 Form20'!D9:D427)</x:f>
        <x:v>230872</x:v>
      </x:c>
      <x:c r="I10" s="50" t="n">
        <x:f>IFERROR(G10/H10,0)</x:f>
        <x:v>0.26289892234658163</x:v>
      </x:c>
      <x:c r="J10" t="n">
        <x:v>89</x:v>
      </x:c>
      <x:c r="K10" t="str">
        <x:v>DHIRENDRA SINGH</x:v>
      </x:c>
      <x:c r="L10" t="n">
        <x:v>55792</x:v>
      </x:c>
    </x:row>
    <x:row r="11" ht="68" customHeight="1">
      <x:c r="A11" t="n">
        <x:v>2024</x:v>
      </x:c>
      <x:c r="B11" t="str">
        <x:v>Lok Sabha segment</x:v>
      </x:c>
      <x:c r="C11" s="36" t="str">
        <x:v>Dr. Mahendra Singh Nagar</x:v>
      </x:c>
      <x:c r="D11" t="str">
        <x:v>SP</x:v>
      </x:c>
      <x:c r="E11" t="str">
        <x:v>SP + INC INDIA alliance; Gautam Buddha Nagar Lok Sabha candidate Dr. Mahendra Singh Nagar (SP). Narender Nagar did not contest this election.</x:v>
      </x:c>
      <x:c r="F11" t="n">
        <x:v>398</x:v>
      </x:c>
      <x:c r="G11" t="n">
        <x:f>SUM('2024 Form20'!H9:H406)</x:f>
        <x:v>31228</x:v>
      </x:c>
      <x:c r="H11" t="n">
        <x:f>SUM('2024 Form20'!D9:D406)</x:f>
        <x:v>203537</x:v>
      </x:c>
      <x:c r="I11" s="50" t="n">
        <x:f>IFERROR(G11/H11,0)</x:f>
        <x:v>0.15342664970005454</x:v>
      </x:c>
      <x:c r="J11" t="n">
        <x:v>27</x:v>
      </x:c>
      <x:c r="K11" t="str">
        <x:v>Dr. Mahesh Sharma</x:v>
      </x:c>
      <x:c r="L11" t="n">
        <x:v>42097</x:v>
      </x:c>
    </x:row>
    <x:row r="14" ht="34" customHeight="1">
      <x:c r="A14" s="32" t="str">
        <x:v>CAUTION — rows G–I are NOT the same party, person or ballot type in every year. Do not plot them as a straight SP vote trajectory or a prediction for 2027.</x:v>
      </x:c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7" ht="27" customHeight="1">
      <x:c r="A17" s="16" t="str">
        <x:v>WHAT CHANGED — DOCUMENTED CHANGE VS INVALID INFERENCE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G18" t="str">
        <x:v>Election</x:v>
      </x:c>
      <x:c r="H18" t="str">
        <x:v>Station EVM votes</x:v>
      </x:c>
    </x:row>
    <x:row r="19" ht="38" customHeight="1">
      <x:c r="A19" s="45" t="str">
        <x:v>Period</x:v>
      </x:c>
      <x:c r="B19" s="45" t="str">
        <x:v>What changes</x:v>
      </x:c>
      <x:c r="C19" s="45" t="str">
        <x:v>Verified change</x:v>
      </x:c>
      <x:c r="D19" s="45" t="str">
        <x:v>Do not conclude</x:v>
      </x:c>
      <x:c r="E19" s="45" t="str">
        <x:v>Research-service response</x:v>
      </x:c>
      <x:c r="G19" t="str">
        <x:v>2017</x:v>
      </x:c>
      <x:c r="H19" t="n">
        <x:v>211292</x:v>
      </x:c>
    </x:row>
    <x:row r="20" ht="73" customHeight="1">
      <x:c r="A20" s="26" t="str">
        <x:v>2017 → 2019</x:v>
      </x:c>
      <x:c r="B20" s="22" t="str">
        <x:v>Assembly to Lok Sabha</x:v>
      </x:c>
      <x:c r="C20" s="22" t="str">
        <x:v>SP's Narender Nagar → BSP's Satveer (alliance)</x:v>
      </x:c>
      <x:c r="D20" s="22" t="str">
        <x:v>The 2019 vote share cannot measure personal growth of Nagar.</x:v>
      </x:c>
      <x:c r="E20" s="22" t="str">
        <x:v>Create a candidate registry by year and party; retain ballot type.</x:v>
      </x:c>
      <x:c r="G20" t="str">
        <x:v>2019</x:v>
      </x:c>
      <x:c r="H20" t="n">
        <x:v>216782</x:v>
      </x:c>
    </x:row>
    <x:row r="21" ht="73" customHeight="1">
      <x:c r="A21" s="26" t="str">
        <x:v>2019 → 2022</x:v>
      </x:c>
      <x:c r="B21" s="22" t="str">
        <x:v>Lok Sabha to Assembly</x:v>
      </x:c>
      <x:c r="C21" s="22" t="str">
        <x:v>BSP-led alliance → SP-RLD / RLD candidate</x:v>
      </x:c>
      <x:c r="D21" s="22" t="str">
        <x:v>Candidate identity and alliance membership changed; aggregate differences are not vote transfers.</x:v>
      </x:c>
      <x:c r="E21" s="22" t="str">
        <x:v>Link only verified historical boundaries; distinguish party and candidate.</x:v>
      </x:c>
      <x:c r="G21" t="str">
        <x:v>2022</x:v>
      </x:c>
      <x:c r="H21" t="n">
        <x:v>230872</x:v>
      </x:c>
    </x:row>
    <x:row r="22" ht="73" customHeight="1">
      <x:c r="A22" s="26" t="str">
        <x:v>2022 → 2024</x:v>
      </x:c>
      <x:c r="B22" s="22" t="str">
        <x:v>Assembly to Lok Sabha</x:v>
      </x:c>
      <x:c r="C22" s="22" t="str">
        <x:v>RLD alliance nominee → SP symbol nominee</x:v>
      </x:c>
      <x:c r="D22" s="22" t="str">
        <x:v>2024 SP vote share is neither a RLD transfer rate nor a 2027 SP projection.</x:v>
      </x:c>
      <x:c r="E22" s="22" t="str">
        <x:v>Use explicit contest categories in every graphic.</x:v>
      </x:c>
      <x:c r="G22" t="str">
        <x:v>2024</x:v>
      </x:c>
      <x:c r="H22" t="n">
        <x:v>203537</x:v>
      </x:c>
    </x:row>
    <x:row r="23" ht="73" customHeight="1">
      <x:c r="A23" s="26" t="str">
        <x:v>2017 → 2024</x:v>
      </x:c>
      <x:c r="B23" s="22" t="str">
        <x:v>Seven-year span</x:v>
      </x:c>
      <x:c r="C23" s="22" t="str">
        <x:v>343 → 398 source station rows</x:v>
      </x:c>
      <x:c r="D23" s="22" t="str">
        <x:v>Station renumbering / splitting invalidates a direct same-number booth panel.</x:v>
      </x:c>
      <x:c r="E23" s="22" t="str">
        <x:v>Match exact station names, village, part limits and ERO records.</x:v>
      </x:c>
    </x:row>
    <x:row r="24" ht="73" customHeight="1">
      <x:c r="A24" s="26" t="str">
        <x:v>2024 → Oct 2026</x:v>
      </x:c>
      <x:c r="B24" s="22" t="str">
        <x:v>Development context</x:v>
      </x:c>
      <x:c r="C24" s="22" t="str">
        <x:v>Airport begins commercial flights in June 2026</x:v>
      </x:c>
      <x:c r="D24" s="22" t="str">
        <x:v>A historical 2024 public promise may now be delivered, delayed or altered; verify.</x:v>
      </x:c>
      <x:c r="E24" s="22" t="str">
        <x:v>Build dated project, grievance and public-service monitoring.</x:v>
      </x:c>
    </x:row>
    <x:row r="25" ht="73" customHeight="1">
      <x:c r="A25" s="26" t="str">
        <x:v>2026 → 2027</x:v>
      </x:c>
      <x:c r="B25" s="22" t="str">
        <x:v>Future situation</x:v>
      </x:c>
      <x:c r="C25" s="22" t="str">
        <x:v>Next alliances, nominations and public priorities not final</x:v>
      </x:c>
      <x:c r="D25" s="22" t="str">
        <x:v>No outcome prediction from historical Form 20 data.</x:v>
      </x:c>
      <x:c r="E25" s="22" t="str">
        <x:v>Collect separate current consent-based public issue evidence.</x:v>
      </x:c>
    </x:row>
    <x:row r="28" ht="27" customHeight="1">
      <x:c r="A28" s="16" t="str">
        <x:v>DISCUSSION NOTES FOR YOUR MEETING</x:v>
      </x:c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30" ht="38" customHeight="1">
      <x:c r="A30" s="45" t="str">
        <x:v>#</x:v>
      </x:c>
      <x:c r="B30" s="45" t="str">
        <x:v>Meeting subject</x:v>
      </x:c>
      <x:c r="C30" s="45" t="str">
        <x:v>Question to resolve</x:v>
      </x:c>
      <x:c r="D30" s="45" t="str">
        <x:v>Who can establish this</x:v>
      </x:c>
    </x:row>
    <x:row r="31" ht="54" customHeight="1">
      <x:c r="A31" s="22" t="str">
        <x:v>01</x:v>
      </x:c>
      <x:c r="B31" s="22" t="str">
        <x:v>Candidate record</x:v>
      </x:c>
      <x:c r="C31" s="22" t="str">
        <x:v>Confirm 2017 nomination, declared vote total, party history and public timeline.</x:v>
      </x:c>
      <x:c r="D31" s="22" t="str">
        <x:v>Candidate / Election office</x:v>
      </x:c>
    </x:row>
    <x:row r="32" ht="54" customHeight="1">
      <x:c r="A32" s="22" t="str">
        <x:v>02</x:v>
      </x:c>
      <x:c r="B32" s="22" t="str">
        <x:v>Current role</x:v>
      </x:c>
      <x:c r="C32" s="22" t="str">
        <x:v>Ask his present organisational role and whether any new nomination has been formally announced.</x:v>
      </x:c>
      <x:c r="D32" s="22" t="str">
        <x:v>Candidate</x:v>
      </x:c>
    </x:row>
    <x:row r="33" ht="54" customHeight="1">
      <x:c r="A33" s="22" t="str">
        <x:v>03</x:v>
      </x:c>
      <x:c r="B33" s="22" t="str">
        <x:v>2027 alliance</x:v>
      </x:c>
      <x:c r="C33" s="22" t="str">
        <x:v>Do not presume 2017, 2019, 2022, 2024 alliance arrangements carry over.</x:v>
      </x:c>
      <x:c r="D33" s="22" t="str">
        <x:v>Formal party notifications</x:v>
      </x:c>
    </x:row>
    <x:row r="34" ht="54" customHeight="1">
      <x:c r="A34" s="22" t="str">
        <x:v>04</x:v>
      </x:c>
      <x:c r="B34" s="22" t="str">
        <x:v>Airport &amp; R&amp;R</x:v>
      </x:c>
      <x:c r="C34" s="22" t="str">
        <x:v>What is the status of resettlement facilities, compensation and livelihoods by village?</x:v>
      </x:c>
      <x:c r="D34" s="22" t="str">
        <x:v>District documents / field verification</x:v>
      </x:c>
    </x:row>
    <x:row r="35" ht="54" customHeight="1">
      <x:c r="A35" s="22" t="str">
        <x:v>05</x:v>
      </x:c>
      <x:c r="B35" s="22" t="str">
        <x:v>Public infrastructure</x:v>
      </x:c>
      <x:c r="C35" s="22" t="str">
        <x:v>Which roads, drainage, sanitation, health and transport projects require monitoring?</x:v>
      </x:c>
      <x:c r="D35" s="22" t="str">
        <x:v>Official works data / residents with consent</x:v>
      </x:c>
    </x:row>
    <x:row r="36" ht="54" customHeight="1">
      <x:c r="A36" s="22" t="str">
        <x:v>06</x:v>
      </x:c>
      <x:c r="B36" s="22" t="str">
        <x:v>Polling station mapping</x:v>
      </x:c>
      <x:c r="C36" s="22" t="str">
        <x:v>Does office have archived booth directories with village/part boundaries for each election?</x:v>
      </x:c>
      <x:c r="D36" s="22" t="str">
        <x:v>Office / DEO</x:v>
      </x:c>
    </x:row>
    <x:row r="37" ht="54" customHeight="1">
      <x:c r="A37" s="22" t="str">
        <x:v>07</x:v>
      </x:c>
      <x:c r="B37" s="22" t="str">
        <x:v>Source discrepancies</x:v>
      </x:c>
      <x:c r="C37" s="22" t="str">
        <x:v>Can the RO provide machine-readable certified Form20 for 2019 and 2022?</x:v>
      </x:c>
      <x:c r="D37" s="22" t="str">
        <x:v>DEO / Returning Officer</x:v>
      </x:c>
    </x:row>
    <x:row r="38" ht="54" customHeight="1">
      <x:c r="A38" s="22" t="str">
        <x:v>08</x:v>
      </x:c>
      <x:c r="B38" s="22" t="str">
        <x:v>Engagement</x:v>
      </x:c>
      <x:c r="C38" s="22" t="str">
        <x:v>Agree neutral fact-finding scope, reporting cadence and deliverables; no unsupported vote forecasts.</x:v>
      </x:c>
      <x:c r="D38" s="22" t="str">
        <x:v>Client + research lead</x:v>
      </x:c>
    </x:row>
  </x:sheetData>
  <x:mergeCells>
    <x:mergeCell ref="A1:R2"/>
    <x:mergeCell ref="A3:R3"/>
    <x:mergeCell ref="A5:L5"/>
    <x:mergeCell ref="A14:L14"/>
    <x:mergeCell ref="A17:L17"/>
    <x:mergeCell ref="A28:L28"/>
  </x:mergeCells>
  <x:pageMargins left="0.7" right="0.7" top="0.75" bottom="0.75" header="0.3" footer="0.3"/>
  <x:drawing xmlns:r="http://schemas.openxmlformats.org/officeDocument/2006/relationships" r:id="Rdc28a00fbe614b1e"/>
</x:worksheet>
</file>

<file path=xl/worksheets/sheet1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73" hidden="0" customWidth="1"/>
    <x:col min="5" max="5" width="67" hidden="0" customWidth="1"/>
    <x:col min="6" max="6" width="58" hidden="0" customWidth="1"/>
    <x:col min="7" max="7" width="55" hidden="0" customWidth="1"/>
    <x:col min="8" max="8" width="75" hidden="0" customWidth="1"/>
  </x:cols>
  <x:sheetData>
    <x:row r="1" ht="25" customHeight="1">
      <x:c r="A1" s="4" t="str">
        <x:v>JEWAR | DATED PUBLIC ISSUES &amp; DEVELOPMENT CHRONOLOGY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8" customHeight="1">
      <x:c r="A3" s="10" t="str">
        <x:v>Chronological evidence, attributed positions, official actions, and what needs independent confirmation • research cutoff 12 October 2026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34" customHeight="1">
      <x:c r="A5" s="32" t="str">
        <x:v>Reporting about an issue does not prove its prevalence across Jewar or its effect on election results. Later events cannot explain earlier election behaviour; do not assume 2027 conditions.</x:v>
      </x:c>
      <x:c r="B5" s="32"/>
      <x:c r="C5" s="32"/>
      <x:c r="D5" s="32"/>
      <x:c r="E5" s="32"/>
      <x:c r="F5" s="32"/>
      <x:c r="G5" s="32"/>
      <x:c r="H5" s="32"/>
    </x:row>
    <x:row r="7" ht="38" customHeight="1">
      <x:c r="A7" s="45" t="str">
        <x:v>Date</x:v>
      </x:c>
      <x:c r="B7" s="45" t="str">
        <x:v>Issue / event</x:v>
      </x:c>
      <x:c r="C7" s="45" t="str">
        <x:v>Reporting outlet</x:v>
      </x:c>
      <x:c r="D7" s="45" t="str">
        <x:v>Reported fact or clearly attributed claim</x:v>
      </x:c>
      <x:c r="E7" s="45" t="str">
        <x:v>Known limitation / balancing perspective</x:v>
      </x:c>
      <x:c r="F7" s="45" t="str">
        <x:v>What still needs confirmation</x:v>
      </x:c>
      <x:c r="G7" s="45" t="str">
        <x:v>Possible factual research product</x:v>
      </x:c>
      <x:c r="H7" s="45" t="str">
        <x:v>Source URL</x:v>
      </x:c>
    </x:row>
    <x:row r="8" ht="76" customHeight="1">
      <x:c r="A8" s="22" t="str">
        <x:v>2017-01-20</x:v>
      </x:c>
      <x:c r="B8" s="26" t="str">
        <x:v>Nomination</x:v>
      </x:c>
      <x:c r="C8" s="22" t="str">
        <x:v>Hindustan Times</x:v>
      </x:c>
      <x:c r="D8" s="22" t="str">
        <x:v>SP named Narendra Nagar for Jewar following candidate-list changes.</x:v>
      </x:c>
      <x:c r="E8" s="22" t="str">
        <x:v>Historical record; no current voting inference.</x:v>
      </x:c>
      <x:c r="F8" s="22" t="str">
        <x:v>Ask Narender Nagar to confirm full nomination and party career with RO affidavit.</x:v>
      </x:c>
      <x:c r="G8" s="70" t="str">
        <x:v>Candidate chronology and affidavit registry</x:v>
      </x:c>
      <x:c r="H8" s="22" t="str">
        <x:v>https://www.hindustantimes.com/assembly-elections/sp-releases-list-of-candidates-for-191-seats-including-noida/story-7MUVP7p11pJDVEpN1A2AVN.html</x:v>
      </x:c>
    </x:row>
    <x:row r="9" ht="76" customHeight="1">
      <x:c r="A9" s="22" t="str">
        <x:v>2017-01-22</x:v>
      </x:c>
      <x:c r="B9" s="26" t="str">
        <x:v>Alliance</x:v>
      </x:c>
      <x:c r="C9" s="22" t="str">
        <x:v>Indian Express</x:v>
      </x:c>
      <x:c r="D9" s="22" t="str">
        <x:v>SP-Congress alliance formally agreed statewide 298 SP / 105 Congress seats.</x:v>
      </x:c>
      <x:c r="E9" s="22" t="str">
        <x:v>Historical record; no current voting inference.</x:v>
      </x:c>
      <x:c r="F9" s="22" t="str">
        <x:v>Collect formal alliance seat announcement and Jewar candidate roster.</x:v>
      </x:c>
      <x:c r="G9" s="70" t="str">
        <x:v>Dated alliance/candidate record</x:v>
      </x:c>
      <x:c r="H9" s="22" t="str">
        <x:v>https://indianexpress.com/elections/uttar-pradesh-assembly-elections-2017/samajwadi-party-congress-alliance-akhilesh-yadav-raj-babbar-rahul-gandhi-up-uttar-pradesh-elections-seats-mulayam-singh-yadav/</x:v>
      </x:c>
    </x:row>
    <x:row r="10" ht="76" customHeight="1">
      <x:c r="A10" s="22" t="str">
        <x:v>2017-07-24</x:v>
      </x:c>
      <x:c r="B10" s="26" t="str">
        <x:v>Airport—post election</x:v>
      </x:c>
      <x:c r="C10" s="22" t="str">
        <x:v>Hindustan Times</x:v>
      </x:c>
      <x:c r="D10" s="22" t="str">
        <x:v>Farm leaders voiced compensation concerns after 2017 Assembly election; not evidence of February 2017 voting motives.</x:v>
      </x:c>
      <x:c r="E10" s="22" t="str">
        <x:v>Chronology check: July 2017 airport concerns postdate 2017 Assembly polling.</x:v>
      </x:c>
      <x:c r="F10" s="22" t="str">
        <x:v>Check acquisition notification date and village lists.</x:v>
      </x:c>
      <x:c r="G10" s="70" t="str">
        <x:v>Land-acquisition timeline</x:v>
      </x:c>
      <x:c r="H10" s="22" t="str">
        <x:v>https://www.hindustantimes.com/noida/greater-noida-farmer-leaders-oppose-acquisition-of-land-for-jewar-airport/story-XxnNoly0KRnwcYOhRK77bK.html</x:v>
      </x:c>
    </x:row>
    <x:row r="11" ht="76" customHeight="1">
      <x:c r="A11" s="22" t="str">
        <x:v>2019-02-21</x:v>
      </x:c>
      <x:c r="B11" s="26" t="str">
        <x:v>Alliance</x:v>
      </x:c>
      <x:c r="C11" s="22" t="str">
        <x:v>Indian Express</x:v>
      </x:c>
      <x:c r="D11" s="22" t="str">
        <x:v>BSP-Samajwadi Party-RLD alliance jointly announced BSP Satveer Nagar for Gautam Buddha Nagar LS.</x:v>
      </x:c>
      <x:c r="E11" s="22" t="str">
        <x:v>Parliamentary race; BSP nominee represented BSP-SP-RLD alliance; not SP personal vote.</x:v>
      </x:c>
      <x:c r="F11" s="22" t="str">
        <x:v>Collect formal alliance seat announcement and Jewar candidate roster.</x:v>
      </x:c>
      <x:c r="G11" s="70" t="str">
        <x:v>Dated alliance/candidate record</x:v>
      </x:c>
      <x:c r="H11" s="22" t="str">
        <x:v>https://indianexpress.com/article/india/in-show-of-unity-sp-rld-leaders-cheer-on-as-bsp-off-the-block-with-first-candidate-5593598/</x:v>
      </x:c>
    </x:row>
    <x:row r="12" ht="76" customHeight="1">
      <x:c r="A12" s="22" t="str">
        <x:v>2019-04-10</x:v>
      </x:c>
      <x:c r="B12" s="26" t="str">
        <x:v>Contest</x:v>
      </x:c>
      <x:c r="C12" s="22" t="str">
        <x:v>Hindustan Times</x:v>
      </x:c>
      <x:c r="D12" s="22" t="str">
        <x:v>Gautam Buddha Nagar LS featured BJP Mahesh Sharma, alliance BSP Satveer and Congress Arvind Singh.</x:v>
      </x:c>
      <x:c r="E12" s="22" t="str">
        <x:v>Parliamentary race; BSP nominee represented BSP-SP-RLD alliance; not SP personal vote.</x:v>
      </x:c>
      <x:c r="F12" s="22" t="str">
        <x:v>Find original government document / field verification with relevant stakeholders.</x:v>
      </x:c>
      <x:c r="G12" s="70" t="str">
        <x:v>Source-based public issue memo</x:v>
      </x:c>
      <x:c r="H12" s="22" t="str">
        <x:v>https://www.hindustantimes.com/lok-sabha-elections/lok-sabha-elections-2019-mahesh-sharma-in-fray-as-gautam-buddha-nagar-witnesses-triangular-contest/story-Bq0Xwy4jHqLyj3XP2y18vM.html</x:v>
      </x:c>
    </x:row>
    <x:row r="13" ht="76" customHeight="1">
      <x:c r="A13" s="22" t="str">
        <x:v>2022-01-22</x:v>
      </x:c>
      <x:c r="B13" s="26" t="str">
        <x:v>Alliance candidate</x:v>
      </x:c>
      <x:c r="C13" s="22" t="str">
        <x:v>Hindustan Times</x:v>
      </x:c>
      <x:c r="D13" s="22" t="str">
        <x:v>Avtar Singh Bhadana contested Jewar on SP-RLD alliance RLD ticket, after withdrawal dispute.</x:v>
      </x:c>
      <x:c r="E13" s="22" t="str">
        <x:v>Campaign claims and stakeholder quotes are attributed; independent verification required.</x:v>
      </x:c>
      <x:c r="F13" s="22" t="str">
        <x:v>Find original government document / field verification with relevant stakeholders.</x:v>
      </x:c>
      <x:c r="G13" s="70" t="str">
        <x:v>Source-based public issue memo</x:v>
      </x:c>
      <x:c r="H13" s="22" t="str">
        <x:v>https://www.hindustantimes.com/cities/noida-news/day-after-volte-face-sp-rld-candidate-avtar-bhadana-begins-campaigning-in-jewar-101642793858734.html</x:v>
      </x:c>
    </x:row>
    <x:row r="14" ht="76" customHeight="1">
      <x:c r="A14" s="22" t="str">
        <x:v>2022-01-24</x:v>
      </x:c>
      <x:c r="B14" s="26" t="str">
        <x:v>Land issues</x:v>
      </x:c>
      <x:c r="C14" s="22" t="str">
        <x:v>Hindustan Times</x:v>
      </x:c>
      <x:c r="D14" s="22" t="str">
        <x:v>Farm compensation and airport land negotiations documented as 2022 campaign issues; reporting included different farmer views.</x:v>
      </x:c>
      <x:c r="E14" s="22" t="str">
        <x:v>Campaign claims and stakeholder quotes are attributed; independent verification required.</x:v>
      </x:c>
      <x:c r="F14" s="22" t="str">
        <x:v>Verify land acquisition rate and published compensation scheme.</x:v>
      </x:c>
      <x:c r="G14" s="70" t="str">
        <x:v>Land policy and project registry</x:v>
      </x:c>
      <x:c r="H14" s="22" t="str">
        <x:v>https://www.hindustantimes.com/cities/noida-news/greater-noida-higher-compensation-for-land-key-issue-for-farmers-this-election-101642969865903.html</x:v>
      </x:c>
    </x:row>
    <x:row r="15" ht="76" customHeight="1">
      <x:c r="A15" s="22" t="str">
        <x:v>2022-01-31</x:v>
      </x:c>
      <x:c r="B15" s="26" t="str">
        <x:v>Public debate</x:v>
      </x:c>
      <x:c r="C15" s="22" t="str">
        <x:v>Indian Express</x:v>
      </x:c>
      <x:c r="D15" s="22" t="str">
        <x:v>On-the-ground reporting documented mixed reactions to airport and compensation claims in acquisition villages.</x:v>
      </x:c>
      <x:c r="E15" s="22" t="str">
        <x:v>Campaign claims and stakeholder quotes are attributed; independent verification required.</x:v>
      </x:c>
      <x:c r="F15" s="22" t="str">
        <x:v>Find original government compensation notices and independent resident accounts.</x:v>
      </x:c>
      <x:c r="G15" s="70" t="str">
        <x:v>Issue evidence tracker</x:v>
      </x:c>
      <x:c r="H15" s="22" t="str">
        <x:v>https://indianexpress.com/elections/land-relief-jewar-bjp-up-assembly-polls-7750152/</x:v>
      </x:c>
    </x:row>
    <x:row r="16" ht="76" customHeight="1">
      <x:c r="A16" s="22" t="str">
        <x:v>2024-01-01</x:v>
      </x:c>
      <x:c r="B16" s="26" t="str">
        <x:v>Expansion</x:v>
      </x:c>
      <x:c r="C16" s="22" t="str">
        <x:v>Indian Express</x:v>
      </x:c>
      <x:c r="D16" s="22" t="str">
        <x:v>Farmers from 14 villages voiced objections to proposed airport expansion acquisition.</x:v>
      </x:c>
      <x:c r="E16" s="22" t="str">
        <x:v>Public complaints reported in news are not proof all facilities are absent or all residents agree.</x:v>
      </x:c>
      <x:c r="F16" s="22" t="str">
        <x:v>Find original government document / field verification with relevant stakeholders.</x:v>
      </x:c>
      <x:c r="G16" s="70" t="str">
        <x:v>Source-based public issue memo</x:v>
      </x:c>
      <x:c r="H16" s="22" t="str">
        <x:v>https://indianexpress.com/article/cities/delhi/farmers-oppose-land-acquisition-for-airport-expansion-in-jewar-9090011/</x:v>
      </x:c>
    </x:row>
    <x:row r="17" ht="76" customHeight="1">
      <x:c r="A17" s="22" t="str">
        <x:v>2024-04-06</x:v>
      </x:c>
      <x:c r="B17" s="26" t="str">
        <x:v>Rehabilitation</x:v>
      </x:c>
      <x:c r="C17" s="22" t="str">
        <x:v>Times of India</x:v>
      </x:c>
      <x:c r="D17" s="22" t="str">
        <x:v>Some Ranhera resettled households alleged missing township amenities and discussed poll boycott; attributed claims.</x:v>
      </x:c>
      <x:c r="E17" s="22" t="str">
        <x:v>Public complaints reported in news are not proof all facilities are absent or all residents agree.</x:v>
      </x:c>
      <x:c r="F17" s="22" t="str">
        <x:v>Site-check whether promised amenities exist; request govt response.</x:v>
      </x:c>
      <x:c r="G17" s="70" t="str">
        <x:v>Village facility status audit</x:v>
      </x:c>
      <x:c r="H17" s="22" t="str">
        <x:v>https://timesofindia.indiatimes.com/city/noida/will-boycott-polls-if-village-near-airport-not-developed/articleshow/109076548.cms</x:v>
      </x:c>
    </x:row>
    <x:row r="18" ht="76" customHeight="1">
      <x:c r="A18" s="22" t="str">
        <x:v>2024-04-12</x:v>
      </x:c>
      <x:c r="B18" s="26" t="str">
        <x:v>Land compensation</x:v>
      </x:c>
      <x:c r="C18" s="22" t="str">
        <x:v>Hindustan Times</x:v>
      </x:c>
      <x:c r="D18" s="22" t="str">
        <x:v>Land acquisition rates and rehabilitation perks reported as prominent concerns in regional parliamentary race.</x:v>
      </x:c>
      <x:c r="E18" s="22" t="str">
        <x:v>Public complaints reported in news are not proof all facilities are absent or all residents agree.</x:v>
      </x:c>
      <x:c r="F18" s="22" t="str">
        <x:v>Find original government document / field verification with relevant stakeholders.</x:v>
      </x:c>
      <x:c r="G18" s="70" t="str">
        <x:v>Source-based public issue memo</x:v>
      </x:c>
      <x:c r="H18" s="22" t="str">
        <x:v>https://www.hindustantimes.com/cities/noida-news/noida-land-rates-main-poll-issue-in-rural-belt-101712860501586.html</x:v>
      </x:c>
    </x:row>
    <x:row r="19" ht="76" customHeight="1">
      <x:c r="A19" s="22" t="str">
        <x:v>2026-04-28</x:v>
      </x:c>
      <x:c r="B19" s="26" t="str">
        <x:v>High Court / R&amp;R</x:v>
      </x:c>
      <x:c r="C19" s="22" t="str">
        <x:v>Allahabad High Court judgment</x:v>
      </x:c>
      <x:c r="D19" s="22" t="str">
        <x:v>Stage-2 acquisition of approximately 1,857.8871 ha across 14 villages; Court imposed R&amp;R conditions.</x:v>
      </x:c>
      <x:c r="E19" s="22" t="str">
        <x:v>Situation may continue changing. Verify latest district notices and implementation; policy announcements do not prove completion.</x:v>
      </x:c>
      <x:c r="F19" s="22" t="str">
        <x:v>Find certified rehabilitation plans and current compliance, village-wise.</x:v>
      </x:c>
      <x:c r="G19" s="70" t="str">
        <x:v>Court compliance and compensation file register</x:v>
      </x:c>
      <x:c r="H19" s="22" t="str">
        <x:v>https://indiankanoon.org/doc/190430932/</x:v>
      </x:c>
    </x:row>
    <x:row r="20" ht="76" customHeight="1">
      <x:c r="A20" s="22" t="str">
        <x:v>2026-05-19</x:v>
      </x:c>
      <x:c r="B20" s="26" t="str">
        <x:v>Government notices</x:v>
      </x:c>
      <x:c r="C20" s="22" t="str">
        <x:v>Gautam Buddha Nagar District</x:v>
      </x:c>
      <x:c r="D20" s="22" t="str">
        <x:v>Airport acquisition/re-settlement notifications and village-specific land records.</x:v>
      </x:c>
      <x:c r="E20" s="22" t="str">
        <x:v>Situation may continue changing. Verify latest district notices and implementation; policy announcements do not prove completion.</x:v>
      </x:c>
      <x:c r="F20" s="22" t="str">
        <x:v>Find original government document / field verification with relevant stakeholders.</x:v>
      </x:c>
      <x:c r="G20" s="70" t="str">
        <x:v>Source-based public issue memo</x:v>
      </x:c>
      <x:c r="H20" s="22" t="str">
        <x:v>https://gbnagar.nic.in/jewar_airport/</x:v>
      </x:c>
    </x:row>
    <x:row r="21" ht="76" customHeight="1">
      <x:c r="A21" s="22" t="str">
        <x:v>2026-06-15</x:v>
      </x:c>
      <x:c r="B21" s="26" t="str">
        <x:v>Airport operational</x:v>
      </x:c>
      <x:c r="C21" s="22" t="str">
        <x:v>Noida International Airport operator</x:v>
      </x:c>
      <x:c r="D21" s="22" t="str">
        <x:v>First commercial flights began June 15 following inauguration March 28.</x:v>
      </x:c>
      <x:c r="E21" s="22" t="str">
        <x:v>Situation may continue changing. Verify latest district notices and implementation; policy announcements do not prove completion.</x:v>
      </x:c>
      <x:c r="F21" s="22" t="str">
        <x:v>Audit actual transport, local jobs, and infrastructure status with dated records.</x:v>
      </x:c>
      <x:c r="G21" s="70" t="str">
        <x:v>Project milestone and public-service dashboard</x:v>
      </x:c>
      <x:c r="H21" s="22" t="str">
        <x:v>https://www.niairport.in/en/company/news/2026/2026-06-15</x:v>
      </x:c>
    </x:row>
    <x:row r="22" ht="76" customHeight="1">
      <x:c r="A22" s="22" t="str">
        <x:v>2026-10-05</x:v>
      </x:c>
      <x:c r="B22" s="26" t="str">
        <x:v>2027 alliance status</x:v>
      </x:c>
      <x:c r="C22" s="22" t="str">
        <x:v>Indian Express</x:v>
      </x:c>
      <x:c r="D22" s="22" t="str">
        <x:v>SP-Congress future Assembly seat-sharing reported unsettled at research date.</x:v>
      </x:c>
      <x:c r="E22" s="22" t="str">
        <x:v>Situation may continue changing. Verify latest district notices and implementation; policy announcements do not prove completion.</x:v>
      </x:c>
      <x:c r="F22" s="22" t="str">
        <x:v>Use only official 2027 party candidate and alliance announcements.</x:v>
      </x:c>
      <x:c r="G22" s="70" t="str">
        <x:v>Source-based public issue memo</x:v>
      </x:c>
      <x:c r="H22" s="22" t="str">
        <x:v>https://indianexpress.com/article/india/uttar-pradesh-assembly-polls-congress-sp-seat-sharing-india-bloc-dmk-akhilesh-yadav-10907533/</x:v>
      </x:c>
    </x:row>
    <x:row r="23" ht="76" customHeight="1">
      <x:c r="A23" s="22" t="str">
        <x:v>2026-10-07</x:v>
      </x:c>
      <x:c r="B23" s="26" t="str">
        <x:v>Separate compensation scheme</x:v>
      </x:c>
      <x:c r="C23" s="22" t="str">
        <x:v>Times of India</x:v>
      </x:c>
      <x:c r="D23" s="22" t="str">
        <x:v>Greater Noida authority announced additional compensation for historic GNIDA acquisitions; NOT blanket airport compensation.</x:v>
      </x:c>
      <x:c r="E23" s="22" t="str">
        <x:v>Situation may continue changing. Verify latest district notices and implementation; policy announcements do not prove completion.</x:v>
      </x:c>
      <x:c r="F23" s="22" t="str">
        <x:v>Find original government document / field verification with relevant stakeholders.</x:v>
      </x:c>
      <x:c r="G23" s="70" t="str">
        <x:v>Source-based public issue memo</x:v>
      </x:c>
      <x:c r="H23" s="22" t="str">
        <x:v>https://timesofindia.indiatimes.com/city/noida/greater-noida-to-pay-64-7-more-compensation-to-4500-farmers/articleshow/134749270.cms</x:v>
      </x:c>
    </x:row>
    <x:row r="24" ht="76" customHeight="1">
      <x:c r="A24" s="22" t="str">
        <x:v>2026-10-10</x:v>
      </x:c>
      <x:c r="B24" s="26" t="str">
        <x:v>Airport naming proposal</x:v>
      </x:c>
      <x:c r="C24" s="22" t="str">
        <x:v>Indian Express</x:v>
      </x:c>
      <x:c r="D24" s="22" t="str">
        <x:v>UP Cabinet proposal to rename airport; do not confuse proposal with completed central approval.</x:v>
      </x:c>
      <x:c r="E24" s="22" t="str">
        <x:v>Situation may continue changing. Verify latest district notices and implementation; policy announcements do not prove completion.</x:v>
      </x:c>
      <x:c r="F24" s="22" t="str">
        <x:v>Find original government document / field verification with relevant stakeholders.</x:v>
      </x:c>
      <x:c r="G24" s="70" t="str">
        <x:v>Source-based public issue memo</x:v>
      </x:c>
      <x:c r="H24" s="22" t="str">
        <x:v>https://indianexpress.com/article/explained/narendra-modi-international-airport-jewar-naming-rules-explained-10913929/</x:v>
      </x:c>
    </x:row>
    <x:row r="27" ht="27" customHeight="1">
      <x:c r="A27" s="16" t="str">
        <x:v>PRIORITY QUESTIONS FOR A PUBLIC-INTEREST JEWAR ISSUES AUDIT</x:v>
      </x:c>
      <x:c r="B27" s="16"/>
      <x:c r="C27" s="16"/>
      <x:c r="D27" s="16"/>
      <x:c r="E27" s="16"/>
      <x:c r="F27" s="16"/>
      <x:c r="G27" s="16"/>
      <x:c r="H27" s="16"/>
    </x:row>
    <x:row r="29" ht="38" customHeight="1">
      <x:c r="A29" s="45" t="str">
        <x:v>Issue group</x:v>
      </x:c>
      <x:c r="B29" s="45" t="str">
        <x:v>Evidence to gather</x:v>
      </x:c>
      <x:c r="C29" s="45" t="str">
        <x:v>Verification route</x:v>
      </x:c>
    </x:row>
    <x:row r="30" ht="64" customHeight="1">
      <x:c r="A30" s="76" t="str">
        <x:v>Airport acquisition</x:v>
      </x:c>
      <x:c r="B30" s="76" t="str">
        <x:v>Village and khasra wise notices; entitlement, compensation, payments, objections and court orders.</x:v>
      </x:c>
      <x:c r="C30" s="76" t="str">
        <x:v>Land/acquisition office + public notices</x:v>
      </x:c>
    </x:row>
    <x:row r="31" ht="64" customHeight="1">
      <x:c r="A31" s="76" t="str">
        <x:v>Resettlement</x:v>
      </x:c>
      <x:c r="B31" s="76" t="str">
        <x:v>Facilities at Jewar Bangar resettlement township: PHC, cremation, market, transport, schools, water.</x:v>
      </x:c>
      <x:c r="C31" s="76" t="str">
        <x:v>Official works orders + consented resident interviews</x:v>
      </x:c>
    </x:row>
    <x:row r="32" ht="64" customHeight="1">
      <x:c r="A32" s="76" t="str">
        <x:v>Infrastructure</x:v>
      </x:c>
      <x:c r="B32" s="76" t="str">
        <x:v>Road and drainage works approved/complete/pending, budget, agency and date.</x:v>
      </x:c>
      <x:c r="C32" s="76" t="str">
        <x:v>Local body/YEIDA/PWD verified projects</x:v>
      </x:c>
    </x:row>
    <x:row r="33" ht="64" customHeight="1">
      <x:c r="A33" s="76" t="str">
        <x:v>Employment</x:v>
      </x:c>
      <x:c r="B33" s="76" t="str">
        <x:v>Training and jobs actually made available to affected households (direct, contractor, informal).</x:v>
      </x:c>
      <x:c r="C33" s="76" t="str">
        <x:v>Airport operator public records + labour dept</x:v>
      </x:c>
    </x:row>
    <x:row r="34" ht="64" customHeight="1">
      <x:c r="A34" s="76" t="str">
        <x:v>Cross-year polling boundaries</x:v>
      </x:c>
      <x:c r="B34" s="76" t="str">
        <x:v>Part names, village mapping and partition changes 2017 → 2019 → 2022 → 2024.</x:v>
      </x:c>
      <x:c r="C34" s="76" t="str">
        <x:v>CEO/DEO archived station lists</x:v>
      </x:c>
    </x:row>
    <x:row r="35" ht="64" customHeight="1">
      <x:c r="A35" s="76" t="str">
        <x:v>Current public opinion</x:v>
      </x:c>
      <x:c r="B35" s="76" t="str">
        <x:v>Only representative opt-in surveys with published dates, question wording and sampling caveats.</x:v>
      </x:c>
      <x:c r="C35" s="76" t="str">
        <x:v>Research methodology; cannot be inferred from past Form20</x:v>
      </x:c>
    </x:row>
  </x:sheetData>
  <x:mergeCells>
    <x:mergeCell ref="A1:N2"/>
    <x:mergeCell ref="A3:N3"/>
    <x:mergeCell ref="A5:H5"/>
    <x:mergeCell ref="A27:H2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8" hidden="0" customWidth="1"/>
    <x:col min="4" max="4" width="29" hidden="0" customWidth="1"/>
    <x:col min="5" max="5" width="96" hidden="0" customWidth="1"/>
    <x:col min="6" max="6" width="97" hidden="0" customWidth="1"/>
  </x:cols>
  <x:sheetData>
    <x:row r="1" ht="25" customHeight="1">
      <x:c r="A1" s="4" t="str">
        <x:v>SOURCE LIBRARY | 17 RESEARCH ARTICLES + UPLOADED FORM 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Every linked assertion should carry a date. Click/copy source links; source claims are not electoral causation.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6" ht="38" customHeight="1">
      <x:c r="A6" s="45" t="str">
        <x:v>Year</x:v>
      </x:c>
      <x:c r="B6" s="45" t="str">
        <x:v>Category</x:v>
      </x:c>
      <x:c r="C6" s="45" t="str">
        <x:v>Publication date</x:v>
      </x:c>
      <x:c r="D6" s="45" t="str">
        <x:v>Publisher / issuing body</x:v>
      </x:c>
      <x:c r="E6" s="45" t="str">
        <x:v>Evidence captured / citation note</x:v>
      </x:c>
      <x:c r="F6" s="45" t="str">
        <x:v>Public source URL</x:v>
      </x:c>
    </x:row>
    <x:row r="7" ht="59" customHeight="1">
      <x:c r="A7" s="22" t="str">
        <x:v>2017</x:v>
      </x:c>
      <x:c r="B7" s="22" t="str">
        <x:v>Nomination</x:v>
      </x:c>
      <x:c r="C7" s="22" t="str">
        <x:v>2017-01-20</x:v>
      </x:c>
      <x:c r="D7" s="22" t="str">
        <x:v>Hindustan Times</x:v>
      </x:c>
      <x:c r="E7" s="26" t="str">
        <x:v>SP named Narendra Nagar for Jewar following candidate-list changes.</x:v>
      </x:c>
      <x:c r="F7" s="22" t="str">
        <x:v>https://www.hindustantimes.com/assembly-elections/sp-releases-list-of-candidates-for-191-seats-including-noida/story-7MUVP7p11pJDVEpN1A2AVN.html</x:v>
      </x:c>
    </x:row>
    <x:row r="8" ht="59" customHeight="1">
      <x:c r="A8" s="22" t="str">
        <x:v>2017</x:v>
      </x:c>
      <x:c r="B8" s="22" t="str">
        <x:v>Alliance</x:v>
      </x:c>
      <x:c r="C8" s="22" t="str">
        <x:v>2017-01-22</x:v>
      </x:c>
      <x:c r="D8" s="22" t="str">
        <x:v>Indian Express</x:v>
      </x:c>
      <x:c r="E8" s="26" t="str">
        <x:v>SP-Congress alliance formally agreed statewide 298 SP / 105 Congress seats.</x:v>
      </x:c>
      <x:c r="F8" s="22" t="str">
        <x:v>https://indianexpress.com/elections/uttar-pradesh-assembly-elections-2017/samajwadi-party-congress-alliance-akhilesh-yadav-raj-babbar-rahul-gandhi-up-uttar-pradesh-elections-seats-mulayam-singh-yadav/</x:v>
      </x:c>
    </x:row>
    <x:row r="9" ht="59" customHeight="1">
      <x:c r="A9" s="22" t="str">
        <x:v>2017</x:v>
      </x:c>
      <x:c r="B9" s="22" t="str">
        <x:v>Airport—post election</x:v>
      </x:c>
      <x:c r="C9" s="22" t="str">
        <x:v>2017-07-24</x:v>
      </x:c>
      <x:c r="D9" s="22" t="str">
        <x:v>Hindustan Times</x:v>
      </x:c>
      <x:c r="E9" s="26" t="str">
        <x:v>Farm leaders voiced compensation concerns after 2017 Assembly election; not evidence of February 2017 voting motives.</x:v>
      </x:c>
      <x:c r="F9" s="22" t="str">
        <x:v>https://www.hindustantimes.com/noida/greater-noida-farmer-leaders-oppose-acquisition-of-land-for-jewar-airport/story-XxnNoly0KRnwcYOhRK77bK.html</x:v>
      </x:c>
    </x:row>
    <x:row r="10" ht="59" customHeight="1">
      <x:c r="A10" s="22" t="str">
        <x:v>2019</x:v>
      </x:c>
      <x:c r="B10" s="22" t="str">
        <x:v>Alliance</x:v>
      </x:c>
      <x:c r="C10" s="22" t="str">
        <x:v>2019-02-21</x:v>
      </x:c>
      <x:c r="D10" s="22" t="str">
        <x:v>Indian Express</x:v>
      </x:c>
      <x:c r="E10" s="26" t="str">
        <x:v>BSP-Samajwadi Party-RLD alliance jointly announced BSP Satveer Nagar for Gautam Buddha Nagar LS.</x:v>
      </x:c>
      <x:c r="F10" s="22" t="str">
        <x:v>https://indianexpress.com/article/india/in-show-of-unity-sp-rld-leaders-cheer-on-as-bsp-off-the-block-with-first-candidate-5593598/</x:v>
      </x:c>
    </x:row>
    <x:row r="11" ht="59" customHeight="1">
      <x:c r="A11" s="22" t="str">
        <x:v>2019</x:v>
      </x:c>
      <x:c r="B11" s="22" t="str">
        <x:v>Contest</x:v>
      </x:c>
      <x:c r="C11" s="22" t="str">
        <x:v>2019-04-10</x:v>
      </x:c>
      <x:c r="D11" s="22" t="str">
        <x:v>Hindustan Times</x:v>
      </x:c>
      <x:c r="E11" s="26" t="str">
        <x:v>Gautam Buddha Nagar LS featured BJP Mahesh Sharma, alliance BSP Satveer and Congress Arvind Singh.</x:v>
      </x:c>
      <x:c r="F11" s="22" t="str">
        <x:v>https://www.hindustantimes.com/lok-sabha-elections/lok-sabha-elections-2019-mahesh-sharma-in-fray-as-gautam-buddha-nagar-witnesses-triangular-contest/story-Bq0Xwy4jHqLyj3XP2y18vM.html</x:v>
      </x:c>
    </x:row>
    <x:row r="12" ht="59" customHeight="1">
      <x:c r="A12" s="22" t="str">
        <x:v>2022</x:v>
      </x:c>
      <x:c r="B12" s="22" t="str">
        <x:v>Alliance candidate</x:v>
      </x:c>
      <x:c r="C12" s="22" t="str">
        <x:v>2022-01-22</x:v>
      </x:c>
      <x:c r="D12" s="22" t="str">
        <x:v>Hindustan Times</x:v>
      </x:c>
      <x:c r="E12" s="26" t="str">
        <x:v>Avtar Singh Bhadana contested Jewar on SP-RLD alliance RLD ticket, after withdrawal dispute.</x:v>
      </x:c>
      <x:c r="F12" s="22" t="str">
        <x:v>https://www.hindustantimes.com/cities/noida-news/day-after-volte-face-sp-rld-candidate-avtar-bhadana-begins-campaigning-in-jewar-101642793858734.html</x:v>
      </x:c>
    </x:row>
    <x:row r="13" ht="59" customHeight="1">
      <x:c r="A13" s="22" t="str">
        <x:v>2022</x:v>
      </x:c>
      <x:c r="B13" s="22" t="str">
        <x:v>Land issues</x:v>
      </x:c>
      <x:c r="C13" s="22" t="str">
        <x:v>2022-01-24</x:v>
      </x:c>
      <x:c r="D13" s="22" t="str">
        <x:v>Hindustan Times</x:v>
      </x:c>
      <x:c r="E13" s="26" t="str">
        <x:v>Farm compensation and airport land negotiations documented as 2022 campaign issues; reporting included different farmer views.</x:v>
      </x:c>
      <x:c r="F13" s="22" t="str">
        <x:v>https://www.hindustantimes.com/cities/noida-news/greater-noida-higher-compensation-for-land-key-issue-for-farmers-this-election-101642969865903.html</x:v>
      </x:c>
    </x:row>
    <x:row r="14" ht="59" customHeight="1">
      <x:c r="A14" s="22" t="str">
        <x:v>2022</x:v>
      </x:c>
      <x:c r="B14" s="22" t="str">
        <x:v>Public debate</x:v>
      </x:c>
      <x:c r="C14" s="22" t="str">
        <x:v>2022-01-31</x:v>
      </x:c>
      <x:c r="D14" s="22" t="str">
        <x:v>Indian Express</x:v>
      </x:c>
      <x:c r="E14" s="26" t="str">
        <x:v>On-the-ground reporting documented mixed reactions to airport and compensation claims in acquisition villages.</x:v>
      </x:c>
      <x:c r="F14" s="22" t="str">
        <x:v>https://indianexpress.com/elections/land-relief-jewar-bjp-up-assembly-polls-7750152/</x:v>
      </x:c>
    </x:row>
    <x:row r="15" ht="59" customHeight="1">
      <x:c r="A15" s="22" t="str">
        <x:v>2024</x:v>
      </x:c>
      <x:c r="B15" s="22" t="str">
        <x:v>Expansion</x:v>
      </x:c>
      <x:c r="C15" s="22" t="str">
        <x:v>2024-01-01</x:v>
      </x:c>
      <x:c r="D15" s="22" t="str">
        <x:v>Indian Express</x:v>
      </x:c>
      <x:c r="E15" s="26" t="str">
        <x:v>Farmers from 14 villages voiced objections to proposed airport expansion acquisition.</x:v>
      </x:c>
      <x:c r="F15" s="22" t="str">
        <x:v>https://indianexpress.com/article/cities/delhi/farmers-oppose-land-acquisition-for-airport-expansion-in-jewar-9090011/</x:v>
      </x:c>
    </x:row>
    <x:row r="16" ht="59" customHeight="1">
      <x:c r="A16" s="22" t="str">
        <x:v>2024</x:v>
      </x:c>
      <x:c r="B16" s="22" t="str">
        <x:v>Rehabilitation</x:v>
      </x:c>
      <x:c r="C16" s="22" t="str">
        <x:v>2024-04-06</x:v>
      </x:c>
      <x:c r="D16" s="22" t="str">
        <x:v>Times of India</x:v>
      </x:c>
      <x:c r="E16" s="26" t="str">
        <x:v>Some Ranhera resettled households alleged missing township amenities and discussed poll boycott; attributed claims.</x:v>
      </x:c>
      <x:c r="F16" s="22" t="str">
        <x:v>https://timesofindia.indiatimes.com/city/noida/will-boycott-polls-if-village-near-airport-not-developed/articleshow/109076548.cms</x:v>
      </x:c>
    </x:row>
    <x:row r="17" ht="59" customHeight="1">
      <x:c r="A17" s="22" t="str">
        <x:v>2024</x:v>
      </x:c>
      <x:c r="B17" s="22" t="str">
        <x:v>Land compensation</x:v>
      </x:c>
      <x:c r="C17" s="22" t="str">
        <x:v>2024-04-12</x:v>
      </x:c>
      <x:c r="D17" s="22" t="str">
        <x:v>Hindustan Times</x:v>
      </x:c>
      <x:c r="E17" s="26" t="str">
        <x:v>Land acquisition rates and rehabilitation perks reported as prominent concerns in regional parliamentary race.</x:v>
      </x:c>
      <x:c r="F17" s="22" t="str">
        <x:v>https://www.hindustantimes.com/cities/noida-news/noida-land-rates-main-poll-issue-in-rural-belt-101712860501586.html</x:v>
      </x:c>
    </x:row>
    <x:row r="18" ht="59" customHeight="1">
      <x:c r="A18" s="22" t="str">
        <x:v>2026</x:v>
      </x:c>
      <x:c r="B18" s="22" t="str">
        <x:v>Airport operational</x:v>
      </x:c>
      <x:c r="C18" s="22" t="str">
        <x:v>2026-06-15</x:v>
      </x:c>
      <x:c r="D18" s="22" t="str">
        <x:v>Noida International Airport operator</x:v>
      </x:c>
      <x:c r="E18" s="26" t="str">
        <x:v>First commercial flights began June 15 following inauguration March 28.</x:v>
      </x:c>
      <x:c r="F18" s="22" t="str">
        <x:v>https://www.niairport.in/en/company/news/2026/2026-06-15</x:v>
      </x:c>
    </x:row>
    <x:row r="19" ht="59" customHeight="1">
      <x:c r="A19" s="22" t="str">
        <x:v>2026</x:v>
      </x:c>
      <x:c r="B19" s="22" t="str">
        <x:v>High Court / R&amp;R</x:v>
      </x:c>
      <x:c r="C19" s="22" t="str">
        <x:v>2026-04-28</x:v>
      </x:c>
      <x:c r="D19" s="22" t="str">
        <x:v>Allahabad High Court judgment</x:v>
      </x:c>
      <x:c r="E19" s="26" t="str">
        <x:v>Stage-2 acquisition of approximately 1,857.8871 ha across 14 villages; Court imposed R&amp;R conditions.</x:v>
      </x:c>
      <x:c r="F19" s="22" t="str">
        <x:v>https://indiankanoon.org/doc/190430932/</x:v>
      </x:c>
    </x:row>
    <x:row r="20" ht="59" customHeight="1">
      <x:c r="A20" s="22" t="str">
        <x:v>2026</x:v>
      </x:c>
      <x:c r="B20" s="22" t="str">
        <x:v>Government notices</x:v>
      </x:c>
      <x:c r="C20" s="22" t="str">
        <x:v>2026-05-19</x:v>
      </x:c>
      <x:c r="D20" s="22" t="str">
        <x:v>Gautam Buddha Nagar District</x:v>
      </x:c>
      <x:c r="E20" s="26" t="str">
        <x:v>Airport acquisition/re-settlement notifications and village-specific land records.</x:v>
      </x:c>
      <x:c r="F20" s="22" t="str">
        <x:v>https://gbnagar.nic.in/jewar_airport/</x:v>
      </x:c>
    </x:row>
    <x:row r="21" ht="59" customHeight="1">
      <x:c r="A21" s="22" t="str">
        <x:v>2026</x:v>
      </x:c>
      <x:c r="B21" s="22" t="str">
        <x:v>Airport naming proposal</x:v>
      </x:c>
      <x:c r="C21" s="22" t="str">
        <x:v>2026-10-10</x:v>
      </x:c>
      <x:c r="D21" s="22" t="str">
        <x:v>Indian Express</x:v>
      </x:c>
      <x:c r="E21" s="26" t="str">
        <x:v>UP Cabinet proposal to rename airport; do not confuse proposal with completed central approval.</x:v>
      </x:c>
      <x:c r="F21" s="22" t="str">
        <x:v>https://indianexpress.com/article/explained/narendra-modi-international-airport-jewar-naming-rules-explained-10913929/</x:v>
      </x:c>
    </x:row>
    <x:row r="22" ht="59" customHeight="1">
      <x:c r="A22" s="22" t="str">
        <x:v>2026</x:v>
      </x:c>
      <x:c r="B22" s="22" t="str">
        <x:v>2027 alliance status</x:v>
      </x:c>
      <x:c r="C22" s="22" t="str">
        <x:v>2026-10-05</x:v>
      </x:c>
      <x:c r="D22" s="22" t="str">
        <x:v>Indian Express</x:v>
      </x:c>
      <x:c r="E22" s="26" t="str">
        <x:v>SP-Congress future Assembly seat-sharing reported unsettled at research date.</x:v>
      </x:c>
      <x:c r="F22" s="22" t="str">
        <x:v>https://indianexpress.com/article/india/uttar-pradesh-assembly-polls-congress-sp-seat-sharing-india-bloc-dmk-akhilesh-yadav-10907533/</x:v>
      </x:c>
    </x:row>
    <x:row r="23" ht="59" customHeight="1">
      <x:c r="A23" s="22" t="str">
        <x:v>2026</x:v>
      </x:c>
      <x:c r="B23" s="22" t="str">
        <x:v>Separate compensation scheme</x:v>
      </x:c>
      <x:c r="C23" s="22" t="str">
        <x:v>2026-10-07</x:v>
      </x:c>
      <x:c r="D23" s="22" t="str">
        <x:v>Times of India</x:v>
      </x:c>
      <x:c r="E23" s="26" t="str">
        <x:v>Greater Noida authority announced additional compensation for historic GNIDA acquisitions; NOT blanket airport compensation.</x:v>
      </x:c>
      <x:c r="F23" s="22" t="str">
        <x:v>https://timesofindia.indiatimes.com/city/noida/greater-noida-to-pay-64-7-more-compensation-to-4500-farmers/articleshow/134749270.cms</x:v>
      </x:c>
    </x:row>
    <x:row r="24" ht="59" customHeight="1">
      <x:c r="A24" s="22" t="str">
        <x:v>2017</x:v>
      </x:c>
      <x:c r="B24" s="22" t="str">
        <x:v>Form 20 source</x:v>
      </x:c>
      <x:c r="C24" s="22" t="str">
        <x:v>User upload</x:v>
      </x:c>
      <x:c r="D24" s="22" t="str">
        <x:v>Uploaded official-style source file</x:v>
      </x:c>
      <x:c r="E24" s="26" t="str">
        <x:v>343 extracted station records; filename:63- jewar 2017 form 20.xls</x:v>
      </x:c>
      <x:c r="F24" s="22" t="str">
        <x:v>See uploaded source attachment</x:v>
      </x:c>
    </x:row>
    <x:row r="25" ht="59" customHeight="1">
      <x:c r="A25" s="22" t="str">
        <x:v>2019</x:v>
      </x:c>
      <x:c r="B25" s="22" t="str">
        <x:v>Form 20 source</x:v>
      </x:c>
      <x:c r="C25" s="22" t="str">
        <x:v>User upload</x:v>
      </x:c>
      <x:c r="D25" s="22" t="str">
        <x:v>Uploaded official-style source file</x:v>
      </x:c>
      <x:c r="E25" s="26" t="str">
        <x:v>388 extracted station records; filename:63- 2019 form 20 data.xls</x:v>
      </x:c>
      <x:c r="F25" s="22" t="str">
        <x:v>See uploaded source attachment</x:v>
      </x:c>
    </x:row>
    <x:row r="26" ht="59" customHeight="1">
      <x:c r="A26" s="22" t="str">
        <x:v>2022</x:v>
      </x:c>
      <x:c r="B26" s="22" t="str">
        <x:v>Form 20 source</x:v>
      </x:c>
      <x:c r="C26" s="22" t="str">
        <x:v>User upload</x:v>
      </x:c>
      <x:c r="D26" s="22" t="str">
        <x:v>Uploaded official-style source file</x:v>
      </x:c>
      <x:c r="E26" s="26" t="str">
        <x:v>419 extracted station records; filename:AC63- form 20 jewar 2022.xls</x:v>
      </x:c>
      <x:c r="F26" s="22" t="str">
        <x:v>See uploaded source attachment</x:v>
      </x:c>
    </x:row>
    <x:row r="27" ht="59" customHeight="1">
      <x:c r="A27" s="22" t="str">
        <x:v>2024</x:v>
      </x:c>
      <x:c r="B27" s="22" t="str">
        <x:v>Form 20 source</x:v>
      </x:c>
      <x:c r="C27" s="22" t="str">
        <x:v>User upload</x:v>
      </x:c>
      <x:c r="D27" s="22" t="str">
        <x:v>Uploaded official-style source file</x:v>
      </x:c>
      <x:c r="E27" s="26" t="str">
        <x:v>398 extracted station records; filename:form 20 data 2024.pdf</x:v>
      </x:c>
      <x:c r="F27" s="22" t="str">
        <x:v>See uploaded source attachment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4" hidden="0" customWidth="1"/>
    <x:col min="5" max="5" width="24" hidden="0" customWidth="1"/>
    <x:col min="6" max="6" width="74" hidden="0" customWidth="1"/>
    <x:col min="7" max="7" width="78" hidden="0" customWidth="1"/>
  </x:cols>
  <x:sheetData>
    <x:row r="1" ht="25" customHeight="1">
      <x:c r="A1" s="4" t="str">
        <x:v>DATA QUALITY | RECONCILIATION, DEFINITIONS &amp; LIMITS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Read before reporting totals. 2019 and 2022 supplied sheets contain discrepancies; station charts use the sums of individual candidate cells.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27" customHeight="1">
      <x:c r="A5" s="16" t="str">
        <x:v>QUALITY CHECK — ORIGINAL STATION ROWS VERSUS PRINTED AGGREGATES</x:v>
      </x:c>
      <x:c r="B5" s="16"/>
      <x:c r="C5" s="16"/>
      <x:c r="D5" s="16"/>
      <x:c r="E5" s="16"/>
      <x:c r="F5" s="16"/>
      <x:c r="G5" s="16"/>
    </x:row>
    <x:row r="7" ht="38" customHeight="1">
      <x:c r="A7" s="45" t="str">
        <x:v>Year</x:v>
      </x:c>
      <x:c r="B7" s="45" t="str">
        <x:v>Measure</x:v>
      </x:c>
      <x:c r="C7" s="45" t="str">
        <x:v>Station sum (recomputed)</x:v>
      </x:c>
      <x:c r="D7" s="45" t="str">
        <x:v>Source printed</x:v>
      </x:c>
      <x:c r="E7" s="45" t="str">
        <x:v>Difference</x:v>
      </x:c>
      <x:c r="F7" s="45" t="str">
        <x:v>Explanation / treatment</x:v>
      </x:c>
      <x:c r="G7" s="45" t="str">
        <x:v>Source</x:v>
      </x:c>
    </x:row>
    <x:row r="8" ht="63" customHeight="1">
      <x:c r="A8" s="22" t="str">
        <x:v>2017</x:v>
      </x:c>
      <x:c r="B8" s="22" t="str">
        <x:v>EVM votes incl NOTA</x:v>
      </x:c>
      <x:c r="C8" s="22" t="n">
        <x:v>211292</x:v>
      </x:c>
      <x:c r="D8" s="22" t="n">
        <x:v>211292</x:v>
      </x:c>
      <x:c r="E8" s="22" t="n">
        <x:v>0</x:v>
      </x:c>
      <x:c r="F8" s="22" t="str">
        <x:v>All 343 station rows agree with printed 2017 EVM total.</x:v>
      </x:c>
      <x:c r="G8" s="22" t="str">
        <x:v>63- jewar 2017 form 20.xls</x:v>
      </x:c>
    </x:row>
    <x:row r="9" ht="63" customHeight="1">
      <x:c r="A9" s="22" t="str">
        <x:v>2017</x:v>
      </x:c>
      <x:c r="B9" s="22" t="str">
        <x:v>Candidate EVM votes</x:v>
      </x:c>
      <x:c r="C9" s="22" t="n">
        <x:v>210016</x:v>
      </x:c>
      <x:c r="D9" s="22" t="n">
        <x:v>210016</x:v>
      </x:c>
      <x:c r="E9" s="22" t="n">
        <x:v>0</x:v>
      </x:c>
      <x:c r="F9" s="22" t="str">
        <x:v>Form 20 candidate total reconciles; NOTA is turnout less candidate sum.</x:v>
      </x:c>
      <x:c r="G9" s="22" t="str">
        <x:v>63- jewar 2017 form 20.xls</x:v>
      </x:c>
    </x:row>
    <x:row r="10" ht="63" customHeight="1">
      <x:c r="A10" s="22" t="str">
        <x:v>2017</x:v>
      </x:c>
      <x:c r="B10" s="22" t="str">
        <x:v>Narender SP EVM</x:v>
      </x:c>
      <x:c r="C10" s="22" t="n">
        <x:v>13216</x:v>
      </x:c>
      <x:c r="D10" s="22" t="n">
        <x:v>13216</x:v>
      </x:c>
      <x:c r="E10" s="22" t="n">
        <x:v>0</x:v>
      </x:c>
      <x:c r="F10" s="22" t="str">
        <x:v>Published final Narender result 13,239 is NOT the EVM-only figure. Do not distribute extra 23 across stations.</x:v>
      </x:c>
      <x:c r="G10" s="22" t="str">
        <x:v>63- jewar 2017 form 20.xls</x:v>
      </x:c>
    </x:row>
    <x:row r="11" ht="63" customHeight="1">
      <x:c r="A11" s="22" t="str">
        <x:v>2019</x:v>
      </x:c>
      <x:c r="B11" s="22" t="str">
        <x:v>EVM votes incl NOTA</x:v>
      </x:c>
      <x:c r="C11" s="22" t="n">
        <x:v>216782</x:v>
      </x:c>
      <x:c r="D11" s="22" t="n">
        <x:v>216782</x:v>
      </x:c>
      <x:c r="E11" s="22" t="n">
        <x:v>0</x:v>
      </x:c>
      <x:c r="F11" s="22" t="str">
        <x:v>Station recorded turnout matches published total.</x:v>
      </x:c>
      <x:c r="G11" s="22" t="str">
        <x:v>63- 2019 form 20 data.xls</x:v>
      </x:c>
    </x:row>
    <x:row r="12" ht="63" customHeight="1">
      <x:c r="A12" s="22" t="str">
        <x:v>2019</x:v>
      </x:c>
      <x:c r="B12" s="22" t="str">
        <x:v>Candidate EVM votes</x:v>
      </x:c>
      <x:c r="C12" s="22" t="n">
        <x:v>215715</x:v>
      </x:c>
      <x:c r="D12" s="22" t="n">
        <x:v>215805</x:v>
      </x:c>
      <x:c r="E12" s="22" t="n">
        <x:v>-90</x:v>
      </x:c>
      <x:c r="F12" s="22" t="str">
        <x:v>The sheet's station-1 aggregate candidate total says 675, yet candidate cells add to 585. Station-wide candidate total differs by 90.</x:v>
      </x:c>
      <x:c r="G12" s="22" t="str">
        <x:v>63- 2019 form 20 data.xls</x:v>
      </x:c>
    </x:row>
    <x:row r="13" ht="63" customHeight="1">
      <x:c r="A13" s="22" t="str">
        <x:v>2019</x:v>
      </x:c>
      <x:c r="B13" s="22" t="str">
        <x:v>NOTA EVM</x:v>
      </x:c>
      <x:c r="C13" s="22" t="n">
        <x:v>1067</x:v>
      </x:c>
      <x:c r="D13" s="22" t="n">
        <x:v>1067</x:v>
      </x:c>
      <x:c r="E13" s="22" t="n">
        <x:v>0</x:v>
      </x:c>
      <x:c r="F13" s="22" t="str">
        <x:v>NOTA matches printed aggregate.</x:v>
      </x:c>
      <x:c r="G13" s="22" t="str">
        <x:v>63- 2019 form 20 data.xls</x:v>
      </x:c>
    </x:row>
    <x:row r="14" ht="63" customHeight="1">
      <x:c r="A14" s="22" t="str">
        <x:v>2022</x:v>
      </x:c>
      <x:c r="B14" s="22" t="str">
        <x:v>EVM votes incl NOTA</x:v>
      </x:c>
      <x:c r="C14" s="22" t="n">
        <x:v>230872</x:v>
      </x:c>
      <x:c r="D14" s="22" t="n">
        <x:v>231196</x:v>
      </x:c>
      <x:c r="E14" s="22" t="n">
        <x:v>-324</x:v>
      </x:c>
      <x:c r="F14" s="22" t="str">
        <x:v>CRITICAL: 419 station sums are 324 below uploaded source EVM subtotal. Do not present printed totals as booth sums.</x:v>
      </x:c>
      <x:c r="G14" s="22" t="str">
        <x:v>AC63- form 20 jewar 2022.xls</x:v>
      </x:c>
    </x:row>
    <x:row r="15" ht="63" customHeight="1">
      <x:c r="A15" s="22" t="str">
        <x:v>2022</x:v>
      </x:c>
      <x:c r="B15" s="22" t="str">
        <x:v>Candidate EVM votes</x:v>
      </x:c>
      <x:c r="C15" s="22" t="n">
        <x:v>229183</x:v>
      </x:c>
      <x:c r="D15" s="22" t="n">
        <x:v>229504</x:v>
      </x:c>
      <x:c r="E15" s="22" t="n">
        <x:v>-321</x:v>
      </x:c>
      <x:c r="F15" s="22" t="str">
        <x:v>Station candidate-vote sum is 321 lower than source EVM candidate subtotal.</x:v>
      </x:c>
      <x:c r="G15" s="22" t="str">
        <x:v>AC63- form 20 jewar 2022.xls</x:v>
      </x:c>
    </x:row>
    <x:row r="16" ht="63" customHeight="1">
      <x:c r="A16" s="22" t="str">
        <x:v>2022</x:v>
      </x:c>
      <x:c r="B16" s="22" t="str">
        <x:v>NOTA EVM</x:v>
      </x:c>
      <x:c r="C16" s="22" t="n">
        <x:v>1689</x:v>
      </x:c>
      <x:c r="D16" s="22" t="n">
        <x:v>1692</x:v>
      </x:c>
      <x:c r="E16" s="22" t="n">
        <x:v>-3</x:v>
      </x:c>
      <x:c r="F16" s="22" t="str">
        <x:v>Station NOTA sum is 3 lower than source EVM NOTA subtotal.</x:v>
      </x:c>
      <x:c r="G16" s="22" t="str">
        <x:v>AC63- form 20 jewar 2022.xls</x:v>
      </x:c>
    </x:row>
    <x:row r="17" ht="63" customHeight="1">
      <x:c r="A17" s="22" t="str">
        <x:v>2022</x:v>
      </x:c>
      <x:c r="B17" s="22" t="str">
        <x:v>EVM plus postal votes</x:v>
      </x:c>
      <x:c r="C17" s="22" t="n">
        <x:v>231635</x:v>
      </x:c>
      <x:c r="D17" s="22" t="n">
        <x:v>231959</x:v>
      </x:c>
      <x:c r="E17" s="22" t="n">
        <x:v>-324</x:v>
      </x:c>
      <x:c r="F17" s="22" t="str">
        <x:v>Source separately records 763 postal votes. Adding them to station sums still leaves 324 unmatched.</x:v>
      </x:c>
      <x:c r="G17" s="22" t="str">
        <x:v>AC63- form 20 jewar 2022.xls</x:v>
      </x:c>
    </x:row>
    <x:row r="18" ht="63" customHeight="1">
      <x:c r="A18" s="22" t="str">
        <x:v>2024</x:v>
      </x:c>
      <x:c r="B18" s="22" t="str">
        <x:v>EVM votes incl NOTA</x:v>
      </x:c>
      <x:c r="C18" s="22" t="n">
        <x:v>203537</x:v>
      </x:c>
      <x:c r="D18" s="22" t="n">
        <x:v>203537</x:v>
      </x:c>
      <x:c r="E18" s="22" t="n">
        <x:v>0</x:v>
      </x:c>
      <x:c r="F18" s="22" t="str">
        <x:v>398 station rows reconstructed and verified against printed PDF totals.</x:v>
      </x:c>
      <x:c r="G18" s="22" t="str">
        <x:v>form 20 data 2024.pdf</x:v>
      </x:c>
    </x:row>
    <x:row r="19" ht="63" customHeight="1">
      <x:c r="A19" s="22" t="str">
        <x:v>2024</x:v>
      </x:c>
      <x:c r="B19" s="22" t="str">
        <x:v>Candidate EVM votes</x:v>
      </x:c>
      <x:c r="C19" s="22" t="n">
        <x:v>202606</x:v>
      </x:c>
      <x:c r="D19" s="22" t="n">
        <x:v>202606</x:v>
      </x:c>
      <x:c r="E19" s="22" t="n">
        <x:v>0</x:v>
      </x:c>
      <x:c r="F19" s="22" t="str">
        <x:v>All 15 candidate columns reconcile; 931 EVM NOTA votes.</x:v>
      </x:c>
      <x:c r="G19" s="22" t="str">
        <x:v>form 20 data 2024.pdf</x:v>
      </x:c>
    </x:row>
    <x:row r="20" ht="63" customHeight="1">
      <x:c r="A20" s="22" t="str">
        <x:v>2024</x:v>
      </x:c>
      <x:c r="B20" s="22" t="str">
        <x:v>PS 327</x:v>
      </x:c>
      <x:c r="C20" s="22" t="n">
        <x:v>0</x:v>
      </x:c>
      <x:c r="D20" s="22" t="n">
        <x:v>0</x:v>
      </x:c>
      <x:c r="E20" s="22" t="n">
        <x:v>0</x:v>
      </x:c>
      <x:c r="F20" s="22" t="str">
        <x:v>Original PDF has PS 327 with candidate cells blank and EVM turnout zero; retained as 0-vote row, NOT removed.</x:v>
      </x:c>
      <x:c r="G20" s="22" t="str">
        <x:v>form 20 data 2024.pdf</x:v>
      </x:c>
    </x:row>
    <x:row r="24" ht="27" customHeight="1">
      <x:c r="A24" s="16" t="str">
        <x:v>GLOSSARY — EQUATIONS AND NON-NEGOTIABLE CAUTIONS</x:v>
      </x:c>
      <x:c r="B24" s="16"/>
      <x:c r="C24" s="16"/>
      <x:c r="D24" s="16"/>
      <x:c r="E24" s="16"/>
      <x:c r="F24" s="16"/>
      <x:c r="G24" s="16"/>
    </x:row>
    <x:row r="26" ht="38" customHeight="1">
      <x:c r="A26" s="45" t="str">
        <x:v>Metric / issue</x:v>
      </x:c>
      <x:c r="B26" s="45" t="str">
        <x:v>Definition</x:v>
      </x:c>
      <x:c r="C26" s="45" t="str">
        <x:v>Interpretation limit</x:v>
      </x:c>
    </x:row>
    <x:row r="27" ht="56" customHeight="1">
      <x:c r="A27" s="78" t="str">
        <x:v>EVM votes cast</x:v>
      </x:c>
      <x:c r="B27" s="76" t="str">
        <x:v>Station candidate votes + NOTA (plus rejected, if any).</x:v>
      </x:c>
      <x:c r="C27" s="76" t="str">
        <x:v>The station row is not a constituency total including postal ballots.</x:v>
      </x:c>
    </x:row>
    <x:row r="28" ht="56" customHeight="1">
      <x:c r="A28" s="78" t="str">
        <x:v>Candidate vote share</x:v>
      </x:c>
      <x:c r="B28" s="76" t="str">
        <x:v>Candidate EVM votes / all EVM votes (including NOTA) at station.</x:v>
      </x:c>
      <x:c r="C28" s="76" t="str">
        <x:v>For 0-vote station show blank rather than a misleading 0% share.</x:v>
      </x:c>
    </x:row>
    <x:row r="29" ht="56" customHeight="1">
      <x:c r="A29" s="78" t="str">
        <x:v>Lead in votes</x:v>
      </x:c>
      <x:c r="B29" s="76" t="str">
        <x:v>Focal candidate votes − maximum OTHER candidate votes at same station.</x:v>
      </x:c>
      <x:c r="C29" s="76" t="str">
        <x:v>Positive=station leading; negative=behind strongest rival; tie=0.</x:v>
      </x:c>
    </x:row>
    <x:row r="30" ht="56" customHeight="1">
      <x:c r="A30" s="78" t="str">
        <x:v>Margin in percentage points</x:v>
      </x:c>
      <x:c r="B30" s="76" t="str">
        <x:v>Lead in votes / EVM votes cast at station.</x:v>
      </x:c>
      <x:c r="C30" s="76" t="str">
        <x:v>These are points of vote share, not a probability of winning.</x:v>
      </x:c>
    </x:row>
    <x:row r="31" ht="56" customHeight="1">
      <x:c r="A31" s="78" t="str">
        <x:v>Booth win</x:v>
      </x:c>
      <x:c r="B31" s="76" t="str">
        <x:v>Focal candidate has STRICTLY more EVM votes than any other single candidate.</x:v>
      </x:c>
      <x:c r="C31" s="76" t="str">
        <x:v>Tied stations should not be counted as outright leads.</x:v>
      </x:c>
    </x:row>
    <x:row r="32" ht="56" customHeight="1">
      <x:c r="A32" s="78" t="str">
        <x:v>Vote share histogram</x:v>
      </x:c>
      <x:c r="B32" s="76" t="str">
        <x:v>Count of stations falling inside fixed vote-share bands.</x:v>
      </x:c>
      <x:c r="C32" s="76" t="str">
        <x:v>Not a histogram of percentage of electors; candidates differ across elections.</x:v>
      </x:c>
    </x:row>
    <x:row r="33" ht="56" customHeight="1">
      <x:c r="A33" s="78" t="str">
        <x:v>2017 personal result</x:v>
      </x:c>
      <x:c r="B33" s="76" t="str">
        <x:v>Narender Nagar (SP), 2017 Assembly election.</x:v>
      </x:c>
      <x:c r="C33" s="76" t="str">
        <x:v>Subsequent years feature DIFFERENT individuals.</x:v>
      </x:c>
    </x:row>
    <x:row r="34" ht="56" customHeight="1">
      <x:c r="A34" s="78" t="str">
        <x:v>2019 alliance</x:v>
      </x:c>
      <x:c r="B34" s="76" t="str">
        <x:v>Satveer BSP nominated by SP+BSP+RLD alliance; 2019 Lok Sabha segment.</x:v>
      </x:c>
      <x:c r="C34" s="76" t="str">
        <x:v>Not an SP-symbol or Narender Nagar personal contest.</x:v>
      </x:c>
    </x:row>
    <x:row r="35" ht="56" customHeight="1">
      <x:c r="A35" s="78" t="str">
        <x:v>2022 alliance</x:v>
      </x:c>
      <x:c r="B35" s="76" t="str">
        <x:v>Avtar Singh Bhadana RLD nominated in SP–RLD alliance; 2022 Assembly.</x:v>
      </x:c>
      <x:c r="C35" s="76" t="str">
        <x:v>BSP Narender Kumar is not automatically 2017 SP Narender Nagar.</x:v>
      </x:c>
    </x:row>
    <x:row r="36" ht="56" customHeight="1">
      <x:c r="A36" s="78" t="str">
        <x:v>2024 alliance</x:v>
      </x:c>
      <x:c r="B36" s="76" t="str">
        <x:v>Dr Mahendra Singh Nagar SP (SP+INC alliance) in parliamentary constituency.</x:v>
      </x:c>
      <x:c r="C36" s="76" t="str">
        <x:v>A Lok Sabha segment total, not an Assembly candidate result.</x:v>
      </x:c>
    </x:row>
    <x:row r="37" ht="56" customHeight="1">
      <x:c r="A37" s="78" t="str">
        <x:v>Polling station match</x:v>
      </x:c>
      <x:c r="B37" s="76" t="str">
        <x:v>Numbers and names can change between years; 343/388/419/398 rows.</x:v>
      </x:c>
      <x:c r="C37" s="76" t="str">
        <x:v>Do not assume PS 1 in 2017 = PS 1 in 2024 geographically.</x:v>
      </x:c>
    </x:row>
    <x:row r="38" ht="56" customHeight="1">
      <x:c r="A38" s="78" t="str">
        <x:v>2027 future inference</x:v>
      </x:c>
      <x:c r="B38" s="76" t="str">
        <x:v>No voter prediction or candidate performance forecasting is supplied.</x:v>
      </x:c>
      <x:c r="C38" s="76" t="str">
        <x:v>2027 candidature, alliance, issues and preferences need NEW current records.</x:v>
      </x:c>
    </x:row>
    <x:row r="39" ht="56" customHeight="1">
      <x:c r="A39" s="78" t="str">
        <x:v>Issue journalism</x:v>
      </x:c>
      <x:c r="B39" s="76" t="str">
        <x:v>Reports include claims, farmer quotes, and official positions.</x:v>
      </x:c>
      <x:c r="C39" s="76" t="str">
        <x:v>Reporting does not prove widespread sentiment or electoral causation.</x:v>
      </x:c>
    </x:row>
    <x:row r="40" ht="56" customHeight="1">
      <x:c r="A40" s="78" t="str">
        <x:v>Research proposal</x:v>
      </x:c>
      <x:c r="B40" s="76" t="str">
        <x:v>Village services, rehabilitation verification and public data quality.</x:v>
      </x:c>
      <x:c r="C40" s="76" t="str">
        <x:v>Any survey should have informed consent, representative sampling and disclosures.</x:v>
      </x:c>
    </x:row>
    <x:row r="42" ht="28" customHeight="1">
      <x:c r="A42" s="104" t="str">
        <x:v>QUARTILE + SIGNED MARGIN ANALYSIS (2026 UPDATE)</x:v>
      </x:c>
      <x:c r="B42" s="104"/>
      <x:c r="C42" s="104"/>
      <x:c r="D42" s="104"/>
      <x:c r="E42" s="104"/>
      <x:c r="F42" s="104"/>
      <x:c r="G42" s="104"/>
    </x:row>
    <x:row r="43" ht="25" customHeight="1">
      <x:c r="A43" s="92" t="str">
        <x:v>Statistic</x:v>
      </x:c>
      <x:c r="B43" s="92" t="str">
        <x:v>Definition / use</x:v>
      </x:c>
    </x:row>
    <x:row r="44" ht="50" customHeight="1">
      <x:c r="A44" s="76" t="str">
        <x:v>Q1 / median / Q3</x:v>
      </x:c>
      <x:c r="B44" s="76" t="str">
        <x:v>25th / 50th / 75th percentile of VALID station-level focal candidate EVM vote shares. Excludes 2024 no-EVM polling station.</x:v>
      </x:c>
    </x:row>
    <x:row r="45" ht="50" customHeight="1">
      <x:c r="A45" s="76" t="str">
        <x:v>Low / Middle / High</x:v>
      </x:c>
      <x:c r="B45" s="76" t="str">
        <x:v>Low &lt;Q1; Middle inclusive Q1 to Q3; High &gt;Q3. Comparisons are within the same election, not across different candidates.</x:v>
      </x:c>
    </x:row>
    <x:row r="46" ht="50" customHeight="1">
      <x:c r="A46" s="76" t="str">
        <x:v>Signed margin</x:v>
      </x:c>
      <x:c r="B46" s="76" t="str">
        <x:v>(Focus votes - maximum votes won by ANY other candidate at same polling station) / EVM votes. Positive means focal candidate had a station lead.</x:v>
      </x:c>
    </x:row>
    <x:row r="47" ht="50" customHeight="1">
      <x:c r="A47" s="76" t="str">
        <x:v>Six margin classes</x:v>
      </x:c>
      <x:c r="B47" s="76" t="str">
        <x:v>Large deficit (&lt;-20pp); Moderate deficit (-20 to -5pp); Narrow deficit (-5 to &lt;0pp); Narrow lead/tie (0 to 5pp); Moderate lead (&gt;5 to 20pp); Large lead (&gt;20pp).</x:v>
      </x:c>
    </x:row>
    <x:row r="48" ht="50" customHeight="1">
      <x:c r="A48" s="76" t="str">
        <x:v>2024 zero EVM row</x:v>
      </x:c>
      <x:c r="B48" s="76" t="str">
        <x:v>Polling station no. 327 has zero EVM votes; excluded from share-based quartiles, histograms and matrices. 397 valid of 398.</x:v>
      </x:c>
    </x:row>
  </x:sheetData>
  <x:mergeCells>
    <x:mergeCell ref="A1:O2"/>
    <x:mergeCell ref="A3:O3"/>
    <x:mergeCell ref="A5:G5"/>
    <x:mergeCell ref="A24:G24"/>
    <x:mergeCell ref="A42:G42"/>
  </x:mergeCells>
  <x:conditionalFormatting sqref="E8:E20">
    <x:cfRule type="cellIs" dxfId="4" priority="1" operator="notEqual">
      <x:formula>0</x:formula>
    </x:cfRule>
  </x:conditionalFormatting>
  <x:pageMargins left="0.7" right="0.7" top="0.75" bottom="0.75" header="0.3" footer="0.3"/>
</x:worksheet>
</file>